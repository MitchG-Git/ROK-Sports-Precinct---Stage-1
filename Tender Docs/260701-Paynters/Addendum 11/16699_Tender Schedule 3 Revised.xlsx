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FinBus\CTS\Procure\Contracts Administration\Contracts &amp; Tenders\16699_Rockhampton Sports Precinct Stage 1\3. Addenda\16699_Addendum No. 11\"/>
    </mc:Choice>
  </mc:AlternateContent>
  <xr:revisionPtr revIDLastSave="0" documentId="13_ncr:1_{252135EF-2F5F-4390-A36E-96AEDF3B94AD}" xr6:coauthVersionLast="47" xr6:coauthVersionMax="47" xr10:uidLastSave="{00000000-0000-0000-0000-000000000000}"/>
  <bookViews>
    <workbookView xWindow="28680" yWindow="-120" windowWidth="29040" windowHeight="15720" xr2:uid="{9680F8A4-D6B4-4431-8358-F0B0C2D2024D}"/>
  </bookViews>
  <sheets>
    <sheet name="Stage 1A" sheetId="3" r:id="rId1"/>
    <sheet name="Stage 1B" sheetId="4" r:id="rId2"/>
  </sheets>
  <definedNames>
    <definedName name="_xlnm.Print_Area" localSheetId="0">'Stage 1A'!$B$1:$F$148</definedName>
    <definedName name="_xlnm.Print_Area" localSheetId="1">'Stage 1B'!$B$1:$F$122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3" l="1"/>
  <c r="B110" i="4"/>
  <c r="B102" i="4"/>
  <c r="B99" i="4"/>
  <c r="B96" i="4"/>
  <c r="B85" i="4"/>
  <c r="B81" i="4"/>
  <c r="B76" i="4"/>
  <c r="B69" i="4"/>
  <c r="B63" i="4"/>
  <c r="B59" i="4"/>
  <c r="B55" i="4"/>
  <c r="B53" i="4"/>
  <c r="B51" i="4"/>
  <c r="B48" i="4"/>
  <c r="B46" i="4"/>
  <c r="B44" i="4"/>
  <c r="B42" i="4"/>
  <c r="B39" i="4"/>
  <c r="B53" i="3"/>
  <c r="B49" i="3"/>
  <c r="B42" i="3"/>
  <c r="B32" i="3"/>
  <c r="B21" i="3"/>
  <c r="B16" i="3"/>
  <c r="B88" i="3"/>
  <c r="B90" i="3"/>
  <c r="B57" i="3"/>
  <c r="B56" i="3"/>
  <c r="B55" i="3"/>
  <c r="B54" i="3"/>
  <c r="B31" i="4"/>
  <c r="B35" i="4"/>
  <c r="B34" i="4"/>
  <c r="B33" i="4"/>
  <c r="B32" i="4"/>
  <c r="F113" i="4"/>
  <c r="B108" i="4"/>
  <c r="B107" i="4"/>
  <c r="B106" i="4"/>
  <c r="B105" i="4"/>
  <c r="B104" i="4"/>
  <c r="B103" i="4"/>
  <c r="B101" i="4"/>
  <c r="B100" i="4"/>
  <c r="B98" i="4"/>
  <c r="B97" i="4"/>
  <c r="B95" i="4"/>
  <c r="B94" i="4"/>
  <c r="B93" i="4"/>
  <c r="B92" i="4"/>
  <c r="B91" i="4"/>
  <c r="B90" i="4"/>
  <c r="B89" i="4"/>
  <c r="B88" i="4"/>
  <c r="B87" i="4"/>
  <c r="B86" i="4"/>
  <c r="B82" i="4"/>
  <c r="B78" i="4"/>
  <c r="B75" i="4"/>
  <c r="B74" i="4"/>
  <c r="B73" i="4"/>
  <c r="B72" i="4"/>
  <c r="B71" i="4"/>
  <c r="B70" i="4"/>
  <c r="B68" i="4"/>
  <c r="B67" i="4"/>
  <c r="B66" i="4"/>
  <c r="B65" i="4"/>
  <c r="B64" i="4"/>
  <c r="B58" i="4"/>
  <c r="B57" i="4"/>
  <c r="B56" i="4"/>
  <c r="B50" i="4"/>
  <c r="B49" i="4"/>
  <c r="B41" i="4"/>
  <c r="B40" i="4"/>
  <c r="B30" i="4"/>
  <c r="B29" i="4"/>
  <c r="B28" i="4"/>
  <c r="B27" i="4"/>
  <c r="B26" i="4"/>
  <c r="B25" i="4"/>
  <c r="B24" i="4"/>
  <c r="B23" i="4"/>
  <c r="B22" i="4"/>
  <c r="B21" i="4"/>
  <c r="B20" i="4"/>
  <c r="B18" i="4"/>
  <c r="B16" i="4"/>
  <c r="B12" i="4"/>
  <c r="B11" i="4"/>
  <c r="B10" i="4"/>
  <c r="B9" i="4"/>
  <c r="B8" i="4"/>
  <c r="B7" i="4"/>
  <c r="B6" i="4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6" i="3"/>
  <c r="B105" i="3"/>
  <c r="B104" i="3"/>
  <c r="B103" i="3"/>
  <c r="B102" i="3"/>
  <c r="B99" i="3"/>
  <c r="B97" i="3"/>
  <c r="B96" i="3"/>
  <c r="B95" i="3"/>
  <c r="B94" i="3"/>
  <c r="B92" i="3"/>
  <c r="B86" i="3"/>
  <c r="B85" i="3"/>
  <c r="B82" i="3"/>
  <c r="B81" i="3"/>
  <c r="B79" i="3"/>
  <c r="B78" i="3"/>
  <c r="B77" i="3"/>
  <c r="B75" i="3"/>
  <c r="B74" i="3"/>
  <c r="B73" i="3"/>
  <c r="B72" i="3"/>
  <c r="B71" i="3"/>
  <c r="B70" i="3"/>
  <c r="B69" i="3"/>
  <c r="B68" i="3"/>
  <c r="B67" i="3"/>
  <c r="B66" i="3"/>
  <c r="B65" i="3"/>
  <c r="B63" i="3"/>
  <c r="B62" i="3"/>
  <c r="B61" i="3"/>
  <c r="B60" i="3"/>
  <c r="B52" i="3"/>
  <c r="B51" i="3"/>
  <c r="B50" i="3"/>
  <c r="B48" i="3"/>
  <c r="B47" i="3"/>
  <c r="B46" i="3"/>
  <c r="B45" i="3"/>
  <c r="B43" i="3"/>
  <c r="B41" i="3"/>
  <c r="B40" i="3"/>
  <c r="B39" i="3"/>
  <c r="B38" i="3"/>
  <c r="B33" i="3"/>
  <c r="B31" i="3"/>
  <c r="B24" i="3"/>
  <c r="B22" i="3"/>
  <c r="B12" i="3"/>
  <c r="B11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<sst xmlns="http://schemas.openxmlformats.org/spreadsheetml/2006/main" count="328" uniqueCount="186">
  <si>
    <t>$</t>
  </si>
  <si>
    <t>Lump Sum Total (Exc. GST)</t>
  </si>
  <si>
    <t>Qty.</t>
  </si>
  <si>
    <t>Item</t>
  </si>
  <si>
    <t>Description</t>
  </si>
  <si>
    <t>Unit</t>
  </si>
  <si>
    <t>Price (exc. GST)</t>
  </si>
  <si>
    <t>1.0</t>
  </si>
  <si>
    <t>2.0</t>
  </si>
  <si>
    <t>4.0</t>
  </si>
  <si>
    <t>Substructure</t>
  </si>
  <si>
    <t>External Walls</t>
  </si>
  <si>
    <t>Doors and Windows</t>
  </si>
  <si>
    <t>Landscaping</t>
  </si>
  <si>
    <t>Soft Landscaping</t>
  </si>
  <si>
    <t>Fencing</t>
  </si>
  <si>
    <t>Hydraulic Services</t>
  </si>
  <si>
    <t>Fire Services</t>
  </si>
  <si>
    <t>Mechanical Services</t>
  </si>
  <si>
    <t>Operable Wall (Multipurpose Room)</t>
  </si>
  <si>
    <t>AV and IT Equipment</t>
  </si>
  <si>
    <t>Site Works</t>
  </si>
  <si>
    <t>Bored Piers</t>
  </si>
  <si>
    <t>Floor Finishes</t>
  </si>
  <si>
    <t>Epoxy Flooring</t>
  </si>
  <si>
    <t>Footings, Ground Beams and Slab on ground</t>
  </si>
  <si>
    <t xml:space="preserve">Vinyl Flooring </t>
  </si>
  <si>
    <t>Hard Landscaping (concrete/paved areas)</t>
  </si>
  <si>
    <t>Netball Clubhouse (NBC)</t>
  </si>
  <si>
    <t>Public Amenities Building (PAM)</t>
  </si>
  <si>
    <t>Netball Courts</t>
  </si>
  <si>
    <t>Recreational Park</t>
  </si>
  <si>
    <t>Play Tower</t>
  </si>
  <si>
    <t>Triple Swing set</t>
  </si>
  <si>
    <t>Parkour</t>
  </si>
  <si>
    <t>Dual Cableway</t>
  </si>
  <si>
    <t>Table Tennis (Inc. base slab and anchoring)</t>
  </si>
  <si>
    <t>Rebound wall?</t>
  </si>
  <si>
    <t>Birds Nest Swing</t>
  </si>
  <si>
    <t>Pickleball Courts</t>
  </si>
  <si>
    <t>Formed Concrete / Sandstone Seating</t>
  </si>
  <si>
    <t>PVDF Shade structures</t>
  </si>
  <si>
    <t>External BBQ's</t>
  </si>
  <si>
    <t>Water Bubbler Stations</t>
  </si>
  <si>
    <t>Bin Enclosures</t>
  </si>
  <si>
    <t>Bicycle Parking Racks</t>
  </si>
  <si>
    <t>Dual Picnic Tables</t>
  </si>
  <si>
    <t>Shade Shelter for Picnic Tables</t>
  </si>
  <si>
    <t>Multi Sport Activity Area</t>
  </si>
  <si>
    <t>Hard Landscaping (concrete/paved areas and edging)</t>
  </si>
  <si>
    <t>Soft Landscaping (Excl. Sand and Softfall)</t>
  </si>
  <si>
    <t>Play Equipment</t>
  </si>
  <si>
    <t>Shade Structures</t>
  </si>
  <si>
    <t>Special Equipment and Fixtures</t>
  </si>
  <si>
    <t>Ceiling / Soffit Finishes</t>
  </si>
  <si>
    <t>Site Preparation</t>
  </si>
  <si>
    <t>Drainage</t>
  </si>
  <si>
    <t>Stormwater drainage</t>
  </si>
  <si>
    <t>Temporary Grandstands</t>
  </si>
  <si>
    <t>Retention Basin</t>
  </si>
  <si>
    <t>WSUD Basin?</t>
  </si>
  <si>
    <t>Lighting</t>
  </si>
  <si>
    <t>Sports Lighting</t>
  </si>
  <si>
    <t>External Lighting</t>
  </si>
  <si>
    <t>Internal Lighting</t>
  </si>
  <si>
    <t>Drinking Fountain (Chilled)</t>
  </si>
  <si>
    <t>Fixtures &amp; Equipment</t>
  </si>
  <si>
    <t xml:space="preserve">Landscaping Irrigation </t>
  </si>
  <si>
    <t>Landscaping Irrigation</t>
  </si>
  <si>
    <t>AV &amp; IT equipment (PA System)</t>
  </si>
  <si>
    <t>Softfall / Sand</t>
  </si>
  <si>
    <t>Bulk Earthworks</t>
  </si>
  <si>
    <t>Preliminaries &amp; Documentation</t>
  </si>
  <si>
    <t>Site Establishment</t>
  </si>
  <si>
    <t>Traffic Control</t>
  </si>
  <si>
    <t>Envrionmental Manangement, including Erosion and Sediment Control</t>
  </si>
  <si>
    <t>Setout Survey</t>
  </si>
  <si>
    <t>Quality Control / Approvals / As Constructed drawings / ADAC XML Files</t>
  </si>
  <si>
    <t>Project Management</t>
  </si>
  <si>
    <t>Management Plans</t>
  </si>
  <si>
    <t>Concrete Sealing</t>
  </si>
  <si>
    <t>Block / Masonry Walls</t>
  </si>
  <si>
    <t>Structural Works</t>
  </si>
  <si>
    <t xml:space="preserve">Roofing </t>
  </si>
  <si>
    <t>Sundry Hardware</t>
  </si>
  <si>
    <t>Cubicle Systems (Shower and Toilets)</t>
  </si>
  <si>
    <t>Doors &amp; Door Frames</t>
  </si>
  <si>
    <t>Door Hardware</t>
  </si>
  <si>
    <t>Windows &amp; Window Frames</t>
  </si>
  <si>
    <t>Window Hardware</t>
  </si>
  <si>
    <t>External Gates (Inc. Frames and Hardware)</t>
  </si>
  <si>
    <t>Fire Compliance</t>
  </si>
  <si>
    <t>Joinery</t>
  </si>
  <si>
    <t>Loose Furniture</t>
  </si>
  <si>
    <t>Internal Walls (Inc. Framing, Finishes and Fixings)</t>
  </si>
  <si>
    <t>Comminication</t>
  </si>
  <si>
    <t xml:space="preserve">Electrical </t>
  </si>
  <si>
    <t>Pumbing Fixutres</t>
  </si>
  <si>
    <t>Screening / cladding</t>
  </si>
  <si>
    <t>Drinking Fountain (Non-Chilled)</t>
  </si>
  <si>
    <t>Courts</t>
  </si>
  <si>
    <t>Electrical</t>
  </si>
  <si>
    <t>Communication Services</t>
  </si>
  <si>
    <t>Drainage, retaining structures and protective treatments</t>
  </si>
  <si>
    <t>Line Marking and Road furniture</t>
  </si>
  <si>
    <t>Landscaping and Revegetation works</t>
  </si>
  <si>
    <t>Any other works not covered above</t>
  </si>
  <si>
    <t>Electrical Services</t>
  </si>
  <si>
    <t>Road and Carpark</t>
  </si>
  <si>
    <t>3.0</t>
  </si>
  <si>
    <t>6.0</t>
  </si>
  <si>
    <t>Provisional Items</t>
  </si>
  <si>
    <t>m3</t>
  </si>
  <si>
    <t>Total</t>
  </si>
  <si>
    <t>Only</t>
  </si>
  <si>
    <t>Plumbing, water &amp; sewer connection fees. Actual cost reimbursement.</t>
  </si>
  <si>
    <t>lm</t>
  </si>
  <si>
    <t>Rock - Removal of rock as defined in tender specification</t>
  </si>
  <si>
    <t>Unsuitable Ground - removal and reinstatment of unsuitable ground as defined in the specification</t>
  </si>
  <si>
    <t>Erection only of two (2) Projects signs on site (Signs provided)</t>
  </si>
  <si>
    <t>Cooltop Acrylic Surfacing &amp; Line Marking</t>
  </si>
  <si>
    <t>Adjustable Netball post, sleeves, footings, nets &amp; safety pads</t>
  </si>
  <si>
    <t>Per tonne</t>
  </si>
  <si>
    <t xml:space="preserve">Schedule of Rates - Provisions </t>
  </si>
  <si>
    <t>Special conditions of contract – Price adjustment for asphalt material</t>
  </si>
  <si>
    <t>Price for the supply and delivery of Asphalt to site, at time of tender</t>
  </si>
  <si>
    <t>Site clearing</t>
  </si>
  <si>
    <t>Site preparation / Tree protection</t>
  </si>
  <si>
    <t>Temporary site services</t>
  </si>
  <si>
    <t>Imported fill (Client Supplied)</t>
  </si>
  <si>
    <t>Imported fill (Contractor Sourced)</t>
  </si>
  <si>
    <t>Piling- Over Depth (Per linear metre). Where directed to exceed the design embedment</t>
  </si>
  <si>
    <t>Bouldering Feature (Goliath)</t>
  </si>
  <si>
    <t>Removal of Topsoil  and stockpile on site</t>
  </si>
  <si>
    <t>Excavation including stockpiling or disposal</t>
  </si>
  <si>
    <t xml:space="preserve">Remove and replace unsuitable material </t>
  </si>
  <si>
    <t xml:space="preserve">Unbound Pavement - Type 2.3 </t>
  </si>
  <si>
    <t xml:space="preserve">Subgrade Treatment  - Lime/Cement Stabilised </t>
  </si>
  <si>
    <t>Unbound Pavement - Type 2.1</t>
  </si>
  <si>
    <t xml:space="preserve">Asphaltic  Concrete Surfacing </t>
  </si>
  <si>
    <t>Bulk Fill with Site Material to top of subgrade level</t>
  </si>
  <si>
    <t>Bulk Fill with Imported Material to top of subgrade level</t>
  </si>
  <si>
    <t>Bitumen Prime</t>
  </si>
  <si>
    <t>Grated trench drains and pits</t>
  </si>
  <si>
    <t>Hydraulic</t>
  </si>
  <si>
    <t xml:space="preserve">Clearing and Grubbing </t>
  </si>
  <si>
    <t>Wipeout Stain Block</t>
  </si>
  <si>
    <t>Spectator / Player Shading</t>
  </si>
  <si>
    <t>Electrical mains (excluding 1B required connections)</t>
  </si>
  <si>
    <t>Sewerage mains  (excluding 1B required connections)</t>
  </si>
  <si>
    <t>Water mains  (excluding 1B required connections)</t>
  </si>
  <si>
    <t>Communications  (excluding 1B required connections)</t>
  </si>
  <si>
    <t>Spectator / Player Seating</t>
  </si>
  <si>
    <t>All roofing works</t>
  </si>
  <si>
    <t>Sundy Hardware and Accessories</t>
  </si>
  <si>
    <t>All structural steel works</t>
  </si>
  <si>
    <t>Framing, Finishes and Fixings</t>
  </si>
  <si>
    <t>Amenities Cubicle System</t>
  </si>
  <si>
    <t>Irrigation</t>
  </si>
  <si>
    <t>Turf Components</t>
  </si>
  <si>
    <t>Internal Services</t>
  </si>
  <si>
    <t>Site Services (Excluding Stage 1A, Item 2.1)</t>
  </si>
  <si>
    <t xml:space="preserve">Electrical Services </t>
  </si>
  <si>
    <t xml:space="preserve">Hydraulic Services </t>
  </si>
  <si>
    <t>Site Services (Excluding Item 2.1)</t>
  </si>
  <si>
    <t>Internal Ceiling - Set</t>
  </si>
  <si>
    <t>Internal Ceiling - Grid</t>
  </si>
  <si>
    <t>External Soffit</t>
  </si>
  <si>
    <t>5.0</t>
  </si>
  <si>
    <t>5.1</t>
  </si>
  <si>
    <t>Framing, finishes and Fixings</t>
  </si>
  <si>
    <t>Amenities Cubicle Systems</t>
  </si>
  <si>
    <t>Change Room Cubicle Systems</t>
  </si>
  <si>
    <t>Mains Connections (required through Stage 1B to Service Stage 1A)</t>
  </si>
  <si>
    <t xml:space="preserve">Hydraulic </t>
  </si>
  <si>
    <t>TEN16699 - Stage 1A - A Home for Netball</t>
  </si>
  <si>
    <t>Tender Schedule 3 - Schedule of Prices &amp; Rates</t>
  </si>
  <si>
    <t>TEN16699 - Stage 1B - Recreational Park and Public Amenities</t>
  </si>
  <si>
    <t>Southern Section Site Works (Electrical)</t>
  </si>
  <si>
    <t>Overhead Electrical Work - By Ergon, Facilitation Only</t>
  </si>
  <si>
    <t xml:space="preserve">Underground Electrical Work </t>
  </si>
  <si>
    <t>7.0</t>
  </si>
  <si>
    <t>7.1</t>
  </si>
  <si>
    <t>Communicaton / NBN Fibre component</t>
  </si>
  <si>
    <r>
      <t xml:space="preserve">Electrical (exc. Sports lighting) - </t>
    </r>
    <r>
      <rPr>
        <b/>
        <i/>
        <sz val="10"/>
        <color rgb="FFFF0000"/>
        <rFont val="Calibri"/>
        <family val="2"/>
      </rPr>
      <t>Provisional Sum</t>
    </r>
  </si>
  <si>
    <r>
      <t>Tender Schedule 3 - Schedule of Prices &amp; Rates (</t>
    </r>
    <r>
      <rPr>
        <b/>
        <u/>
        <sz val="11"/>
        <color rgb="FFFF0000"/>
        <rFont val="Aptos Narrow"/>
        <family val="2"/>
        <scheme val="minor"/>
      </rPr>
      <t>Revised</t>
    </r>
    <r>
      <rPr>
        <b/>
        <u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</si>
</sst>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.00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Aptos Narrow"/>
      <family val="2"/>
      <scheme val="minor"/>
    </font>
    <font>
      <b/>
      <sz val="10"/>
      <name val="Calibri"/>
      <family val="2"/>
    </font>
    <font>
      <b/>
      <i/>
      <sz val="10"/>
      <color rgb="FFFF0000"/>
      <name val="Calibri"/>
      <family val="2"/>
    </font>
    <font>
      <b/>
      <u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0" fillId="3" borderId="7" xfId="0" applyNumberForma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vertical="center"/>
    </xf>
    <xf numFmtId="164" fontId="1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44" fontId="3" fillId="5" borderId="6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4" fontId="3" fillId="4" borderId="6" xfId="0" applyNumberFormat="1" applyFont="1" applyFill="1" applyBorder="1" applyAlignment="1">
      <alignment horizontal="left" vertical="center"/>
    </xf>
    <xf numFmtId="164" fontId="4" fillId="4" borderId="6" xfId="0" applyNumberFormat="1" applyFont="1" applyFill="1" applyBorder="1" applyAlignment="1">
      <alignment vertical="center"/>
    </xf>
    <xf numFmtId="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7" borderId="0" xfId="0" applyFill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6" xfId="0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4" fontId="3" fillId="0" borderId="6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6" xfId="0" applyNumberFormat="1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44" fontId="4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82827</xdr:colOff>
      <xdr:row>0</xdr:row>
      <xdr:rowOff>24848</xdr:rowOff>
    </xdr:from>
    <xdr:to>
      <xdr:col>2</xdr:col>
      <xdr:colOff>704023</xdr:colOff>
      <xdr:row>2</xdr:row>
      <xdr:rowOff>142066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A9FF7-A5C2-5F7A-081F-AE579A400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7" y="24848"/>
          <a:ext cx="1383196" cy="614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57979</xdr:colOff>
      <xdr:row>0</xdr:row>
      <xdr:rowOff>24848</xdr:rowOff>
    </xdr:from>
    <xdr:to>
      <xdr:col>2</xdr:col>
      <xdr:colOff>679175</xdr:colOff>
      <xdr:row>2</xdr:row>
      <xdr:rowOff>142066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EA1EE-D6B9-46FD-ACC8-3249FB2FD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9" y="24848"/>
          <a:ext cx="1383196" cy="61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6BB6-103E-48BF-A54E-F014BCD26272}">
  <dimension ref="A1:H160"/>
  <sheetViews>
    <sheetView tabSelected="1" view="pageBreakPreview" topLeftCell="B1" zoomScale="115" zoomScaleNormal="115" zoomScaleSheetLayoutView="115" workbookViewId="0">
      <selection activeCell="B1" sqref="B1:F1"/>
    </sheetView>
  </sheetViews>
  <sheetFormatPr defaultColWidth="9.140625" defaultRowHeight="15" x14ac:dyDescent="0.25"/>
  <cols>
    <col min="1" max="1" width="4.28515625" style="11" hidden="1" customWidth="1"/>
    <col min="2" max="2" width="11.42578125" style="4" customWidth="1"/>
    <col min="3" max="3" width="76.85546875" style="4" customWidth="1"/>
    <col min="4" max="4" width="13.7109375" style="4" customWidth="1"/>
    <col min="5" max="5" width="14.28515625" style="4" customWidth="1"/>
    <col min="6" max="6" width="23.7109375" style="4" customWidth="1"/>
    <col min="7" max="7" width="34.28515625" style="4" bestFit="1" customWidth="1"/>
    <col min="8" max="8" width="15.28515625" style="4" customWidth="1"/>
    <col min="9" max="11" width="4.42578125" style="4" customWidth="1"/>
    <col min="12" max="12" width="28.42578125" style="4" customWidth="1"/>
    <col min="13" max="16384" width="9.140625" style="4"/>
  </cols>
  <sheetData>
    <row r="1" spans="1:6" ht="19.5" customHeight="1" x14ac:dyDescent="0.25">
      <c r="B1" s="56" t="s">
        <v>175</v>
      </c>
      <c r="C1" s="56"/>
      <c r="D1" s="56"/>
      <c r="E1" s="56"/>
      <c r="F1" s="56"/>
    </row>
    <row r="2" spans="1:6" ht="19.5" customHeight="1" x14ac:dyDescent="0.25">
      <c r="B2" s="56" t="s">
        <v>185</v>
      </c>
      <c r="C2" s="56"/>
      <c r="D2" s="56"/>
      <c r="E2" s="56"/>
      <c r="F2" s="56"/>
    </row>
    <row r="3" spans="1:6" ht="12.95" customHeight="1" thickBot="1" x14ac:dyDescent="0.3"/>
    <row r="4" spans="1:6" ht="12.95" customHeight="1" x14ac:dyDescent="0.25">
      <c r="B4" s="12" t="s">
        <v>3</v>
      </c>
      <c r="C4" s="13" t="s">
        <v>4</v>
      </c>
      <c r="D4" s="13" t="s">
        <v>5</v>
      </c>
      <c r="E4" s="13" t="s">
        <v>2</v>
      </c>
      <c r="F4" s="14" t="s">
        <v>6</v>
      </c>
    </row>
    <row r="5" spans="1:6" ht="12.95" customHeight="1" x14ac:dyDescent="0.25">
      <c r="A5" s="11">
        <v>1</v>
      </c>
      <c r="B5" s="15" t="s">
        <v>7</v>
      </c>
      <c r="C5" s="16" t="s">
        <v>72</v>
      </c>
      <c r="D5" s="17"/>
      <c r="E5" s="17"/>
      <c r="F5" s="18"/>
    </row>
    <row r="6" spans="1:6" ht="12.95" customHeight="1" x14ac:dyDescent="0.25">
      <c r="A6" s="11">
        <v>1</v>
      </c>
      <c r="B6" s="19" t="str">
        <f>IF($A6&lt;&gt;1,"","1."&amp;COUNTIF($A6:A$6,1))</f>
        <v>1.1</v>
      </c>
      <c r="C6" s="20" t="s">
        <v>73</v>
      </c>
      <c r="E6" s="21"/>
      <c r="F6" s="22"/>
    </row>
    <row r="7" spans="1:6" ht="12.95" customHeight="1" x14ac:dyDescent="0.25">
      <c r="A7" s="11">
        <v>1</v>
      </c>
      <c r="B7" s="19" t="str">
        <f>IF($A7&lt;&gt;1,"","1."&amp;COUNTIF($A$6:A7,1))</f>
        <v>1.2</v>
      </c>
      <c r="C7" s="20" t="s">
        <v>74</v>
      </c>
      <c r="D7" s="21"/>
      <c r="E7" s="21"/>
      <c r="F7" s="22"/>
    </row>
    <row r="8" spans="1:6" ht="12.95" customHeight="1" x14ac:dyDescent="0.25">
      <c r="A8" s="11">
        <v>1</v>
      </c>
      <c r="B8" s="19" t="str">
        <f>IF($A8&lt;&gt;1,"","1."&amp;COUNTIF($A$6:A8,1))</f>
        <v>1.3</v>
      </c>
      <c r="C8" s="20" t="s">
        <v>75</v>
      </c>
      <c r="D8" s="21"/>
      <c r="E8" s="21"/>
      <c r="F8" s="22"/>
    </row>
    <row r="9" spans="1:6" ht="12.95" customHeight="1" x14ac:dyDescent="0.25">
      <c r="A9" s="11">
        <v>1</v>
      </c>
      <c r="B9" s="19" t="str">
        <f>IF($A9&lt;&gt;1,"","1."&amp;COUNTIF($A$6:A9,1))</f>
        <v>1.4</v>
      </c>
      <c r="C9" s="20" t="s">
        <v>79</v>
      </c>
      <c r="D9" s="21"/>
      <c r="E9" s="21"/>
      <c r="F9" s="22"/>
    </row>
    <row r="10" spans="1:6" ht="12.95" customHeight="1" x14ac:dyDescent="0.25">
      <c r="A10" s="11">
        <v>1</v>
      </c>
      <c r="B10" s="19" t="str">
        <f>IF($A10&lt;&gt;1,"","1."&amp;COUNTIF($A$6:A10,1))</f>
        <v>1.5</v>
      </c>
      <c r="C10" s="20" t="s">
        <v>76</v>
      </c>
      <c r="D10" s="21"/>
      <c r="E10" s="21"/>
      <c r="F10" s="22"/>
    </row>
    <row r="11" spans="1:6" ht="12.95" customHeight="1" x14ac:dyDescent="0.25">
      <c r="A11" s="11">
        <v>1</v>
      </c>
      <c r="B11" s="19" t="str">
        <f>IF($A11&lt;&gt;1,"","1."&amp;COUNTIF($A$6:A11,1))</f>
        <v>1.6</v>
      </c>
      <c r="C11" s="20" t="s">
        <v>77</v>
      </c>
      <c r="D11" s="21"/>
      <c r="E11" s="21"/>
      <c r="F11" s="22"/>
    </row>
    <row r="12" spans="1:6" ht="12.95" customHeight="1" x14ac:dyDescent="0.25">
      <c r="A12" s="11">
        <v>1</v>
      </c>
      <c r="B12" s="19" t="str">
        <f>IF($A12&lt;&gt;1,"","1."&amp;COUNTIF($A$6:A12,1))</f>
        <v>1.7</v>
      </c>
      <c r="C12" s="20" t="s">
        <v>78</v>
      </c>
      <c r="D12" s="21"/>
      <c r="E12" s="21"/>
      <c r="F12" s="22"/>
    </row>
    <row r="13" spans="1:6" ht="12.95" customHeight="1" x14ac:dyDescent="0.25">
      <c r="A13" s="11">
        <v>1</v>
      </c>
      <c r="B13" s="19"/>
      <c r="C13" s="20"/>
      <c r="D13" s="21"/>
      <c r="E13" s="21"/>
      <c r="F13" s="22"/>
    </row>
    <row r="14" spans="1:6" ht="12.95" customHeight="1" x14ac:dyDescent="0.25">
      <c r="B14" s="23"/>
      <c r="C14" s="24"/>
      <c r="D14" s="25"/>
      <c r="E14" s="35" t="s">
        <v>113</v>
      </c>
      <c r="F14" s="26" t="s">
        <v>0</v>
      </c>
    </row>
    <row r="15" spans="1:6" ht="12.95" customHeight="1" x14ac:dyDescent="0.25">
      <c r="A15" s="11">
        <v>1</v>
      </c>
      <c r="B15" s="15" t="s">
        <v>8</v>
      </c>
      <c r="C15" s="16" t="s">
        <v>21</v>
      </c>
      <c r="D15" s="27"/>
      <c r="E15" s="27"/>
      <c r="F15" s="28"/>
    </row>
    <row r="16" spans="1:6" ht="12.95" customHeight="1" x14ac:dyDescent="0.25">
      <c r="A16" s="11">
        <v>1</v>
      </c>
      <c r="B16" s="19" t="str">
        <f>IF($A16&lt;&gt;1,"","2."&amp;COUNTIF($A16:A$20,1))</f>
        <v>2.1</v>
      </c>
      <c r="C16" s="16" t="s">
        <v>173</v>
      </c>
      <c r="D16" s="27"/>
      <c r="E16" s="27"/>
      <c r="F16" s="28"/>
    </row>
    <row r="17" spans="1:7" ht="12.95" customHeight="1" x14ac:dyDescent="0.25">
      <c r="B17" s="37"/>
      <c r="C17" s="47" t="s">
        <v>148</v>
      </c>
      <c r="D17" s="21"/>
      <c r="E17" s="45"/>
      <c r="F17" s="46"/>
    </row>
    <row r="18" spans="1:7" ht="12.95" customHeight="1" x14ac:dyDescent="0.25">
      <c r="B18" s="37"/>
      <c r="C18" s="47" t="s">
        <v>149</v>
      </c>
      <c r="D18" s="21"/>
      <c r="E18" s="45"/>
      <c r="F18" s="46"/>
    </row>
    <row r="19" spans="1:7" ht="12.95" customHeight="1" x14ac:dyDescent="0.25">
      <c r="B19" s="37"/>
      <c r="C19" s="47" t="s">
        <v>150</v>
      </c>
      <c r="D19" s="21"/>
      <c r="E19" s="45"/>
      <c r="F19" s="46"/>
    </row>
    <row r="20" spans="1:7" ht="12.95" customHeight="1" x14ac:dyDescent="0.25">
      <c r="B20" s="37"/>
      <c r="C20" s="47" t="s">
        <v>151</v>
      </c>
      <c r="D20" s="21"/>
      <c r="E20" s="45"/>
      <c r="F20" s="46"/>
    </row>
    <row r="21" spans="1:7" ht="12.95" customHeight="1" x14ac:dyDescent="0.25">
      <c r="A21" s="11">
        <v>1</v>
      </c>
      <c r="B21" s="19" t="str">
        <f>IF($A21&lt;&gt;1,"","2."&amp;COUNTIF($A$16:A21,1))</f>
        <v>2.2</v>
      </c>
      <c r="C21" s="16" t="s">
        <v>55</v>
      </c>
      <c r="D21" s="27"/>
      <c r="E21" s="27"/>
      <c r="F21" s="28"/>
    </row>
    <row r="22" spans="1:7" ht="12.95" customHeight="1" x14ac:dyDescent="0.25">
      <c r="B22" s="29" t="str">
        <f>IF($A22&lt;&gt;1,"","2."&amp;COUNTIF($A$21:A22,1))</f>
        <v/>
      </c>
      <c r="C22" s="20" t="s">
        <v>119</v>
      </c>
      <c r="D22" s="21"/>
      <c r="E22" s="21"/>
      <c r="F22" s="30"/>
    </row>
    <row r="23" spans="1:7" ht="12.95" customHeight="1" x14ac:dyDescent="0.25">
      <c r="B23" s="29"/>
      <c r="C23" s="20" t="s">
        <v>128</v>
      </c>
      <c r="D23" s="21"/>
      <c r="E23" s="21"/>
      <c r="F23" s="30"/>
    </row>
    <row r="24" spans="1:7" ht="12.95" customHeight="1" x14ac:dyDescent="0.25">
      <c r="B24" s="29" t="str">
        <f>IF($A24&lt;&gt;1,"","2."&amp;COUNTIF($A$21:A24,1))</f>
        <v/>
      </c>
      <c r="C24" s="20" t="s">
        <v>127</v>
      </c>
      <c r="D24" s="21"/>
      <c r="E24" s="21"/>
      <c r="F24" s="30"/>
    </row>
    <row r="25" spans="1:7" ht="12.95" customHeight="1" x14ac:dyDescent="0.25">
      <c r="B25" s="29"/>
      <c r="C25" s="43" t="s">
        <v>145</v>
      </c>
      <c r="D25" s="21"/>
      <c r="E25" s="21"/>
      <c r="F25" s="30"/>
    </row>
    <row r="26" spans="1:7" ht="12.95" customHeight="1" x14ac:dyDescent="0.25">
      <c r="B26" s="29"/>
      <c r="C26" s="43" t="s">
        <v>133</v>
      </c>
      <c r="D26" s="21"/>
      <c r="E26" s="21"/>
      <c r="F26" s="30"/>
    </row>
    <row r="27" spans="1:7" ht="12.95" customHeight="1" x14ac:dyDescent="0.25">
      <c r="B27" s="29"/>
      <c r="C27" s="43" t="s">
        <v>134</v>
      </c>
      <c r="D27" s="21"/>
      <c r="E27" s="21"/>
      <c r="F27" s="30"/>
    </row>
    <row r="28" spans="1:7" ht="12.95" customHeight="1" x14ac:dyDescent="0.25">
      <c r="B28" s="29"/>
      <c r="C28" s="43" t="s">
        <v>140</v>
      </c>
      <c r="D28" s="21"/>
      <c r="E28" s="21"/>
      <c r="F28" s="30"/>
    </row>
    <row r="29" spans="1:7" ht="12.95" customHeight="1" x14ac:dyDescent="0.25">
      <c r="B29" s="29"/>
      <c r="C29" s="43" t="s">
        <v>141</v>
      </c>
      <c r="D29" s="21"/>
      <c r="E29" s="21"/>
      <c r="F29" s="30"/>
    </row>
    <row r="30" spans="1:7" ht="12.95" customHeight="1" x14ac:dyDescent="0.25">
      <c r="B30" s="29"/>
      <c r="C30" s="49" t="s">
        <v>135</v>
      </c>
      <c r="D30" s="21"/>
      <c r="E30" s="21"/>
      <c r="F30" s="30"/>
      <c r="G30" s="44"/>
    </row>
    <row r="31" spans="1:7" ht="12.95" customHeight="1" x14ac:dyDescent="0.25">
      <c r="B31" s="29" t="str">
        <f>IF($A31&lt;&gt;1,"","2."&amp;COUNTIF($A$21:A31,1))</f>
        <v/>
      </c>
      <c r="C31" s="20" t="s">
        <v>71</v>
      </c>
      <c r="D31" s="21"/>
      <c r="E31" s="21"/>
      <c r="F31" s="22"/>
    </row>
    <row r="32" spans="1:7" ht="12.95" customHeight="1" x14ac:dyDescent="0.25">
      <c r="A32" s="11">
        <v>1</v>
      </c>
      <c r="B32" s="19" t="str">
        <f>IF($A32&lt;&gt;1,"","2."&amp;COUNTIF($A$16:A32,1))</f>
        <v>2.3</v>
      </c>
      <c r="C32" s="16" t="s">
        <v>108</v>
      </c>
      <c r="D32" s="27"/>
      <c r="E32" s="27"/>
      <c r="F32" s="28"/>
    </row>
    <row r="33" spans="1:6" ht="12.95" customHeight="1" x14ac:dyDescent="0.25">
      <c r="B33" s="29" t="str">
        <f>IF($A33&lt;&gt;1,"","2."&amp;COUNTIF($A$21:A33,1))</f>
        <v/>
      </c>
      <c r="C33" s="20" t="s">
        <v>103</v>
      </c>
      <c r="D33" s="21"/>
      <c r="E33" s="21"/>
      <c r="F33" s="22"/>
    </row>
    <row r="34" spans="1:6" ht="12.95" customHeight="1" x14ac:dyDescent="0.25">
      <c r="B34" s="29"/>
      <c r="C34" s="43" t="s">
        <v>137</v>
      </c>
      <c r="D34" s="21"/>
      <c r="E34" s="21"/>
      <c r="F34" s="22"/>
    </row>
    <row r="35" spans="1:6" ht="12.95" customHeight="1" x14ac:dyDescent="0.25">
      <c r="B35" s="29"/>
      <c r="C35" s="43" t="s">
        <v>136</v>
      </c>
      <c r="D35" s="21"/>
      <c r="E35" s="21"/>
      <c r="F35" s="22"/>
    </row>
    <row r="36" spans="1:6" ht="12.95" customHeight="1" x14ac:dyDescent="0.25">
      <c r="B36" s="29"/>
      <c r="C36" s="43" t="s">
        <v>138</v>
      </c>
      <c r="D36" s="21"/>
      <c r="E36" s="21"/>
      <c r="F36" s="22"/>
    </row>
    <row r="37" spans="1:6" ht="12.95" customHeight="1" x14ac:dyDescent="0.25">
      <c r="B37" s="29"/>
      <c r="C37" s="43" t="s">
        <v>142</v>
      </c>
      <c r="D37" s="21"/>
      <c r="E37" s="21"/>
      <c r="F37" s="22"/>
    </row>
    <row r="38" spans="1:6" ht="12.95" customHeight="1" x14ac:dyDescent="0.25">
      <c r="B38" s="29" t="str">
        <f>IF($A38&lt;&gt;1,"","2."&amp;COUNTIF($A$21:A38,1))</f>
        <v/>
      </c>
      <c r="C38" s="43" t="s">
        <v>139</v>
      </c>
      <c r="D38" s="21"/>
      <c r="E38" s="21"/>
      <c r="F38" s="22"/>
    </row>
    <row r="39" spans="1:6" ht="12.95" customHeight="1" x14ac:dyDescent="0.25">
      <c r="B39" s="29" t="str">
        <f>IF($A39&lt;&gt;1,"","2."&amp;COUNTIF($A$21:A39,1))</f>
        <v/>
      </c>
      <c r="C39" s="43" t="s">
        <v>104</v>
      </c>
      <c r="D39" s="21"/>
      <c r="E39" s="21"/>
      <c r="F39" s="22"/>
    </row>
    <row r="40" spans="1:6" ht="12.95" customHeight="1" x14ac:dyDescent="0.25">
      <c r="B40" s="29" t="str">
        <f>IF($A40&lt;&gt;1,"","2."&amp;COUNTIF($A$21:A40,1))</f>
        <v/>
      </c>
      <c r="C40" s="20" t="s">
        <v>105</v>
      </c>
      <c r="D40" s="21"/>
      <c r="E40" s="21"/>
      <c r="F40" s="22"/>
    </row>
    <row r="41" spans="1:6" ht="12.95" customHeight="1" x14ac:dyDescent="0.25">
      <c r="B41" s="29" t="str">
        <f>IF($A41&lt;&gt;1,"","2."&amp;COUNTIF($A$21:A41,1))</f>
        <v/>
      </c>
      <c r="C41" s="20" t="s">
        <v>106</v>
      </c>
      <c r="D41" s="21"/>
      <c r="E41" s="21"/>
      <c r="F41" s="22"/>
    </row>
    <row r="42" spans="1:6" ht="12.95" customHeight="1" x14ac:dyDescent="0.25">
      <c r="A42" s="11">
        <v>1</v>
      </c>
      <c r="B42" s="19" t="str">
        <f>IF($A42&lt;&gt;1,"","2."&amp;COUNTIF($A$16:A42,1))</f>
        <v>2.4</v>
      </c>
      <c r="C42" s="16" t="s">
        <v>164</v>
      </c>
      <c r="D42" s="27"/>
      <c r="E42" s="27"/>
      <c r="F42" s="28"/>
    </row>
    <row r="43" spans="1:6" ht="12.95" customHeight="1" x14ac:dyDescent="0.25">
      <c r="B43" s="48" t="str">
        <f>IF($A43&lt;&gt;1,"","2."&amp;COUNTIF($A$21:A43,1))</f>
        <v/>
      </c>
      <c r="C43" s="20" t="s">
        <v>107</v>
      </c>
      <c r="D43" s="21"/>
      <c r="E43" s="21"/>
      <c r="F43" s="22"/>
    </row>
    <row r="44" spans="1:6" ht="12.95" customHeight="1" x14ac:dyDescent="0.25">
      <c r="B44" s="48"/>
      <c r="C44" s="20" t="s">
        <v>16</v>
      </c>
      <c r="D44" s="21"/>
      <c r="E44" s="21"/>
      <c r="F44" s="22"/>
    </row>
    <row r="45" spans="1:6" ht="12.95" customHeight="1" x14ac:dyDescent="0.25">
      <c r="B45" s="29" t="str">
        <f>IF($A45&lt;&gt;1,"","2."&amp;COUNTIF($A$21:A45,1))</f>
        <v/>
      </c>
      <c r="C45" s="20" t="s">
        <v>17</v>
      </c>
      <c r="D45" s="21"/>
      <c r="E45" s="21"/>
      <c r="F45" s="22"/>
    </row>
    <row r="46" spans="1:6" ht="12.95" customHeight="1" x14ac:dyDescent="0.25">
      <c r="B46" s="29" t="str">
        <f>IF($A46&lt;&gt;1,"","2."&amp;COUNTIF($A$21:A46,1))</f>
        <v/>
      </c>
      <c r="C46" s="20" t="s">
        <v>18</v>
      </c>
      <c r="D46" s="21"/>
      <c r="E46" s="21"/>
      <c r="F46" s="22"/>
    </row>
    <row r="47" spans="1:6" ht="12.95" customHeight="1" x14ac:dyDescent="0.25">
      <c r="B47" s="29" t="str">
        <f>IF($A47&lt;&gt;1,"","2."&amp;COUNTIF($A$21:A47,1))</f>
        <v/>
      </c>
      <c r="C47" s="20" t="s">
        <v>102</v>
      </c>
      <c r="D47" s="21"/>
      <c r="E47" s="21"/>
      <c r="F47" s="22"/>
    </row>
    <row r="48" spans="1:6" ht="12.95" customHeight="1" x14ac:dyDescent="0.25">
      <c r="B48" s="29" t="str">
        <f>IF($A48&lt;&gt;1,"","2."&amp;COUNTIF($A$21:A48,1))</f>
        <v/>
      </c>
      <c r="C48" s="20" t="s">
        <v>63</v>
      </c>
      <c r="D48" s="21"/>
      <c r="E48" s="21"/>
      <c r="F48" s="22"/>
    </row>
    <row r="49" spans="1:8" ht="12.95" customHeight="1" x14ac:dyDescent="0.25">
      <c r="A49" s="11">
        <v>1</v>
      </c>
      <c r="B49" s="19" t="str">
        <f>IF($A49&lt;&gt;1,"","2."&amp;COUNTIF($A$16:A49,1))</f>
        <v>2.5</v>
      </c>
      <c r="C49" s="16" t="s">
        <v>56</v>
      </c>
      <c r="D49" s="27"/>
      <c r="E49" s="27"/>
      <c r="F49" s="28"/>
    </row>
    <row r="50" spans="1:8" ht="12.95" customHeight="1" x14ac:dyDescent="0.25">
      <c r="B50" s="29" t="str">
        <f>IF($A50&lt;&gt;1,"","2."&amp;COUNTIF($A$21:A50,1))</f>
        <v/>
      </c>
      <c r="C50" s="20" t="s">
        <v>57</v>
      </c>
      <c r="D50" s="21"/>
      <c r="E50" s="21"/>
      <c r="F50" s="22"/>
    </row>
    <row r="51" spans="1:8" ht="12.95" customHeight="1" x14ac:dyDescent="0.25">
      <c r="B51" s="29" t="str">
        <f>IF($A51&lt;&gt;1,"","2."&amp;COUNTIF($A$21:A51,1))</f>
        <v/>
      </c>
      <c r="C51" s="20" t="s">
        <v>59</v>
      </c>
      <c r="D51" s="21"/>
      <c r="E51" s="21"/>
      <c r="F51" s="22"/>
    </row>
    <row r="52" spans="1:8" ht="12.95" customHeight="1" x14ac:dyDescent="0.25">
      <c r="B52" s="29" t="str">
        <f>IF($A52&lt;&gt;1,"","2."&amp;COUNTIF($A$21:A52,1))</f>
        <v/>
      </c>
      <c r="C52" s="20" t="s">
        <v>60</v>
      </c>
      <c r="D52" s="21"/>
      <c r="E52" s="21"/>
      <c r="F52" s="22"/>
    </row>
    <row r="53" spans="1:8" ht="12.95" customHeight="1" x14ac:dyDescent="0.25">
      <c r="A53" s="11">
        <v>1</v>
      </c>
      <c r="B53" s="19" t="str">
        <f>IF($A53&lt;&gt;1,"","2."&amp;COUNTIF($A$16:A53,1))</f>
        <v>2.6</v>
      </c>
      <c r="C53" s="16" t="s">
        <v>13</v>
      </c>
      <c r="D53" s="27"/>
      <c r="E53" s="27"/>
      <c r="F53" s="28"/>
    </row>
    <row r="54" spans="1:8" ht="12.95" customHeight="1" x14ac:dyDescent="0.25">
      <c r="B54" s="29" t="str">
        <f>IF($A54&lt;&gt;1,"","3."&amp;COUNTIF($A54:A$60,1))</f>
        <v/>
      </c>
      <c r="C54" s="20" t="s">
        <v>27</v>
      </c>
      <c r="D54" s="21"/>
      <c r="E54" s="21"/>
      <c r="F54" s="22"/>
    </row>
    <row r="55" spans="1:8" ht="12.95" customHeight="1" x14ac:dyDescent="0.25">
      <c r="B55" s="29" t="str">
        <f>IF($A55&lt;&gt;1,"","3."&amp;COUNTIF($A55:A$60,1))</f>
        <v/>
      </c>
      <c r="C55" s="20" t="s">
        <v>14</v>
      </c>
      <c r="D55" s="21"/>
      <c r="E55" s="21"/>
      <c r="F55" s="22"/>
    </row>
    <row r="56" spans="1:8" ht="12.95" customHeight="1" x14ac:dyDescent="0.25">
      <c r="B56" s="29" t="str">
        <f>IF($A56&lt;&gt;1,"","3."&amp;COUNTIF($A56:A$60,1))</f>
        <v/>
      </c>
      <c r="C56" s="20" t="s">
        <v>15</v>
      </c>
      <c r="D56" s="21"/>
      <c r="E56" s="21"/>
      <c r="F56" s="22"/>
    </row>
    <row r="57" spans="1:8" ht="12.95" customHeight="1" x14ac:dyDescent="0.25">
      <c r="B57" s="29" t="str">
        <f>IF($A57&lt;&gt;1,"","3."&amp;COUNTIF($A57:A$60,1))</f>
        <v/>
      </c>
      <c r="C57" s="20" t="s">
        <v>67</v>
      </c>
      <c r="D57" s="21"/>
      <c r="E57" s="21"/>
      <c r="F57" s="22"/>
    </row>
    <row r="58" spans="1:8" ht="12.95" customHeight="1" x14ac:dyDescent="0.25">
      <c r="B58" s="23"/>
      <c r="C58" s="24"/>
      <c r="D58" s="25"/>
      <c r="E58" s="35" t="s">
        <v>113</v>
      </c>
      <c r="F58" s="26" t="s">
        <v>0</v>
      </c>
    </row>
    <row r="59" spans="1:8" ht="12.95" customHeight="1" x14ac:dyDescent="0.25">
      <c r="A59" s="11">
        <v>1</v>
      </c>
      <c r="B59" s="15" t="s">
        <v>109</v>
      </c>
      <c r="C59" s="16" t="s">
        <v>30</v>
      </c>
      <c r="D59" s="27"/>
      <c r="E59" s="27"/>
      <c r="F59" s="28"/>
    </row>
    <row r="60" spans="1:8" ht="12.95" customHeight="1" x14ac:dyDescent="0.25">
      <c r="A60" s="11">
        <v>1</v>
      </c>
      <c r="B60" s="19" t="str">
        <f>IF($A60&lt;&gt;1,"","3."&amp;COUNTIF($A60:A$60,1))</f>
        <v>3.1</v>
      </c>
      <c r="C60" s="16" t="s">
        <v>10</v>
      </c>
      <c r="D60" s="27"/>
      <c r="E60" s="27"/>
      <c r="F60" s="28"/>
      <c r="H60" s="57"/>
    </row>
    <row r="61" spans="1:8" ht="12.95" customHeight="1" x14ac:dyDescent="0.25">
      <c r="B61" s="29" t="str">
        <f>IF($A61&lt;&gt;1,"","3."&amp;COUNTIF($A$60:A61,1))</f>
        <v/>
      </c>
      <c r="C61" s="31" t="s">
        <v>25</v>
      </c>
      <c r="D61" s="21"/>
      <c r="E61" s="21"/>
      <c r="F61" s="22"/>
      <c r="H61" s="57"/>
    </row>
    <row r="62" spans="1:8" ht="12.95" customHeight="1" x14ac:dyDescent="0.25">
      <c r="B62" s="29" t="str">
        <f>IF($A62&lt;&gt;1,"","3."&amp;COUNTIF($A$60:A62,1))</f>
        <v/>
      </c>
      <c r="C62" s="31" t="s">
        <v>22</v>
      </c>
      <c r="D62" s="21"/>
      <c r="E62" s="21"/>
      <c r="F62" s="22"/>
      <c r="H62" s="57"/>
    </row>
    <row r="63" spans="1:8" ht="12.95" customHeight="1" x14ac:dyDescent="0.25">
      <c r="A63" s="11">
        <v>1</v>
      </c>
      <c r="B63" s="19" t="str">
        <f>IF($A63&lt;&gt;1,"","3."&amp;COUNTIF($A$60:A63,1))</f>
        <v>3.2</v>
      </c>
      <c r="C63" s="16" t="s">
        <v>100</v>
      </c>
      <c r="D63" s="27"/>
      <c r="E63" s="27"/>
      <c r="F63" s="28"/>
      <c r="H63" s="57"/>
    </row>
    <row r="64" spans="1:8" ht="12.95" customHeight="1" x14ac:dyDescent="0.25">
      <c r="B64" s="29"/>
      <c r="C64" s="43" t="s">
        <v>137</v>
      </c>
      <c r="D64" s="21"/>
      <c r="E64" s="21"/>
      <c r="F64" s="22"/>
      <c r="H64" s="57"/>
    </row>
    <row r="65" spans="1:8" ht="12.95" customHeight="1" x14ac:dyDescent="0.25">
      <c r="B65" s="29" t="str">
        <f>IF($A65&lt;&gt;1,"","3."&amp;COUNTIF($A$60:A65,1))</f>
        <v/>
      </c>
      <c r="C65" s="43" t="s">
        <v>136</v>
      </c>
      <c r="D65" s="21"/>
      <c r="E65" s="21"/>
      <c r="F65" s="22"/>
      <c r="H65" s="57"/>
    </row>
    <row r="66" spans="1:8" ht="12.95" customHeight="1" x14ac:dyDescent="0.25">
      <c r="B66" s="29" t="str">
        <f>IF($A66&lt;&gt;1,"","3."&amp;COUNTIF($A$60:A66,1))</f>
        <v/>
      </c>
      <c r="C66" s="43" t="s">
        <v>138</v>
      </c>
      <c r="D66" s="21"/>
      <c r="E66" s="21"/>
      <c r="F66" s="22"/>
      <c r="H66" s="57"/>
    </row>
    <row r="67" spans="1:8" ht="12.95" customHeight="1" x14ac:dyDescent="0.25">
      <c r="B67" s="29" t="str">
        <f>IF($A67&lt;&gt;1,"","3."&amp;COUNTIF($A$60:A67,1))</f>
        <v/>
      </c>
      <c r="C67" s="43" t="s">
        <v>142</v>
      </c>
      <c r="D67" s="21"/>
      <c r="E67" s="21"/>
      <c r="F67" s="22"/>
      <c r="H67" s="57"/>
    </row>
    <row r="68" spans="1:8" ht="12.95" customHeight="1" x14ac:dyDescent="0.25">
      <c r="B68" s="29" t="str">
        <f>IF($A68&lt;&gt;1,"","3."&amp;COUNTIF($A$60:A68,1))</f>
        <v/>
      </c>
      <c r="C68" s="43" t="s">
        <v>139</v>
      </c>
      <c r="D68" s="21"/>
      <c r="E68" s="21"/>
      <c r="F68" s="22"/>
      <c r="H68" s="57"/>
    </row>
    <row r="69" spans="1:8" ht="12.95" customHeight="1" x14ac:dyDescent="0.2">
      <c r="B69" s="29" t="str">
        <f>IF($A69&lt;&gt;1,"","3."&amp;COUNTIF($A$60:A69,1))</f>
        <v/>
      </c>
      <c r="C69" s="33" t="s">
        <v>146</v>
      </c>
      <c r="D69" s="21"/>
      <c r="E69" s="21"/>
      <c r="F69" s="22"/>
      <c r="H69" s="57"/>
    </row>
    <row r="70" spans="1:8" ht="12.95" customHeight="1" x14ac:dyDescent="0.2">
      <c r="B70" s="29" t="str">
        <f>IF($A70&lt;&gt;1,"","3."&amp;COUNTIF($A$60:A70,1))</f>
        <v/>
      </c>
      <c r="C70" s="33" t="s">
        <v>120</v>
      </c>
      <c r="D70" s="21"/>
      <c r="E70" s="21"/>
      <c r="F70" s="22"/>
      <c r="H70" s="57"/>
    </row>
    <row r="71" spans="1:8" ht="12.95" customHeight="1" x14ac:dyDescent="0.2">
      <c r="B71" s="29" t="str">
        <f>IF($A71&lt;&gt;1,"","3."&amp;COUNTIF($A$60:A71,1))</f>
        <v/>
      </c>
      <c r="C71" s="33" t="s">
        <v>121</v>
      </c>
      <c r="D71" s="21"/>
      <c r="E71" s="21"/>
      <c r="F71" s="22"/>
      <c r="H71" s="57"/>
    </row>
    <row r="72" spans="1:8" ht="12.95" customHeight="1" x14ac:dyDescent="0.25">
      <c r="A72" s="11">
        <v>1</v>
      </c>
      <c r="B72" s="19" t="str">
        <f>IF($A72&lt;&gt;1,"","3."&amp;COUNTIF($A$60:A72,1))</f>
        <v>3.3</v>
      </c>
      <c r="C72" s="16" t="s">
        <v>66</v>
      </c>
      <c r="D72" s="27"/>
      <c r="E72" s="27"/>
      <c r="F72" s="28"/>
      <c r="H72" s="57"/>
    </row>
    <row r="73" spans="1:8" ht="12.95" customHeight="1" x14ac:dyDescent="0.25">
      <c r="B73" s="29" t="str">
        <f>IF($A73&lt;&gt;1,"","3."&amp;COUNTIF($A$60:A73,1))</f>
        <v/>
      </c>
      <c r="C73" s="20" t="s">
        <v>58</v>
      </c>
      <c r="D73" s="21"/>
      <c r="E73" s="21"/>
      <c r="F73" s="22"/>
      <c r="H73" s="57"/>
    </row>
    <row r="74" spans="1:8" ht="12.95" customHeight="1" x14ac:dyDescent="0.25">
      <c r="B74" s="29" t="str">
        <f>IF($A74&lt;&gt;1,"","3."&amp;COUNTIF($A$60:A74,1))</f>
        <v/>
      </c>
      <c r="C74" s="20" t="s">
        <v>44</v>
      </c>
      <c r="D74" s="21"/>
      <c r="E74" s="21"/>
      <c r="F74" s="22"/>
      <c r="H74" s="57"/>
    </row>
    <row r="75" spans="1:8" ht="12.95" customHeight="1" x14ac:dyDescent="0.25">
      <c r="B75" s="29" t="str">
        <f>IF($A75&lt;&gt;1,"","3."&amp;COUNTIF($A$60:A75,1))</f>
        <v/>
      </c>
      <c r="C75" s="20" t="s">
        <v>152</v>
      </c>
      <c r="D75" s="21"/>
      <c r="E75" s="21"/>
      <c r="F75" s="22"/>
      <c r="H75" s="57"/>
    </row>
    <row r="76" spans="1:8" ht="12.95" customHeight="1" x14ac:dyDescent="0.25">
      <c r="B76" s="29"/>
      <c r="C76" s="20" t="s">
        <v>147</v>
      </c>
      <c r="D76" s="21"/>
      <c r="E76" s="21"/>
      <c r="F76" s="22"/>
      <c r="H76" s="57"/>
    </row>
    <row r="77" spans="1:8" ht="12.95" customHeight="1" x14ac:dyDescent="0.25">
      <c r="A77" s="11">
        <v>1</v>
      </c>
      <c r="B77" s="19" t="str">
        <f>IF($A77&lt;&gt;1,"","3."&amp;COUNTIF($A$60:A77,1))</f>
        <v>3.4</v>
      </c>
      <c r="C77" s="16" t="s">
        <v>101</v>
      </c>
      <c r="D77" s="27"/>
      <c r="E77" s="27"/>
      <c r="F77" s="28"/>
      <c r="H77" s="57"/>
    </row>
    <row r="78" spans="1:8" ht="12.95" customHeight="1" x14ac:dyDescent="0.25">
      <c r="B78" s="29" t="str">
        <f>IF($A78&lt;&gt;1,"","3."&amp;COUNTIF($A$60:A78,1))</f>
        <v/>
      </c>
      <c r="C78" s="20" t="s">
        <v>62</v>
      </c>
      <c r="D78" s="21"/>
      <c r="E78" s="21"/>
      <c r="F78" s="22"/>
      <c r="H78" s="57"/>
    </row>
    <row r="79" spans="1:8" ht="12.95" customHeight="1" x14ac:dyDescent="0.25">
      <c r="B79" s="29" t="str">
        <f>IF($A79&lt;&gt;1,"","3."&amp;COUNTIF($A$60:A79,1))</f>
        <v/>
      </c>
      <c r="C79" s="20" t="s">
        <v>184</v>
      </c>
      <c r="D79" s="21"/>
      <c r="E79" s="21"/>
      <c r="F79" s="22">
        <v>50000</v>
      </c>
      <c r="H79" s="57"/>
    </row>
    <row r="80" spans="1:8" ht="12.95" customHeight="1" x14ac:dyDescent="0.25">
      <c r="B80" s="29"/>
      <c r="C80" s="20" t="s">
        <v>69</v>
      </c>
      <c r="D80" s="21"/>
      <c r="E80" s="21"/>
      <c r="F80" s="22"/>
      <c r="H80" s="57"/>
    </row>
    <row r="81" spans="1:8" ht="12.95" customHeight="1" x14ac:dyDescent="0.25">
      <c r="A81" s="11">
        <v>1</v>
      </c>
      <c r="B81" s="19" t="str">
        <f>IF($A81&lt;&gt;1,"","3."&amp;COUNTIF($A$60:A81,1))</f>
        <v>3.5</v>
      </c>
      <c r="C81" s="16" t="s">
        <v>144</v>
      </c>
      <c r="D81" s="27"/>
      <c r="E81" s="27"/>
      <c r="F81" s="28"/>
      <c r="H81" s="57"/>
    </row>
    <row r="82" spans="1:8" ht="12.95" customHeight="1" x14ac:dyDescent="0.25">
      <c r="B82" s="29" t="str">
        <f>IF($A82&lt;&gt;1,"","3."&amp;COUNTIF($A$60:A82,1))</f>
        <v/>
      </c>
      <c r="C82" s="43" t="s">
        <v>143</v>
      </c>
      <c r="D82" s="21"/>
      <c r="E82" s="21"/>
      <c r="F82" s="22"/>
      <c r="H82" s="57"/>
    </row>
    <row r="83" spans="1:8" ht="12.95" customHeight="1" x14ac:dyDescent="0.25">
      <c r="B83" s="23"/>
      <c r="C83" s="24"/>
      <c r="D83" s="25"/>
      <c r="E83" s="35" t="s">
        <v>113</v>
      </c>
      <c r="F83" s="26" t="s">
        <v>0</v>
      </c>
      <c r="H83" s="57"/>
    </row>
    <row r="84" spans="1:8" ht="12.95" customHeight="1" x14ac:dyDescent="0.25">
      <c r="A84" s="11">
        <v>1</v>
      </c>
      <c r="B84" s="15" t="s">
        <v>9</v>
      </c>
      <c r="C84" s="16" t="s">
        <v>28</v>
      </c>
      <c r="D84" s="27"/>
      <c r="E84" s="27"/>
      <c r="F84" s="28"/>
    </row>
    <row r="85" spans="1:8" ht="12.95" customHeight="1" x14ac:dyDescent="0.25">
      <c r="A85" s="11">
        <v>1</v>
      </c>
      <c r="B85" s="19" t="str">
        <f>IF($A85&lt;&gt;1,"","4."&amp;COUNTIF($A85:A$85,1))</f>
        <v>4.1</v>
      </c>
      <c r="C85" s="16" t="s">
        <v>10</v>
      </c>
      <c r="D85" s="27"/>
      <c r="E85" s="27"/>
      <c r="F85" s="34"/>
    </row>
    <row r="86" spans="1:8" ht="12.95" customHeight="1" x14ac:dyDescent="0.25">
      <c r="B86" s="29" t="str">
        <f>IF($A86&lt;&gt;1,"","4."&amp;COUNTIF($A$85:A86,1))</f>
        <v/>
      </c>
      <c r="C86" s="31" t="s">
        <v>25</v>
      </c>
      <c r="D86" s="21"/>
      <c r="E86" s="21"/>
      <c r="F86" s="22"/>
    </row>
    <row r="87" spans="1:8" ht="12.95" customHeight="1" x14ac:dyDescent="0.25">
      <c r="A87" s="11">
        <v>1</v>
      </c>
      <c r="C87" s="31" t="s">
        <v>22</v>
      </c>
      <c r="D87" s="21"/>
      <c r="E87" s="21"/>
      <c r="F87" s="22"/>
    </row>
    <row r="88" spans="1:8" ht="12.95" customHeight="1" x14ac:dyDescent="0.25">
      <c r="B88" s="19" t="str">
        <f>IF($A87&lt;&gt;1,"","4."&amp;COUNTIF($A$85:A87,1))</f>
        <v>4.2</v>
      </c>
      <c r="C88" s="16" t="s">
        <v>82</v>
      </c>
      <c r="D88" s="52"/>
      <c r="E88" s="52"/>
      <c r="F88" s="53"/>
    </row>
    <row r="89" spans="1:8" ht="12.95" customHeight="1" x14ac:dyDescent="0.25">
      <c r="B89" s="29"/>
      <c r="C89" s="20" t="s">
        <v>155</v>
      </c>
      <c r="D89" s="51"/>
      <c r="E89" s="51"/>
      <c r="F89" s="50"/>
    </row>
    <row r="90" spans="1:8" ht="12.95" customHeight="1" x14ac:dyDescent="0.25">
      <c r="A90" s="11">
        <v>1</v>
      </c>
      <c r="B90" s="19" t="str">
        <f>IF($A90&lt;&gt;1,"","4."&amp;COUNTIF($A$85:A90,1))</f>
        <v>4.3</v>
      </c>
      <c r="C90" s="16" t="s">
        <v>83</v>
      </c>
      <c r="D90" s="52"/>
      <c r="E90" s="52"/>
      <c r="F90" s="53"/>
    </row>
    <row r="91" spans="1:8" ht="12.95" customHeight="1" x14ac:dyDescent="0.25">
      <c r="B91" s="29"/>
      <c r="C91" s="20" t="s">
        <v>153</v>
      </c>
      <c r="D91" s="51"/>
      <c r="E91" s="51"/>
      <c r="F91" s="50"/>
    </row>
    <row r="92" spans="1:8" ht="12.95" customHeight="1" x14ac:dyDescent="0.25">
      <c r="A92" s="11">
        <v>1</v>
      </c>
      <c r="B92" s="19" t="str">
        <f>IF($A92&lt;&gt;1,"","4."&amp;COUNTIF($A$85:A92,1))</f>
        <v>4.4</v>
      </c>
      <c r="C92" s="16" t="s">
        <v>84</v>
      </c>
      <c r="D92" s="52"/>
      <c r="E92" s="52"/>
      <c r="F92" s="53"/>
    </row>
    <row r="93" spans="1:8" ht="12.95" customHeight="1" x14ac:dyDescent="0.25">
      <c r="B93" s="29"/>
      <c r="C93" s="20" t="s">
        <v>154</v>
      </c>
      <c r="D93" s="51"/>
      <c r="E93" s="51"/>
      <c r="F93" s="50"/>
    </row>
    <row r="94" spans="1:8" ht="12.95" customHeight="1" x14ac:dyDescent="0.25">
      <c r="A94" s="11">
        <v>1</v>
      </c>
      <c r="B94" s="19" t="str">
        <f>IF($A94&lt;&gt;1,"","4."&amp;COUNTIF($A$85:A94,1))</f>
        <v>4.5</v>
      </c>
      <c r="C94" s="16" t="s">
        <v>11</v>
      </c>
      <c r="D94" s="27"/>
      <c r="E94" s="27"/>
      <c r="F94" s="34"/>
    </row>
    <row r="95" spans="1:8" ht="12.95" customHeight="1" x14ac:dyDescent="0.25">
      <c r="B95" s="29" t="str">
        <f>IF($A95&lt;&gt;1,"","4."&amp;COUNTIF($A$85:A95,1))</f>
        <v/>
      </c>
      <c r="C95" s="20" t="s">
        <v>81</v>
      </c>
      <c r="D95" s="21"/>
      <c r="E95" s="21"/>
      <c r="F95" s="22"/>
    </row>
    <row r="96" spans="1:8" ht="12.95" customHeight="1" x14ac:dyDescent="0.25">
      <c r="B96" s="29" t="str">
        <f>IF($A96&lt;&gt;1,"","4."&amp;COUNTIF($A$85:A96,1))</f>
        <v/>
      </c>
      <c r="C96" s="20" t="s">
        <v>98</v>
      </c>
      <c r="D96" s="21"/>
      <c r="E96" s="21"/>
      <c r="F96" s="22"/>
    </row>
    <row r="97" spans="1:6" ht="12.95" customHeight="1" x14ac:dyDescent="0.25">
      <c r="A97" s="11">
        <v>1</v>
      </c>
      <c r="B97" s="19" t="str">
        <f>IF($A97&lt;&gt;1,"","4."&amp;COUNTIF($A$85:A97,1))</f>
        <v>4.6</v>
      </c>
      <c r="C97" s="16" t="s">
        <v>94</v>
      </c>
      <c r="D97" s="27"/>
      <c r="E97" s="27"/>
      <c r="F97" s="53"/>
    </row>
    <row r="98" spans="1:6" ht="12.95" customHeight="1" x14ac:dyDescent="0.25">
      <c r="B98" s="29"/>
      <c r="C98" s="20" t="s">
        <v>170</v>
      </c>
      <c r="D98" s="21"/>
      <c r="E98" s="21"/>
      <c r="F98" s="50"/>
    </row>
    <row r="99" spans="1:6" ht="12.95" customHeight="1" x14ac:dyDescent="0.25">
      <c r="A99" s="11">
        <v>1</v>
      </c>
      <c r="B99" s="19" t="str">
        <f>IF($A99&lt;&gt;1,"","4."&amp;COUNTIF($A$85:A99,1))</f>
        <v>4.7</v>
      </c>
      <c r="C99" s="16" t="s">
        <v>85</v>
      </c>
      <c r="D99" s="27"/>
      <c r="E99" s="27"/>
      <c r="F99" s="53"/>
    </row>
    <row r="100" spans="1:6" ht="12.95" customHeight="1" x14ac:dyDescent="0.25">
      <c r="B100" s="29"/>
      <c r="C100" s="20" t="s">
        <v>171</v>
      </c>
      <c r="D100" s="21"/>
      <c r="E100" s="21"/>
      <c r="F100" s="50"/>
    </row>
    <row r="101" spans="1:6" ht="12.95" customHeight="1" x14ac:dyDescent="0.25">
      <c r="B101" s="29"/>
      <c r="C101" s="20" t="s">
        <v>172</v>
      </c>
      <c r="D101" s="21"/>
      <c r="E101" s="21"/>
      <c r="F101" s="50"/>
    </row>
    <row r="102" spans="1:6" ht="12.95" customHeight="1" x14ac:dyDescent="0.25">
      <c r="A102" s="11">
        <v>1</v>
      </c>
      <c r="B102" s="19" t="str">
        <f>IF($A102&lt;&gt;1,"","4."&amp;COUNTIF($A$85:A102,1))</f>
        <v>4.8</v>
      </c>
      <c r="C102" s="16" t="s">
        <v>23</v>
      </c>
      <c r="D102" s="27"/>
      <c r="E102" s="27"/>
      <c r="F102" s="34"/>
    </row>
    <row r="103" spans="1:6" ht="12.95" customHeight="1" x14ac:dyDescent="0.25">
      <c r="B103" s="29" t="str">
        <f>IF($A103&lt;&gt;1,"","4."&amp;COUNTIF($A$85:A103,1))</f>
        <v/>
      </c>
      <c r="C103" s="20" t="s">
        <v>26</v>
      </c>
      <c r="D103" s="21"/>
      <c r="E103" s="21"/>
      <c r="F103" s="22"/>
    </row>
    <row r="104" spans="1:6" ht="12.95" customHeight="1" x14ac:dyDescent="0.25">
      <c r="B104" s="29" t="str">
        <f>IF($A104&lt;&gt;1,"","4."&amp;COUNTIF($A$85:A104,1))</f>
        <v/>
      </c>
      <c r="C104" s="20" t="s">
        <v>24</v>
      </c>
      <c r="D104" s="21"/>
      <c r="E104" s="21"/>
      <c r="F104" s="22"/>
    </row>
    <row r="105" spans="1:6" ht="12.95" customHeight="1" x14ac:dyDescent="0.25">
      <c r="B105" s="29" t="str">
        <f>IF($A105&lt;&gt;1,"","4."&amp;COUNTIF($A$85:A105,1))</f>
        <v/>
      </c>
      <c r="C105" s="20" t="s">
        <v>80</v>
      </c>
      <c r="D105" s="21"/>
      <c r="E105" s="21"/>
      <c r="F105" s="22"/>
    </row>
    <row r="106" spans="1:6" ht="12.95" customHeight="1" x14ac:dyDescent="0.25">
      <c r="A106" s="11">
        <v>1</v>
      </c>
      <c r="B106" s="19" t="str">
        <f>IF($A106&lt;&gt;1,"","4."&amp;COUNTIF($A$85:A106,1))</f>
        <v>4.9</v>
      </c>
      <c r="C106" s="16" t="s">
        <v>54</v>
      </c>
      <c r="D106" s="27"/>
      <c r="E106" s="27"/>
      <c r="F106" s="34"/>
    </row>
    <row r="107" spans="1:6" ht="12.95" customHeight="1" x14ac:dyDescent="0.25">
      <c r="B107" s="29"/>
      <c r="C107" s="20" t="s">
        <v>165</v>
      </c>
      <c r="D107" s="21"/>
      <c r="E107" s="21"/>
      <c r="F107" s="50"/>
    </row>
    <row r="108" spans="1:6" ht="12.95" customHeight="1" x14ac:dyDescent="0.25">
      <c r="B108" s="29"/>
      <c r="C108" s="20" t="s">
        <v>166</v>
      </c>
      <c r="D108" s="21"/>
      <c r="E108" s="21"/>
      <c r="F108" s="50"/>
    </row>
    <row r="109" spans="1:6" ht="12.95" customHeight="1" x14ac:dyDescent="0.25">
      <c r="B109" s="29"/>
      <c r="C109" s="20" t="s">
        <v>167</v>
      </c>
      <c r="D109" s="21"/>
      <c r="E109" s="21"/>
      <c r="F109" s="50"/>
    </row>
    <row r="110" spans="1:6" ht="12.95" customHeight="1" x14ac:dyDescent="0.25">
      <c r="A110" s="11">
        <v>1</v>
      </c>
      <c r="B110" s="19" t="str">
        <f>IF($A110&lt;&gt;1,"","4."&amp;COUNTIF($A$85:A110,1))</f>
        <v>4.10</v>
      </c>
      <c r="C110" s="16" t="s">
        <v>12</v>
      </c>
      <c r="D110" s="27"/>
      <c r="E110" s="27"/>
      <c r="F110" s="34"/>
    </row>
    <row r="111" spans="1:6" ht="12.95" customHeight="1" x14ac:dyDescent="0.25">
      <c r="B111" s="29" t="str">
        <f>IF($A111&lt;&gt;1,"","4."&amp;COUNTIF($A$85:A111,1))</f>
        <v/>
      </c>
      <c r="C111" s="20" t="s">
        <v>86</v>
      </c>
      <c r="D111" s="21"/>
      <c r="E111" s="21"/>
      <c r="F111" s="22"/>
    </row>
    <row r="112" spans="1:6" ht="12.95" customHeight="1" x14ac:dyDescent="0.25">
      <c r="B112" s="29" t="str">
        <f>IF($A112&lt;&gt;1,"","4."&amp;COUNTIF($A$85:A112,1))</f>
        <v/>
      </c>
      <c r="C112" s="20" t="s">
        <v>87</v>
      </c>
      <c r="D112" s="21"/>
      <c r="E112" s="21"/>
      <c r="F112" s="22"/>
    </row>
    <row r="113" spans="1:8" ht="12.95" customHeight="1" x14ac:dyDescent="0.25">
      <c r="B113" s="29" t="str">
        <f>IF($A113&lt;&gt;1,"","4."&amp;COUNTIF($A$85:A113,1))</f>
        <v/>
      </c>
      <c r="C113" s="20" t="s">
        <v>88</v>
      </c>
      <c r="D113" s="21"/>
      <c r="E113" s="21"/>
      <c r="F113" s="22"/>
    </row>
    <row r="114" spans="1:8" ht="12.95" customHeight="1" x14ac:dyDescent="0.25">
      <c r="B114" s="29" t="str">
        <f>IF($A114&lt;&gt;1,"","4."&amp;COUNTIF($A$85:A114,1))</f>
        <v/>
      </c>
      <c r="C114" s="20" t="s">
        <v>89</v>
      </c>
      <c r="D114" s="21"/>
      <c r="E114" s="21"/>
      <c r="F114" s="22"/>
    </row>
    <row r="115" spans="1:8" ht="12.95" customHeight="1" x14ac:dyDescent="0.25">
      <c r="B115" s="29" t="str">
        <f>IF($A115&lt;&gt;1,"","4."&amp;COUNTIF($A$85:A115,1))</f>
        <v/>
      </c>
      <c r="C115" s="20" t="s">
        <v>90</v>
      </c>
      <c r="D115" s="21"/>
      <c r="E115" s="21"/>
      <c r="F115" s="22"/>
    </row>
    <row r="116" spans="1:8" ht="12.95" customHeight="1" x14ac:dyDescent="0.25">
      <c r="A116" s="11">
        <v>1</v>
      </c>
      <c r="B116" s="19" t="str">
        <f>IF($A116&lt;&gt;1,"","4."&amp;COUNTIF($A$85:A116,1))</f>
        <v>4.11</v>
      </c>
      <c r="C116" s="16" t="s">
        <v>160</v>
      </c>
      <c r="D116" s="27"/>
      <c r="E116" s="27"/>
      <c r="F116" s="34"/>
    </row>
    <row r="117" spans="1:8" ht="12.95" customHeight="1" x14ac:dyDescent="0.25">
      <c r="B117" s="29" t="str">
        <f>IF($A117&lt;&gt;1,"","4."&amp;COUNTIF($A$85:A117,1))</f>
        <v/>
      </c>
      <c r="C117" s="20" t="s">
        <v>101</v>
      </c>
      <c r="D117" s="21"/>
      <c r="E117" s="21"/>
      <c r="F117" s="22"/>
    </row>
    <row r="118" spans="1:8" ht="12.95" customHeight="1" x14ac:dyDescent="0.25">
      <c r="B118" s="29" t="str">
        <f>IF($A118&lt;&gt;1,"","4."&amp;COUNTIF($A$85:A118,1))</f>
        <v/>
      </c>
      <c r="C118" s="20" t="s">
        <v>95</v>
      </c>
      <c r="D118" s="21"/>
      <c r="E118" s="21"/>
      <c r="F118" s="22"/>
    </row>
    <row r="119" spans="1:8" ht="12.95" customHeight="1" x14ac:dyDescent="0.25">
      <c r="B119" s="29" t="str">
        <f>IF($A119&lt;&gt;1,"","4."&amp;COUNTIF($A$85:A119,1))</f>
        <v/>
      </c>
      <c r="C119" s="20" t="s">
        <v>16</v>
      </c>
      <c r="D119" s="21"/>
      <c r="E119" s="21"/>
      <c r="F119" s="22"/>
    </row>
    <row r="120" spans="1:8" ht="12.95" customHeight="1" x14ac:dyDescent="0.25">
      <c r="B120" s="29" t="str">
        <f>IF($A120&lt;&gt;1,"","4."&amp;COUNTIF($A$85:A120,1))</f>
        <v/>
      </c>
      <c r="C120" s="20" t="s">
        <v>91</v>
      </c>
      <c r="D120" s="21"/>
      <c r="E120" s="21"/>
      <c r="F120" s="22"/>
    </row>
    <row r="121" spans="1:8" ht="12.95" customHeight="1" x14ac:dyDescent="0.25">
      <c r="B121" s="29" t="str">
        <f>IF($A121&lt;&gt;1,"","4."&amp;COUNTIF($A$85:A121,1))</f>
        <v/>
      </c>
      <c r="C121" s="20" t="s">
        <v>18</v>
      </c>
      <c r="D121" s="21"/>
      <c r="E121" s="21"/>
      <c r="F121" s="22"/>
    </row>
    <row r="122" spans="1:8" ht="12.95" customHeight="1" x14ac:dyDescent="0.25">
      <c r="B122" s="29" t="str">
        <f>IF($A122&lt;&gt;1,"","4."&amp;COUNTIF($A$85:A122,1))</f>
        <v/>
      </c>
      <c r="C122" s="20" t="s">
        <v>20</v>
      </c>
      <c r="D122" s="21"/>
      <c r="E122" s="21"/>
      <c r="F122" s="22"/>
    </row>
    <row r="123" spans="1:8" ht="12.95" customHeight="1" x14ac:dyDescent="0.25">
      <c r="A123" s="11">
        <v>1</v>
      </c>
      <c r="B123" s="19" t="str">
        <f>IF($A123&lt;&gt;1,"","4."&amp;COUNTIF($A$85:A123,1))</f>
        <v>4.12</v>
      </c>
      <c r="C123" s="16" t="s">
        <v>53</v>
      </c>
      <c r="D123" s="27"/>
      <c r="E123" s="27"/>
      <c r="F123" s="34"/>
    </row>
    <row r="124" spans="1:8" ht="12.95" customHeight="1" x14ac:dyDescent="0.25">
      <c r="B124" s="29" t="str">
        <f>IF($A124&lt;&gt;1,"","4."&amp;COUNTIF($A$85:A124,1))</f>
        <v/>
      </c>
      <c r="C124" s="20" t="s">
        <v>92</v>
      </c>
      <c r="D124" s="21"/>
      <c r="E124" s="21"/>
      <c r="F124" s="22"/>
      <c r="H124" s="38"/>
    </row>
    <row r="125" spans="1:8" ht="12.95" customHeight="1" x14ac:dyDescent="0.25">
      <c r="B125" s="29" t="str">
        <f>IF($A125&lt;&gt;1,"","4."&amp;COUNTIF($A$85:A125,1))</f>
        <v/>
      </c>
      <c r="C125" s="20" t="s">
        <v>93</v>
      </c>
      <c r="D125" s="21"/>
      <c r="E125" s="21"/>
      <c r="F125" s="22"/>
      <c r="H125" s="38"/>
    </row>
    <row r="126" spans="1:8" ht="12.95" customHeight="1" x14ac:dyDescent="0.25">
      <c r="B126" s="29" t="str">
        <f>IF($A126&lt;&gt;1,"","4."&amp;COUNTIF($A$85:A126,1))</f>
        <v/>
      </c>
      <c r="C126" s="20" t="s">
        <v>97</v>
      </c>
      <c r="D126" s="21"/>
      <c r="E126" s="21"/>
      <c r="F126" s="22"/>
      <c r="H126" s="38"/>
    </row>
    <row r="127" spans="1:8" ht="12.95" customHeight="1" x14ac:dyDescent="0.25">
      <c r="B127" s="29" t="str">
        <f>IF($A127&lt;&gt;1,"","4."&amp;COUNTIF($A$85:A127,1))</f>
        <v/>
      </c>
      <c r="C127" s="20" t="s">
        <v>19</v>
      </c>
      <c r="D127" s="21"/>
      <c r="E127" s="21"/>
      <c r="F127" s="22"/>
      <c r="H127" s="38"/>
    </row>
    <row r="128" spans="1:8" ht="12.95" customHeight="1" x14ac:dyDescent="0.25">
      <c r="B128" s="29" t="str">
        <f>IF($A128&lt;&gt;1,"","4."&amp;COUNTIF($A$85:A128,1))</f>
        <v/>
      </c>
      <c r="C128" s="20" t="s">
        <v>65</v>
      </c>
      <c r="D128" s="21"/>
      <c r="E128" s="21"/>
      <c r="F128" s="22"/>
      <c r="H128" s="38"/>
    </row>
    <row r="129" spans="1:6" ht="12.95" customHeight="1" x14ac:dyDescent="0.25">
      <c r="B129" s="23"/>
      <c r="C129" s="24"/>
      <c r="D129" s="25"/>
      <c r="E129" s="35" t="s">
        <v>113</v>
      </c>
      <c r="F129" s="39" t="s">
        <v>0</v>
      </c>
    </row>
    <row r="130" spans="1:6" ht="12.95" customHeight="1" x14ac:dyDescent="0.25">
      <c r="B130" s="15" t="s">
        <v>168</v>
      </c>
      <c r="C130" s="16" t="s">
        <v>111</v>
      </c>
      <c r="D130" s="27"/>
      <c r="E130" s="27"/>
      <c r="F130" s="28"/>
    </row>
    <row r="131" spans="1:6" ht="12.95" customHeight="1" x14ac:dyDescent="0.25">
      <c r="B131" s="37"/>
      <c r="C131" s="20" t="s">
        <v>115</v>
      </c>
      <c r="D131" s="21" t="s">
        <v>114</v>
      </c>
      <c r="E131" s="41">
        <v>20000</v>
      </c>
      <c r="F131" s="22"/>
    </row>
    <row r="132" spans="1:6" ht="16.5" customHeight="1" x14ac:dyDescent="0.25">
      <c r="A132" s="4"/>
      <c r="B132" s="23"/>
      <c r="C132" s="24"/>
      <c r="D132" s="25"/>
      <c r="E132" s="35" t="s">
        <v>113</v>
      </c>
      <c r="F132" s="39" t="s">
        <v>0</v>
      </c>
    </row>
    <row r="133" spans="1:6" x14ac:dyDescent="0.25">
      <c r="A133" s="11">
        <v>1</v>
      </c>
      <c r="B133" s="15" t="s">
        <v>110</v>
      </c>
      <c r="C133" s="16" t="s">
        <v>178</v>
      </c>
      <c r="D133" s="27"/>
      <c r="E133" s="27"/>
      <c r="F133" s="28"/>
    </row>
    <row r="134" spans="1:6" x14ac:dyDescent="0.25">
      <c r="A134" s="11">
        <v>1</v>
      </c>
      <c r="B134" s="29">
        <v>6.1</v>
      </c>
      <c r="C134" s="20" t="s">
        <v>179</v>
      </c>
      <c r="D134" s="21"/>
      <c r="E134" s="21"/>
      <c r="F134" s="22"/>
    </row>
    <row r="135" spans="1:6" x14ac:dyDescent="0.25">
      <c r="B135" s="29">
        <v>6.2</v>
      </c>
      <c r="C135" s="20" t="s">
        <v>180</v>
      </c>
      <c r="D135" s="21"/>
      <c r="E135" s="21"/>
      <c r="F135" s="22"/>
    </row>
    <row r="136" spans="1:6" x14ac:dyDescent="0.25">
      <c r="B136" s="29">
        <v>6.3</v>
      </c>
      <c r="C136" s="20" t="s">
        <v>183</v>
      </c>
      <c r="D136" s="21"/>
      <c r="E136" s="21"/>
      <c r="F136" s="22"/>
    </row>
    <row r="137" spans="1:6" x14ac:dyDescent="0.25">
      <c r="A137" s="4"/>
      <c r="B137" s="23"/>
      <c r="C137" s="24"/>
      <c r="D137" s="25"/>
      <c r="E137" s="35" t="s">
        <v>113</v>
      </c>
      <c r="F137" s="39" t="s">
        <v>0</v>
      </c>
    </row>
    <row r="138" spans="1:6" ht="30.75" customHeight="1" thickBot="1" x14ac:dyDescent="0.3">
      <c r="B138" s="1"/>
      <c r="C138" s="2" t="s">
        <v>1</v>
      </c>
      <c r="D138" s="3"/>
      <c r="E138" s="3"/>
      <c r="F138" s="9">
        <f>SUM(F6:F131)</f>
        <v>50000</v>
      </c>
    </row>
    <row r="139" spans="1:6" ht="15.75" customHeight="1" thickBot="1" x14ac:dyDescent="0.3">
      <c r="B139" s="5"/>
      <c r="C139" s="6"/>
      <c r="D139" s="7"/>
      <c r="E139" s="7"/>
      <c r="F139" s="8"/>
    </row>
    <row r="140" spans="1:6" x14ac:dyDescent="0.25">
      <c r="B140" s="15" t="s">
        <v>181</v>
      </c>
      <c r="C140" s="16" t="s">
        <v>123</v>
      </c>
      <c r="D140" s="27"/>
      <c r="E140" s="27"/>
      <c r="F140" s="28"/>
    </row>
    <row r="141" spans="1:6" x14ac:dyDescent="0.25">
      <c r="B141" s="37"/>
      <c r="C141" s="20" t="s">
        <v>117</v>
      </c>
      <c r="D141" s="21" t="s">
        <v>112</v>
      </c>
      <c r="E141" s="21"/>
      <c r="F141" s="42" t="s">
        <v>0</v>
      </c>
    </row>
    <row r="142" spans="1:6" x14ac:dyDescent="0.25">
      <c r="B142" s="37"/>
      <c r="C142" s="20" t="s">
        <v>118</v>
      </c>
      <c r="D142" s="21" t="s">
        <v>112</v>
      </c>
      <c r="E142" s="21"/>
      <c r="F142" s="42" t="s">
        <v>0</v>
      </c>
    </row>
    <row r="143" spans="1:6" x14ac:dyDescent="0.25">
      <c r="B143" s="37"/>
      <c r="C143" s="20" t="s">
        <v>131</v>
      </c>
      <c r="D143" s="21" t="s">
        <v>116</v>
      </c>
      <c r="E143" s="21"/>
      <c r="F143" s="42" t="s">
        <v>0</v>
      </c>
    </row>
    <row r="144" spans="1:6" x14ac:dyDescent="0.25">
      <c r="B144" s="37"/>
      <c r="C144" s="20" t="s">
        <v>129</v>
      </c>
      <c r="D144" s="21" t="s">
        <v>112</v>
      </c>
      <c r="E144" s="21"/>
      <c r="F144" s="42" t="s">
        <v>0</v>
      </c>
    </row>
    <row r="145" spans="2:6" x14ac:dyDescent="0.25">
      <c r="B145" s="37"/>
      <c r="C145" s="20" t="s">
        <v>130</v>
      </c>
      <c r="D145" s="21" t="s">
        <v>112</v>
      </c>
      <c r="E145" s="21"/>
      <c r="F145" s="42" t="s">
        <v>0</v>
      </c>
    </row>
    <row r="146" spans="2:6" x14ac:dyDescent="0.25">
      <c r="B146" s="15" t="s">
        <v>182</v>
      </c>
      <c r="C146" s="16" t="s">
        <v>124</v>
      </c>
      <c r="D146" s="27"/>
      <c r="E146" s="27"/>
      <c r="F146" s="28"/>
    </row>
    <row r="147" spans="2:6" x14ac:dyDescent="0.25">
      <c r="B147" s="37"/>
      <c r="C147" s="20" t="s">
        <v>125</v>
      </c>
      <c r="D147" s="21" t="s">
        <v>122</v>
      </c>
      <c r="E147" s="21"/>
      <c r="F147" s="42" t="s">
        <v>0</v>
      </c>
    </row>
    <row r="148" spans="2:6" x14ac:dyDescent="0.25">
      <c r="B148" s="37"/>
      <c r="C148" s="20"/>
      <c r="D148" s="21"/>
      <c r="E148" s="21"/>
      <c r="F148" s="42"/>
    </row>
    <row r="149" spans="2:6" x14ac:dyDescent="0.25">
      <c r="B149" s="10"/>
    </row>
    <row r="150" spans="2:6" x14ac:dyDescent="0.25">
      <c r="B150" s="10"/>
    </row>
    <row r="151" spans="2:6" x14ac:dyDescent="0.25">
      <c r="B151" s="10"/>
    </row>
    <row r="152" spans="2:6" x14ac:dyDescent="0.25">
      <c r="B152" s="10"/>
    </row>
    <row r="153" spans="2:6" x14ac:dyDescent="0.25">
      <c r="B153" s="10"/>
    </row>
    <row r="154" spans="2:6" x14ac:dyDescent="0.25">
      <c r="B154" s="10"/>
    </row>
    <row r="155" spans="2:6" x14ac:dyDescent="0.25">
      <c r="B155" s="10"/>
    </row>
    <row r="156" spans="2:6" x14ac:dyDescent="0.25">
      <c r="B156" s="10"/>
    </row>
    <row r="157" spans="2:6" x14ac:dyDescent="0.25">
      <c r="B157" s="10"/>
    </row>
    <row r="158" spans="2:6" x14ac:dyDescent="0.25">
      <c r="B158" s="10"/>
    </row>
    <row r="159" spans="2:6" x14ac:dyDescent="0.25">
      <c r="B159" s="10"/>
    </row>
    <row r="160" spans="2:6" x14ac:dyDescent="0.25">
      <c r="B160" s="10"/>
    </row>
  </sheetData>
  <mergeCells count="3">
    <mergeCell ref="B1:F1"/>
    <mergeCell ref="B2:F2"/>
    <mergeCell ref="H60:H83"/>
  </mergeCells>
  <pageMargins left="0.7" right="0.7" top="0.75" bottom="0.75" header="0.3" footer="0.3"/>
  <pageSetup paperSize="9" scale="61" orientation="portrait" r:id="rId1"/>
  <rowBreaks count="1" manualBreakCount="1">
    <brk id="83" min="1" max="5" man="1"/>
  </rowBreaks>
  <colBreaks count="2" manualBreakCount="2">
    <brk id="1" max="1048575" man="1"/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DB8-E645-4225-83F3-31AE39601AE8}">
  <dimension ref="A1:F134"/>
  <sheetViews>
    <sheetView view="pageBreakPreview" topLeftCell="B1" zoomScale="115" zoomScaleNormal="115" zoomScaleSheetLayoutView="115" workbookViewId="0">
      <selection activeCell="B22" sqref="A22:XFD22"/>
    </sheetView>
  </sheetViews>
  <sheetFormatPr defaultColWidth="9.140625" defaultRowHeight="15" x14ac:dyDescent="0.25"/>
  <cols>
    <col min="1" max="1" width="4.28515625" style="11" hidden="1" customWidth="1"/>
    <col min="2" max="2" width="11.42578125" style="4" customWidth="1"/>
    <col min="3" max="3" width="76.85546875" style="4" customWidth="1"/>
    <col min="4" max="4" width="13.7109375" style="4" customWidth="1"/>
    <col min="5" max="5" width="14.28515625" style="4" customWidth="1"/>
    <col min="6" max="6" width="23.7109375" style="4" customWidth="1"/>
    <col min="7" max="7" width="2.140625" style="4" customWidth="1"/>
    <col min="8" max="8" width="15.28515625" style="4" customWidth="1"/>
    <col min="9" max="11" width="4.42578125" style="4" customWidth="1"/>
    <col min="12" max="12" width="28.42578125" style="4" customWidth="1"/>
    <col min="13" max="16384" width="9.140625" style="4"/>
  </cols>
  <sheetData>
    <row r="1" spans="1:6" ht="19.5" customHeight="1" x14ac:dyDescent="0.25">
      <c r="B1" s="56" t="s">
        <v>177</v>
      </c>
      <c r="C1" s="56"/>
      <c r="D1" s="56"/>
      <c r="E1" s="56"/>
      <c r="F1" s="56"/>
    </row>
    <row r="2" spans="1:6" ht="19.5" customHeight="1" x14ac:dyDescent="0.25">
      <c r="B2" s="56" t="s">
        <v>176</v>
      </c>
      <c r="C2" s="56"/>
      <c r="D2" s="56"/>
      <c r="E2" s="56"/>
      <c r="F2" s="56"/>
    </row>
    <row r="3" spans="1:6" ht="12.95" customHeight="1" thickBot="1" x14ac:dyDescent="0.3"/>
    <row r="4" spans="1:6" ht="12.95" customHeight="1" x14ac:dyDescent="0.25">
      <c r="B4" s="12" t="s">
        <v>3</v>
      </c>
      <c r="C4" s="13" t="s">
        <v>4</v>
      </c>
      <c r="D4" s="13" t="s">
        <v>5</v>
      </c>
      <c r="E4" s="13" t="s">
        <v>2</v>
      </c>
      <c r="F4" s="14" t="s">
        <v>6</v>
      </c>
    </row>
    <row r="5" spans="1:6" ht="12.95" customHeight="1" x14ac:dyDescent="0.25">
      <c r="A5" s="11">
        <v>1</v>
      </c>
      <c r="B5" s="15" t="s">
        <v>7</v>
      </c>
      <c r="C5" s="16" t="s">
        <v>72</v>
      </c>
      <c r="D5" s="17"/>
      <c r="E5" s="17"/>
      <c r="F5" s="18"/>
    </row>
    <row r="6" spans="1:6" ht="12.95" customHeight="1" x14ac:dyDescent="0.25">
      <c r="A6" s="11">
        <v>1</v>
      </c>
      <c r="B6" s="19" t="str">
        <f>IF($A6&lt;&gt;1,"","1."&amp;COUNTIF($A6:A$6,1))</f>
        <v>1.1</v>
      </c>
      <c r="C6" s="20" t="s">
        <v>73</v>
      </c>
      <c r="D6" s="21" t="s">
        <v>3</v>
      </c>
      <c r="E6" s="21">
        <v>1</v>
      </c>
      <c r="F6" s="22" t="s">
        <v>0</v>
      </c>
    </row>
    <row r="7" spans="1:6" ht="12.95" customHeight="1" x14ac:dyDescent="0.25">
      <c r="A7" s="11">
        <v>1</v>
      </c>
      <c r="B7" s="19" t="str">
        <f>IF($A7&lt;&gt;1,"","1."&amp;COUNTIF($A$6:A7,1))</f>
        <v>1.2</v>
      </c>
      <c r="C7" s="20" t="s">
        <v>74</v>
      </c>
      <c r="D7" s="21" t="s">
        <v>3</v>
      </c>
      <c r="E7" s="21">
        <v>1</v>
      </c>
      <c r="F7" s="22" t="s">
        <v>0</v>
      </c>
    </row>
    <row r="8" spans="1:6" ht="12.95" customHeight="1" x14ac:dyDescent="0.25">
      <c r="A8" s="11">
        <v>1</v>
      </c>
      <c r="B8" s="19" t="str">
        <f>IF($A8&lt;&gt;1,"","1."&amp;COUNTIF($A$6:A8,1))</f>
        <v>1.3</v>
      </c>
      <c r="C8" s="20" t="s">
        <v>75</v>
      </c>
      <c r="D8" s="21" t="s">
        <v>3</v>
      </c>
      <c r="E8" s="21">
        <v>1</v>
      </c>
      <c r="F8" s="22" t="s">
        <v>0</v>
      </c>
    </row>
    <row r="9" spans="1:6" ht="12.95" customHeight="1" x14ac:dyDescent="0.25">
      <c r="A9" s="11">
        <v>1</v>
      </c>
      <c r="B9" s="19" t="str">
        <f>IF($A9&lt;&gt;1,"","1."&amp;COUNTIF($A$6:A9,1))</f>
        <v>1.4</v>
      </c>
      <c r="C9" s="20" t="s">
        <v>79</v>
      </c>
      <c r="D9" s="21" t="s">
        <v>3</v>
      </c>
      <c r="E9" s="21">
        <v>1</v>
      </c>
      <c r="F9" s="22" t="s">
        <v>0</v>
      </c>
    </row>
    <row r="10" spans="1:6" ht="12.95" customHeight="1" x14ac:dyDescent="0.25">
      <c r="A10" s="11">
        <v>1</v>
      </c>
      <c r="B10" s="19" t="str">
        <f>IF($A10&lt;&gt;1,"","1."&amp;COUNTIF($A$6:A10,1))</f>
        <v>1.5</v>
      </c>
      <c r="C10" s="20" t="s">
        <v>76</v>
      </c>
      <c r="D10" s="21" t="s">
        <v>3</v>
      </c>
      <c r="E10" s="21">
        <v>1</v>
      </c>
      <c r="F10" s="22" t="s">
        <v>0</v>
      </c>
    </row>
    <row r="11" spans="1:6" ht="12.95" customHeight="1" x14ac:dyDescent="0.25">
      <c r="A11" s="11">
        <v>1</v>
      </c>
      <c r="B11" s="19" t="str">
        <f>IF($A11&lt;&gt;1,"","1."&amp;COUNTIF($A$6:A11,1))</f>
        <v>1.6</v>
      </c>
      <c r="C11" s="20" t="s">
        <v>77</v>
      </c>
      <c r="D11" s="21" t="s">
        <v>3</v>
      </c>
      <c r="E11" s="21">
        <v>1</v>
      </c>
      <c r="F11" s="22" t="s">
        <v>0</v>
      </c>
    </row>
    <row r="12" spans="1:6" ht="12.95" customHeight="1" x14ac:dyDescent="0.25">
      <c r="A12" s="11">
        <v>1</v>
      </c>
      <c r="B12" s="19" t="str">
        <f>IF($A12&lt;&gt;1,"","1."&amp;COUNTIF($A$6:A12,1))</f>
        <v>1.7</v>
      </c>
      <c r="C12" s="20" t="s">
        <v>78</v>
      </c>
      <c r="D12" s="21" t="s">
        <v>3</v>
      </c>
      <c r="E12" s="21">
        <v>1</v>
      </c>
      <c r="F12" s="22" t="s">
        <v>0</v>
      </c>
    </row>
    <row r="13" spans="1:6" ht="12.95" customHeight="1" x14ac:dyDescent="0.25">
      <c r="A13" s="11">
        <v>1</v>
      </c>
      <c r="B13" s="19"/>
      <c r="C13" s="20"/>
      <c r="D13" s="21"/>
      <c r="E13" s="21"/>
      <c r="F13" s="22"/>
    </row>
    <row r="14" spans="1:6" ht="12.95" customHeight="1" x14ac:dyDescent="0.25">
      <c r="B14" s="23"/>
      <c r="C14" s="24"/>
      <c r="D14" s="25"/>
      <c r="E14" s="35" t="s">
        <v>113</v>
      </c>
      <c r="F14" s="26" t="s">
        <v>0</v>
      </c>
    </row>
    <row r="15" spans="1:6" ht="12.95" customHeight="1" x14ac:dyDescent="0.25">
      <c r="A15" s="11">
        <v>1</v>
      </c>
      <c r="B15" s="15" t="s">
        <v>8</v>
      </c>
      <c r="C15" s="16" t="s">
        <v>21</v>
      </c>
      <c r="D15" s="27"/>
      <c r="E15" s="27"/>
      <c r="F15" s="28"/>
    </row>
    <row r="16" spans="1:6" ht="12.95" customHeight="1" x14ac:dyDescent="0.25">
      <c r="A16" s="11">
        <v>1</v>
      </c>
      <c r="B16" s="19" t="str">
        <f>IF($A16&lt;&gt;1,"","2."&amp;COUNTIF($A16:A$16,1))</f>
        <v>2.1</v>
      </c>
      <c r="C16" s="16" t="s">
        <v>55</v>
      </c>
      <c r="D16" s="27"/>
      <c r="E16" s="27"/>
      <c r="F16" s="28"/>
    </row>
    <row r="17" spans="1:6" ht="12.95" customHeight="1" x14ac:dyDescent="0.25">
      <c r="B17" s="29"/>
      <c r="C17" s="20" t="s">
        <v>128</v>
      </c>
      <c r="D17" s="21"/>
      <c r="E17" s="21"/>
      <c r="F17" s="30"/>
    </row>
    <row r="18" spans="1:6" ht="12.95" customHeight="1" x14ac:dyDescent="0.25">
      <c r="B18" s="29" t="str">
        <f>IF($A18&lt;&gt;1,"","2."&amp;COUNTIF($A$16:A18,1))</f>
        <v/>
      </c>
      <c r="C18" s="20" t="s">
        <v>127</v>
      </c>
      <c r="D18" s="21"/>
      <c r="E18" s="21"/>
      <c r="F18" s="30"/>
    </row>
    <row r="19" spans="1:6" ht="12.95" customHeight="1" x14ac:dyDescent="0.25">
      <c r="B19" s="29"/>
      <c r="C19" s="20" t="s">
        <v>126</v>
      </c>
      <c r="D19" s="21"/>
      <c r="E19" s="21"/>
      <c r="F19" s="30"/>
    </row>
    <row r="20" spans="1:6" ht="12.95" customHeight="1" x14ac:dyDescent="0.25">
      <c r="B20" s="29" t="str">
        <f>IF($A20&lt;&gt;1,"","2."&amp;COUNTIF($A$16:A20,1))</f>
        <v/>
      </c>
      <c r="C20" s="20" t="s">
        <v>71</v>
      </c>
      <c r="D20" s="21"/>
      <c r="E20" s="21"/>
      <c r="F20" s="22"/>
    </row>
    <row r="21" spans="1:6" ht="12.95" customHeight="1" x14ac:dyDescent="0.25">
      <c r="A21" s="11">
        <v>1</v>
      </c>
      <c r="B21" s="19" t="str">
        <f>IF($A21&lt;&gt;1,"","2."&amp;COUNTIF($A$16:A21,1))</f>
        <v>2.2</v>
      </c>
      <c r="C21" s="16" t="s">
        <v>161</v>
      </c>
      <c r="D21" s="27"/>
      <c r="E21" s="27"/>
      <c r="F21" s="28"/>
    </row>
    <row r="22" spans="1:6" ht="12.95" customHeight="1" x14ac:dyDescent="0.25">
      <c r="B22" s="29" t="str">
        <f>IF($A22&lt;&gt;1,"","2."&amp;COUNTIF($A$16:A22,1))</f>
        <v/>
      </c>
      <c r="C22" s="20" t="s">
        <v>162</v>
      </c>
      <c r="D22" s="21"/>
      <c r="E22" s="21"/>
      <c r="F22" s="22"/>
    </row>
    <row r="23" spans="1:6" ht="12.95" customHeight="1" x14ac:dyDescent="0.25">
      <c r="B23" s="29" t="str">
        <f>IF($A23&lt;&gt;1,"","2."&amp;COUNTIF($A$16:A23,1))</f>
        <v/>
      </c>
      <c r="C23" s="20" t="s">
        <v>163</v>
      </c>
      <c r="D23" s="21"/>
      <c r="E23" s="21"/>
      <c r="F23" s="22"/>
    </row>
    <row r="24" spans="1:6" ht="12.95" customHeight="1" x14ac:dyDescent="0.25">
      <c r="B24" s="29" t="str">
        <f>IF($A24&lt;&gt;1,"","2."&amp;COUNTIF($A$16:A24,1))</f>
        <v/>
      </c>
      <c r="C24" s="20" t="s">
        <v>17</v>
      </c>
      <c r="D24" s="21"/>
      <c r="E24" s="21"/>
      <c r="F24" s="22"/>
    </row>
    <row r="25" spans="1:6" ht="12.95" customHeight="1" x14ac:dyDescent="0.25">
      <c r="B25" s="29" t="str">
        <f>IF($A25&lt;&gt;1,"","2."&amp;COUNTIF($A$16:A25,1))</f>
        <v/>
      </c>
      <c r="C25" s="20" t="s">
        <v>18</v>
      </c>
      <c r="D25" s="21"/>
      <c r="E25" s="21"/>
      <c r="F25" s="22"/>
    </row>
    <row r="26" spans="1:6" ht="12.95" customHeight="1" x14ac:dyDescent="0.25">
      <c r="B26" s="29" t="str">
        <f>IF($A26&lt;&gt;1,"","2."&amp;COUNTIF($A$16:A26,1))</f>
        <v/>
      </c>
      <c r="C26" s="20" t="s">
        <v>95</v>
      </c>
      <c r="D26" s="21"/>
      <c r="E26" s="21"/>
      <c r="F26" s="22"/>
    </row>
    <row r="27" spans="1:6" ht="12.95" customHeight="1" x14ac:dyDescent="0.25">
      <c r="B27" s="29" t="str">
        <f>IF($A27&lt;&gt;1,"","2."&amp;COUNTIF($A$16:A27,1))</f>
        <v/>
      </c>
      <c r="C27" s="20" t="s">
        <v>63</v>
      </c>
      <c r="D27" s="21"/>
      <c r="E27" s="21"/>
      <c r="F27" s="22"/>
    </row>
    <row r="28" spans="1:6" ht="12.95" customHeight="1" x14ac:dyDescent="0.25">
      <c r="A28" s="11">
        <v>1</v>
      </c>
      <c r="B28" s="19" t="str">
        <f>IF($A28&lt;&gt;1,"","2."&amp;COUNTIF($A$16:A28,1))</f>
        <v>2.3</v>
      </c>
      <c r="C28" s="16" t="s">
        <v>56</v>
      </c>
      <c r="D28" s="27"/>
      <c r="E28" s="27"/>
      <c r="F28" s="28"/>
    </row>
    <row r="29" spans="1:6" ht="12.95" customHeight="1" x14ac:dyDescent="0.25">
      <c r="B29" s="29" t="str">
        <f>IF($A29&lt;&gt;1,"","2."&amp;COUNTIF($A$16:A29,1))</f>
        <v/>
      </c>
      <c r="C29" s="20" t="s">
        <v>57</v>
      </c>
      <c r="D29" s="21"/>
      <c r="E29" s="21"/>
      <c r="F29" s="22"/>
    </row>
    <row r="30" spans="1:6" ht="12.95" customHeight="1" x14ac:dyDescent="0.25">
      <c r="B30" s="29" t="str">
        <f>IF($A30&lt;&gt;1,"","2."&amp;COUNTIF($A$16:A30,1))</f>
        <v/>
      </c>
      <c r="C30" s="20" t="s">
        <v>59</v>
      </c>
      <c r="D30" s="21"/>
      <c r="E30" s="21"/>
      <c r="F30" s="22"/>
    </row>
    <row r="31" spans="1:6" ht="12.95" customHeight="1" x14ac:dyDescent="0.25">
      <c r="A31" s="11">
        <v>1</v>
      </c>
      <c r="B31" s="19" t="str">
        <f>IF($A31&lt;&gt;1,"","2."&amp;COUNTIF($A$16:A31,1))</f>
        <v>2.4</v>
      </c>
      <c r="C31" s="16" t="s">
        <v>13</v>
      </c>
      <c r="D31" s="27"/>
      <c r="E31" s="27"/>
      <c r="F31" s="28"/>
    </row>
    <row r="32" spans="1:6" ht="12.95" customHeight="1" x14ac:dyDescent="0.25">
      <c r="B32" s="29" t="str">
        <f>IF($A32&lt;&gt;1,"","6."&amp;COUNTIF($A32:A$81,1))</f>
        <v/>
      </c>
      <c r="C32" s="20" t="s">
        <v>50</v>
      </c>
      <c r="D32" s="21"/>
      <c r="E32" s="21"/>
      <c r="F32" s="22"/>
    </row>
    <row r="33" spans="1:6" ht="12.95" customHeight="1" x14ac:dyDescent="0.25">
      <c r="B33" s="29" t="str">
        <f>IF($A33&lt;&gt;1,"","6."&amp;COUNTIF($A33:A$81,1))</f>
        <v/>
      </c>
      <c r="C33" s="20" t="s">
        <v>49</v>
      </c>
      <c r="D33" s="21"/>
      <c r="E33" s="21"/>
      <c r="F33" s="22"/>
    </row>
    <row r="34" spans="1:6" ht="12.95" customHeight="1" x14ac:dyDescent="0.25">
      <c r="B34" s="29" t="str">
        <f>IF($A34&lt;&gt;1,"","6."&amp;COUNTIF($A34:A$81,1))</f>
        <v/>
      </c>
      <c r="C34" s="20" t="s">
        <v>15</v>
      </c>
      <c r="D34" s="21"/>
      <c r="E34" s="21"/>
      <c r="F34" s="22"/>
    </row>
    <row r="35" spans="1:6" ht="12.95" customHeight="1" x14ac:dyDescent="0.25">
      <c r="B35" s="29" t="str">
        <f>IF($A35&lt;&gt;1,"","6."&amp;COUNTIF($A35:A$81,1))</f>
        <v/>
      </c>
      <c r="C35" s="31" t="s">
        <v>68</v>
      </c>
      <c r="D35" s="21"/>
      <c r="E35" s="21"/>
      <c r="F35" s="22"/>
    </row>
    <row r="36" spans="1:6" ht="12.95" customHeight="1" x14ac:dyDescent="0.25">
      <c r="B36" s="29"/>
      <c r="C36" s="31" t="s">
        <v>15</v>
      </c>
      <c r="D36" s="21"/>
      <c r="E36" s="21"/>
      <c r="F36" s="22"/>
    </row>
    <row r="37" spans="1:6" ht="12.95" customHeight="1" x14ac:dyDescent="0.25">
      <c r="B37" s="23"/>
      <c r="C37" s="24"/>
      <c r="D37" s="25"/>
      <c r="E37" s="35" t="s">
        <v>113</v>
      </c>
      <c r="F37" s="26" t="s">
        <v>0</v>
      </c>
    </row>
    <row r="38" spans="1:6" ht="12.95" customHeight="1" x14ac:dyDescent="0.25">
      <c r="A38" s="11">
        <v>1</v>
      </c>
      <c r="B38" s="36">
        <v>3</v>
      </c>
      <c r="C38" s="16" t="s">
        <v>29</v>
      </c>
      <c r="D38" s="27"/>
      <c r="E38" s="27"/>
      <c r="F38" s="28"/>
    </row>
    <row r="39" spans="1:6" ht="12.95" customHeight="1" x14ac:dyDescent="0.25">
      <c r="A39" s="11">
        <v>1</v>
      </c>
      <c r="B39" s="19" t="str">
        <f>IF($A39&lt;&gt;1,"","3."&amp;COUNTIF($A$39:A39,1))</f>
        <v>3.1</v>
      </c>
      <c r="C39" s="16" t="s">
        <v>10</v>
      </c>
      <c r="D39" s="27"/>
      <c r="E39" s="27"/>
      <c r="F39" s="34"/>
    </row>
    <row r="40" spans="1:6" ht="12.95" customHeight="1" x14ac:dyDescent="0.25">
      <c r="B40" s="29" t="str">
        <f>IF($A40&lt;&gt;1,"","5."&amp;COUNTIF($A$39:A40,1))</f>
        <v/>
      </c>
      <c r="C40" s="31" t="s">
        <v>25</v>
      </c>
      <c r="D40" s="21"/>
      <c r="E40" s="21"/>
      <c r="F40" s="22"/>
    </row>
    <row r="41" spans="1:6" ht="12.95" customHeight="1" x14ac:dyDescent="0.25">
      <c r="B41" s="29" t="str">
        <f>IF($A41&lt;&gt;1,"","5."&amp;COUNTIF($A$39:A41,1))</f>
        <v/>
      </c>
      <c r="C41" s="31" t="s">
        <v>22</v>
      </c>
      <c r="D41" s="21"/>
      <c r="E41" s="21"/>
      <c r="F41" s="22"/>
    </row>
    <row r="42" spans="1:6" ht="12.95" customHeight="1" x14ac:dyDescent="0.25">
      <c r="A42" s="11">
        <v>1</v>
      </c>
      <c r="B42" s="19" t="str">
        <f>IF($A42&lt;&gt;1,"","3."&amp;COUNTIF($A$39:A42,1))</f>
        <v>3.2</v>
      </c>
      <c r="C42" s="16" t="s">
        <v>82</v>
      </c>
      <c r="D42" s="52"/>
      <c r="E42" s="52"/>
      <c r="F42" s="53"/>
    </row>
    <row r="43" spans="1:6" ht="12.95" customHeight="1" x14ac:dyDescent="0.25">
      <c r="B43" s="29"/>
      <c r="C43" s="20" t="s">
        <v>155</v>
      </c>
      <c r="D43" s="51"/>
      <c r="E43" s="51"/>
      <c r="F43" s="50"/>
    </row>
    <row r="44" spans="1:6" ht="12.95" customHeight="1" x14ac:dyDescent="0.25">
      <c r="A44" s="11">
        <v>1</v>
      </c>
      <c r="B44" s="19" t="str">
        <f>IF($A44&lt;&gt;1,"","3."&amp;COUNTIF($A$39:A44,1))</f>
        <v>3.3</v>
      </c>
      <c r="C44" s="16" t="s">
        <v>83</v>
      </c>
      <c r="D44" s="52"/>
      <c r="E44" s="52"/>
      <c r="F44" s="53"/>
    </row>
    <row r="45" spans="1:6" ht="12.95" customHeight="1" x14ac:dyDescent="0.25">
      <c r="B45" s="29"/>
      <c r="C45" s="20" t="s">
        <v>153</v>
      </c>
      <c r="D45" s="51"/>
      <c r="E45" s="51"/>
      <c r="F45" s="50"/>
    </row>
    <row r="46" spans="1:6" ht="12.95" customHeight="1" x14ac:dyDescent="0.25">
      <c r="A46" s="11">
        <v>1</v>
      </c>
      <c r="B46" s="19" t="str">
        <f>IF($A46&lt;&gt;1,"","3."&amp;COUNTIF($A$39:A46,1))</f>
        <v>3.4</v>
      </c>
      <c r="C46" s="16" t="s">
        <v>84</v>
      </c>
      <c r="D46" s="52"/>
      <c r="E46" s="52"/>
      <c r="F46" s="53"/>
    </row>
    <row r="47" spans="1:6" ht="12.95" customHeight="1" x14ac:dyDescent="0.25">
      <c r="B47" s="29"/>
      <c r="C47" s="20" t="s">
        <v>154</v>
      </c>
      <c r="D47" s="51"/>
      <c r="E47" s="51"/>
      <c r="F47" s="50"/>
    </row>
    <row r="48" spans="1:6" ht="12.95" customHeight="1" x14ac:dyDescent="0.25">
      <c r="A48" s="11">
        <v>1</v>
      </c>
      <c r="B48" s="19" t="str">
        <f>IF($A48&lt;&gt;1,"","3."&amp;COUNTIF($A$39:A48,1))</f>
        <v>3.5</v>
      </c>
      <c r="C48" s="16" t="s">
        <v>11</v>
      </c>
      <c r="D48" s="27"/>
      <c r="E48" s="27"/>
      <c r="F48" s="34"/>
    </row>
    <row r="49" spans="1:6" ht="12.95" customHeight="1" x14ac:dyDescent="0.25">
      <c r="B49" s="29" t="str">
        <f>IF($A49&lt;&gt;1,"","5."&amp;COUNTIF($A$39:A49,1))</f>
        <v/>
      </c>
      <c r="C49" s="20" t="s">
        <v>81</v>
      </c>
      <c r="D49" s="21"/>
      <c r="E49" s="21"/>
      <c r="F49" s="22"/>
    </row>
    <row r="50" spans="1:6" ht="12.95" customHeight="1" x14ac:dyDescent="0.25">
      <c r="B50" s="29" t="str">
        <f>IF($A50&lt;&gt;1,"","5."&amp;COUNTIF($A$39:A50,1))</f>
        <v/>
      </c>
      <c r="C50" s="20" t="s">
        <v>98</v>
      </c>
      <c r="D50" s="21"/>
      <c r="E50" s="21"/>
      <c r="F50" s="22"/>
    </row>
    <row r="51" spans="1:6" ht="12.95" customHeight="1" x14ac:dyDescent="0.25">
      <c r="A51" s="11">
        <v>1</v>
      </c>
      <c r="B51" s="19" t="str">
        <f>IF($A51&lt;&gt;1,"","3."&amp;COUNTIF($A$39:A51,1))</f>
        <v>3.6</v>
      </c>
      <c r="C51" s="16" t="s">
        <v>94</v>
      </c>
      <c r="D51" s="27"/>
      <c r="E51" s="27"/>
      <c r="F51" s="34"/>
    </row>
    <row r="52" spans="1:6" ht="12.95" customHeight="1" x14ac:dyDescent="0.25">
      <c r="B52" s="29"/>
      <c r="C52" s="20" t="s">
        <v>156</v>
      </c>
      <c r="D52" s="21"/>
      <c r="E52" s="21"/>
      <c r="F52" s="50"/>
    </row>
    <row r="53" spans="1:6" ht="12.95" customHeight="1" x14ac:dyDescent="0.25">
      <c r="A53" s="11">
        <v>1</v>
      </c>
      <c r="B53" s="19" t="str">
        <f>IF($A53&lt;&gt;1,"","3."&amp;COUNTIF($A$39:A53,1))</f>
        <v>3.7</v>
      </c>
      <c r="C53" s="16" t="s">
        <v>85</v>
      </c>
      <c r="D53" s="27"/>
      <c r="E53" s="27"/>
      <c r="F53" s="34"/>
    </row>
    <row r="54" spans="1:6" ht="12.95" customHeight="1" x14ac:dyDescent="0.25">
      <c r="B54" s="29"/>
      <c r="C54" s="20" t="s">
        <v>157</v>
      </c>
      <c r="D54" s="21"/>
      <c r="E54" s="21"/>
      <c r="F54" s="50"/>
    </row>
    <row r="55" spans="1:6" ht="12.95" customHeight="1" x14ac:dyDescent="0.25">
      <c r="A55" s="11">
        <v>1</v>
      </c>
      <c r="B55" s="19" t="str">
        <f>IF($A55&lt;&gt;1,"","3."&amp;COUNTIF($A$39:A55,1))</f>
        <v>3.8</v>
      </c>
      <c r="C55" s="16" t="s">
        <v>23</v>
      </c>
      <c r="D55" s="27"/>
      <c r="E55" s="27"/>
      <c r="F55" s="34"/>
    </row>
    <row r="56" spans="1:6" ht="12.95" customHeight="1" x14ac:dyDescent="0.25">
      <c r="B56" s="29" t="str">
        <f>IF($A56&lt;&gt;1,"","5."&amp;COUNTIF($A$39:A56,1))</f>
        <v/>
      </c>
      <c r="C56" s="20" t="s">
        <v>26</v>
      </c>
      <c r="D56" s="21"/>
      <c r="E56" s="21"/>
      <c r="F56" s="22"/>
    </row>
    <row r="57" spans="1:6" ht="12.95" customHeight="1" x14ac:dyDescent="0.25">
      <c r="B57" s="29" t="str">
        <f>IF($A57&lt;&gt;1,"","5."&amp;COUNTIF($A$39:A57,1))</f>
        <v/>
      </c>
      <c r="C57" s="20" t="s">
        <v>24</v>
      </c>
      <c r="D57" s="21"/>
      <c r="E57" s="21"/>
      <c r="F57" s="22"/>
    </row>
    <row r="58" spans="1:6" ht="12.95" customHeight="1" x14ac:dyDescent="0.25">
      <c r="B58" s="29" t="str">
        <f>IF($A58&lt;&gt;1,"","5."&amp;COUNTIF($A$39:A58,1))</f>
        <v/>
      </c>
      <c r="C58" s="20" t="s">
        <v>80</v>
      </c>
      <c r="D58" s="21"/>
      <c r="E58" s="21"/>
      <c r="F58" s="22"/>
    </row>
    <row r="59" spans="1:6" ht="12.95" customHeight="1" x14ac:dyDescent="0.25">
      <c r="A59" s="11">
        <v>1</v>
      </c>
      <c r="B59" s="19" t="str">
        <f>IF($A59&lt;&gt;1,"","3."&amp;COUNTIF($A$39:A59,1))</f>
        <v>3.9</v>
      </c>
      <c r="C59" s="16" t="s">
        <v>54</v>
      </c>
      <c r="D59" s="27"/>
      <c r="E59" s="27"/>
      <c r="F59" s="34"/>
    </row>
    <row r="60" spans="1:6" ht="12.95" customHeight="1" x14ac:dyDescent="0.25">
      <c r="B60" s="54"/>
      <c r="C60" s="20" t="s">
        <v>165</v>
      </c>
      <c r="D60" s="21"/>
      <c r="E60" s="21"/>
      <c r="F60" s="55"/>
    </row>
    <row r="61" spans="1:6" ht="12.95" customHeight="1" x14ac:dyDescent="0.25">
      <c r="B61" s="54"/>
      <c r="C61" s="20" t="s">
        <v>166</v>
      </c>
      <c r="D61" s="21"/>
      <c r="E61" s="21"/>
      <c r="F61" s="55"/>
    </row>
    <row r="62" spans="1:6" ht="12.95" customHeight="1" x14ac:dyDescent="0.25">
      <c r="B62" s="54"/>
      <c r="C62" s="20" t="s">
        <v>167</v>
      </c>
      <c r="D62" s="21"/>
      <c r="E62" s="21"/>
      <c r="F62" s="55"/>
    </row>
    <row r="63" spans="1:6" ht="12.95" customHeight="1" x14ac:dyDescent="0.25">
      <c r="A63" s="11">
        <v>1</v>
      </c>
      <c r="B63" s="19" t="str">
        <f>IF($A63&lt;&gt;1,"","3."&amp;COUNTIF($A$39:A63,1))</f>
        <v>3.10</v>
      </c>
      <c r="C63" s="16" t="s">
        <v>12</v>
      </c>
      <c r="D63" s="27"/>
      <c r="E63" s="27"/>
      <c r="F63" s="34"/>
    </row>
    <row r="64" spans="1:6" ht="12.95" customHeight="1" x14ac:dyDescent="0.25">
      <c r="B64" s="29" t="str">
        <f>IF($A64&lt;&gt;1,"","5."&amp;COUNTIF($A$39:A64,1))</f>
        <v/>
      </c>
      <c r="C64" s="20" t="s">
        <v>86</v>
      </c>
      <c r="D64" s="21"/>
      <c r="E64" s="21"/>
      <c r="F64" s="22"/>
    </row>
    <row r="65" spans="1:6" ht="12.95" customHeight="1" x14ac:dyDescent="0.25">
      <c r="B65" s="29" t="str">
        <f>IF($A65&lt;&gt;1,"","5."&amp;COUNTIF($A$39:A65,1))</f>
        <v/>
      </c>
      <c r="C65" s="20" t="s">
        <v>87</v>
      </c>
      <c r="D65" s="21"/>
      <c r="E65" s="21"/>
      <c r="F65" s="22"/>
    </row>
    <row r="66" spans="1:6" ht="12.95" customHeight="1" x14ac:dyDescent="0.25">
      <c r="B66" s="29" t="str">
        <f>IF($A66&lt;&gt;1,"","5."&amp;COUNTIF($A$39:A66,1))</f>
        <v/>
      </c>
      <c r="C66" s="20" t="s">
        <v>88</v>
      </c>
      <c r="D66" s="21"/>
      <c r="E66" s="21"/>
      <c r="F66" s="22"/>
    </row>
    <row r="67" spans="1:6" ht="12.95" customHeight="1" x14ac:dyDescent="0.25">
      <c r="B67" s="29" t="str">
        <f>IF($A67&lt;&gt;1,"","5."&amp;COUNTIF($A$39:A67,1))</f>
        <v/>
      </c>
      <c r="C67" s="20" t="s">
        <v>89</v>
      </c>
      <c r="D67" s="21"/>
      <c r="E67" s="21"/>
      <c r="F67" s="22"/>
    </row>
    <row r="68" spans="1:6" ht="12.95" customHeight="1" x14ac:dyDescent="0.25">
      <c r="B68" s="29" t="str">
        <f>IF($A68&lt;&gt;1,"","5."&amp;COUNTIF($A$39:A68,1))</f>
        <v/>
      </c>
      <c r="C68" s="20" t="s">
        <v>90</v>
      </c>
      <c r="D68" s="21"/>
      <c r="E68" s="21"/>
      <c r="F68" s="22"/>
    </row>
    <row r="69" spans="1:6" ht="12.95" customHeight="1" x14ac:dyDescent="0.25">
      <c r="A69" s="11">
        <v>1</v>
      </c>
      <c r="B69" s="19" t="str">
        <f>IF($A69&lt;&gt;1,"","3."&amp;COUNTIF($A$39:A69,1))</f>
        <v>3.11</v>
      </c>
      <c r="C69" s="16" t="s">
        <v>160</v>
      </c>
      <c r="D69" s="27"/>
      <c r="E69" s="27"/>
      <c r="F69" s="34"/>
    </row>
    <row r="70" spans="1:6" ht="12.95" customHeight="1" x14ac:dyDescent="0.25">
      <c r="B70" s="29" t="str">
        <f>IF($A70&lt;&gt;1,"","5."&amp;COUNTIF($A$39:A70,1))</f>
        <v/>
      </c>
      <c r="C70" s="20" t="s">
        <v>96</v>
      </c>
      <c r="D70" s="21"/>
      <c r="E70" s="21"/>
      <c r="F70" s="22"/>
    </row>
    <row r="71" spans="1:6" ht="12.95" customHeight="1" x14ac:dyDescent="0.25">
      <c r="B71" s="29" t="str">
        <f>IF($A71&lt;&gt;1,"","5."&amp;COUNTIF($A$39:A71,1))</f>
        <v/>
      </c>
      <c r="C71" s="20" t="s">
        <v>95</v>
      </c>
      <c r="D71" s="21"/>
      <c r="E71" s="21"/>
      <c r="F71" s="22"/>
    </row>
    <row r="72" spans="1:6" ht="12.95" customHeight="1" x14ac:dyDescent="0.25">
      <c r="B72" s="29" t="str">
        <f>IF($A72&lt;&gt;1,"","5."&amp;COUNTIF($A$39:A72,1))</f>
        <v/>
      </c>
      <c r="C72" s="20" t="s">
        <v>174</v>
      </c>
      <c r="D72" s="21"/>
      <c r="E72" s="21"/>
      <c r="F72" s="22"/>
    </row>
    <row r="73" spans="1:6" ht="12.95" customHeight="1" x14ac:dyDescent="0.25">
      <c r="B73" s="48" t="str">
        <f>IF($A73&lt;&gt;1,"","5."&amp;COUNTIF($A$39:A73,1))</f>
        <v/>
      </c>
      <c r="C73" s="20" t="s">
        <v>91</v>
      </c>
      <c r="D73" s="21"/>
      <c r="E73" s="21"/>
      <c r="F73" s="22"/>
    </row>
    <row r="74" spans="1:6" ht="12.95" customHeight="1" x14ac:dyDescent="0.25">
      <c r="B74" s="29" t="str">
        <f>IF($A74&lt;&gt;1,"","5."&amp;COUNTIF($A$39:A74,1))</f>
        <v/>
      </c>
      <c r="C74" s="20" t="s">
        <v>18</v>
      </c>
      <c r="D74" s="21"/>
      <c r="E74" s="21"/>
      <c r="F74" s="22"/>
    </row>
    <row r="75" spans="1:6" ht="12.95" customHeight="1" x14ac:dyDescent="0.25">
      <c r="B75" s="29" t="str">
        <f>IF($A75&lt;&gt;1,"","5."&amp;COUNTIF($A$39:A75,1))</f>
        <v/>
      </c>
      <c r="C75" s="20" t="s">
        <v>20</v>
      </c>
      <c r="D75" s="21"/>
      <c r="E75" s="21"/>
      <c r="F75" s="22"/>
    </row>
    <row r="76" spans="1:6" ht="12.95" customHeight="1" x14ac:dyDescent="0.25">
      <c r="A76" s="11">
        <v>1</v>
      </c>
      <c r="B76" s="19" t="str">
        <f>IF($A76&lt;&gt;1,"","3."&amp;COUNTIF($A$39:A76,1))</f>
        <v>3.12</v>
      </c>
      <c r="C76" s="16" t="s">
        <v>53</v>
      </c>
      <c r="D76" s="27"/>
      <c r="E76" s="27"/>
      <c r="F76" s="34"/>
    </row>
    <row r="77" spans="1:6" ht="12.95" customHeight="1" x14ac:dyDescent="0.25">
      <c r="B77" s="29"/>
      <c r="C77" s="20" t="s">
        <v>97</v>
      </c>
      <c r="D77" s="21"/>
      <c r="E77" s="21"/>
      <c r="F77" s="22"/>
    </row>
    <row r="78" spans="1:6" ht="12.95" customHeight="1" x14ac:dyDescent="0.25">
      <c r="B78" s="29" t="str">
        <f>IF($A77&lt;&gt;1,"","5."&amp;COUNTIF($A$38:A77,1))</f>
        <v/>
      </c>
      <c r="C78" s="20" t="s">
        <v>99</v>
      </c>
      <c r="D78" s="21"/>
      <c r="E78" s="21"/>
      <c r="F78" s="22"/>
    </row>
    <row r="79" spans="1:6" ht="12.95" customHeight="1" x14ac:dyDescent="0.25">
      <c r="B79" s="23"/>
      <c r="C79" s="24"/>
      <c r="D79" s="25"/>
      <c r="E79" s="35" t="s">
        <v>113</v>
      </c>
      <c r="F79" s="39" t="s">
        <v>0</v>
      </c>
    </row>
    <row r="80" spans="1:6" ht="12.95" customHeight="1" x14ac:dyDescent="0.25">
      <c r="A80" s="11">
        <v>1</v>
      </c>
      <c r="B80" s="15" t="s">
        <v>9</v>
      </c>
      <c r="C80" s="16" t="s">
        <v>31</v>
      </c>
      <c r="D80" s="27"/>
      <c r="E80" s="27"/>
      <c r="F80" s="28"/>
    </row>
    <row r="81" spans="1:6" ht="12.95" customHeight="1" x14ac:dyDescent="0.25">
      <c r="A81" s="11">
        <v>1</v>
      </c>
      <c r="B81" s="19" t="str">
        <f>IF($A81&lt;&gt;1,"","4."&amp;COUNTIF($A$81:A81,1))</f>
        <v>4.1</v>
      </c>
      <c r="C81" s="16" t="s">
        <v>13</v>
      </c>
      <c r="D81" s="27"/>
      <c r="E81" s="27"/>
      <c r="F81" s="28"/>
    </row>
    <row r="82" spans="1:6" ht="12.95" customHeight="1" x14ac:dyDescent="0.25">
      <c r="B82" s="29" t="str">
        <f>IF($A82&lt;&gt;1,"","6."&amp;COUNTIF($A$81:A82,1))</f>
        <v/>
      </c>
      <c r="C82" s="31" t="s">
        <v>70</v>
      </c>
      <c r="D82" s="21"/>
      <c r="E82" s="21"/>
      <c r="F82" s="22"/>
    </row>
    <row r="83" spans="1:6" ht="12.95" customHeight="1" x14ac:dyDescent="0.25">
      <c r="B83" s="29"/>
      <c r="C83" s="43" t="s">
        <v>158</v>
      </c>
      <c r="D83" s="21"/>
      <c r="E83" s="21"/>
      <c r="F83" s="22"/>
    </row>
    <row r="84" spans="1:6" ht="12.95" customHeight="1" x14ac:dyDescent="0.25">
      <c r="B84" s="29"/>
      <c r="C84" s="43" t="s">
        <v>159</v>
      </c>
      <c r="D84" s="21"/>
      <c r="E84" s="21"/>
      <c r="F84" s="22"/>
    </row>
    <row r="85" spans="1:6" ht="12.95" customHeight="1" x14ac:dyDescent="0.25">
      <c r="A85" s="11">
        <v>1</v>
      </c>
      <c r="B85" s="19" t="str">
        <f>IF($A85&lt;&gt;1,"","4."&amp;COUNTIF($A$81:A85,1))</f>
        <v>4.2</v>
      </c>
      <c r="C85" s="16" t="s">
        <v>51</v>
      </c>
      <c r="D85" s="27"/>
      <c r="E85" s="27"/>
      <c r="F85" s="28"/>
    </row>
    <row r="86" spans="1:6" ht="12.95" customHeight="1" x14ac:dyDescent="0.25">
      <c r="B86" s="29" t="str">
        <f>IF($A86&lt;&gt;1,"","6."&amp;COUNTIF($A$81:A86,1))</f>
        <v/>
      </c>
      <c r="C86" s="31" t="s">
        <v>48</v>
      </c>
      <c r="D86" s="21"/>
      <c r="E86" s="21"/>
      <c r="F86" s="22"/>
    </row>
    <row r="87" spans="1:6" ht="12.95" customHeight="1" x14ac:dyDescent="0.25">
      <c r="B87" s="29" t="str">
        <f>IF($A87&lt;&gt;1,"","6."&amp;COUNTIF($A$81:A87,1))</f>
        <v/>
      </c>
      <c r="C87" s="31" t="s">
        <v>32</v>
      </c>
      <c r="D87" s="21"/>
      <c r="E87" s="21"/>
      <c r="F87" s="22"/>
    </row>
    <row r="88" spans="1:6" ht="12.95" customHeight="1" x14ac:dyDescent="0.25">
      <c r="B88" s="29" t="str">
        <f>IF($A88&lt;&gt;1,"","6."&amp;COUNTIF($A$81:A88,1))</f>
        <v/>
      </c>
      <c r="C88" s="20" t="s">
        <v>33</v>
      </c>
      <c r="D88" s="21"/>
      <c r="E88" s="21"/>
      <c r="F88" s="22"/>
    </row>
    <row r="89" spans="1:6" ht="12.95" customHeight="1" x14ac:dyDescent="0.25">
      <c r="B89" s="29" t="str">
        <f>IF($A89&lt;&gt;1,"","6."&amp;COUNTIF($A$81:A89,1))</f>
        <v/>
      </c>
      <c r="C89" s="31" t="s">
        <v>34</v>
      </c>
      <c r="D89" s="21"/>
      <c r="E89" s="21"/>
      <c r="F89" s="22"/>
    </row>
    <row r="90" spans="1:6" ht="12.95" customHeight="1" x14ac:dyDescent="0.25">
      <c r="B90" s="29" t="str">
        <f>IF($A90&lt;&gt;1,"","6."&amp;COUNTIF($A$81:A90,1))</f>
        <v/>
      </c>
      <c r="C90" s="20" t="s">
        <v>35</v>
      </c>
      <c r="D90" s="21"/>
      <c r="E90" s="21"/>
      <c r="F90" s="22"/>
    </row>
    <row r="91" spans="1:6" ht="12.95" customHeight="1" x14ac:dyDescent="0.25">
      <c r="B91" s="29" t="str">
        <f>IF($A91&lt;&gt;1,"","6."&amp;COUNTIF($A$81:A91,1))</f>
        <v/>
      </c>
      <c r="C91" s="31" t="s">
        <v>36</v>
      </c>
      <c r="D91" s="21"/>
      <c r="E91" s="21"/>
      <c r="F91" s="22"/>
    </row>
    <row r="92" spans="1:6" ht="12.95" customHeight="1" x14ac:dyDescent="0.25">
      <c r="B92" s="29" t="str">
        <f>IF($A92&lt;&gt;1,"","6."&amp;COUNTIF($A$81:A92,1))</f>
        <v/>
      </c>
      <c r="C92" s="20" t="s">
        <v>37</v>
      </c>
      <c r="D92" s="21"/>
      <c r="E92" s="21"/>
      <c r="F92" s="22"/>
    </row>
    <row r="93" spans="1:6" ht="12.95" customHeight="1" x14ac:dyDescent="0.25">
      <c r="B93" s="29" t="str">
        <f>IF($A93&lt;&gt;1,"","6."&amp;COUNTIF($A$81:A93,1))</f>
        <v/>
      </c>
      <c r="C93" s="20" t="s">
        <v>132</v>
      </c>
      <c r="D93" s="21"/>
      <c r="E93" s="21"/>
      <c r="F93" s="22"/>
    </row>
    <row r="94" spans="1:6" ht="12.95" customHeight="1" x14ac:dyDescent="0.25">
      <c r="B94" s="29" t="str">
        <f>IF($A94&lt;&gt;1,"","6."&amp;COUNTIF($A$81:A94,1))</f>
        <v/>
      </c>
      <c r="C94" s="20" t="s">
        <v>38</v>
      </c>
      <c r="D94" s="21"/>
      <c r="E94" s="21"/>
      <c r="F94" s="22"/>
    </row>
    <row r="95" spans="1:6" ht="12.95" customHeight="1" x14ac:dyDescent="0.25">
      <c r="B95" s="29" t="str">
        <f>IF($A95&lt;&gt;1,"","6."&amp;COUNTIF($A$81:A95,1))</f>
        <v/>
      </c>
      <c r="C95" s="20" t="s">
        <v>39</v>
      </c>
      <c r="D95" s="21"/>
      <c r="E95" s="21"/>
      <c r="F95" s="22"/>
    </row>
    <row r="96" spans="1:6" ht="12.95" customHeight="1" x14ac:dyDescent="0.25">
      <c r="A96" s="11">
        <v>1</v>
      </c>
      <c r="B96" s="19" t="str">
        <f>IF($A96&lt;&gt;1,"","4."&amp;COUNTIF($A$81:A96,1))</f>
        <v>4.3</v>
      </c>
      <c r="C96" s="16" t="s">
        <v>61</v>
      </c>
      <c r="D96" s="27"/>
      <c r="E96" s="27"/>
      <c r="F96" s="28"/>
    </row>
    <row r="97" spans="1:6" ht="12.95" customHeight="1" x14ac:dyDescent="0.25">
      <c r="B97" s="29" t="str">
        <f>IF($A97&lt;&gt;1,"","6."&amp;COUNTIF($A$81:A97,1))</f>
        <v/>
      </c>
      <c r="C97" s="20" t="s">
        <v>64</v>
      </c>
      <c r="D97" s="21"/>
      <c r="E97" s="21"/>
      <c r="F97" s="22"/>
    </row>
    <row r="98" spans="1:6" ht="12.95" customHeight="1" x14ac:dyDescent="0.25">
      <c r="B98" s="29" t="str">
        <f>IF($A98&lt;&gt;1,"","6."&amp;COUNTIF($A$81:A98,1))</f>
        <v/>
      </c>
      <c r="C98" s="20" t="s">
        <v>63</v>
      </c>
      <c r="D98" s="21"/>
      <c r="E98" s="21"/>
      <c r="F98" s="22"/>
    </row>
    <row r="99" spans="1:6" ht="12.95" customHeight="1" x14ac:dyDescent="0.25">
      <c r="A99" s="11">
        <v>1</v>
      </c>
      <c r="B99" s="19" t="str">
        <f>IF($A99&lt;&gt;1,"","4."&amp;COUNTIF($A$81:A99,1))</f>
        <v>4.4</v>
      </c>
      <c r="C99" s="16" t="s">
        <v>52</v>
      </c>
      <c r="D99" s="27"/>
      <c r="E99" s="27"/>
      <c r="F99" s="28"/>
    </row>
    <row r="100" spans="1:6" ht="12.95" customHeight="1" x14ac:dyDescent="0.25">
      <c r="B100" s="29" t="str">
        <f>IF($A100&lt;&gt;1,"","6."&amp;COUNTIF($A$81:A100,1))</f>
        <v/>
      </c>
      <c r="C100" s="20" t="s">
        <v>41</v>
      </c>
      <c r="D100" s="21"/>
      <c r="E100" s="21"/>
      <c r="F100" s="22"/>
    </row>
    <row r="101" spans="1:6" ht="12.95" customHeight="1" x14ac:dyDescent="0.25">
      <c r="B101" s="29" t="str">
        <f>IF($A101&lt;&gt;1,"","6."&amp;COUNTIF($A$81:A101,1))</f>
        <v/>
      </c>
      <c r="C101" s="20" t="s">
        <v>47</v>
      </c>
      <c r="D101" s="21"/>
      <c r="E101" s="21"/>
      <c r="F101" s="22"/>
    </row>
    <row r="102" spans="1:6" ht="12.95" customHeight="1" x14ac:dyDescent="0.25">
      <c r="A102" s="11">
        <v>1</v>
      </c>
      <c r="B102" s="19" t="str">
        <f>IF($A102&lt;&gt;1,"","4."&amp;COUNTIF($A$81:A102,1))</f>
        <v>4.5</v>
      </c>
      <c r="C102" s="16" t="s">
        <v>53</v>
      </c>
      <c r="D102" s="27"/>
      <c r="E102" s="27"/>
      <c r="F102" s="28"/>
    </row>
    <row r="103" spans="1:6" ht="12.95" customHeight="1" x14ac:dyDescent="0.25">
      <c r="B103" s="29" t="str">
        <f>IF($A103&lt;&gt;1,"","6."&amp;COUNTIF($A$81:A103,1))</f>
        <v/>
      </c>
      <c r="C103" s="20" t="s">
        <v>40</v>
      </c>
      <c r="D103" s="21"/>
      <c r="E103" s="21"/>
      <c r="F103" s="22"/>
    </row>
    <row r="104" spans="1:6" ht="12.95" customHeight="1" x14ac:dyDescent="0.25">
      <c r="B104" s="29" t="str">
        <f>IF($A104&lt;&gt;1,"","6."&amp;COUNTIF($A$81:A104,1))</f>
        <v/>
      </c>
      <c r="C104" s="20" t="s">
        <v>42</v>
      </c>
      <c r="D104" s="21"/>
      <c r="E104" s="21"/>
      <c r="F104" s="22"/>
    </row>
    <row r="105" spans="1:6" ht="12.95" customHeight="1" x14ac:dyDescent="0.25">
      <c r="B105" s="29" t="str">
        <f>IF($A105&lt;&gt;1,"","6."&amp;COUNTIF($A$81:A105,1))</f>
        <v/>
      </c>
      <c r="C105" s="20" t="s">
        <v>43</v>
      </c>
      <c r="D105" s="21"/>
      <c r="E105" s="21"/>
      <c r="F105" s="22"/>
    </row>
    <row r="106" spans="1:6" ht="12.95" customHeight="1" x14ac:dyDescent="0.25">
      <c r="B106" s="29" t="str">
        <f>IF($A106&lt;&gt;1,"","6."&amp;COUNTIF($A$81:A106,1))</f>
        <v/>
      </c>
      <c r="C106" s="20" t="s">
        <v>44</v>
      </c>
      <c r="D106" s="21"/>
      <c r="E106" s="21"/>
      <c r="F106" s="22"/>
    </row>
    <row r="107" spans="1:6" ht="12.95" customHeight="1" x14ac:dyDescent="0.25">
      <c r="B107" s="29" t="str">
        <f>IF($A107&lt;&gt;1,"","6."&amp;COUNTIF($A$81:A107,1))</f>
        <v/>
      </c>
      <c r="C107" s="20" t="s">
        <v>45</v>
      </c>
      <c r="D107" s="21"/>
      <c r="E107" s="21"/>
      <c r="F107" s="22"/>
    </row>
    <row r="108" spans="1:6" ht="12.95" customHeight="1" x14ac:dyDescent="0.25">
      <c r="B108" s="29" t="str">
        <f>IF($A108&lt;&gt;1,"","6."&amp;COUNTIF($A$81:A108,1))</f>
        <v/>
      </c>
      <c r="C108" s="20" t="s">
        <v>46</v>
      </c>
      <c r="D108" s="21"/>
      <c r="E108" s="21"/>
      <c r="F108" s="22"/>
    </row>
    <row r="109" spans="1:6" ht="12.95" customHeight="1" x14ac:dyDescent="0.25">
      <c r="B109" s="23"/>
      <c r="C109" s="24"/>
      <c r="D109" s="25"/>
      <c r="E109" s="25"/>
      <c r="F109" s="40"/>
    </row>
    <row r="110" spans="1:6" ht="12.95" customHeight="1" x14ac:dyDescent="0.25">
      <c r="A110" s="11">
        <v>1</v>
      </c>
      <c r="B110" s="19" t="str">
        <f>IF($A110&lt;&gt;1,"","4."&amp;COUNTIF($A$81:A110,1))</f>
        <v>4.6</v>
      </c>
      <c r="C110" s="16" t="s">
        <v>111</v>
      </c>
      <c r="D110" s="27"/>
      <c r="E110" s="27"/>
      <c r="F110" s="28"/>
    </row>
    <row r="111" spans="1:6" ht="12.95" customHeight="1" x14ac:dyDescent="0.25">
      <c r="B111" s="37"/>
      <c r="C111" s="20" t="s">
        <v>115</v>
      </c>
      <c r="D111" s="21" t="s">
        <v>114</v>
      </c>
      <c r="E111" s="41">
        <v>20000</v>
      </c>
      <c r="F111" s="22"/>
    </row>
    <row r="112" spans="1:6" ht="3.75" customHeight="1" x14ac:dyDescent="0.25">
      <c r="B112" s="37"/>
      <c r="C112" s="32"/>
      <c r="D112" s="21"/>
      <c r="E112" s="21"/>
      <c r="F112" s="22"/>
    </row>
    <row r="113" spans="2:6" ht="30.75" customHeight="1" thickBot="1" x14ac:dyDescent="0.3">
      <c r="B113" s="1"/>
      <c r="C113" s="2" t="s">
        <v>1</v>
      </c>
      <c r="D113" s="3"/>
      <c r="E113" s="3"/>
      <c r="F113" s="9">
        <f>SUM(F6:F112)</f>
        <v>0</v>
      </c>
    </row>
    <row r="114" spans="2:6" ht="3.75" customHeight="1" thickBot="1" x14ac:dyDescent="0.3">
      <c r="B114" s="5"/>
      <c r="C114" s="6"/>
      <c r="D114" s="7"/>
      <c r="E114" s="7"/>
      <c r="F114" s="8"/>
    </row>
    <row r="115" spans="2:6" x14ac:dyDescent="0.25">
      <c r="B115" s="15" t="s">
        <v>168</v>
      </c>
      <c r="C115" s="16" t="s">
        <v>123</v>
      </c>
      <c r="D115" s="27"/>
      <c r="E115" s="27"/>
      <c r="F115" s="28"/>
    </row>
    <row r="116" spans="2:6" x14ac:dyDescent="0.25">
      <c r="B116" s="37"/>
      <c r="C116" s="20" t="s">
        <v>117</v>
      </c>
      <c r="D116" s="21" t="s">
        <v>112</v>
      </c>
      <c r="E116" s="21"/>
      <c r="F116" s="42" t="s">
        <v>0</v>
      </c>
    </row>
    <row r="117" spans="2:6" x14ac:dyDescent="0.25">
      <c r="B117" s="37"/>
      <c r="C117" s="20" t="s">
        <v>118</v>
      </c>
      <c r="D117" s="21" t="s">
        <v>112</v>
      </c>
      <c r="E117" s="21"/>
      <c r="F117" s="42" t="s">
        <v>0</v>
      </c>
    </row>
    <row r="118" spans="2:6" x14ac:dyDescent="0.25">
      <c r="B118" s="37"/>
      <c r="C118" s="20" t="s">
        <v>129</v>
      </c>
      <c r="D118" s="21" t="s">
        <v>112</v>
      </c>
      <c r="E118" s="21"/>
      <c r="F118" s="42" t="s">
        <v>0</v>
      </c>
    </row>
    <row r="119" spans="2:6" x14ac:dyDescent="0.25">
      <c r="B119" s="37"/>
      <c r="C119" s="20" t="s">
        <v>130</v>
      </c>
      <c r="D119" s="21" t="s">
        <v>112</v>
      </c>
      <c r="E119" s="21"/>
      <c r="F119" s="42" t="s">
        <v>0</v>
      </c>
    </row>
    <row r="120" spans="2:6" x14ac:dyDescent="0.25">
      <c r="B120" s="15" t="s">
        <v>169</v>
      </c>
      <c r="C120" s="16" t="s">
        <v>124</v>
      </c>
      <c r="D120" s="27"/>
      <c r="E120" s="27"/>
      <c r="F120" s="28"/>
    </row>
    <row r="121" spans="2:6" x14ac:dyDescent="0.25">
      <c r="B121" s="37"/>
      <c r="C121" s="20" t="s">
        <v>125</v>
      </c>
      <c r="D121" s="21" t="s">
        <v>122</v>
      </c>
      <c r="E121" s="21"/>
      <c r="F121" s="42" t="s">
        <v>0</v>
      </c>
    </row>
    <row r="122" spans="2:6" x14ac:dyDescent="0.25">
      <c r="B122" s="37"/>
      <c r="C122" s="20"/>
      <c r="D122" s="21"/>
      <c r="E122" s="21"/>
      <c r="F122" s="42"/>
    </row>
    <row r="123" spans="2:6" x14ac:dyDescent="0.25">
      <c r="B123" s="10"/>
    </row>
    <row r="124" spans="2:6" x14ac:dyDescent="0.25">
      <c r="B124" s="10"/>
    </row>
    <row r="125" spans="2:6" x14ac:dyDescent="0.25">
      <c r="B125" s="10"/>
    </row>
    <row r="126" spans="2:6" x14ac:dyDescent="0.25">
      <c r="B126" s="10"/>
    </row>
    <row r="127" spans="2:6" x14ac:dyDescent="0.25">
      <c r="B127" s="10"/>
    </row>
    <row r="128" spans="2:6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</sheetData>
  <mergeCells count="2">
    <mergeCell ref="B1:F1"/>
    <mergeCell ref="B2:F2"/>
  </mergeCells>
  <pageMargins left="0.7" right="0.7" top="0.75" bottom="0.75" header="0.3" footer="0.3"/>
  <pageSetup paperSize="9" scale="62" orientation="portrait" r:id="rId1"/>
  <rowBreaks count="1" manualBreakCount="1">
    <brk id="79" min="1" max="5" man="1"/>
  </rowBreaks>
  <colBreaks count="2" manualBreakCount="2">
    <brk id="1" max="1048575" man="1"/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Stage 1A</vt:lpstr>
      <vt:lpstr>Stage 1B</vt:lpstr>
      <vt:lpstr>'Stage 1A'!Print_Area</vt:lpstr>
      <vt:lpstr>'Stage 1B'!Print_Area</vt:lpstr>
    </vt:vector>
  </TitlesOfParts>
  <Company>Rockhampton Regional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Lodewikus</dc:creator>
  <cp:lastModifiedBy>Marie Grund</cp:lastModifiedBy>
  <cp:lastPrinted>2026-06-16T03:14:00Z</cp:lastPrinted>
  <dcterms:created xsi:type="dcterms:W3CDTF">2025-04-30T05:00:10Z</dcterms:created>
  <dcterms:modified xsi:type="dcterms:W3CDTF">2026-07-24T01:56:17Z</dcterms:modified>
</cp:coreProperties>
</file>