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ricoreplumbing-my.sharepoint.com/personal/mitch_tricoreplumbing_com_au/Documents/Documents/GitHub/ROK Sports Precinct - Stage 1/Working_Cost_Models/TCS/"/>
    </mc:Choice>
  </mc:AlternateContent>
  <xr:revisionPtr revIDLastSave="0" documentId="11_ADC74B1B7F38351349CD6DE73C5C97F7A66738FE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ver_Control" sheetId="1" r:id="rId1"/>
    <sheet name="TCS $ Sched" sheetId="2" r:id="rId2"/>
    <sheet name="Stage1A_Drainage" sheetId="3" r:id="rId3"/>
    <sheet name="Stage1B_Drainage" sheetId="4" r:id="rId4"/>
    <sheet name="LabourRates_Master" sheetId="5" r:id="rId5"/>
    <sheet name="Materials_Master" sheetId="6" r:id="rId6"/>
    <sheet name="Equip_Master" sheetId="7" r:id="rId7"/>
    <sheet name="Accommodation" sheetId="8" r:id="rId8"/>
    <sheet name="Prelim_OH" sheetId="9" r:id="rId9"/>
    <sheet name="EBC" sheetId="10" r:id="rId10"/>
    <sheet name="Sched3_Extrac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1" l="1"/>
  <c r="E23" i="10"/>
  <c r="F23" i="10" s="1"/>
  <c r="C18" i="10"/>
  <c r="E13" i="10"/>
  <c r="F13" i="10" s="1"/>
  <c r="C9" i="10"/>
  <c r="F37" i="9"/>
  <c r="F27" i="9"/>
  <c r="F26" i="9"/>
  <c r="F25" i="9"/>
  <c r="C24" i="9"/>
  <c r="F22" i="9"/>
  <c r="F20" i="9"/>
  <c r="F19" i="9"/>
  <c r="F18" i="9"/>
  <c r="F17" i="9"/>
  <c r="F15" i="9"/>
  <c r="F14" i="9"/>
  <c r="F13" i="9"/>
  <c r="F12" i="9"/>
  <c r="F11" i="9"/>
  <c r="F10" i="9"/>
  <c r="F9" i="9"/>
  <c r="F8" i="9"/>
  <c r="C19" i="8"/>
  <c r="E19" i="8" s="1"/>
  <c r="C17" i="8"/>
  <c r="E25" i="8" s="1"/>
  <c r="F16" i="8"/>
  <c r="G16" i="8" s="1"/>
  <c r="D16" i="8"/>
  <c r="E16" i="8" s="1"/>
  <c r="F15" i="8"/>
  <c r="G15" i="8" s="1"/>
  <c r="D15" i="8"/>
  <c r="E15" i="8" s="1"/>
  <c r="F14" i="8"/>
  <c r="G14" i="8" s="1"/>
  <c r="E14" i="8"/>
  <c r="D14" i="8"/>
  <c r="F13" i="8"/>
  <c r="G13" i="8" s="1"/>
  <c r="D13" i="8"/>
  <c r="E13" i="8" s="1"/>
  <c r="G12" i="8"/>
  <c r="F12" i="8"/>
  <c r="D12" i="8"/>
  <c r="D17" i="8" s="1"/>
  <c r="F11" i="8"/>
  <c r="E11" i="8"/>
  <c r="D11" i="8"/>
  <c r="F87" i="6"/>
  <c r="H87" i="6" s="1"/>
  <c r="F86" i="6"/>
  <c r="H86" i="6" s="1"/>
  <c r="E129" i="3" s="1"/>
  <c r="F129" i="3" s="1"/>
  <c r="F85" i="6"/>
  <c r="H85" i="6" s="1"/>
  <c r="F84" i="6"/>
  <c r="H84" i="6" s="1"/>
  <c r="E127" i="3" s="1"/>
  <c r="F127" i="3" s="1"/>
  <c r="F83" i="6"/>
  <c r="H83" i="6" s="1"/>
  <c r="H82" i="6"/>
  <c r="E24" i="9" s="1"/>
  <c r="F82" i="6"/>
  <c r="H81" i="6"/>
  <c r="E9" i="10" s="1"/>
  <c r="H80" i="6"/>
  <c r="E10" i="10" s="1"/>
  <c r="F10" i="10" s="1"/>
  <c r="H79" i="6"/>
  <c r="E8" i="10" s="1"/>
  <c r="F8" i="10" s="1"/>
  <c r="H78" i="6"/>
  <c r="H77" i="6"/>
  <c r="E20" i="10" s="1"/>
  <c r="F20" i="10" s="1"/>
  <c r="H76" i="6"/>
  <c r="E19" i="10" s="1"/>
  <c r="F19" i="10" s="1"/>
  <c r="H75" i="6"/>
  <c r="E18" i="10" s="1"/>
  <c r="F18" i="10" s="1"/>
  <c r="H74" i="6"/>
  <c r="H73" i="6"/>
  <c r="H72" i="6"/>
  <c r="H71" i="6"/>
  <c r="E13" i="4" s="1"/>
  <c r="F13" i="4" s="1"/>
  <c r="F71" i="6"/>
  <c r="F70" i="6"/>
  <c r="H70" i="6" s="1"/>
  <c r="E71" i="3" s="1"/>
  <c r="F71" i="3" s="1"/>
  <c r="H69" i="6"/>
  <c r="F69" i="6"/>
  <c r="F68" i="6"/>
  <c r="H68" i="6" s="1"/>
  <c r="E69" i="3" s="1"/>
  <c r="F69" i="3" s="1"/>
  <c r="F67" i="6"/>
  <c r="H67" i="6" s="1"/>
  <c r="E68" i="3" s="1"/>
  <c r="F68" i="3" s="1"/>
  <c r="H66" i="6"/>
  <c r="F66" i="6"/>
  <c r="F65" i="6"/>
  <c r="H65" i="6" s="1"/>
  <c r="E66" i="3" s="1"/>
  <c r="F66" i="3" s="1"/>
  <c r="F64" i="6"/>
  <c r="H64" i="6" s="1"/>
  <c r="F63" i="6"/>
  <c r="H63" i="6" s="1"/>
  <c r="E57" i="3" s="1"/>
  <c r="F57" i="3" s="1"/>
  <c r="H62" i="6"/>
  <c r="E9" i="4" s="1"/>
  <c r="F9" i="4" s="1"/>
  <c r="F62" i="6"/>
  <c r="F61" i="6"/>
  <c r="H61" i="6" s="1"/>
  <c r="E56" i="3" s="1"/>
  <c r="F56" i="3" s="1"/>
  <c r="F60" i="6"/>
  <c r="H60" i="6" s="1"/>
  <c r="E8" i="4" s="1"/>
  <c r="F8" i="4" s="1"/>
  <c r="F59" i="6"/>
  <c r="H59" i="6" s="1"/>
  <c r="F58" i="6"/>
  <c r="H58" i="6" s="1"/>
  <c r="E54" i="3" s="1"/>
  <c r="F54" i="3" s="1"/>
  <c r="H57" i="6"/>
  <c r="H56" i="6"/>
  <c r="H55" i="6"/>
  <c r="E51" i="3" s="1"/>
  <c r="F51" i="3" s="1"/>
  <c r="H54" i="6"/>
  <c r="E50" i="3" s="1"/>
  <c r="F50" i="3" s="1"/>
  <c r="H53" i="6"/>
  <c r="H52" i="6"/>
  <c r="E48" i="3" s="1"/>
  <c r="F48" i="3" s="1"/>
  <c r="H51" i="6"/>
  <c r="E47" i="3" s="1"/>
  <c r="F47" i="3" s="1"/>
  <c r="H50" i="6"/>
  <c r="E46" i="3" s="1"/>
  <c r="F46" i="3" s="1"/>
  <c r="H49" i="6"/>
  <c r="E44" i="3" s="1"/>
  <c r="H48" i="6"/>
  <c r="H47" i="6"/>
  <c r="E42" i="3" s="1"/>
  <c r="F42" i="3" s="1"/>
  <c r="H46" i="6"/>
  <c r="E41" i="3" s="1"/>
  <c r="F41" i="3" s="1"/>
  <c r="H45" i="6"/>
  <c r="E40" i="3" s="1"/>
  <c r="F40" i="3" s="1"/>
  <c r="H44" i="6"/>
  <c r="E39" i="3" s="1"/>
  <c r="F39" i="3" s="1"/>
  <c r="H43" i="6"/>
  <c r="E38" i="3" s="1"/>
  <c r="F38" i="3" s="1"/>
  <c r="H42" i="6"/>
  <c r="E37" i="3" s="1"/>
  <c r="F37" i="3" s="1"/>
  <c r="H41" i="6"/>
  <c r="E36" i="3" s="1"/>
  <c r="H40" i="6"/>
  <c r="H39" i="6"/>
  <c r="E34" i="3" s="1"/>
  <c r="H38" i="6"/>
  <c r="E33" i="3" s="1"/>
  <c r="F33" i="3" s="1"/>
  <c r="H37" i="6"/>
  <c r="E32" i="3" s="1"/>
  <c r="H36" i="6"/>
  <c r="H35" i="6"/>
  <c r="E30" i="3" s="1"/>
  <c r="H34" i="6"/>
  <c r="E29" i="3" s="1"/>
  <c r="F29" i="3" s="1"/>
  <c r="H33" i="6"/>
  <c r="E28" i="3" s="1"/>
  <c r="H32" i="6"/>
  <c r="H31" i="6"/>
  <c r="E15" i="3" s="1"/>
  <c r="H30" i="6"/>
  <c r="E26" i="3" s="1"/>
  <c r="F29" i="6"/>
  <c r="H29" i="6" s="1"/>
  <c r="E25" i="3" s="1"/>
  <c r="F25" i="3" s="1"/>
  <c r="F28" i="6"/>
  <c r="H28" i="6" s="1"/>
  <c r="E24" i="3" s="1"/>
  <c r="F24" i="3" s="1"/>
  <c r="H27" i="6"/>
  <c r="E23" i="3" s="1"/>
  <c r="F27" i="6"/>
  <c r="F26" i="6"/>
  <c r="H26" i="6" s="1"/>
  <c r="E22" i="3" s="1"/>
  <c r="F22" i="3" s="1"/>
  <c r="H25" i="6"/>
  <c r="E21" i="3" s="1"/>
  <c r="F21" i="3" s="1"/>
  <c r="F25" i="6"/>
  <c r="F24" i="6"/>
  <c r="H24" i="6" s="1"/>
  <c r="E20" i="3" s="1"/>
  <c r="F20" i="3" s="1"/>
  <c r="H23" i="6"/>
  <c r="E19" i="3" s="1"/>
  <c r="F19" i="3" s="1"/>
  <c r="F23" i="6"/>
  <c r="F22" i="6"/>
  <c r="D22" i="6"/>
  <c r="H22" i="6" s="1"/>
  <c r="E18" i="3" s="1"/>
  <c r="F18" i="3" s="1"/>
  <c r="F21" i="6"/>
  <c r="H21" i="6" s="1"/>
  <c r="D21" i="6"/>
  <c r="F20" i="6"/>
  <c r="D20" i="6"/>
  <c r="H20" i="6" s="1"/>
  <c r="E16" i="3" s="1"/>
  <c r="F16" i="3" s="1"/>
  <c r="F19" i="6"/>
  <c r="H19" i="6" s="1"/>
  <c r="E14" i="3" s="1"/>
  <c r="F14" i="3" s="1"/>
  <c r="D19" i="6"/>
  <c r="F18" i="6"/>
  <c r="H18" i="6" s="1"/>
  <c r="E13" i="3" s="1"/>
  <c r="F13" i="3" s="1"/>
  <c r="F17" i="6"/>
  <c r="D17" i="6"/>
  <c r="F16" i="6"/>
  <c r="H16" i="6" s="1"/>
  <c r="E11" i="3" s="1"/>
  <c r="F11" i="3" s="1"/>
  <c r="F15" i="6"/>
  <c r="D15" i="6"/>
  <c r="H14" i="6"/>
  <c r="E9" i="3" s="1"/>
  <c r="F9" i="3" s="1"/>
  <c r="D13" i="6"/>
  <c r="H13" i="6" s="1"/>
  <c r="H12" i="6"/>
  <c r="E7" i="3" s="1"/>
  <c r="H11" i="6"/>
  <c r="E6" i="3" s="1"/>
  <c r="F6" i="3" s="1"/>
  <c r="D11" i="6"/>
  <c r="E13" i="5"/>
  <c r="F13" i="5" s="1"/>
  <c r="E12" i="5"/>
  <c r="H12" i="5" s="1"/>
  <c r="E11" i="5"/>
  <c r="C7" i="5"/>
  <c r="C36" i="4"/>
  <c r="E30" i="4"/>
  <c r="F30" i="4" s="1"/>
  <c r="E29" i="4"/>
  <c r="F29" i="4" s="1"/>
  <c r="E28" i="4"/>
  <c r="F28" i="4" s="1"/>
  <c r="C23" i="4"/>
  <c r="E12" i="4"/>
  <c r="F12" i="4" s="1"/>
  <c r="C11" i="4"/>
  <c r="C130" i="3"/>
  <c r="F122" i="3"/>
  <c r="E122" i="3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F115" i="3"/>
  <c r="E115" i="3"/>
  <c r="E114" i="3"/>
  <c r="F114" i="3" s="1"/>
  <c r="E113" i="3"/>
  <c r="F113" i="3" s="1"/>
  <c r="F112" i="3"/>
  <c r="E112" i="3"/>
  <c r="E111" i="3"/>
  <c r="F111" i="3" s="1"/>
  <c r="E110" i="3"/>
  <c r="F110" i="3" s="1"/>
  <c r="E109" i="3"/>
  <c r="F109" i="3" s="1"/>
  <c r="F108" i="3"/>
  <c r="E108" i="3"/>
  <c r="C103" i="3"/>
  <c r="E70" i="3"/>
  <c r="F70" i="3" s="1"/>
  <c r="E67" i="3"/>
  <c r="F67" i="3" s="1"/>
  <c r="E64" i="3"/>
  <c r="F64" i="3" s="1"/>
  <c r="E63" i="3"/>
  <c r="C63" i="3"/>
  <c r="C62" i="3"/>
  <c r="E61" i="3"/>
  <c r="C61" i="3"/>
  <c r="F61" i="3" s="1"/>
  <c r="E60" i="3"/>
  <c r="C60" i="3"/>
  <c r="F60" i="3" s="1"/>
  <c r="E59" i="3"/>
  <c r="C59" i="3"/>
  <c r="E53" i="3"/>
  <c r="F53" i="3" s="1"/>
  <c r="E52" i="3"/>
  <c r="F52" i="3" s="1"/>
  <c r="E49" i="3"/>
  <c r="F49" i="3" s="1"/>
  <c r="E45" i="3"/>
  <c r="F45" i="3" s="1"/>
  <c r="F44" i="3"/>
  <c r="E43" i="3"/>
  <c r="F43" i="3" s="1"/>
  <c r="F36" i="3"/>
  <c r="E35" i="3"/>
  <c r="F35" i="3" s="1"/>
  <c r="F34" i="3"/>
  <c r="C32" i="3"/>
  <c r="F32" i="3" s="1"/>
  <c r="E31" i="3"/>
  <c r="C31" i="3"/>
  <c r="F31" i="3" s="1"/>
  <c r="C30" i="3"/>
  <c r="C29" i="3"/>
  <c r="C28" i="3"/>
  <c r="F28" i="3" s="1"/>
  <c r="E27" i="3"/>
  <c r="C27" i="3"/>
  <c r="F26" i="3"/>
  <c r="F23" i="3"/>
  <c r="F15" i="3"/>
  <c r="E8" i="3"/>
  <c r="F8" i="3" s="1"/>
  <c r="C7" i="3"/>
  <c r="F7" i="3" s="1"/>
  <c r="D29" i="2"/>
  <c r="D31" i="2" s="1"/>
  <c r="C11" i="2"/>
  <c r="E34" i="4" l="1"/>
  <c r="F34" i="4" s="1"/>
  <c r="E126" i="3"/>
  <c r="F126" i="3" s="1"/>
  <c r="E130" i="3"/>
  <c r="F130" i="3" s="1"/>
  <c r="E36" i="4"/>
  <c r="F30" i="3"/>
  <c r="E12" i="8"/>
  <c r="E17" i="8" s="1"/>
  <c r="E21" i="8" s="1"/>
  <c r="E27" i="8" s="1"/>
  <c r="H17" i="6"/>
  <c r="E12" i="3" s="1"/>
  <c r="F12" i="3" s="1"/>
  <c r="F59" i="3"/>
  <c r="H15" i="6"/>
  <c r="E10" i="3" s="1"/>
  <c r="F10" i="3" s="1"/>
  <c r="G12" i="5"/>
  <c r="F36" i="4"/>
  <c r="F27" i="3"/>
  <c r="C104" i="3"/>
  <c r="F131" i="3"/>
  <c r="D18" i="2" s="1"/>
  <c r="H11" i="5"/>
  <c r="G11" i="5"/>
  <c r="E10" i="4"/>
  <c r="F10" i="4" s="1"/>
  <c r="E58" i="3"/>
  <c r="F58" i="3" s="1"/>
  <c r="F11" i="5"/>
  <c r="E6" i="4"/>
  <c r="F6" i="4" s="1"/>
  <c r="E17" i="3"/>
  <c r="F17" i="3" s="1"/>
  <c r="F21" i="10"/>
  <c r="F9" i="10"/>
  <c r="F11" i="10" s="1"/>
  <c r="F17" i="8"/>
  <c r="G11" i="8"/>
  <c r="G17" i="8" s="1"/>
  <c r="E22" i="8" s="1"/>
  <c r="D15" i="1"/>
  <c r="G10" i="11"/>
  <c r="F31" i="4"/>
  <c r="D37" i="2" s="1"/>
  <c r="E7" i="4"/>
  <c r="F7" i="4" s="1"/>
  <c r="E55" i="3"/>
  <c r="F55" i="3" s="1"/>
  <c r="H15" i="5"/>
  <c r="F24" i="9"/>
  <c r="H13" i="5"/>
  <c r="G13" i="5"/>
  <c r="G15" i="5" s="1"/>
  <c r="F63" i="3"/>
  <c r="F123" i="3"/>
  <c r="D17" i="2" s="1"/>
  <c r="C24" i="4"/>
  <c r="E11" i="4"/>
  <c r="F11" i="4" s="1"/>
  <c r="E62" i="3"/>
  <c r="F62" i="3" s="1"/>
  <c r="E35" i="4"/>
  <c r="F35" i="4" s="1"/>
  <c r="F37" i="4" s="1"/>
  <c r="D38" i="2" s="1"/>
  <c r="E128" i="3"/>
  <c r="F128" i="3" s="1"/>
  <c r="F12" i="5"/>
  <c r="F15" i="5" s="1"/>
  <c r="F64" i="11" l="1"/>
  <c r="F134" i="3"/>
  <c r="D19" i="2" s="1"/>
  <c r="F40" i="4"/>
  <c r="D39" i="2" s="1"/>
  <c r="F72" i="3"/>
  <c r="E23" i="8"/>
  <c r="F73" i="3"/>
  <c r="F74" i="3" s="1"/>
  <c r="F61" i="11"/>
  <c r="E12" i="10"/>
  <c r="F12" i="10" s="1"/>
  <c r="F14" i="10" s="1"/>
  <c r="E102" i="3"/>
  <c r="F102" i="3" s="1"/>
  <c r="E98" i="3"/>
  <c r="F98" i="3" s="1"/>
  <c r="E94" i="3"/>
  <c r="F94" i="3" s="1"/>
  <c r="E90" i="3"/>
  <c r="F90" i="3" s="1"/>
  <c r="E86" i="3"/>
  <c r="F86" i="3" s="1"/>
  <c r="E82" i="3"/>
  <c r="F82" i="3" s="1"/>
  <c r="E78" i="3"/>
  <c r="F78" i="3" s="1"/>
  <c r="E22" i="4"/>
  <c r="F22" i="4" s="1"/>
  <c r="E101" i="3"/>
  <c r="F101" i="3" s="1"/>
  <c r="F62" i="11" s="1"/>
  <c r="E97" i="3"/>
  <c r="F97" i="3" s="1"/>
  <c r="E93" i="3"/>
  <c r="F93" i="3" s="1"/>
  <c r="E89" i="3"/>
  <c r="F89" i="3" s="1"/>
  <c r="E85" i="3"/>
  <c r="F85" i="3" s="1"/>
  <c r="E81" i="3"/>
  <c r="F81" i="3" s="1"/>
  <c r="E77" i="3"/>
  <c r="F77" i="3" s="1"/>
  <c r="E22" i="10"/>
  <c r="F22" i="10" s="1"/>
  <c r="F24" i="10" s="1"/>
  <c r="E21" i="4"/>
  <c r="F21" i="4" s="1"/>
  <c r="E100" i="3"/>
  <c r="F100" i="3" s="1"/>
  <c r="E96" i="3"/>
  <c r="F96" i="3" s="1"/>
  <c r="E92" i="3"/>
  <c r="F92" i="3" s="1"/>
  <c r="E88" i="3"/>
  <c r="F88" i="3" s="1"/>
  <c r="E84" i="3"/>
  <c r="F84" i="3" s="1"/>
  <c r="E80" i="3"/>
  <c r="F80" i="3" s="1"/>
  <c r="E20" i="4"/>
  <c r="F20" i="4" s="1"/>
  <c r="E91" i="3"/>
  <c r="F91" i="3" s="1"/>
  <c r="E55" i="2"/>
  <c r="F55" i="2" s="1"/>
  <c r="E19" i="4"/>
  <c r="F19" i="4" s="1"/>
  <c r="E52" i="2"/>
  <c r="F52" i="2" s="1"/>
  <c r="E95" i="3"/>
  <c r="F95" i="3" s="1"/>
  <c r="E51" i="2"/>
  <c r="F51" i="2" s="1"/>
  <c r="E87" i="3"/>
  <c r="F87" i="3" s="1"/>
  <c r="E54" i="2"/>
  <c r="F54" i="2" s="1"/>
  <c r="E99" i="3"/>
  <c r="F99" i="3" s="1"/>
  <c r="E83" i="3"/>
  <c r="F83" i="3" s="1"/>
  <c r="E53" i="2"/>
  <c r="F53" i="2" s="1"/>
  <c r="E79" i="3"/>
  <c r="F79" i="3" s="1"/>
  <c r="E104" i="3"/>
  <c r="F104" i="3" s="1"/>
  <c r="E6" i="9"/>
  <c r="F6" i="9" s="1"/>
  <c r="F29" i="9" s="1"/>
  <c r="E24" i="4"/>
  <c r="F24" i="4" s="1"/>
  <c r="F14" i="4"/>
  <c r="F15" i="4" l="1"/>
  <c r="F16" i="4" s="1"/>
  <c r="F103" i="3"/>
  <c r="F105" i="3" s="1"/>
  <c r="D16" i="2" s="1"/>
  <c r="G15" i="11"/>
  <c r="G27" i="11"/>
  <c r="F65" i="11"/>
  <c r="F66" i="11" s="1"/>
  <c r="F67" i="11" s="1"/>
  <c r="G12" i="11" s="1"/>
  <c r="G16" i="11"/>
  <c r="G28" i="11"/>
  <c r="G30" i="11"/>
  <c r="G18" i="11"/>
  <c r="G17" i="11"/>
  <c r="G29" i="11"/>
  <c r="F23" i="4"/>
  <c r="F25" i="4" s="1"/>
  <c r="D36" i="2" s="1"/>
  <c r="F136" i="3"/>
  <c r="D15" i="2"/>
  <c r="D20" i="2" s="1"/>
  <c r="G31" i="11"/>
  <c r="G19" i="11"/>
  <c r="D35" i="2" l="1"/>
  <c r="D40" i="2" s="1"/>
  <c r="F42" i="4"/>
  <c r="F36" i="9" s="1"/>
  <c r="F38" i="9" s="1"/>
  <c r="D23" i="2"/>
  <c r="D22" i="2"/>
  <c r="D21" i="2"/>
  <c r="D24" i="2" s="1"/>
  <c r="G13" i="11" l="1"/>
  <c r="G8" i="11"/>
  <c r="D14" i="1"/>
  <c r="D32" i="2"/>
  <c r="F31" i="9"/>
  <c r="D43" i="2"/>
  <c r="D41" i="2"/>
  <c r="D42" i="2"/>
  <c r="D44" i="2" l="1"/>
  <c r="D17" i="1"/>
  <c r="G25" i="11"/>
  <c r="G23" i="11"/>
  <c r="F32" i="9"/>
  <c r="F33" i="9"/>
  <c r="D16" i="1"/>
  <c r="D46" i="2"/>
  <c r="D18" i="1" s="1"/>
</calcChain>
</file>

<file path=xl/sharedStrings.xml><?xml version="1.0" encoding="utf-8"?>
<sst xmlns="http://schemas.openxmlformats.org/spreadsheetml/2006/main" count="1415" uniqueCount="938">
  <si>
    <t>ROK SPORTS PRECINCT — STAGE 1  |  TCS COST MODEL V2</t>
  </si>
  <si>
    <t>Entity</t>
  </si>
  <si>
    <t>TriCore Civil Services Pty Ltd (TCS) — civil stormwater</t>
  </si>
  <si>
    <t>ABN</t>
  </si>
  <si>
    <t>89 195 291 365</t>
  </si>
  <si>
    <t>Tender</t>
  </si>
  <si>
    <t>TEN16699 — Rockhampton Sports Precinct Stage 1A ('A Home for Netball') &amp; Stage 1B ('Recreational Park and Public Amenities')</t>
  </si>
  <si>
    <t>Site</t>
  </si>
  <si>
    <t>554-700 Yaamba Rd, Norman Gardens QLD</t>
  </si>
  <si>
    <t>Quote reference</t>
  </si>
  <si>
    <t>TCS #2372-V2</t>
  </si>
  <si>
    <t>Date</t>
  </si>
  <si>
    <t>26-07-2026</t>
  </si>
  <si>
    <t>GST</t>
  </si>
  <si>
    <t>ALL SUMS EX-GST throughout this workbook</t>
  </si>
  <si>
    <t>Architecture</t>
  </si>
  <si>
    <t>CQU/Hyd pattern per COST_MODEL_REBUILD_DECISION.md: Cover_Control / TCS $ Sched / work-area sheets / 5 masters / Prelim_OH / EBC / Sched3_Extract</t>
  </si>
  <si>
    <t>KEY TOTALS (live)</t>
  </si>
  <si>
    <t>Stage 1A lump sum (excl PC)</t>
  </si>
  <si>
    <t>Stage 1A WSUD PC sum</t>
  </si>
  <si>
    <t>Stage 1A total incl PC</t>
  </si>
  <si>
    <t>Stage 1B lump sum</t>
  </si>
  <si>
    <t>TCS GRAND TOTAL ex GST</t>
  </si>
  <si>
    <t>Old Civil workbook total (materials-only, superseded)</t>
  </si>
  <si>
    <t>REVISION / CHANGE LOG</t>
  </si>
  <si>
    <t>V1</t>
  </si>
  <si>
    <t>16-07-2026 — MasterCostSheet_Civ.V1 — original TCS Quote #2372. Part A $890,849.95 ex GST = materials/subbies-only marked up: labour $0, plant $0, no accommodation, GT drains excluded (orphaned $164,860 column), Prelim_OH check empty, profit compounded on (cost+prelims+OH) = 45.73% effective vs 41.5% label, external link to unrelated Loganlea 2018-era file.</t>
  </si>
  <si>
    <t>V2</t>
  </si>
  <si>
    <t>26-07-2026 — FULL REBUILD on CQU/Hyd architecture (this workbook). Adopted quantities (Phase 4), re-sourced rates (Phase 5), FIFO labour x1.08 + crew-days/plant-days/accommodation (Phase 7), markup re-based to directed 41.5% each-on-cost (old effective 45.73% — both shown), GST removed, all external links severed (values frozen from dumps then re-sourced), GT reinstated, WSUD re-based to Reece PC line, kerb chutes carried both ways (D6-F1), basin/spillway $0 allocation-RFI flag. LH supervision priced as DIRECT LABOUR per TriCore methodology (correction recorded at change-log S9). See TCS_CHANGE_LOG.md + MIGRATION_RECONCILIATION.xlsx.</t>
  </si>
  <si>
    <t>ASSUMPTIONS &amp; BASIS</t>
  </si>
  <si>
    <t>1.</t>
  </si>
  <si>
    <t>Quantities: ADOPTED column of QUANTITY_RECONCILIATION.xlsx (TCS_Civil + NewItems) is the sole pricing basis; Denis's figures retained there — variances reasoned in MIGRATION_RECONCILIATION.xlsx.</t>
  </si>
  <si>
    <t>2.</t>
  </si>
  <si>
    <t>Labour: FIFO Roster Example #3 (6-day week, 10-hr days, 21 work-days / 210 hrs per month); ROK monthly bases x1.08 -&gt; LH $132.9634/hr, Trades $101.6458/hr, T/A $82.9510/hr; crews of 3 (2 Trades + 1 T/A) = $2,862.43/crew-day.</t>
  </si>
  <si>
    <t>3.</t>
  </si>
  <si>
    <t>Crew-days and plant-days: PROGRAMME_LABOUR_PLANT.xlsx TCS_Activities/TCS_Programme (233 base cd = 222 1A + 11 1B; B-07 spillway 10 cd held at $0 pending allocation RFI; B-09 kerb chutes 9 cd EBC).</t>
  </si>
  <si>
    <t>4.</t>
  </si>
  <si>
    <t>Leading Hand supervision (120 days) is DIRECT LABOUR in the Stage 1A/1B labour blocks (row A-14 each), allocated pro-rata to crew-days — per TriCore's existing methodology, which prices TRADESMAN_LEADING HAND as a Day line inside the work-area labour block (old Civ 'SW Zone Sumry' B13/C13/E13 feeding H11; the Hyd master follows the same pattern). It is NOT a preliminary. Establishment non-labour, temp services incl. temp water cartage, EDQ remob and ADAC/CCTV/as-cons are funded from the 5.5% prelims allowance; Prelim_OH builds those bottom-up and carries the variance cross-check (LH row retained there at $0 for traceability).</t>
  </si>
  <si>
    <t>5.</t>
  </si>
  <si>
    <t>Markup: Prelims 5.5% + OH 18% + Profit 18% EACH ON TOTAL COST (= 41.5%); cost = escalated-contingent materials + labour + plant + subbies + accommodation. Corrects old compounding (45.73% effective).</t>
  </si>
  <si>
    <t>6.</t>
  </si>
  <si>
    <t>Material contingency x1.18 on materials only (incl freight); never on labour/plant/PC/provisional; no quote on file embeds contingency (Register S3).</t>
  </si>
  <si>
    <t>7.</t>
  </si>
  <si>
    <t>Escalation to 2027 commencement applied ONCE via factors x1.38 PE/PVC (incl PP Stormpro + Hauraton Recyfix PE-PP), x1.15 subbies, x1.20 delivery — only where KeyRates safe-to-multiply flag is Y; concrete/precast/quarry carry no directed factor (escalation risk inside x1.18 + re-quote condition). Per-rate decision recorded on Materials_Master.</t>
  </si>
  <si>
    <t>8.</t>
  </si>
  <si>
    <t>Supplier selection: cheaper compliant rate per item — Humes (RCP, RCBC, BCC headwalls, twin 375), Reece (winged 375 headwall, PP Stormpro, Hauraton, 100 PVC), Tradelink (225/150 PVC, 600 pits), Jaybro (small headwalls + freight adder). RCP375 take-off discrepancy (Humes 299 vs Reece 262 lengths) noted — adopted 714.9 m governs.</t>
  </si>
  <si>
    <t>9.</t>
  </si>
  <si>
    <t>PP lines priced as PP (StormPRO o.e.) per drawings — Atlan HDPE cheaper but day-of-issue validity and spec acceptance unconfirmed (Opens #5).</t>
  </si>
  <si>
    <t>10.</t>
  </si>
  <si>
    <t>WSUD: supply+delivery PC Sum $97,206.73 + 15% (Reece Q-459014431; Ocean Protect direct re-quote required — MUSIC model); installation in base lump sum (locked 5.3).</t>
  </si>
  <si>
    <t>11.</t>
  </si>
  <si>
    <t>Trench drains REINSTATED (Hauraton package $162,349 quote basis; old model's $164,860 orphan superseded) incl excavation &amp; quarry; GT6 grate substitution verify (Gap #7); Reece $198/m Fibretec anomaly to confirm (delta $19,217).</t>
  </si>
  <si>
    <t>12.</t>
  </si>
  <si>
    <t>Kerb chutes: base EXCLUDED per Denis 24-Jul; add-price 9 chutes + rock/mat on EBC — 'Director decision D6-F1', both positions carried.</t>
  </si>
  <si>
    <t>13.</t>
  </si>
  <si>
    <t>Rock: base allows geotech-anticipated band only (NQL2024-0320 refusal 25/36; A-08 allowance 10 cd); extra-over soft/hard rates for trenches AND pits tendered separately (H002 n.24) on TCS $ Sched.</t>
  </si>
  <si>
    <t>14.</t>
  </si>
  <si>
    <t>Rising main ($ and 110 m allowance) and $20k provisional connection fees are TPS-side — NOT in this model. Pump station excluded (Add 2).</t>
  </si>
  <si>
    <t>15.</t>
  </si>
  <si>
    <t>Detention basin earthworks/spillway NOT priced — $0 flagged rows, allocation RFI pending (Opens #26 + Director); spillway build-up held on EBC.</t>
  </si>
  <si>
    <t>16.</t>
  </si>
  <si>
    <t>Accommodation Option A (apartments house 3, LH individual nightly) ADOPTED; Option B shown. FIFO flights $200 ex GST/leg, 2 returns/person-month. Allocated 1A/1B pro-rata crew-days.</t>
  </si>
  <si>
    <t>17.</t>
  </si>
  <si>
    <t>Stage split: VOL 20 SE_12306_SKT_CMP Rev B hatches (RFI to confirm): GT5+GT6+lines 60/61/83 = 1B; all else incl WSUD + detention outlet = 1A.</t>
  </si>
  <si>
    <t>18.</t>
  </si>
  <si>
    <t>All external links severed: [SBSERVER Loganlea 60 Richards St V2.xls] inherited link NOT carried; Hyd-master monthly labour bases and accommodation rates frozen as stated inputs (source noted per cell).</t>
  </si>
  <si>
    <t>19.</t>
  </si>
  <si>
    <t>Crane (50t), franna, trench shields carried as ALLOWANCES — absent from all hire registers (flagged on Equip_Master); PE welder flagged not required for TCS scope.</t>
  </si>
  <si>
    <t>20.</t>
  </si>
  <si>
    <t>Validity cliff: every quote expires Aug-2026 vs 2027 start — escalation carried once as above; re-quote at award (Register S5).</t>
  </si>
  <si>
    <t>TCS $ SCHED — SUMMARY</t>
  </si>
  <si>
    <t>TriCore Civil Services Pty Ltd — ABN 89 195 291 365</t>
  </si>
  <si>
    <t>TEN16699 ROK Sports Precinct Stage 1A &amp; 1B — Civil Stormwater  |  554-700 Yaamba Rd, Norman Gardens QLD</t>
  </si>
  <si>
    <t>TCS Quote #: 2372-V2   |   Date: 26-07-2026   |   Rev: V2 (rebuild on CQU/Hyd architecture)</t>
  </si>
  <si>
    <t>ALL SUMS EX-GST</t>
  </si>
  <si>
    <t>MARKUP BASIS (Directive 5.4): Prelims + OH + Profit EACH calculated ON TOTAL COST — NOT compounded.</t>
  </si>
  <si>
    <t>Prelims %</t>
  </si>
  <si>
    <t>CHANGE LOG: old model compounded profit on (cost+prelims+OH) giving 45.73% effective while labelled 41.5%; this model applies the directed 41.5% (each % on cost). Movement recorded in TCS_CHANGE_LOG.md.</t>
  </si>
  <si>
    <t>Overheads %</t>
  </si>
  <si>
    <t>Profit %</t>
  </si>
  <si>
    <t>Total effective markup on cost</t>
  </si>
  <si>
    <t>STAGE 1A — 'A HOME FOR NETBALL' (Sch 3 items 2.3-a drainage component / 2.5 Drainage / 3.5 Grated trench drains)</t>
  </si>
  <si>
    <t>Materials (escalated + x1.18 contingency)</t>
  </si>
  <si>
    <t>Labour incl. LH supervision (crew-days x FIFO rates)</t>
  </si>
  <si>
    <t>Plant</t>
  </si>
  <si>
    <t>Subbies &amp; services</t>
  </si>
  <si>
    <t>Accommodation &amp; FIFO travel share</t>
  </si>
  <si>
    <t>STAGE 1A TOTAL COST</t>
  </si>
  <si>
    <t>Prelims (5.5% on cost)</t>
  </si>
  <si>
    <t>Overheads (18% on cost)</t>
  </si>
  <si>
    <t>Profit (18% on cost)</t>
  </si>
  <si>
    <t>STAGE 1A LUMP SUM (EX-GST, excl PC sums)</t>
  </si>
  <si>
    <t>STAGE 1A — PC SUMS (SEPARATED; not in lump sum above)</t>
  </si>
  <si>
    <t>WSUD StormFilter — 22x Tall (690) PSorb cartridges in DN3300 manhole — SUPPLY + DELIVERY</t>
  </si>
  <si>
    <t>Reece Q-459014431 line (only project-specific price; verify vs direct Ocean Protect quote — Register Gap #1 / Opens #10). Superseded Atlan $88,838 basis removed.</t>
  </si>
  <si>
    <t>Freight — StormFilter manhole</t>
  </si>
  <si>
    <t>PC base (supply + delivery)</t>
  </si>
  <si>
    <t>PC markup %</t>
  </si>
  <si>
    <t>WSUD PC SUM TOTAL (supply + delivery + 15%)</t>
  </si>
  <si>
    <t>INSTALLATION (excavation, bedding, cranage, placement, connection, backfill — Phase 7 activity C-05) is priced in the BASE lump sum, not in this PC (locked 5.3).</t>
  </si>
  <si>
    <t>STAGE 1A TOTAL INCL PC SUMS (EX-GST)</t>
  </si>
  <si>
    <t>STAGE 1B — 'RECREATIONAL PARK AND PUBLIC AMENITIES' (Sch 3 item 2.3 Drainage)</t>
  </si>
  <si>
    <t>Labour incl. LH supervision</t>
  </si>
  <si>
    <t>STAGE 1B TOTAL COST</t>
  </si>
  <si>
    <t>STAGE 1B LUMP SUM (EX-GST; no PC sums in 1B)</t>
  </si>
  <si>
    <t>Sch 1B 2.3-b 'Retention basin': no separate 1B basin is documented — carried unpriced with qualification + RFI (CL A4). The single detention basin outlet works are in 1A.</t>
  </si>
  <si>
    <t>TCS GRAND TOTAL — STAGE 1A + 1B INCL PC SUMS (EX-GST)</t>
  </si>
  <si>
    <t>SCHEDULE OF RATES — Sch 1A 7.0 / 1B 5.0 (extra-over rates, each stage, TCS trenches AND pits; H002 n.24: soft AND hard rock separately). Payable per ITT S18 written-direction regime.</t>
  </si>
  <si>
    <t>Build-up: (crew day + excavator + breaker) / production m3/day = cost rate; sell = cost x (1+41.5%).</t>
  </si>
  <si>
    <t>Rate item</t>
  </si>
  <si>
    <t>Prod (m3/day)</t>
  </si>
  <si>
    <t>Unit</t>
  </si>
  <si>
    <t>Cost rate</t>
  </si>
  <si>
    <t>SELL RATE</t>
  </si>
  <si>
    <t>Note</t>
  </si>
  <si>
    <t>Rock extra-over — SOFT rock, TRENCHES</t>
  </si>
  <si>
    <t>m3</t>
  </si>
  <si>
    <t>Breaker + 20-24T + crew; XW/soft rippable band</t>
  </si>
  <si>
    <t>Rock extra-over — HARD rock, TRENCHES</t>
  </si>
  <si>
    <t>Hammer production halved</t>
  </si>
  <si>
    <t>Rock extra-over — SOFT rock, PITS</t>
  </si>
  <si>
    <t>Confined pit excavation penalty</t>
  </si>
  <si>
    <t>Rock extra-over — HARD rock, PITS</t>
  </si>
  <si>
    <t>Unsuitable ground — removal &amp; reinstatement</t>
  </si>
  <si>
    <t>Excavate + cart + imported backfill; Superintendent written direction only</t>
  </si>
  <si>
    <t>Base lump sums allow the geotech-anticipated rock band only (NQL2024-0320: refusal 25/36 locations, XW rock 0.2-2.2 m at 6 pits; ~15% of trench metres at reduced production — labour A-08). Rock beyond that band is claimable at these rates on written direction.</t>
  </si>
  <si>
    <t>STAGE 1A — CIVIL STORMWATER WORK AREA (TCS)</t>
  </si>
  <si>
    <t>Quantities = ADOPTED per QUANTITY_RECONCILIATION.xlsx TCS_Civil (pricing basis). Rates ref Materials_Master adopted (escalated) rates. ALL SUMS EX-GST.</t>
  </si>
  <si>
    <t>ID</t>
  </si>
  <si>
    <t>Description</t>
  </si>
  <si>
    <t>Qty</t>
  </si>
  <si>
    <t>Rate</t>
  </si>
  <si>
    <t>Total</t>
  </si>
  <si>
    <t>Source / note</t>
  </si>
  <si>
    <t>A — MATERIALS (adopted qty x source-tagged escalated rate)</t>
  </si>
  <si>
    <t>P1</t>
  </si>
  <si>
    <t>RCP 375 CL3+CL4 mainline incl C09 twin barrels (adopted 702.9 m CL3 + 12.0 m CL4)</t>
  </si>
  <si>
    <t>m</t>
  </si>
  <si>
    <t>Adopted 714.9 m governs (Humes 299-len vs Reece 262-len take-off discrepancy noted). CL4 12.0 m re-split per Opens #2.</t>
  </si>
  <si>
    <t>P2</t>
  </si>
  <si>
    <t>375 rubber rings (1 per 2.44 m length)</t>
  </si>
  <si>
    <t>ea</t>
  </si>
  <si>
    <t>Qty = lengths of P1.</t>
  </si>
  <si>
    <t>P3</t>
  </si>
  <si>
    <t>RCP 600 CL3 (line 26 stub, 1:500 grade)</t>
  </si>
  <si>
    <t>P4</t>
  </si>
  <si>
    <t>600 rubber rings (allowance)</t>
  </si>
  <si>
    <t>P5</t>
  </si>
  <si>
    <t>225 PP collector (lines 26-29)</t>
  </si>
  <si>
    <t>P6</t>
  </si>
  <si>
    <t>300 PP (tank line 25 — deepest pipework 1.57-1.67 m)</t>
  </si>
  <si>
    <t>P7</t>
  </si>
  <si>
    <t>375 PP collectors (17 m court bays)</t>
  </si>
  <si>
    <t>P8</t>
  </si>
  <si>
    <t>450 PP (line 26)</t>
  </si>
  <si>
    <t>P9</t>
  </si>
  <si>
    <t>600 PP (line 26)</t>
  </si>
  <si>
    <t>P10</t>
  </si>
  <si>
    <t>Jointing lubricant</t>
  </si>
  <si>
    <t>P11</t>
  </si>
  <si>
    <t>225 PVC DWV SN8 — building drainage collector line 81 (adopted printed chainage 115.45 m; Denis 180.93 m over-measure removed)</t>
  </si>
  <si>
    <t>Rule 2 — printed design data governs (Opens #1).</t>
  </si>
  <si>
    <t>P12</t>
  </si>
  <si>
    <t>150 PVC DWV SN8 — trash box laterals lines 30-53/87 (1A share; 29.6 m to 1B)</t>
  </si>
  <si>
    <t>P13</t>
  </si>
  <si>
    <t>100 PVC DWV — subsoil outlets / building DP laterals</t>
  </si>
  <si>
    <t>Subsoil SYSTEM excluded by others; outlets/connections at TCS pits only (matrix 2.3-x2/2.5-x3).</t>
  </si>
  <si>
    <t>F1</t>
  </si>
  <si>
    <t>100 PVC 90 deg bends</t>
  </si>
  <si>
    <t>F2</t>
  </si>
  <si>
    <t>100 PVC 45 deg bends</t>
  </si>
  <si>
    <t>F3</t>
  </si>
  <si>
    <t>225 PVC 90 deg bend</t>
  </si>
  <si>
    <t>F4</t>
  </si>
  <si>
    <t>100 PVC 45 deg junctions</t>
  </si>
  <si>
    <t>F5</t>
  </si>
  <si>
    <t>225 PVC 45 deg junction</t>
  </si>
  <si>
    <t>F6</t>
  </si>
  <si>
    <t>225x100 PVC 45 deg junctions</t>
  </si>
  <si>
    <t>F7</t>
  </si>
  <si>
    <t>Inspection openings c/w galv cover flush</t>
  </si>
  <si>
    <t>F8</t>
  </si>
  <si>
    <t>Pipe-to-pipe / pipe-to-culvert connections (20 P2P per F1310)</t>
  </si>
  <si>
    <t>C1</t>
  </si>
  <si>
    <t>RCBC 600x300 crowns (C05-C08, 33.39 m @ 2.4 m/unit)</t>
  </si>
  <si>
    <t>Zero/negative cover at headwalls — extra-over excav/bedding at Q2 (NewItems #2).</t>
  </si>
  <si>
    <t>C2</t>
  </si>
  <si>
    <t>RCBC 750x300 crowns (WSUD high-flow bypass, 5.17 m)</t>
  </si>
  <si>
    <t>C3</t>
  </si>
  <si>
    <t>RCBC 900x450 crowns (C01/C02, 27.86 m)</t>
  </si>
  <si>
    <t>C4</t>
  </si>
  <si>
    <t>RCBC 1200x600 crowns (C03, 17.77 m)</t>
  </si>
  <si>
    <t>C5</t>
  </si>
  <si>
    <t>LBC 1500x600 crowns (C04, 29.04 m)</t>
  </si>
  <si>
    <t>C6</t>
  </si>
  <si>
    <t>LBC 2700x1200 crowns (C10 basin outlet, 17.53 m — heavy lift)</t>
  </si>
  <si>
    <t>H1</t>
  </si>
  <si>
    <t>Headwalls to suit 375 RCP</t>
  </si>
  <si>
    <t>H2</t>
  </si>
  <si>
    <t>Headwalls to suit 2x375 RCP (C09A/B — details missing, RFI Opens #8)</t>
  </si>
  <si>
    <t>H3</t>
  </si>
  <si>
    <t>Headwall to suit 150 PVC (87-01)</t>
  </si>
  <si>
    <t>H4</t>
  </si>
  <si>
    <t>Headwall to suit 225 PVC (81-01; adopted 1 vs Denis 2 per F1310)</t>
  </si>
  <si>
    <t>H5</t>
  </si>
  <si>
    <t>Headwall to suit 300 PP (25-01)</t>
  </si>
  <si>
    <t>H6</t>
  </si>
  <si>
    <t>BCC headwalls 600x300 (C05A/B-C08A/B)</t>
  </si>
  <si>
    <t>H7</t>
  </si>
  <si>
    <t>BCC headwall 750x300 (26-01)</t>
  </si>
  <si>
    <t>H8</t>
  </si>
  <si>
    <t>BCC headwalls 900x450 (C01A/B, C02A/B)</t>
  </si>
  <si>
    <t>H9</t>
  </si>
  <si>
    <t>BCC headwalls 1200x600 (C03A/B)</t>
  </si>
  <si>
    <t>H10</t>
  </si>
  <si>
    <t>BCC headwalls 1500x600 (C04A/B, skew 22 deg)</t>
  </si>
  <si>
    <t>H11</t>
  </si>
  <si>
    <t>BCC headwalls 2700x1200 (C10A/B)</t>
  </si>
  <si>
    <t>S1</t>
  </si>
  <si>
    <t>RGU inlets on-grade 2.4 m (CMDG-D-020)</t>
  </si>
  <si>
    <t>S2</t>
  </si>
  <si>
    <t>RGU inlets sag 2.4 m</t>
  </si>
  <si>
    <t>S3</t>
  </si>
  <si>
    <t>1050 access chamber shafts (CMDG-D-030)</t>
  </si>
  <si>
    <t>S4</t>
  </si>
  <si>
    <t>Aspro cover slabs 1050x1350</t>
  </si>
  <si>
    <t>S5</t>
  </si>
  <si>
    <t>1200x900 chamber shafts (25-03, 26-03, 26-05)</t>
  </si>
  <si>
    <t>Adopted 4 total 1200 chambers (Denis 3) — Opens #4.</t>
  </si>
  <si>
    <t>S6</t>
  </si>
  <si>
    <t>1200x1200 chamber shaft (26-02 c/w 0.467 m internal upstand)</t>
  </si>
  <si>
    <t>Upstand formwork in labour B-03.</t>
  </si>
  <si>
    <t>S7</t>
  </si>
  <si>
    <t>Aspro cover slabs 1200x1650</t>
  </si>
  <si>
    <t>S8</t>
  </si>
  <si>
    <t>Grate &amp; frame 600x900 Class D (chamber covers)</t>
  </si>
  <si>
    <t>S9</t>
  </si>
  <si>
    <t>600x600 field inlet pits Type 2 (81-02, 81-07, 87-02)</t>
  </si>
  <si>
    <t>S10</t>
  </si>
  <si>
    <t>600x600 Class D grates &amp; frames</t>
  </si>
  <si>
    <t>G1</t>
  </si>
  <si>
    <t>Grated trench GT1-GT4 Recyfix PRO200 Fibretec B125 (F1320 schedule 125.2+141.2x3)</t>
  </si>
  <si>
    <t>Sch 1A 3.5 — TCS despite 'Hydraulic' heading (locked 5.1). REINSTATED (Denis excluded). GT2 '4 pits' RFI Opens #7.</t>
  </si>
  <si>
    <t>G2</t>
  </si>
  <si>
    <t>Grated trench GT7-GT9 Recyfix PRO100 SS heelguard (3.6+6.0+3.5)</t>
  </si>
  <si>
    <t>REINSTATED.</t>
  </si>
  <si>
    <t>G3</t>
  </si>
  <si>
    <t>Hauraton trash boxes TB200</t>
  </si>
  <si>
    <t>G4</t>
  </si>
  <si>
    <t>End caps PRO200</t>
  </si>
  <si>
    <t>G5</t>
  </si>
  <si>
    <t>End caps PRO100</t>
  </si>
  <si>
    <t>R1</t>
  </si>
  <si>
    <t>Rock beaching D50=200 x 360 deep — culvert headwalls (70.4 m2)</t>
  </si>
  <si>
    <t>Geotech-anticipated erosion protection band — base scope.</t>
  </si>
  <si>
    <t>R2</t>
  </si>
  <si>
    <t>Rock beaching d50=100 x 180 thick (179.56 m2)</t>
  </si>
  <si>
    <t>R3</t>
  </si>
  <si>
    <t>Basin rock D50=500 x 900 deep — C10 inlet/outlet (263.33 m2)</t>
  </si>
  <si>
    <t>Q1</t>
  </si>
  <si>
    <t>Bedding stone 5-7 mm — pipe trenches (0.203 T/m x trench metres)</t>
  </si>
  <si>
    <t>T</t>
  </si>
  <si>
    <t>Q2</t>
  </si>
  <si>
    <t>Bedding stone — culvert extra-over (0.4 T/m x 130.76 m RCBC; zero/negative cover regime)</t>
  </si>
  <si>
    <t>NewItems #2 priced from long-section cover data.</t>
  </si>
  <si>
    <t>Q3</t>
  </si>
  <si>
    <t>Sundry consumables</t>
  </si>
  <si>
    <t>lot</t>
  </si>
  <si>
    <t>X1</t>
  </si>
  <si>
    <t>DETENTION BASIN EARTHWORKS / CONCRETE SPILLWAY — NOT PRICED</t>
  </si>
  <si>
    <t>item</t>
  </si>
  <si>
    <t>ALLOCATION RFI PENDING (Opens #26 + Director; matrix 2.5-x4 assigns basin bulk shaping to earthworks trade). $0 carried. Full spillway build-up + labour/plant held on EBC sheet for reinstatement.</t>
  </si>
  <si>
    <t>D1</t>
  </si>
  <si>
    <t>Freight — Humes (RCP + RCBC + BCC headwalls), est loads</t>
  </si>
  <si>
    <t>load</t>
  </si>
  <si>
    <t>Load count per Humes P04 basis (186 t); confirm at order.</t>
  </si>
  <si>
    <t>D2</t>
  </si>
  <si>
    <t>Freight — Reece (Hauraton + PP + winged headwalls), est loads</t>
  </si>
  <si>
    <t>Re-based from Reece's 25 loads (RCP moved to Humes).</t>
  </si>
  <si>
    <t>D3</t>
  </si>
  <si>
    <t>Freight — Tradelink (PVC/pits) lot</t>
  </si>
  <si>
    <t>D4</t>
  </si>
  <si>
    <t>Freight — Jaybro headwalls lot</t>
  </si>
  <si>
    <t>D5</t>
  </si>
  <si>
    <t>Freight — rock cartage</t>
  </si>
  <si>
    <t>D6</t>
  </si>
  <si>
    <t>Freight — remaining materials</t>
  </si>
  <si>
    <t>Materials subtotal (escalated rates)</t>
  </si>
  <si>
    <t>x1.18 material contingency (Directive 5.4 — materials only; no quote on file embeds contingency)</t>
  </si>
  <si>
    <t>A — MATERIALS TOTAL (escalated + contingent)</t>
  </si>
  <si>
    <t>B — LABOUR (crew-days from PROGRAMME_LABOUR_PLANT Phase 7 x FIFO crew day rate; crew = 2 Trades + 1 T/A)</t>
  </si>
  <si>
    <t>A-01</t>
  </si>
  <si>
    <t>Site establishment — TCS own compound, temp services</t>
  </si>
  <si>
    <t>crew-day</t>
  </si>
  <si>
    <t>A-02</t>
  </si>
  <si>
    <t>Set-out survey + DBYD / service location</t>
  </si>
  <si>
    <t>A-03</t>
  </si>
  <si>
    <t>RCP375 CL3 mainline incl C09 twin barrels (45 m/day, flat-grade laser penalty)</t>
  </si>
  <si>
    <t>A-04</t>
  </si>
  <si>
    <t>RCP375 CL4 + RCP600 short runs</t>
  </si>
  <si>
    <t>A-05</t>
  </si>
  <si>
    <t>PP collector mains 225/300/375/450/600 — 17 m court bays</t>
  </si>
  <si>
    <t>A-06</t>
  </si>
  <si>
    <t>225 PVC DWV line 81</t>
  </si>
  <si>
    <t>A-07</t>
  </si>
  <si>
    <t>100 PVC DWV subsoil outlets / DP laterals</t>
  </si>
  <si>
    <t>A-08</t>
  </si>
  <si>
    <t>Rock extra-over trenching allowance (geotech refusal band; rates tendered separately 7.0-a)</t>
  </si>
  <si>
    <t>A-09</t>
  </si>
  <si>
    <t>Testing + CCTV attendance (crew attendance; CCTV subbie in Prelim_OH)</t>
  </si>
  <si>
    <t>A-10</t>
  </si>
  <si>
    <t>As-constructed survey + ADAC XML attendance</t>
  </si>
  <si>
    <t>A-11</t>
  </si>
  <si>
    <t>EDQ-gate remobilisation allowance (Conditions 16/17)</t>
  </si>
  <si>
    <t>B-01</t>
  </si>
  <si>
    <t>RGU inlets x33 install</t>
  </si>
  <si>
    <t>B-02</t>
  </si>
  <si>
    <t>1050 access chambers x13</t>
  </si>
  <si>
    <t>B-03</t>
  </si>
  <si>
    <t>1200 access chambers x4 incl 26-02 upstand formwork</t>
  </si>
  <si>
    <t>B-04</t>
  </si>
  <si>
    <t>600x600 field inlets x3</t>
  </si>
  <si>
    <t>B-05</t>
  </si>
  <si>
    <t>Pipe-to-pipe connections x20</t>
  </si>
  <si>
    <t>B-06</t>
  </si>
  <si>
    <t>Pipe headwalls x10</t>
  </si>
  <si>
    <t>B-07</t>
  </si>
  <si>
    <t>Concrete spillway weir 50 m — HELD AT 0 (allocation RFI pending; 10 cd on EBC sheet)</t>
  </si>
  <si>
    <t>B-08</t>
  </si>
  <si>
    <t>Rock pads / beaching 513 m2</t>
  </si>
  <si>
    <t>C-01</t>
  </si>
  <si>
    <t>C10 RCBC 2700x1200 basin outlet (crane set, shields)</t>
  </si>
  <si>
    <t>C-02</t>
  </si>
  <si>
    <t>Small culverts 600x300/750x300/900x450 (66.4 m)</t>
  </si>
  <si>
    <t>C-03</t>
  </si>
  <si>
    <t>RCBC 1200x600 + 1500x600 (46.8 m)</t>
  </si>
  <si>
    <t>C-04</t>
  </si>
  <si>
    <t>Culvert headwalls x20 incl wingwalls + beaching interface</t>
  </si>
  <si>
    <t>C-05</t>
  </si>
  <si>
    <t>WSUD DN3300 manhole install + 22 StormFilter cartridges (supply = PC Sum)</t>
  </si>
  <si>
    <t>C-06</t>
  </si>
  <si>
    <t>Grated trench drains GT1-GT4 + GT7-GT9 (561.9 m) — REINSTATED incl excavation &amp; quarry</t>
  </si>
  <si>
    <t>C-07</t>
  </si>
  <si>
    <t>Trash Box 200 x25 + 150 DWV laterals (grades to 29.2%)</t>
  </si>
  <si>
    <t>B1 — Crew labour subtotal (crew-days / $)</t>
  </si>
  <si>
    <t>A-14</t>
  </si>
  <si>
    <t>Leading Hand supervision — site-wide (DIRECT LABOUR per TriCore methodology: old Civ 'SW Zone Sumry' B13/C13/E13 prices TRADESMAN_LEADING HAND as a Day line inside the work-area labour block feeding H11; Hyd master follows the same pattern). 120 LH-days allocated pro-rata to crew-days.</t>
  </si>
  <si>
    <t>LH-day</t>
  </si>
  <si>
    <t>B — LABOUR TOTAL (crew labour + LH supervision)</t>
  </si>
  <si>
    <t>LH supervision is DIRECT COST here (not a preliminary) — see TCS_CHANGE_LOG.md S9. Prelim_OH retains a $0 traceability row.</t>
  </si>
  <si>
    <t>C — PLANT (days from Phase 7 roll-up; dry hire unless noted)</t>
  </si>
  <si>
    <t>13-16T excavator</t>
  </si>
  <si>
    <t>day</t>
  </si>
  <si>
    <t>8T excavator</t>
  </si>
  <si>
    <t>20-24T excavator</t>
  </si>
  <si>
    <t>3-5T excavator</t>
  </si>
  <si>
    <t>68 total less 5 d (B-07 spillway, on EBC) less 7 d (Stage 1B).</t>
  </si>
  <si>
    <t>Hydraulic breaker 13-15T</t>
  </si>
  <si>
    <t>Trench roller dbl drum remote</t>
  </si>
  <si>
    <t>Upright rammer / wacker</t>
  </si>
  <si>
    <t>&lt;6T tipper truck</t>
  </si>
  <si>
    <t>70 total less 1 d (Stage 1B).</t>
  </si>
  <si>
    <t>50t mobile crane (wet)</t>
  </si>
  <si>
    <t>ALLOWANCE — not in hire registers; quote at award.</t>
  </si>
  <si>
    <t>Franna / pick-and-carry (wet)</t>
  </si>
  <si>
    <t>ALLOWANCE — not in hire registers.</t>
  </si>
  <si>
    <t>Trench shields</t>
  </si>
  <si>
    <t>Vacuum excavator (TPZ/services)</t>
  </si>
  <si>
    <t>Water truck (test/flush cartage)</t>
  </si>
  <si>
    <t>3 total less 1 d (Stage 1B).</t>
  </si>
  <si>
    <t>Sump pumps / dewatering set</t>
  </si>
  <si>
    <t>Quick-cut / demo saw</t>
  </si>
  <si>
    <t>C — PLANT TOTAL</t>
  </si>
  <si>
    <t>D — SUBBIES &amp; SERVICES (rates incl x1.15 subbie escalation via Materials_Master)</t>
  </si>
  <si>
    <t>Surveyor — set-out (2 d) + as-con pickup (3 d)</t>
  </si>
  <si>
    <t>Services locator (live irrigation under ex-fields, geotech S2.0)</t>
  </si>
  <si>
    <t>Compaction testing (lots per ITP regime)</t>
  </si>
  <si>
    <t>test</t>
  </si>
  <si>
    <t>Geotech entry inspections &gt;1.5 m (WSUD, C10)</t>
  </si>
  <si>
    <t>visit</t>
  </si>
  <si>
    <t>Spoil haulage &amp; dump (0.21 m3/m trench + 0.8 m3/m culvert)</t>
  </si>
  <si>
    <t>Formula-driven from trench metres.</t>
  </si>
  <si>
    <t>D — SUBBIES TOTAL</t>
  </si>
  <si>
    <t>E — ACCOMMODATION &amp; FIFO TRAVEL share (Option A adopted; pro-rata crew-days 1A/(1A+1B))</t>
  </si>
  <si>
    <t>Accommodation + flights share — Stage 1A (pro-rata CREW-days, excl. LH supervision days)</t>
  </si>
  <si>
    <t>STAGE 1A — TOTAL COST (materials + labour + plant + subbies + accommodation)</t>
  </si>
  <si>
    <t>STAGE 1B — CIVIL STORMWATER WORK AREA (TCS)</t>
  </si>
  <si>
    <t>Stage 1B per adopted stage-split basis (VOL 20 SE_12306_SKT_CMP Rev B hatch; RFI to confirm): GT5 + GT6 + lines 60/61/83. 1B priced standalone-viable per Directive 5.2. ALL SUMS EX-GST.</t>
  </si>
  <si>
    <t>150 PVC DWV SN8 — lines 60/61/83 (district park / PAM)</t>
  </si>
  <si>
    <t>Grated trench GT5 Recyfix PRO100 SS heelguard — multi-use court (Sch 1B 4.2-a interface)</t>
  </si>
  <si>
    <t>Stage split per VOL 20 hatch (RFI).</t>
  </si>
  <si>
    <t>Grated trench GT6 Recyfix PRO200 G-tec D400 ductile — amenities bldg (Class D outlier)</t>
  </si>
  <si>
    <t>GT6 spec is PRO100 D400 code 47245; Reece offered PRO200 G-tec — substitution verify (Register Gap #7).</t>
  </si>
  <si>
    <t>Hauraton trash boxes TB100 (60-01, 60-03, 61-01, 83-01)</t>
  </si>
  <si>
    <t>Bedding stone 5-7 mm (0.203 T/m)</t>
  </si>
  <si>
    <t>Freight — Reece (GT5/GT6/TB100), est loads</t>
  </si>
  <si>
    <t>Freight — 1B misc deliveries</t>
  </si>
  <si>
    <t>x1.18 material contingency (Directive 5.4 — materials only)</t>
  </si>
  <si>
    <t>B — LABOUR (crew-days from Phase 7)</t>
  </si>
  <si>
    <t>A-12</t>
  </si>
  <si>
    <t>Stage 1B establishment / remobilisation (standalone per 5.2)</t>
  </si>
  <si>
    <t>A-13</t>
  </si>
  <si>
    <t>1B testing / CCTV attendance / ADAC share</t>
  </si>
  <si>
    <t>C-08</t>
  </si>
  <si>
    <t>GT5 + GT6 trench drains 46.6 m</t>
  </si>
  <si>
    <t>C-09</t>
  </si>
  <si>
    <t>1B lines 60/61/83 + TB100 x4 + connections</t>
  </si>
  <si>
    <t>Leading Hand supervision — 1B share (DIRECT LABOUR per TriCore methodology: old Civ 'SW Zone Sumry' B13). 120 LH-days allocated pro-rata to crew-days.</t>
  </si>
  <si>
    <t>C — PLANT</t>
  </si>
  <si>
    <t>D — SUBBIES &amp; SERVICES (x1.15 via Materials_Master)</t>
  </si>
  <si>
    <t>Surveyor — 1B set-out / as-con</t>
  </si>
  <si>
    <t>Compaction testing</t>
  </si>
  <si>
    <t>Spoil haulage &amp; dump</t>
  </si>
  <si>
    <t>E — ACCOMMODATION &amp; FIFO TRAVEL share (pro-rata CREW-days, excl. LH supervision days)</t>
  </si>
  <si>
    <t>Accommodation + flights share — Stage 1B</t>
  </si>
  <si>
    <t>STAGE 1B — TOTAL COST (materials + labour + plant + subbies + accommodation)</t>
  </si>
  <si>
    <t>LABOUR RATES MASTER — FIFO ROSTER (TCS)</t>
  </si>
  <si>
    <t>Work ROSTER Example #3 - 6-Day Week, 10Hr Days, Stay @ Rocky for W/E, Return Every 2nd W/E. (FLY)</t>
  </si>
  <si>
    <t>Source: MasterCostSheet_Hyd.V1 'LabourProject Rates_Master' (monthly bases frozen from severed external link [2] CQU ROK_Staff Costing.V1_Steph.xlsx) x 1.08 ROK uplift per Directive 5.4. All ex GST.</t>
  </si>
  <si>
    <t>Working Days / Month</t>
  </si>
  <si>
    <t>Avrg Hours / Day</t>
  </si>
  <si>
    <t>Avrg Hours / Month</t>
  </si>
  <si>
    <t>ROK uplift factor (Directive 5.4)</t>
  </si>
  <si>
    <t>Classification</t>
  </si>
  <si>
    <t>Unit basis</t>
  </si>
  <si>
    <t>Monthly base ($)</t>
  </si>
  <si>
    <t>Uplifted monthly ($)</t>
  </si>
  <si>
    <t>Hourly ($/hr)</t>
  </si>
  <si>
    <t>Day ($/10-hr day)</t>
  </si>
  <si>
    <t>Week ($/wk)</t>
  </si>
  <si>
    <t>Source / check</t>
  </si>
  <si>
    <t>TRADESMAN_LEADING HAND</t>
  </si>
  <si>
    <t>per month</t>
  </si>
  <si>
    <t>Hyd master E17 (was $123.1143/hr) -&gt; x1.08 target $132.9634/hr</t>
  </si>
  <si>
    <t>TRADESMAN_PLUMBER_OPERATOR (Trades)</t>
  </si>
  <si>
    <t>Hyd master E24 (was $94.1165/hr) -&gt; x1.08 target $101.6458/hr</t>
  </si>
  <si>
    <t>T/A &amp; APPRENTICE</t>
  </si>
  <si>
    <t>Hyd master E31 (was $76.8065/hr) -&gt; x1.08 target $82.9510/hr</t>
  </si>
  <si>
    <t>CIVIL CREW (2 x Trades + 1 x T/A) — Phase 7 crew convention</t>
  </si>
  <si>
    <t>per 10-hr day</t>
  </si>
  <si>
    <t>Crew day rate check vs Phase 7 indicative $2,862.43/crew-day</t>
  </si>
  <si>
    <t>Uplifted hourly rates carried: LH $132.9634 / Trades $101.6458 / T/A $82.9510 (Directive 5.4). Cascade is fully formula-driven: month -&gt; x1.08 -&gt; hour(/210) / day(/21) / week(/4).</t>
  </si>
  <si>
    <t>MATERIALS MASTER — TCS (adopted rates, ex GST)</t>
  </si>
  <si>
    <t>Every rate carries its source and a per-rate escalation decision. Escalation factors are the CQU-architecture 'april 2026 direct impact Increase % (not contingency)' set, applied ONLY where MATERIAL_QUOTE_REGISTER KeyRates safe-to-multiply flag confirms the rate is not already loaded. All quotes on file are current-price offers with no embedded escalation (Register S3).</t>
  </si>
  <si>
    <t>Escalation factors (Directive / CQU block J14:M19):</t>
  </si>
  <si>
    <t>PE / PVC pipe &amp; fittings</t>
  </si>
  <si>
    <t>Subby rates</t>
  </si>
  <si>
    <t>Delivery / freight</t>
  </si>
  <si>
    <t>Material contingency (Directive 5.4 — materials only, applied on work-area subtotals; never on labour/plant/PC/provisional)</t>
  </si>
  <si>
    <t>Code</t>
  </si>
  <si>
    <t>Item</t>
  </si>
  <si>
    <t>Base rate</t>
  </si>
  <si>
    <t>Source</t>
  </si>
  <si>
    <t>Factor</t>
  </si>
  <si>
    <t>Adopted rate</t>
  </si>
  <si>
    <t>Escalation decision / note</t>
  </si>
  <si>
    <t>M01</t>
  </si>
  <si>
    <t>RCP 375 CL3/CL4 RRJ (priced at Humes Class 4 rate; no CL3 quote on file — conservative)</t>
  </si>
  <si>
    <t>Humes Q21642316 REV2 ($256.20/2.44 m eff.)</t>
  </si>
  <si>
    <t>Concrete/precast: no directed category factor (not PE/PVC/subbie/delivery); 2027 escalation risk carried inside x1.18 material contingency + re-quote condition at award. Humes 299 vs Reece 262 take-off discrepancy noted — our adopted 714.9 m governs.</t>
  </si>
  <si>
    <t>M02</t>
  </si>
  <si>
    <t>375 rubber ring</t>
  </si>
  <si>
    <t>Humes Q21642316 REV2</t>
  </si>
  <si>
    <t>Concrete/precast: no directed category factor (not PE/PVC/subbie/delivery); 2027 escalation risk carried inside x1.18 material contingency + re-quote condition at award.</t>
  </si>
  <si>
    <t>M03</t>
  </si>
  <si>
    <t>RCP 600 CL3 RRJ</t>
  </si>
  <si>
    <t>Humes Q21642316 REV2 ($447.90/2.44 m)</t>
  </si>
  <si>
    <t>M04</t>
  </si>
  <si>
    <t>600 rubber ring (allowance)</t>
  </si>
  <si>
    <t>Old Civ workbook rate (benchmark)</t>
  </si>
  <si>
    <t>Benchmark-derived; minor value.</t>
  </si>
  <si>
    <t>M05</t>
  </si>
  <si>
    <t>225 PP Stormpro SN8 (or equal)</t>
  </si>
  <si>
    <t>Reece Q-459014445 ($216.10/5.99 m)</t>
  </si>
  <si>
    <t>PP priced (drawings label PP; 'HDPE PN100' not a real class — Opens #5). Atlan HDPE cheaper but day-of-issue validity + spec acceptance unconfirmed — NOT adopted. KeyRates safe-flag Y -&gt; x1.38 PE family.</t>
  </si>
  <si>
    <t>M06</t>
  </si>
  <si>
    <t>300 PP Stormpro SN8</t>
  </si>
  <si>
    <t>DERIVED — interpolated Reece Stormpro curve (225=$36.08/m, 375=$92.01/m)</t>
  </si>
  <si>
    <t>Benchmark-derived (no 300 rate quoted); re-quote at award. x1.38 PE family.</t>
  </si>
  <si>
    <t>M07</t>
  </si>
  <si>
    <t>375 PP Stormpro SN8</t>
  </si>
  <si>
    <t>Reece Q-459014445 ($545.62/5.93 m)</t>
  </si>
  <si>
    <t>KeyRates safe-flag Y -&gt; x1.38 PE family.</t>
  </si>
  <si>
    <t>M08</t>
  </si>
  <si>
    <t>450 PP Stormpro SN8</t>
  </si>
  <si>
    <t>DERIVED — interpolated Reece Stormpro curve (375=$92.01/m, 600=$226.03/m)</t>
  </si>
  <si>
    <t>Benchmark-derived (no 450 rate quoted); re-quote at award. x1.38 PE family.</t>
  </si>
  <si>
    <t>M09</t>
  </si>
  <si>
    <t>600 PP Stormpro SN8</t>
  </si>
  <si>
    <t>Reece Q-459014445 ($1,322.30/5.85 m)</t>
  </si>
  <si>
    <t>M10</t>
  </si>
  <si>
    <t>225 PVC DWV SN8 SWJ</t>
  </si>
  <si>
    <t>Tradelink 1065005 R1 ($776.50/6 m)</t>
  </si>
  <si>
    <t>KeyRates safe-flag Y -&gt; x1.38 PVC. Tradelink freight is a separate lot line (M56) — rate not freight-loaded.</t>
  </si>
  <si>
    <t>M11</t>
  </si>
  <si>
    <t>150 PVC DWV SN8 SWJ</t>
  </si>
  <si>
    <t>Tradelink 1065005 R1 ($220.10/6 m)</t>
  </si>
  <si>
    <t>As M10.</t>
  </si>
  <si>
    <t>M12</t>
  </si>
  <si>
    <t>100 PVC DWV SN6 SWJ</t>
  </si>
  <si>
    <t>Reece Q-459014445 ($43.07/6 m)</t>
  </si>
  <si>
    <t>KeyRates safe-flag Y -&gt; x1.38 PVC.</t>
  </si>
  <si>
    <t>M13</t>
  </si>
  <si>
    <t>100 PVC 90 deg bend</t>
  </si>
  <si>
    <t>Old Civ workbook rate (benchmark — no current quote)</t>
  </si>
  <si>
    <t>Benchmark-derived; x1.38 PVC; re-quote at award.</t>
  </si>
  <si>
    <t>M14</t>
  </si>
  <si>
    <t>100 PVC 45 deg bend</t>
  </si>
  <si>
    <t>As M13.</t>
  </si>
  <si>
    <t>M15</t>
  </si>
  <si>
    <t>M16</t>
  </si>
  <si>
    <t>100 PVC 45 deg junction</t>
  </si>
  <si>
    <t>M17</t>
  </si>
  <si>
    <t>M18</t>
  </si>
  <si>
    <t>225x100 PVC 45 deg junction</t>
  </si>
  <si>
    <t>M19</t>
  </si>
  <si>
    <t>Inspection opening c/w galvanised cover flush with surface</t>
  </si>
  <si>
    <t>PVC assembly — x1.38; re-quote at award.</t>
  </si>
  <si>
    <t>M20</t>
  </si>
  <si>
    <t>Pipe-to-pipe / pipe-to-culvert connection materials (couplers, epoxy, mortar)</t>
  </si>
  <si>
    <t>Old Civ workbook rates $150-600 (benchmark allowance)</t>
  </si>
  <si>
    <t>Connection allowance, not a supplier rate — factor 1.00; escalation risk inside x1.18 contingency.</t>
  </si>
  <si>
    <t>M21</t>
  </si>
  <si>
    <t>Jointing lubricant 1L</t>
  </si>
  <si>
    <t>Minor consumable.</t>
  </si>
  <si>
    <t>M22</t>
  </si>
  <si>
    <t>RCBC 600x300 crown unit (2.4 m)</t>
  </si>
  <si>
    <t>Humes Q21642316 REV2 (vs Reece $1,136.36 — Humes adopted)</t>
  </si>
  <si>
    <t>M23</t>
  </si>
  <si>
    <t>RCBC 750x300 crown unit (2.4 m)</t>
  </si>
  <si>
    <t>Humes Q21642316 REV2 (vs Reece $1,330.91)</t>
  </si>
  <si>
    <t>M24</t>
  </si>
  <si>
    <t>RCBC 900x450 crown unit (2.4 m)</t>
  </si>
  <si>
    <t>Humes Q21642316 REV2 (vs Reece $1,599.77)</t>
  </si>
  <si>
    <t>M25</t>
  </si>
  <si>
    <t>RCBC 1200x600 crown unit (2.4 m)</t>
  </si>
  <si>
    <t>M26</t>
  </si>
  <si>
    <t>Large box culvert 1500x600 (2.4 m) AS1597.2</t>
  </si>
  <si>
    <t>Humes Q21642316 REV2 (vs Reece $3,483.77; Humes qty 13 vs Reece 8 — our 29.04 m governs)</t>
  </si>
  <si>
    <t>M27</t>
  </si>
  <si>
    <t>Large box culvert 2700x1200 (2.4 m) AS1597.2</t>
  </si>
  <si>
    <t>Humes Q21642316 REV2 (vs Reece $6,797.67)</t>
  </si>
  <si>
    <t>M28</t>
  </si>
  <si>
    <t>Headwall to suit 375 RCP (winged)</t>
  </si>
  <si>
    <t>Reece Q-459014445 (vs Humes $380.80 / Jaybro $372+freight — Reece adopted)</t>
  </si>
  <si>
    <t>M29</t>
  </si>
  <si>
    <t>Headwall to suit 2x375 RCP twin cell</t>
  </si>
  <si>
    <t>Humes Q21642316 REV2 (vs Jaybro $1,670 — Humes adopted)</t>
  </si>
  <si>
    <t>M30</t>
  </si>
  <si>
    <t>Headwall to suit 150 PVC</t>
  </si>
  <si>
    <t>Jaybro email 16/07/26 (freight excluded — carried at M57)</t>
  </si>
  <si>
    <t>M31</t>
  </si>
  <si>
    <t>Headwall to suit 225 PVC</t>
  </si>
  <si>
    <t>Jaybro email 16/07/26 (freight excluded — M57)</t>
  </si>
  <si>
    <t>M32</t>
  </si>
  <si>
    <t>Headwall to suit 300 PP/HDPE</t>
  </si>
  <si>
    <t>M33</t>
  </si>
  <si>
    <t>BCC headwall 600x300</t>
  </si>
  <si>
    <t>Humes Q21642316 REV2 (Jaybro declined all RCBC headwalls)</t>
  </si>
  <si>
    <t>M34</t>
  </si>
  <si>
    <t>BCC headwall 750x300</t>
  </si>
  <si>
    <t>M35</t>
  </si>
  <si>
    <t>BCC headwall 900x450</t>
  </si>
  <si>
    <t>M36</t>
  </si>
  <si>
    <t>BCC headwall 1200x600</t>
  </si>
  <si>
    <t>M37</t>
  </si>
  <si>
    <t>BCC headwall 1500x600</t>
  </si>
  <si>
    <t>M38</t>
  </si>
  <si>
    <t>BCC headwall 2700x1200</t>
  </si>
  <si>
    <t>M39</t>
  </si>
  <si>
    <t>RGU inlet unit 2.4 m lintel (CMDG-D-020) supply set</t>
  </si>
  <si>
    <t>Old Civ workbook allowance (benchmark — NO current RGU quote: sourcing gap)</t>
  </si>
  <si>
    <t>Benchmark-derived; RGU/lintel package to be quoted at award. Escalation inside contingency.</t>
  </si>
  <si>
    <t>M40</t>
  </si>
  <si>
    <t>1050 dia precast chamber shaft x900 (CMDG-D-030)</t>
  </si>
  <si>
    <t>Old Civ workbook rate (Humes-era benchmark)</t>
  </si>
  <si>
    <t>M41</t>
  </si>
  <si>
    <t>Aspro cover slab 1050x1350 (600x900 hole)</t>
  </si>
  <si>
    <t>M42</t>
  </si>
  <si>
    <t>1200x900 precast chamber shaft</t>
  </si>
  <si>
    <t>M43</t>
  </si>
  <si>
    <t>1200x1200 precast chamber shaft</t>
  </si>
  <si>
    <t>M44</t>
  </si>
  <si>
    <t>Aspro cover slab 1200x1650 (600x900 hole)</t>
  </si>
  <si>
    <t>M45</t>
  </si>
  <si>
    <t>Grate &amp; frame 600x900 Class D galv</t>
  </si>
  <si>
    <t>Old Civ workbook rate (benchmark; cf Tradelink 600 sq $365.20)</t>
  </si>
  <si>
    <t>M46</t>
  </si>
  <si>
    <t>600x600x600 HD concrete pit (80 wall)</t>
  </si>
  <si>
    <t>Tradelink 1065005 R1 (re-sourced from old $168 allowance)</t>
  </si>
  <si>
    <t>M47</t>
  </si>
  <si>
    <t>600x600 Class D grate &amp; frame (HD)</t>
  </si>
  <si>
    <t>Tradelink 1065005 R1 (re-sourced from old $195)</t>
  </si>
  <si>
    <t>M48</t>
  </si>
  <si>
    <t>Hauraton Recyfix PRO200 T010 + Fibretec slotted grate B125 (47246)</t>
  </si>
  <si>
    <t>Reece Q-459014445 lines 21-28 (embedded '$198.00' negotiated-rate anomaly — confirm with Reece; delta $19,217)</t>
  </si>
  <si>
    <t>Recyfix = recycled PE-PP channel; KeyRates x1.38 safe-flag Y -&gt; PE family factor applied.</t>
  </si>
  <si>
    <t>M49</t>
  </si>
  <si>
    <t>Hauraton Recyfix PRO100 T010 + SS304 heelguard grate, 200 deep</t>
  </si>
  <si>
    <t>Reece Q-459014445</t>
  </si>
  <si>
    <t>As M48.</t>
  </si>
  <si>
    <t>M50</t>
  </si>
  <si>
    <t>Hauraton Recyfix PRO200 T010 + G-tec ductile iron grate Cl D400</t>
  </si>
  <si>
    <t>Reece Q-459014445 (GT6 spec is PRO100 D400 G-tec code 47245 — substitution to be verified, Register Gap #7)</t>
  </si>
  <si>
    <t>As M48; GT6 substitution flag carried.</t>
  </si>
  <si>
    <t>M51</t>
  </si>
  <si>
    <t>Hauraton trash box PRO200 c/w galv mud bucket + Fibretec grate</t>
  </si>
  <si>
    <t>M52</t>
  </si>
  <si>
    <t>Hauraton trash box PRO100 c/w PE mud bucket + Fibretec grate</t>
  </si>
  <si>
    <t>M53</t>
  </si>
  <si>
    <t>End cap PRO/NC200 T010 c/w DN100 PVC outlet</t>
  </si>
  <si>
    <t>M54</t>
  </si>
  <si>
    <t>End cap closed PRO100 T010 200 deep</t>
  </si>
  <si>
    <t>M55</t>
  </si>
  <si>
    <t>Freight — Humes concrete to site FOT &lt;24 km (customer to unload)</t>
  </si>
  <si>
    <t>Humes Q21642316 REV2 (35 loads inside their total; unload/cranage by others — crane carried in plant)</t>
  </si>
  <si>
    <t>Delivery x1.20 (KeyRates: escalation needed once; freight not already in item rates).</t>
  </si>
  <si>
    <t>M56</t>
  </si>
  <si>
    <t>Freight — Reece concrete/Hauraton (customer to unload)</t>
  </si>
  <si>
    <t>As M55. Load count re-based to our split-supplier scope (RCP moved to Humes).</t>
  </si>
  <si>
    <t>M57</t>
  </si>
  <si>
    <t>Freight — Tradelink supplier freight/handling</t>
  </si>
  <si>
    <t>Tradelink 1065005 R1 (SF line inside their total)</t>
  </si>
  <si>
    <t>Applied once — do not add again on Tradelink items.</t>
  </si>
  <si>
    <t>M58</t>
  </si>
  <si>
    <t>Freight — Jaybro regional lot to Rockhampton</t>
  </si>
  <si>
    <t>Jaybro 20043160 benchmark ('No allowance for freight' on email rates)</t>
  </si>
  <si>
    <t>Adder required once for Jaybro headwalls.</t>
  </si>
  <si>
    <t>M59</t>
  </si>
  <si>
    <t>Freight — rock cartage (kerb/headwall/basin rock)</t>
  </si>
  <si>
    <t>Old Civ workbook freight rows $500+$4,250 (benchmark)</t>
  </si>
  <si>
    <t>Benchmark-derived.</t>
  </si>
  <si>
    <t>M60</t>
  </si>
  <si>
    <t>Freight — remaining materials / smalls</t>
  </si>
  <si>
    <t>Old Civ workbook allowance (benchmark)</t>
  </si>
  <si>
    <t>M61</t>
  </si>
  <si>
    <t>Freight — Stage 1B misc deliveries</t>
  </si>
  <si>
    <t>Estimator allowance (1B standalone viability per 5.2)</t>
  </si>
  <si>
    <t>M62</t>
  </si>
  <si>
    <t>Bedding stone 5-7 mm</t>
  </si>
  <si>
    <t>Old Civ TCS quarry rate table (benchmark; re-quote at award)</t>
  </si>
  <si>
    <t>Quarry supply — no directed factor; escalation inside contingency. Cartage in M59/M60.</t>
  </si>
  <si>
    <t>M63</t>
  </si>
  <si>
    <t>Rock beaching D50=200-500 (headwall/basin pads)</t>
  </si>
  <si>
    <t>M64</t>
  </si>
  <si>
    <t>Rock beaching d50=100, 180 thick</t>
  </si>
  <si>
    <t>M65</t>
  </si>
  <si>
    <t>Concrete 32 MPa (spillway/surrounds)</t>
  </si>
  <si>
    <t>Old Civ workbook rate table E362 (benchmark)</t>
  </si>
  <si>
    <t>M66</t>
  </si>
  <si>
    <t>SL72 mesh sheet</t>
  </si>
  <si>
    <t>sheet</t>
  </si>
  <si>
    <t>Estimator benchmark</t>
  </si>
  <si>
    <t>M67</t>
  </si>
  <si>
    <t>Type 2.3 sub-base</t>
  </si>
  <si>
    <t>Old Civ CBR15 rate (benchmark)</t>
  </si>
  <si>
    <t>M68</t>
  </si>
  <si>
    <t>Sundry consumables (marker tape, glue, primer, couplers, concrete bags, geofabric)</t>
  </si>
  <si>
    <t>Old Civ workbook consumable rows (benchmark roll-up)</t>
  </si>
  <si>
    <t>M69</t>
  </si>
  <si>
    <t>Kerb chute structure materials (concrete invert, kerb returns, R1000) per chute</t>
  </si>
  <si>
    <t>Estimator build-up from F1325 detail (benchmark)</t>
  </si>
  <si>
    <t>EBC item — Director decision D6-F1.</t>
  </si>
  <si>
    <t>M70</t>
  </si>
  <si>
    <t>Erosion control matting</t>
  </si>
  <si>
    <t>m2</t>
  </si>
  <si>
    <t>EBC item (kerb chutes).</t>
  </si>
  <si>
    <t>M71</t>
  </si>
  <si>
    <t>Kerb chute rock DIA 100, 180 thick</t>
  </si>
  <si>
    <t>M72</t>
  </si>
  <si>
    <t>CCTV of drainage (independent approved firm) per metre</t>
  </si>
  <si>
    <t>Benchmark-derived (VOL38 3.56 obligation; old Civ $1,680/zone)</t>
  </si>
  <si>
    <t>Subbie x1.15.</t>
  </si>
  <si>
    <t>M73</t>
  </si>
  <si>
    <t>Surveyor (set-out / as-con pickup)</t>
  </si>
  <si>
    <t>Phase 7 rate $180/hr x 10 hr</t>
  </si>
  <si>
    <t>M74</t>
  </si>
  <si>
    <t>Services locator</t>
  </si>
  <si>
    <t>Phase 7 rate $130/hr x 10 hr</t>
  </si>
  <si>
    <t>M75</t>
  </si>
  <si>
    <t>Compaction testing per test</t>
  </si>
  <si>
    <t>Old Civ register rate (benchmark)</t>
  </si>
  <si>
    <t>M76</t>
  </si>
  <si>
    <t>Geotech entry inspection (&gt;1.5 m excavations) per visit</t>
  </si>
  <si>
    <t>Estimator benchmark (NQL2024-0320 5.3.3 obligation)</t>
  </si>
  <si>
    <t>M77</t>
  </si>
  <si>
    <t>Old Civ workbook rate L330 (benchmark)</t>
  </si>
  <si>
    <t>Cartage service x1.15 (not a material — excluded from x1.18 contingency by placement in Subbies block).</t>
  </si>
  <si>
    <t>EQUIPMENT / HIRE MASTER — TCS</t>
  </si>
  <si>
    <t>Adopted plant day rates (dry hire unless noted). Source register header says WEEKLY (5-day) but unit column says Day — treated as $/day (conservative), flagged for confirmation (Phase 7 flag carried).</t>
  </si>
  <si>
    <t>Rate ex GST</t>
  </si>
  <si>
    <t>In hire register?</t>
  </si>
  <si>
    <t>Hyd Equip&amp;HIRE_Master</t>
  </si>
  <si>
    <t>Y</t>
  </si>
  <si>
    <t>Mainline / PP / DWV trenching</t>
  </si>
  <si>
    <t>Crew B pits / structures</t>
  </si>
  <si>
    <t>Culverts, WSUD, rock band</t>
  </si>
  <si>
    <t>GT drains, trash boxes, laterals, rock pads</t>
  </si>
  <si>
    <t>Rock extra-over band only</t>
  </si>
  <si>
    <t>VFMP water excavation in NRZs (arborist supervised)</t>
  </si>
  <si>
    <t>Hyd Equip&amp;HIRE_Master (flexdrive set)</t>
  </si>
  <si>
    <t>Wet-season seepage per geotech S4.2</t>
  </si>
  <si>
    <t>Misc Subbie Rates $110/hr wet x 10 hr</t>
  </si>
  <si>
    <t>No site water — ITT S17.3</t>
  </si>
  <si>
    <t>ALLOWANCE — quote at award</t>
  </si>
  <si>
    <t>N — FLAG: NOT IN HIRE REGISTERS</t>
  </si>
  <si>
    <t>C10 RCBC 2700x1200 + WSUD DN3300 sets</t>
  </si>
  <si>
    <t>Culvert crown units</t>
  </si>
  <si>
    <t>WSUD + C10 + entered runs &gt;1.5 m per geotech 5.3.3</t>
  </si>
  <si>
    <t>Benchmark (Civ register $100/wk Coates line — treated /day)</t>
  </si>
  <si>
    <t>Y (weekly basis)</t>
  </si>
  <si>
    <t>GT drain cutting</t>
  </si>
  <si>
    <t>PE butt/electrofusion welder</t>
  </si>
  <si>
    <t>NOT REQUIRED — TCS scope has no PE pressure welding (rising main = TPS)</t>
  </si>
  <si>
    <t>N — FLAG: ABSENT FROM ALL REGISTERS</t>
  </si>
  <si>
    <t>Flagged per rebuild direction; if scope changes, quote at award</t>
  </si>
  <si>
    <t>REFERENCE — MIGRATED FROM MasterCostSheet_Civ.V1 'Equip&amp;HIRE' (weekly 5-day rates, all qty=0 in old model; retained for comparison only — NOT used in pricing)</t>
  </si>
  <si>
    <t>TCS wkly</t>
  </si>
  <si>
    <t>CAT (ROK) wkly</t>
  </si>
  <si>
    <t>COATES wkly</t>
  </si>
  <si>
    <t>ONSITE wkly</t>
  </si>
  <si>
    <t>Skid Steer Loader_Tracked</t>
  </si>
  <si>
    <t>Skid Steer Loader_Wheeled</t>
  </si>
  <si>
    <t>4.5-6Ton_Excavator</t>
  </si>
  <si>
    <t>8Ton_Excavator</t>
  </si>
  <si>
    <t>10-12Ton_Excavator</t>
  </si>
  <si>
    <t>14-16Ton_Excavator</t>
  </si>
  <si>
    <t>20-24Ton_Excavator</t>
  </si>
  <si>
    <t>Ripper_10-12T</t>
  </si>
  <si>
    <t>Ripper_14-16T</t>
  </si>
  <si>
    <t>Ripper_20-24T</t>
  </si>
  <si>
    <t>Auger Drive_10-12T</t>
  </si>
  <si>
    <t>300Dia Auger Drill</t>
  </si>
  <si>
    <t>2-4T_Tipper Truck</t>
  </si>
  <si>
    <t>6-12T_Tipper Truck</t>
  </si>
  <si>
    <t>&lt;10T_Articulated Site Tipper</t>
  </si>
  <si>
    <t>Upright Rammer_Wacker</t>
  </si>
  <si>
    <t>Trench Roller_Dbl Drum_Remote</t>
  </si>
  <si>
    <t>&lt;26Ft_Scissor Lift - Diesel</t>
  </si>
  <si>
    <t>&lt;34Ft_Boom Lift - Diesel</t>
  </si>
  <si>
    <t>Porta Loo_No Tank</t>
  </si>
  <si>
    <t>3.6*3m Demountable Office</t>
  </si>
  <si>
    <t>20Ft Shipping Container</t>
  </si>
  <si>
    <t>Quick Cut Demo Saw</t>
  </si>
  <si>
    <t>Sngl Ph_6KVA Genset</t>
  </si>
  <si>
    <t>Diesel Air Compressor_Trailer</t>
  </si>
  <si>
    <t>Air Breaker - Heavy</t>
  </si>
  <si>
    <t>Air Hose &lt;10m</t>
  </si>
  <si>
    <t>Elec Breaker/Jackhammer</t>
  </si>
  <si>
    <t>Flexdrive Motor Unit</t>
  </si>
  <si>
    <t>Flexdrive_Pump Shaft</t>
  </si>
  <si>
    <t>Temporary Power Board</t>
  </si>
  <si>
    <t>Dual CabUte</t>
  </si>
  <si>
    <t>10m3_Skip Bin</t>
  </si>
  <si>
    <t>Vac Truck / HR</t>
  </si>
  <si>
    <t>TRANSPORT_Ex ROK - Return (22T)</t>
  </si>
  <si>
    <t>ACCOMMODATION &amp; FIFO TRAVEL — TCS</t>
  </si>
  <si>
    <t>Basis: Roster Example #3 — 6-day week, 10-hr days, stay Rockhampton weekends, fly home every 2nd weekend. 21 work-days / 210 hrs per month. Rates ex GST from Accomodation_Master (Hyd). No shared accommodation between entities (Directive 5.2).</t>
  </si>
  <si>
    <t>Full apartment/townhouse via agent (houses crew of 3), per month</t>
  </si>
  <si>
    <t>Accomodation_Master E308 ex GST</t>
  </si>
  <si>
    <t>Individual private unit, nightly</t>
  </si>
  <si>
    <t>Accomodation_Master F364 ex GST</t>
  </si>
  <si>
    <t>Nights per person-month (approx 5 nights home / month on 2nd-weekend fly-back)</t>
  </si>
  <si>
    <t>Flight one-way (Qantas, no checked luggage) ex GST</t>
  </si>
  <si>
    <t>Misc Subbie Rates_Master: $220 incl GST -&gt; $200 ex GST</t>
  </si>
  <si>
    <t>Return flights per person-month (fly home every 2nd weekend)</t>
  </si>
  <si>
    <t>Month</t>
  </si>
  <si>
    <t>Persons on site (incl LH)</t>
  </si>
  <si>
    <t>Apartments (3/apt)</t>
  </si>
  <si>
    <t>Apartment cost</t>
  </si>
  <si>
    <t>Individual nights</t>
  </si>
  <si>
    <t>Individual cost</t>
  </si>
  <si>
    <t>M1  (A+B+C+LH)</t>
  </si>
  <si>
    <t>M2  (A+B+C+LH)</t>
  </si>
  <si>
    <t>M3  (B+C+LH)</t>
  </si>
  <si>
    <t>M4  (B+LH)</t>
  </si>
  <si>
    <t>M5  (B+C+LH)</t>
  </si>
  <si>
    <t>M6  (A+C+LH)</t>
  </si>
  <si>
    <t>TOTAL (6 months)</t>
  </si>
  <si>
    <t>LH individual nights (Option A: LH on nightly individual, 6 months x 25 nights)</t>
  </si>
  <si>
    <t>OPTION A — apartments (crews) + LH individual  [ADOPTED]</t>
  </si>
  <si>
    <t>OPTION B — all individual nightly  (shown for comparison; NOT adopted)</t>
  </si>
  <si>
    <t>Option B premium vs Option A</t>
  </si>
  <si>
    <t>FIFO return flights (person-months x returns/month x 2 legs x one-way rate)</t>
  </si>
  <si>
    <t>TOTAL ACCOMMODATION + FIFO TRAVEL (Option A, adopted) — carried to work-area cost pro-rata crew-days</t>
  </si>
  <si>
    <t>PRELIMINARIES &amp; OVERHEAD — BOTTOM-UP CROSS-CHECK (TCS)</t>
  </si>
  <si>
    <t>The sell carries Prelims 5.5% + OH 18% + Profit 18%, EACH calculated ON TOTAL COST per Directive 5.4 (no compounding). This sheet builds TRUE PRELIMINARIES bottom-up and cross-checks the 5.5% allowance. Items here are NOT added to the sell — they are funded from the 5.5% pool. Leading Hand supervision is NOT a preliminary: per TriCore methodology it is DIRECT LABOUR and is priced in the Stage 1A/1B labour blocks (row retained below at $0 for traceability). All ex GST.</t>
  </si>
  <si>
    <t>Basis / note</t>
  </si>
  <si>
    <t>LH SUPERVISION</t>
  </si>
  <si>
    <t>Leading Hand supervision (site-wide, both stages) — REALLOCATED TO DIRECT LABOUR</t>
  </si>
  <si>
    <t>REALLOCATED to direct labour per TriCore methodology (old Civ 'SW Zone Sumry' B13 prices TRADESMAN_LEADING HAND as a Day line inside the work-area labour block) — see TCS_CHANGE_LOG.md S9. Row retained at ZERO for traceability; the 120 LH-days are priced at Stage1A_Drainage A-14 and Stage1B_Drainage A-14. Rate shown for reference.</t>
  </si>
  <si>
    <t>ESTABLISHMENT (non-labour; establishment crew-days are in Stage1A/1B labour A-01/A-12)</t>
  </si>
  <si>
    <t>Compound set-up: fencing, gates, signage, rumble grid/washdown (VFMP)</t>
  </si>
  <si>
    <t>Estimator allowance — VFMP washdown compliance.</t>
  </si>
  <si>
    <t>20 ft container / site storage</t>
  </si>
  <si>
    <t>month</t>
  </si>
  <si>
    <t>Benchmark (register weekly rates implausibly low — flagged).</t>
  </si>
  <si>
    <t>Site admin, stationery, Greenstar admin</t>
  </si>
  <si>
    <t>Old Civ Prelim rate $1,600/mo.</t>
  </si>
  <si>
    <t>Site PPE</t>
  </si>
  <si>
    <t>Old Civ Prelim rate.</t>
  </si>
  <si>
    <t>Site consumables — paint, tapes etc</t>
  </si>
  <si>
    <t>Site management — bollards, pickets, barrier mesh</t>
  </si>
  <si>
    <t>Dual cab ute</t>
  </si>
  <si>
    <t>Civ Equip&amp;HIRE $125/wk x 4.33.</t>
  </si>
  <si>
    <t>10 m3 skip bin + waste</t>
  </si>
  <si>
    <t>Benchmark incl exchanges (spoil stays on site per Add 2 — general waste only).</t>
  </si>
  <si>
    <t>TEMPORARY SERVICES — TCS OWN SHARE (locked Split; nothing shared, ITT S17.3: no site power or water)</t>
  </si>
  <si>
    <t>Portable toilets + wash station (2 no.)</t>
  </si>
  <si>
    <t>week</t>
  </si>
  <si>
    <t>Benchmark 2 x $60/wk.</t>
  </si>
  <si>
    <t>6 KVA genset + fuel</t>
  </si>
  <si>
    <t>Civ register $50/wk + fuel allowance.</t>
  </si>
  <si>
    <t>Temporary potable water storage + CARTAGE (no site water)</t>
  </si>
  <si>
    <t>Estimator allowance — ITT S17.3; incl temp water cartage for amenities/testing top-up.</t>
  </si>
  <si>
    <t>Temporary power boards / leads</t>
  </si>
  <si>
    <t>Civ register rate.</t>
  </si>
  <si>
    <t>EDQ GATE</t>
  </si>
  <si>
    <t>EDQ-gate remobilisation — plant float 2 loads</t>
  </si>
  <si>
    <t>RPT006_B S3.1 Conditions 16/17; $200/hr x 4 hr/load. Crew remobilisation 4 crew-days carried in Stage1A labour A-11 (not here — no double count).</t>
  </si>
  <si>
    <t>QA DELIVERABLES — ADAC / CCTV / AS-CONSTRUCTED</t>
  </si>
  <si>
    <t>CCTV of all TCS in-ground drainage (independent approved firm, Superintendent present)</t>
  </si>
  <si>
    <t>VOL38 3.56; qty = 1A + 1B pipe metres (formula); rate x1.15 subbie.</t>
  </si>
  <si>
    <t>ADAC XML preparation + validation (TCS stormwater assets)</t>
  </si>
  <si>
    <t>ITT S19 / CMDG ADAC deliverable — estimator allowance.</t>
  </si>
  <si>
    <t>RPEQ certification + as-constructed drawing preparation</t>
  </si>
  <si>
    <t>Estimator allowance; surveyor pickup attendance already in Stage subbies.</t>
  </si>
  <si>
    <t>Drainage clean / pre-PC de-silt (S24)</t>
  </si>
  <si>
    <t>Estimator allowance.</t>
  </si>
  <si>
    <t>BOTTOM-UP PRELIMS TOTAL</t>
  </si>
  <si>
    <t>5.5% PRELIMS ALLOWANCE (as carried in the sell = 5.5% x total cost 1A+1B)</t>
  </si>
  <si>
    <t>CROSS-CHECK — variance (allowance less bottom-up; negative = allowance shortfall)</t>
  </si>
  <si>
    <t>Variance % (bottom-up vs allowance)</t>
  </si>
  <si>
    <t>OVERHEAD CROSS-CHECK</t>
  </si>
  <si>
    <t>OH 18% x total cost (as carried in the sell)</t>
  </si>
  <si>
    <t>TriCore overheads benchmark — $20,000/month x 6 months (old Civ Prelim_OH-Check rate)</t>
  </si>
  <si>
    <t>OH margin vs benchmark</t>
  </si>
  <si>
    <t>EBC — EXCLUDED-BUT-COSTED / DIRECTOR-PENDING REGISTER (TCS)</t>
  </si>
  <si>
    <t>Add-prices computed at the same commercial basis as the base model (escalated rates, x1.18 on materials, 41.5% on cost). Reinstatement cell references given per item. ALL EX-GST.</t>
  </si>
  <si>
    <t>E1 — KERB CHUTES x9 — 'Director decision D6-F1' (BOTH POSITIONS CARRIED — do not close either way)</t>
  </si>
  <si>
    <t>Position 1 (BASE, as modelled): kerb chutes EXCLUDED entirely per Denis 24-Jul email — base lump sums carry $0.</t>
  </si>
  <si>
    <t>Position 2 (ADD-PRICE): 9 chutes (03-02, 03-03, 04-02, 13-02 to 18-02 per F1310/F1325) + rock + erosion matting:</t>
  </si>
  <si>
    <t>Kerb chute structure materials (concrete invert, kerb returns, R1000)</t>
  </si>
  <si>
    <t>Kerb chute rock DIA 100 x 180 thick (55.67 m2 x 0.18)</t>
  </si>
  <si>
    <t>Materials subtotal x1.18 contingency</t>
  </si>
  <si>
    <t>Labour B-09 — 9 crew-days (Phase 7 EBC)</t>
  </si>
  <si>
    <t>Plant — 3-5T excavator 9 days</t>
  </si>
  <si>
    <t>KERB CHUTES ADD-PRICE (cost x 1.415)</t>
  </si>
  <si>
    <t>Reinstatement: add labour row B-09 (9 crew-days) to Stage1A_Drainage labour block; add the three material rows above to the Stage 1A materials block; add 9 plant-days to the 3-5T excavator line.</t>
  </si>
  <si>
    <t>E2 — DETENTION BASIN EARTHWORKS + CONCRETE SPILLWAY — ALLOCATION RFI PENDING (Opens #26; Director)</t>
  </si>
  <si>
    <t>Base carries $0 (Stage1A_Drainage row X1 and labour B-07 held at 0). Spillway build-up below for reinstatement if allocated to TCS; basin bulk earthworks NOT QUANTIFIED anywhere (F1305 annotation only) — cannot be priced, RFI.</t>
  </si>
  <si>
    <t>Spillway concrete 25 MPa, 125 thk x 50 m weir + 1.5 m aprons (F1323 build-up)</t>
  </si>
  <si>
    <t>SL72 mesh central</t>
  </si>
  <si>
    <t>Type 2.3 sub-base 75 mm</t>
  </si>
  <si>
    <t>Labour B-07 — 10 crew-days (5 m/day, L-confidence)</t>
  </si>
  <si>
    <t>Plant — 3-5T excavator 5 days + concrete gear allowance</t>
  </si>
  <si>
    <t>SPILLWAY ADD-PRICE IF ALLOCATED TO TCS (cost x 1.415)</t>
  </si>
  <si>
    <t>Reinstatement: set Stage1A_Drainage labour B-07 = 10 cd; enter spillway material rows at X1; add 5 plant-days 3-5T.</t>
  </si>
  <si>
    <t>E3 — RECORDS (excluded / relocated items — nothing lost silently)</t>
  </si>
  <si>
    <t>Grated trench drains (GT1-9, trash boxes, excavation &amp; quarry) — REINSTATED into base (1A 3.5 / 1B 2.3-a). Old workbook computed $164,860.30 in an orphaned column (K258) that never reached the old total.</t>
  </si>
  <si>
    <t>REINSTATED — in base</t>
  </si>
  <si>
    <t>100 mm subsoil / type 2 strip-filter drainage, 2,172.4 m — EXCLUDED 'by others' (locked 5.3; matrix 2.3-x2/2.5-x3). Old workbook carried $10,865 in orphaned cells J269 (never in total). Interface: strip-filter connections at TCS collector pits only.</t>
  </si>
  <si>
    <t>EXCLUDED — E+Q</t>
  </si>
  <si>
    <t>Sewer rising main Ø100/DN110 (110 m allowance) — TPS scope (matrix 2.1-x2 EBC in TPS model), NOT in TCS.</t>
  </si>
  <si>
    <t>NOT TCS</t>
  </si>
  <si>
    <t>Sewer pump station QMax Fortis — EXCLUDED per Addendum 2 (Council installs); TPS interface ledger item, NOT TCS.</t>
  </si>
  <si>
    <t>$20,000 provisional connection fees (Sch 1A 5.0 / 1B 4.6) — TPS side, carried as directed in TPS model, NOT in TCS.</t>
  </si>
  <si>
    <t>WSUD supply basis — old Atlan $88,838 'high level estimate' (day-of-issue validity) SUPERSEDED by Reece Q-459014431 line $90,064.63 + $7,142.10 freight as PC Sum +15% (RPT006_B 7.4 nomination).</t>
  </si>
  <si>
    <t>SUPERSEDED — PC</t>
  </si>
  <si>
    <t>SCHED3_EXTRACT — PAYNTERS TENDER SCHEDULE 3 LINE STRUCTURE WITH TCS PRICES (D5)</t>
  </si>
  <si>
    <t>Exact Schedule 3 1A/1B structure (schedule3_transcript.md rows cited) for direct transfer. Only TCS lines carry prices; other-trade lines shown as headers only. ALL EX-GST.</t>
  </si>
  <si>
    <t>1A</t>
  </si>
  <si>
    <t>R5</t>
  </si>
  <si>
    <t>1.0</t>
  </si>
  <si>
    <t>Preliminaries &amp; Documentation (1.1-1.7)</t>
  </si>
  <si>
    <t>TCS's own establishment/TC/ESC/plans/set-out/QA-ADAC/PM are inside the lump sum rates below (Split per matrix 1.1-1.7); enter at section level only if Paynters direct.</t>
  </si>
  <si>
    <t>R15</t>
  </si>
  <si>
    <t>2.0</t>
  </si>
  <si>
    <t>Site Works</t>
  </si>
  <si>
    <t>R33</t>
  </si>
  <si>
    <t>2.3</t>
  </si>
  <si>
    <t>Road and Carpark — Drainage, retaining structures and protective treatments</t>
  </si>
  <si>
    <t>TCS prices the DRAINAGE COMPONENT ONLY; mapped into 2.5 Stormwater drainage below under the single-pricing control (each F13xx line ID priced once — matrix 2.3-a). Retaining/protective treatments NOT TCS.</t>
  </si>
  <si>
    <t>R49</t>
  </si>
  <si>
    <t>2.5</t>
  </si>
  <si>
    <t>Drainage</t>
  </si>
  <si>
    <t>R50</t>
  </si>
  <si>
    <t>Stormwater drainage</t>
  </si>
  <si>
    <t>1A lump sum less GT component (GT carried at 3.5). Includes 2.3-a drainage component, culverts, headwalls, pits, WSUD INSTALLATION, rock protection.</t>
  </si>
  <si>
    <t>R51</t>
  </si>
  <si>
    <t>Retention Basin</t>
  </si>
  <si>
    <t>Outlet structures (C10, spillway interface, rock pads) included in Stormwater drainage line. Detention basin bulk earthworks + concrete spillway NOT PRICED — allocation RFI pending (Opens #26; drawings say DETENTION basin).</t>
  </si>
  <si>
    <t>R52</t>
  </si>
  <si>
    <t>WSUD Basin? (question mark in document)</t>
  </si>
  <si>
    <t>PC SUM — supply + delivery of 22x Ocean Protect Tall (690) PSorb StormFilter cartridges O.A.E. in DN3300 manhole + 15% (locked 5.3). Installation in the Stormwater drainage lump sum. RFI CL A4.</t>
  </si>
  <si>
    <t>R59</t>
  </si>
  <si>
    <t>3.0</t>
  </si>
  <si>
    <t>Netball Courts</t>
  </si>
  <si>
    <t>R81-82</t>
  </si>
  <si>
    <t>3.5</t>
  </si>
  <si>
    <t>Hydraulic — Grated trench drains and pits</t>
  </si>
  <si>
    <t>TCS despite 'Hydraulic' heading (locked 5.1; drawn on civil sheets). GT1-GT4 + GT7-GT9 = 561.9 m Hauraton Recyfix + trash boxes + connection pits incl excavation &amp; quarry — REINSTATED in full. GT5/GT6 in Stage 1B.</t>
  </si>
  <si>
    <t>R138</t>
  </si>
  <si>
    <t>LUMP SUM TOTAL (EXC. GST) — TCS lines</t>
  </si>
  <si>
    <t>Sum of: Stormwater drainage + 3.5 GT + WSUD PC.</t>
  </si>
  <si>
    <t>R140</t>
  </si>
  <si>
    <t>7.0</t>
  </si>
  <si>
    <t>Schedule of Rates - Provisions</t>
  </si>
  <si>
    <t>R141</t>
  </si>
  <si>
    <t>Rock — removal of rock as defined in tender specification — SOFT ROCK, TRENCHES</t>
  </si>
  <si>
    <t>4 rates per H002 n.24 (soft/hard x trench/pit); TCS rates apply to stormwater excavations only.</t>
  </si>
  <si>
    <t>Rock — HARD ROCK, TRENCHES</t>
  </si>
  <si>
    <t>Rock — SOFT ROCK, PITS</t>
  </si>
  <si>
    <t>Rock — HARD ROCK, PITS</t>
  </si>
  <si>
    <t>R142</t>
  </si>
  <si>
    <t>Unsuitable ground — removal and reinstatement</t>
  </si>
  <si>
    <t>Superintendent written direction only (ITT S18.1).</t>
  </si>
  <si>
    <t>1B</t>
  </si>
  <si>
    <t>R28</t>
  </si>
  <si>
    <t>R29</t>
  </si>
  <si>
    <t>1B lump sum: GT5 + GT6 (46.6 m) + lines 60/61/83 + TB100 x4, standalone-viable (5.2).</t>
  </si>
  <si>
    <t>R30</t>
  </si>
  <si>
    <t>NO separate 1B basin documented anywhere in the civil set — carried UNPRICED with qualification + RFI (CL A4); the single detention basin sits in the 1A hatch.</t>
  </si>
  <si>
    <t>R113</t>
  </si>
  <si>
    <t>R115</t>
  </si>
  <si>
    <t>5.0</t>
  </si>
  <si>
    <t>R116</t>
  </si>
  <si>
    <t>Rock — SOFT ROCK, TRENCHES</t>
  </si>
  <si>
    <t>Same tendered rates as 1A (each stage's own excavations).</t>
  </si>
  <si>
    <t>R117</t>
  </si>
  <si>
    <t>HELPER — GT (grated trench) component build-out for Sch 1A 3.5 split</t>
  </si>
  <si>
    <t>GT materials (G1-G5) escalated + x1.18</t>
  </si>
  <si>
    <t>GT labour C-06 + C-07</t>
  </si>
  <si>
    <t>GT plant (36 d 3-5T + quick-cut 5 d)</t>
  </si>
  <si>
    <t>GT accommodation share (36 cd pro-rata)</t>
  </si>
  <si>
    <t>GT LH supervision share (36 cd pro-rata)</t>
  </si>
  <si>
    <t>GT component cost</t>
  </si>
  <si>
    <t>GT component SELL (x 1.415 on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</si>
</sst>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#,##0.0000"/>
    <numFmt numFmtId="166" formatCode="#,##0.0"/>
    <numFmt numFmtId="167" formatCode="0.0%"/>
    <numFmt numFmtId="168" formatCode="\$#,##0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i/>
      <sz val="8"/>
      <color rgb="FF555555"/>
      <name val="Arial"/>
    </font>
    <font>
      <sz val="10"/>
      <name val="Arial"/>
    </font>
    <font>
      <sz val="10"/>
      <color rgb="FF0000FF"/>
      <name val="Arial"/>
    </font>
    <font>
      <b/>
      <sz val="10"/>
      <color rgb="FFC00000"/>
      <name val="Arial"/>
    </font>
    <font>
      <b/>
      <sz val="11"/>
      <name val="Arial"/>
    </font>
    <font>
      <sz val="10"/>
      <color rgb="FF008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CE4E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2" fillId="3" borderId="0" xfId="0" applyFont="1" applyFill="1" applyAlignment="1">
      <alignment vertical="top" wrapText="1"/>
    </xf>
    <xf numFmtId="164" fontId="5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2" fillId="4" borderId="0" xfId="0" applyFont="1" applyFill="1"/>
    <xf numFmtId="164" fontId="2" fillId="0" borderId="0" xfId="0" applyNumberFormat="1" applyFont="1"/>
    <xf numFmtId="0" fontId="3" fillId="0" borderId="0" xfId="0" applyFont="1"/>
    <xf numFmtId="0" fontId="2" fillId="0" borderId="0" xfId="0" applyFont="1"/>
    <xf numFmtId="4" fontId="5" fillId="2" borderId="0" xfId="0" applyNumberFormat="1" applyFont="1" applyFill="1"/>
    <xf numFmtId="0" fontId="4" fillId="0" borderId="0" xfId="0" applyFont="1" applyAlignment="1">
      <alignment vertical="top" wrapText="1"/>
    </xf>
    <xf numFmtId="0" fontId="2" fillId="3" borderId="0" xfId="0" applyFont="1" applyFill="1"/>
    <xf numFmtId="4" fontId="5" fillId="0" borderId="0" xfId="0" applyNumberFormat="1" applyFont="1"/>
    <xf numFmtId="4" fontId="4" fillId="0" borderId="0" xfId="0" applyNumberFormat="1" applyFont="1"/>
    <xf numFmtId="0" fontId="6" fillId="5" borderId="0" xfId="0" applyFont="1" applyFill="1"/>
    <xf numFmtId="0" fontId="7" fillId="4" borderId="0" xfId="0" applyFont="1" applyFill="1" applyAlignment="1">
      <alignment vertical="top" wrapText="1"/>
    </xf>
    <xf numFmtId="166" fontId="3" fillId="0" borderId="0" xfId="0" applyNumberFormat="1" applyFont="1"/>
    <xf numFmtId="0" fontId="7" fillId="4" borderId="0" xfId="0" applyFont="1" applyFill="1"/>
    <xf numFmtId="168" fontId="8" fillId="0" borderId="0" xfId="0" applyNumberFormat="1" applyFont="1"/>
    <xf numFmtId="0" fontId="7" fillId="2" borderId="0" xfId="0" applyFont="1" applyFill="1"/>
    <xf numFmtId="167" fontId="5" fillId="2" borderId="0" xfId="0" applyNumberFormat="1" applyFont="1" applyFill="1"/>
    <xf numFmtId="167" fontId="2" fillId="0" borderId="0" xfId="0" applyNumberFormat="1" applyFont="1"/>
    <xf numFmtId="164" fontId="8" fillId="0" borderId="0" xfId="0" applyNumberFormat="1" applyFont="1"/>
    <xf numFmtId="0" fontId="2" fillId="6" borderId="0" xfId="0" applyFont="1" applyFill="1"/>
    <xf numFmtId="164" fontId="2" fillId="6" borderId="0" xfId="0" applyNumberFormat="1" applyFont="1" applyFill="1"/>
    <xf numFmtId="164" fontId="2" fillId="2" borderId="0" xfId="0" applyNumberFormat="1" applyFont="1" applyFill="1"/>
    <xf numFmtId="168" fontId="1" fillId="2" borderId="0" xfId="0" applyNumberFormat="1" applyFont="1" applyFill="1"/>
    <xf numFmtId="3" fontId="5" fillId="0" borderId="0" xfId="0" applyNumberFormat="1" applyFont="1"/>
    <xf numFmtId="3" fontId="4" fillId="0" borderId="0" xfId="0" applyNumberFormat="1" applyFont="1"/>
    <xf numFmtId="0" fontId="6" fillId="5" borderId="0" xfId="0" applyFont="1" applyFill="1" applyAlignment="1">
      <alignment vertical="top" wrapText="1"/>
    </xf>
    <xf numFmtId="164" fontId="6" fillId="0" borderId="0" xfId="0" applyNumberFormat="1" applyFont="1"/>
    <xf numFmtId="3" fontId="6" fillId="0" borderId="0" xfId="0" applyNumberFormat="1" applyFont="1"/>
    <xf numFmtId="3" fontId="2" fillId="0" borderId="0" xfId="0" applyNumberFormat="1" applyFont="1"/>
    <xf numFmtId="165" fontId="5" fillId="0" borderId="0" xfId="0" applyNumberFormat="1" applyFont="1"/>
    <xf numFmtId="0" fontId="7" fillId="5" borderId="0" xfId="0" applyFont="1" applyFill="1"/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5"/>
  <sheetViews>
    <sheetView tabSelected="1" workbookViewId="0"/>
  </sheetViews>
  <sheetFormatPr defaultRowHeight="14.5" x14ac:dyDescent="0.35"/>
  <cols>
    <col min="1" max="1" width="4" customWidth="1"/>
    <col min="2" max="2" width="30" customWidth="1"/>
    <col min="3" max="3" width="90" customWidth="1"/>
    <col min="4" max="6" width="16" customWidth="1"/>
  </cols>
  <sheetData>
    <row r="2" spans="2:4" ht="18" x14ac:dyDescent="0.4">
      <c r="B2" s="1" t="s">
        <v>0</v>
      </c>
    </row>
    <row r="4" spans="2:4" x14ac:dyDescent="0.35">
      <c r="B4" s="14" t="s">
        <v>1</v>
      </c>
      <c r="C4" s="16" t="s">
        <v>2</v>
      </c>
    </row>
    <row r="5" spans="2:4" x14ac:dyDescent="0.35">
      <c r="B5" s="14" t="s">
        <v>3</v>
      </c>
      <c r="C5" s="16" t="s">
        <v>4</v>
      </c>
    </row>
    <row r="6" spans="2:4" ht="25" x14ac:dyDescent="0.35">
      <c r="B6" s="14" t="s">
        <v>5</v>
      </c>
      <c r="C6" s="16" t="s">
        <v>6</v>
      </c>
    </row>
    <row r="7" spans="2:4" x14ac:dyDescent="0.35">
      <c r="B7" s="14" t="s">
        <v>7</v>
      </c>
      <c r="C7" s="16" t="s">
        <v>8</v>
      </c>
    </row>
    <row r="8" spans="2:4" x14ac:dyDescent="0.35">
      <c r="B8" s="14" t="s">
        <v>9</v>
      </c>
      <c r="C8" s="16" t="s">
        <v>10</v>
      </c>
    </row>
    <row r="9" spans="2:4" x14ac:dyDescent="0.35">
      <c r="B9" s="14" t="s">
        <v>11</v>
      </c>
      <c r="C9" s="16" t="s">
        <v>12</v>
      </c>
    </row>
    <row r="10" spans="2:4" x14ac:dyDescent="0.35">
      <c r="B10" s="14" t="s">
        <v>13</v>
      </c>
      <c r="C10" s="16" t="s">
        <v>14</v>
      </c>
    </row>
    <row r="11" spans="2:4" ht="25" x14ac:dyDescent="0.35">
      <c r="B11" s="14" t="s">
        <v>15</v>
      </c>
      <c r="C11" s="16" t="s">
        <v>16</v>
      </c>
    </row>
    <row r="13" spans="2:4" x14ac:dyDescent="0.35">
      <c r="B13" s="23" t="s">
        <v>17</v>
      </c>
    </row>
    <row r="14" spans="2:4" x14ac:dyDescent="0.35">
      <c r="B14" s="14" t="s">
        <v>18</v>
      </c>
      <c r="D14" s="24">
        <f>'TCS $ Sched'!D24</f>
        <v>2761814.9756601988</v>
      </c>
    </row>
    <row r="15" spans="2:4" x14ac:dyDescent="0.35">
      <c r="B15" s="14" t="s">
        <v>19</v>
      </c>
      <c r="D15" s="24">
        <f>'TCS $ Sched'!D31</f>
        <v>111787.73950000001</v>
      </c>
    </row>
    <row r="16" spans="2:4" x14ac:dyDescent="0.35">
      <c r="B16" s="14" t="s">
        <v>20</v>
      </c>
      <c r="D16" s="24">
        <f>'TCS $ Sched'!D32</f>
        <v>2873602.715160199</v>
      </c>
    </row>
    <row r="17" spans="2:4" x14ac:dyDescent="0.35">
      <c r="B17" s="14" t="s">
        <v>21</v>
      </c>
      <c r="D17" s="24">
        <f>'TCS $ Sched'!D44</f>
        <v>113131.26256596416</v>
      </c>
    </row>
    <row r="18" spans="2:4" x14ac:dyDescent="0.35">
      <c r="B18" s="14" t="s">
        <v>22</v>
      </c>
      <c r="D18" s="24">
        <f>'TCS $ Sched'!D46</f>
        <v>2986733.9777261633</v>
      </c>
    </row>
    <row r="19" spans="2:4" x14ac:dyDescent="0.35">
      <c r="B19" s="14" t="s">
        <v>23</v>
      </c>
      <c r="D19" s="8">
        <v>890849.95</v>
      </c>
    </row>
    <row r="21" spans="2:4" x14ac:dyDescent="0.35">
      <c r="B21" s="23" t="s">
        <v>24</v>
      </c>
    </row>
    <row r="22" spans="2:4" ht="50" x14ac:dyDescent="0.35">
      <c r="B22" s="14" t="s">
        <v>25</v>
      </c>
      <c r="C22" s="16" t="s">
        <v>26</v>
      </c>
    </row>
    <row r="23" spans="2:4" ht="87.5" x14ac:dyDescent="0.35">
      <c r="B23" s="14" t="s">
        <v>27</v>
      </c>
      <c r="C23" s="16" t="s">
        <v>28</v>
      </c>
    </row>
    <row r="25" spans="2:4" x14ac:dyDescent="0.35">
      <c r="B25" s="23" t="s">
        <v>29</v>
      </c>
    </row>
    <row r="26" spans="2:4" ht="25" x14ac:dyDescent="0.35">
      <c r="B26" s="14" t="s">
        <v>30</v>
      </c>
      <c r="C26" s="16" t="s">
        <v>31</v>
      </c>
    </row>
    <row r="27" spans="2:4" ht="37.5" x14ac:dyDescent="0.35">
      <c r="B27" s="14" t="s">
        <v>32</v>
      </c>
      <c r="C27" s="16" t="s">
        <v>33</v>
      </c>
    </row>
    <row r="28" spans="2:4" ht="37.5" x14ac:dyDescent="0.35">
      <c r="B28" s="14" t="s">
        <v>34</v>
      </c>
      <c r="C28" s="16" t="s">
        <v>35</v>
      </c>
    </row>
    <row r="29" spans="2:4" ht="87.5" x14ac:dyDescent="0.35">
      <c r="B29" s="14" t="s">
        <v>36</v>
      </c>
      <c r="C29" s="16" t="s">
        <v>37</v>
      </c>
    </row>
    <row r="30" spans="2:4" ht="37.5" x14ac:dyDescent="0.35">
      <c r="B30" s="14" t="s">
        <v>38</v>
      </c>
      <c r="C30" s="16" t="s">
        <v>39</v>
      </c>
    </row>
    <row r="31" spans="2:4" ht="25" x14ac:dyDescent="0.35">
      <c r="B31" s="14" t="s">
        <v>40</v>
      </c>
      <c r="C31" s="16" t="s">
        <v>41</v>
      </c>
    </row>
    <row r="32" spans="2:4" ht="50" x14ac:dyDescent="0.35">
      <c r="B32" s="14" t="s">
        <v>42</v>
      </c>
      <c r="C32" s="16" t="s">
        <v>43</v>
      </c>
    </row>
    <row r="33" spans="2:3" ht="50" x14ac:dyDescent="0.35">
      <c r="B33" s="14" t="s">
        <v>44</v>
      </c>
      <c r="C33" s="16" t="s">
        <v>45</v>
      </c>
    </row>
    <row r="34" spans="2:3" ht="25" x14ac:dyDescent="0.35">
      <c r="B34" s="14" t="s">
        <v>46</v>
      </c>
      <c r="C34" s="16" t="s">
        <v>47</v>
      </c>
    </row>
    <row r="35" spans="2:3" ht="25" x14ac:dyDescent="0.35">
      <c r="B35" s="14" t="s">
        <v>48</v>
      </c>
      <c r="C35" s="16" t="s">
        <v>49</v>
      </c>
    </row>
    <row r="36" spans="2:3" ht="37.5" x14ac:dyDescent="0.35">
      <c r="B36" s="14" t="s">
        <v>50</v>
      </c>
      <c r="C36" s="16" t="s">
        <v>51</v>
      </c>
    </row>
    <row r="37" spans="2:3" ht="25" x14ac:dyDescent="0.35">
      <c r="B37" s="14" t="s">
        <v>52</v>
      </c>
      <c r="C37" s="16" t="s">
        <v>53</v>
      </c>
    </row>
    <row r="38" spans="2:3" ht="25" x14ac:dyDescent="0.35">
      <c r="B38" s="14" t="s">
        <v>54</v>
      </c>
      <c r="C38" s="16" t="s">
        <v>55</v>
      </c>
    </row>
    <row r="39" spans="2:3" ht="25" x14ac:dyDescent="0.35">
      <c r="B39" s="14" t="s">
        <v>56</v>
      </c>
      <c r="C39" s="16" t="s">
        <v>57</v>
      </c>
    </row>
    <row r="40" spans="2:3" ht="25" x14ac:dyDescent="0.35">
      <c r="B40" s="14" t="s">
        <v>58</v>
      </c>
      <c r="C40" s="16" t="s">
        <v>59</v>
      </c>
    </row>
    <row r="41" spans="2:3" ht="25" x14ac:dyDescent="0.35">
      <c r="B41" s="14" t="s">
        <v>60</v>
      </c>
      <c r="C41" s="16" t="s">
        <v>61</v>
      </c>
    </row>
    <row r="42" spans="2:3" ht="25" x14ac:dyDescent="0.35">
      <c r="B42" s="14" t="s">
        <v>62</v>
      </c>
      <c r="C42" s="16" t="s">
        <v>63</v>
      </c>
    </row>
    <row r="43" spans="2:3" ht="25" x14ac:dyDescent="0.35">
      <c r="B43" s="14" t="s">
        <v>64</v>
      </c>
      <c r="C43" s="16" t="s">
        <v>65</v>
      </c>
    </row>
    <row r="44" spans="2:3" ht="25" x14ac:dyDescent="0.35">
      <c r="B44" s="14" t="s">
        <v>66</v>
      </c>
      <c r="C44" s="16" t="s">
        <v>67</v>
      </c>
    </row>
    <row r="45" spans="2:3" ht="25" x14ac:dyDescent="0.35">
      <c r="B45" s="14" t="s">
        <v>68</v>
      </c>
      <c r="C45" s="16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/>
  </sheetViews>
  <sheetFormatPr defaultRowHeight="14.5" x14ac:dyDescent="0.35"/>
  <cols>
    <col min="1" max="1" width="4" customWidth="1"/>
    <col min="2" max="2" width="64" customWidth="1"/>
    <col min="3" max="7" width="14" customWidth="1"/>
    <col min="8" max="8" width="56" customWidth="1"/>
  </cols>
  <sheetData>
    <row r="1" spans="2:8" ht="18" x14ac:dyDescent="0.4">
      <c r="B1" s="1" t="s">
        <v>70</v>
      </c>
    </row>
    <row r="2" spans="2:8" x14ac:dyDescent="0.35">
      <c r="B2" s="4" t="s">
        <v>71</v>
      </c>
    </row>
    <row r="3" spans="2:8" x14ac:dyDescent="0.35">
      <c r="B3" s="4" t="s">
        <v>72</v>
      </c>
    </row>
    <row r="4" spans="2:8" x14ac:dyDescent="0.35">
      <c r="B4" s="4" t="s">
        <v>73</v>
      </c>
    </row>
    <row r="5" spans="2:8" x14ac:dyDescent="0.35">
      <c r="B5" s="25" t="s">
        <v>74</v>
      </c>
    </row>
    <row r="7" spans="2:8" x14ac:dyDescent="0.35">
      <c r="B7" s="14" t="s">
        <v>75</v>
      </c>
    </row>
    <row r="8" spans="2:8" ht="30" x14ac:dyDescent="0.35">
      <c r="B8" s="4" t="s">
        <v>76</v>
      </c>
      <c r="C8" s="26">
        <v>5.5E-2</v>
      </c>
      <c r="H8" s="3" t="s">
        <v>77</v>
      </c>
    </row>
    <row r="9" spans="2:8" x14ac:dyDescent="0.35">
      <c r="B9" s="4" t="s">
        <v>78</v>
      </c>
      <c r="C9" s="26">
        <v>0.18</v>
      </c>
    </row>
    <row r="10" spans="2:8" x14ac:dyDescent="0.35">
      <c r="B10" s="4" t="s">
        <v>79</v>
      </c>
      <c r="C10" s="26">
        <v>0.18</v>
      </c>
    </row>
    <row r="11" spans="2:8" x14ac:dyDescent="0.35">
      <c r="B11" s="4" t="s">
        <v>80</v>
      </c>
      <c r="C11" s="27">
        <f>C8+C9+C10</f>
        <v>0.41499999999999998</v>
      </c>
    </row>
    <row r="14" spans="2:8" x14ac:dyDescent="0.35">
      <c r="B14" s="23" t="s">
        <v>81</v>
      </c>
    </row>
    <row r="15" spans="2:8" x14ac:dyDescent="0.35">
      <c r="B15" s="4" t="s">
        <v>82</v>
      </c>
      <c r="D15" s="28">
        <f>Stage1A_Drainage!$F$74</f>
        <v>880272.94887524052</v>
      </c>
    </row>
    <row r="16" spans="2:8" x14ac:dyDescent="0.35">
      <c r="B16" s="4" t="s">
        <v>83</v>
      </c>
      <c r="D16" s="28">
        <f>Stage1A_Drainage!$F$105</f>
        <v>758545.60504060157</v>
      </c>
    </row>
    <row r="17" spans="2:8" x14ac:dyDescent="0.35">
      <c r="B17" s="4" t="s">
        <v>84</v>
      </c>
      <c r="D17" s="28">
        <f>Stage1A_Drainage!$F$123</f>
        <v>165146.73000000001</v>
      </c>
    </row>
    <row r="18" spans="2:8" x14ac:dyDescent="0.35">
      <c r="B18" s="4" t="s">
        <v>85</v>
      </c>
      <c r="D18" s="28">
        <f>Stage1A_Drainage!$F$131</f>
        <v>41975</v>
      </c>
    </row>
    <row r="19" spans="2:8" x14ac:dyDescent="0.35">
      <c r="B19" s="4" t="s">
        <v>86</v>
      </c>
      <c r="D19" s="28">
        <f>Stage1A_Drainage!$F$134</f>
        <v>105872.41973094171</v>
      </c>
    </row>
    <row r="20" spans="2:8" x14ac:dyDescent="0.35">
      <c r="B20" s="29" t="s">
        <v>87</v>
      </c>
      <c r="D20" s="30">
        <f>SUM(D15:D19)</f>
        <v>1951812.7036467837</v>
      </c>
    </row>
    <row r="21" spans="2:8" x14ac:dyDescent="0.35">
      <c r="B21" s="4" t="s">
        <v>88</v>
      </c>
      <c r="D21" s="9">
        <f>D20*$C$8</f>
        <v>107349.69870057311</v>
      </c>
    </row>
    <row r="22" spans="2:8" x14ac:dyDescent="0.35">
      <c r="B22" s="4" t="s">
        <v>89</v>
      </c>
      <c r="D22" s="9">
        <f>D20*$C$9</f>
        <v>351326.28665642103</v>
      </c>
    </row>
    <row r="23" spans="2:8" x14ac:dyDescent="0.35">
      <c r="B23" s="4" t="s">
        <v>90</v>
      </c>
      <c r="D23" s="9">
        <f>D20*$C$10</f>
        <v>351326.28665642103</v>
      </c>
    </row>
    <row r="24" spans="2:8" x14ac:dyDescent="0.35">
      <c r="B24" s="2" t="s">
        <v>91</v>
      </c>
      <c r="D24" s="31">
        <f>D20+D21+D22+D23</f>
        <v>2761814.9756601988</v>
      </c>
    </row>
    <row r="26" spans="2:8" x14ac:dyDescent="0.35">
      <c r="B26" s="23" t="s">
        <v>92</v>
      </c>
    </row>
    <row r="27" spans="2:8" ht="20" x14ac:dyDescent="0.35">
      <c r="B27" s="4" t="s">
        <v>93</v>
      </c>
      <c r="D27" s="8">
        <v>90064.63</v>
      </c>
      <c r="H27" s="3" t="s">
        <v>94</v>
      </c>
    </row>
    <row r="28" spans="2:8" x14ac:dyDescent="0.35">
      <c r="B28" s="4" t="s">
        <v>95</v>
      </c>
      <c r="D28" s="8">
        <v>7142.1</v>
      </c>
    </row>
    <row r="29" spans="2:8" x14ac:dyDescent="0.35">
      <c r="B29" s="4" t="s">
        <v>96</v>
      </c>
      <c r="D29" s="9">
        <f>D27+D28</f>
        <v>97206.73000000001</v>
      </c>
    </row>
    <row r="30" spans="2:8" x14ac:dyDescent="0.35">
      <c r="B30" s="4" t="s">
        <v>97</v>
      </c>
      <c r="C30" s="26">
        <v>0.15</v>
      </c>
    </row>
    <row r="31" spans="2:8" ht="20" x14ac:dyDescent="0.35">
      <c r="B31" s="2" t="s">
        <v>98</v>
      </c>
      <c r="D31" s="31">
        <f>D29*(1+C30)</f>
        <v>111787.73950000001</v>
      </c>
      <c r="H31" s="3" t="s">
        <v>99</v>
      </c>
    </row>
    <row r="32" spans="2:8" x14ac:dyDescent="0.35">
      <c r="B32" s="2" t="s">
        <v>100</v>
      </c>
      <c r="D32" s="31">
        <f>D24+D31</f>
        <v>2873602.715160199</v>
      </c>
    </row>
    <row r="34" spans="2:8" x14ac:dyDescent="0.35">
      <c r="B34" s="23" t="s">
        <v>101</v>
      </c>
    </row>
    <row r="35" spans="2:8" x14ac:dyDescent="0.35">
      <c r="B35" s="4" t="s">
        <v>82</v>
      </c>
      <c r="D35" s="28">
        <f>Stage1B_Drainage!$F$16</f>
        <v>29185.192661599995</v>
      </c>
    </row>
    <row r="36" spans="2:8" x14ac:dyDescent="0.35">
      <c r="B36" s="4" t="s">
        <v>102</v>
      </c>
      <c r="D36" s="28">
        <f>Stage1B_Drainage!$F$25</f>
        <v>39331.529377443607</v>
      </c>
    </row>
    <row r="37" spans="2:8" x14ac:dyDescent="0.35">
      <c r="B37" s="4" t="s">
        <v>84</v>
      </c>
      <c r="D37" s="28">
        <f>Stage1B_Drainage!$F$31</f>
        <v>2942.12</v>
      </c>
    </row>
    <row r="38" spans="2:8" x14ac:dyDescent="0.35">
      <c r="B38" s="4" t="s">
        <v>85</v>
      </c>
      <c r="D38" s="28">
        <f>Stage1B_Drainage!$F$37</f>
        <v>2999.2</v>
      </c>
    </row>
    <row r="39" spans="2:8" x14ac:dyDescent="0.35">
      <c r="B39" s="4" t="s">
        <v>86</v>
      </c>
      <c r="D39" s="28">
        <f>Stage1B_Drainage!$F$40</f>
        <v>5493.3802690582961</v>
      </c>
    </row>
    <row r="40" spans="2:8" x14ac:dyDescent="0.35">
      <c r="B40" s="29" t="s">
        <v>103</v>
      </c>
      <c r="D40" s="30">
        <f>SUM(D35:D39)</f>
        <v>79951.422308101886</v>
      </c>
    </row>
    <row r="41" spans="2:8" x14ac:dyDescent="0.35">
      <c r="B41" s="4" t="s">
        <v>88</v>
      </c>
      <c r="D41" s="9">
        <f>D40*$C$8</f>
        <v>4397.328226945604</v>
      </c>
    </row>
    <row r="42" spans="2:8" x14ac:dyDescent="0.35">
      <c r="B42" s="4" t="s">
        <v>89</v>
      </c>
      <c r="D42" s="9">
        <f>D40*$C$9</f>
        <v>14391.256015458339</v>
      </c>
    </row>
    <row r="43" spans="2:8" x14ac:dyDescent="0.35">
      <c r="B43" s="4" t="s">
        <v>90</v>
      </c>
      <c r="D43" s="9">
        <f>D40*$C$10</f>
        <v>14391.256015458339</v>
      </c>
    </row>
    <row r="44" spans="2:8" ht="30" x14ac:dyDescent="0.35">
      <c r="B44" s="2" t="s">
        <v>104</v>
      </c>
      <c r="D44" s="31">
        <f>D40+D41+D42+D43</f>
        <v>113131.26256596416</v>
      </c>
      <c r="H44" s="3" t="s">
        <v>105</v>
      </c>
    </row>
    <row r="46" spans="2:8" ht="18" x14ac:dyDescent="0.4">
      <c r="B46" s="2" t="s">
        <v>106</v>
      </c>
      <c r="D46" s="32">
        <f>D32+D44</f>
        <v>2986733.9777261633</v>
      </c>
    </row>
    <row r="48" spans="2:8" x14ac:dyDescent="0.35">
      <c r="B48" s="23" t="s">
        <v>107</v>
      </c>
    </row>
    <row r="49" spans="1:7" x14ac:dyDescent="0.35">
      <c r="B49" s="13" t="s">
        <v>108</v>
      </c>
    </row>
    <row r="50" spans="1:7" x14ac:dyDescent="0.35">
      <c r="A50" s="17"/>
      <c r="B50" s="17" t="s">
        <v>109</v>
      </c>
      <c r="C50" s="17" t="s">
        <v>110</v>
      </c>
      <c r="D50" s="17" t="s">
        <v>111</v>
      </c>
      <c r="E50" s="17" t="s">
        <v>112</v>
      </c>
      <c r="F50" s="17" t="s">
        <v>113</v>
      </c>
      <c r="G50" s="17" t="s">
        <v>114</v>
      </c>
    </row>
    <row r="51" spans="1:7" ht="30" x14ac:dyDescent="0.35">
      <c r="B51" s="16" t="s">
        <v>115</v>
      </c>
      <c r="C51" s="33">
        <v>20</v>
      </c>
      <c r="D51" s="4" t="s">
        <v>116</v>
      </c>
      <c r="E51" s="9">
        <f>(LabourRates_Master!$G$15+Equip_Master!$D$7+Equip_Master!$D$9)/C51</f>
        <v>168.98580496240601</v>
      </c>
      <c r="F51" s="12">
        <f>E51*(1+$C$8+$C$9+$C$10)</f>
        <v>239.11491402180448</v>
      </c>
      <c r="G51" s="3" t="s">
        <v>117</v>
      </c>
    </row>
    <row r="52" spans="1:7" ht="20" x14ac:dyDescent="0.35">
      <c r="B52" s="16" t="s">
        <v>118</v>
      </c>
      <c r="C52" s="33">
        <v>10</v>
      </c>
      <c r="D52" s="4" t="s">
        <v>116</v>
      </c>
      <c r="E52" s="9">
        <f>(LabourRates_Master!$G$15+Equip_Master!$D$7+Equip_Master!$D$9)/C52</f>
        <v>337.97160992481201</v>
      </c>
      <c r="F52" s="12">
        <f>E52*(1+$C$8+$C$9+$C$10)</f>
        <v>478.22982804360896</v>
      </c>
      <c r="G52" s="3" t="s">
        <v>119</v>
      </c>
    </row>
    <row r="53" spans="1:7" ht="20" x14ac:dyDescent="0.35">
      <c r="B53" s="16" t="s">
        <v>120</v>
      </c>
      <c r="C53" s="33">
        <v>15</v>
      </c>
      <c r="D53" s="4" t="s">
        <v>116</v>
      </c>
      <c r="E53" s="9">
        <f>(LabourRates_Master!$G$15+Equip_Master!$D$7+Equip_Master!$D$9)/C53</f>
        <v>225.31440661654133</v>
      </c>
      <c r="F53" s="12">
        <f>E53*(1+$C$8+$C$9+$C$10)</f>
        <v>318.81988536240596</v>
      </c>
      <c r="G53" s="3" t="s">
        <v>121</v>
      </c>
    </row>
    <row r="54" spans="1:7" x14ac:dyDescent="0.35">
      <c r="B54" s="16" t="s">
        <v>122</v>
      </c>
      <c r="C54" s="33">
        <v>8</v>
      </c>
      <c r="D54" s="4" t="s">
        <v>116</v>
      </c>
      <c r="E54" s="9">
        <f>(LabourRates_Master!$G$15+Equip_Master!$D$7+Equip_Master!$D$9)/C54</f>
        <v>422.46451240601499</v>
      </c>
      <c r="F54" s="12">
        <f>E54*(1+$C$8+$C$9+$C$10)</f>
        <v>597.78728505451113</v>
      </c>
      <c r="G54" s="3"/>
    </row>
    <row r="55" spans="1:7" ht="50" x14ac:dyDescent="0.35">
      <c r="B55" s="16" t="s">
        <v>123</v>
      </c>
      <c r="C55" s="33">
        <v>30</v>
      </c>
      <c r="D55" s="4" t="s">
        <v>116</v>
      </c>
      <c r="E55" s="9">
        <f>(LabourRates_Master!$G$15+Equip_Master!$D$7)/C55+Materials_Master!$H$72*2+Materials_Master!$H$87</f>
        <v>275.890536641604</v>
      </c>
      <c r="F55" s="12">
        <f>E55*(1+$C$8+$C$9+$C$10)</f>
        <v>390.38510934786962</v>
      </c>
      <c r="G55" s="3" t="s">
        <v>124</v>
      </c>
    </row>
    <row r="56" spans="1:7" ht="30" x14ac:dyDescent="0.35">
      <c r="B56" s="3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6"/>
  <sheetViews>
    <sheetView workbookViewId="0"/>
  </sheetViews>
  <sheetFormatPr defaultRowHeight="14.5" x14ac:dyDescent="0.35"/>
  <cols>
    <col min="1" max="1" width="8" customWidth="1"/>
    <col min="2" max="2" width="62" customWidth="1"/>
    <col min="3" max="3" width="11" customWidth="1"/>
    <col min="4" max="4" width="10" customWidth="1"/>
    <col min="5" max="5" width="12" customWidth="1"/>
    <col min="6" max="6" width="14" customWidth="1"/>
    <col min="7" max="7" width="64" customWidth="1"/>
    <col min="8" max="8" width="6" customWidth="1"/>
  </cols>
  <sheetData>
    <row r="1" spans="1:7" ht="18" x14ac:dyDescent="0.4">
      <c r="B1" s="1" t="s">
        <v>126</v>
      </c>
    </row>
    <row r="2" spans="1:7" ht="20" x14ac:dyDescent="0.35">
      <c r="B2" s="3" t="s">
        <v>127</v>
      </c>
    </row>
    <row r="4" spans="1:7" x14ac:dyDescent="0.35">
      <c r="A4" s="17" t="s">
        <v>128</v>
      </c>
      <c r="B4" s="17" t="s">
        <v>129</v>
      </c>
      <c r="C4" s="17" t="s">
        <v>130</v>
      </c>
      <c r="D4" s="17" t="s">
        <v>111</v>
      </c>
      <c r="E4" s="17" t="s">
        <v>131</v>
      </c>
      <c r="F4" s="17" t="s">
        <v>132</v>
      </c>
      <c r="G4" s="17" t="s">
        <v>133</v>
      </c>
    </row>
    <row r="5" spans="1:7" x14ac:dyDescent="0.35">
      <c r="B5" s="23" t="s">
        <v>134</v>
      </c>
    </row>
    <row r="6" spans="1:7" ht="25" x14ac:dyDescent="0.35">
      <c r="A6" s="13" t="s">
        <v>135</v>
      </c>
      <c r="B6" s="16" t="s">
        <v>136</v>
      </c>
      <c r="C6" s="18">
        <v>714.9</v>
      </c>
      <c r="D6" s="4" t="s">
        <v>137</v>
      </c>
      <c r="E6" s="28">
        <f>Materials_Master!$H$11</f>
        <v>105</v>
      </c>
      <c r="F6" s="9">
        <f t="shared" ref="F6:F37" si="0">C6*E6</f>
        <v>75064.5</v>
      </c>
      <c r="G6" s="3" t="s">
        <v>138</v>
      </c>
    </row>
    <row r="7" spans="1:7" x14ac:dyDescent="0.35">
      <c r="A7" s="13" t="s">
        <v>139</v>
      </c>
      <c r="B7" s="16" t="s">
        <v>140</v>
      </c>
      <c r="C7" s="34">
        <f>ROUNDUP(C6/2.44,0)</f>
        <v>293</v>
      </c>
      <c r="D7" s="4" t="s">
        <v>141</v>
      </c>
      <c r="E7" s="28">
        <f>Materials_Master!$H$12</f>
        <v>4.8</v>
      </c>
      <c r="F7" s="9">
        <f t="shared" si="0"/>
        <v>1406.3999999999999</v>
      </c>
      <c r="G7" s="3" t="s">
        <v>142</v>
      </c>
    </row>
    <row r="8" spans="1:7" x14ac:dyDescent="0.35">
      <c r="A8" s="13" t="s">
        <v>143</v>
      </c>
      <c r="B8" s="16" t="s">
        <v>144</v>
      </c>
      <c r="C8" s="18">
        <v>3.31</v>
      </c>
      <c r="D8" s="4" t="s">
        <v>137</v>
      </c>
      <c r="E8" s="28">
        <f>Materials_Master!$H$13</f>
        <v>183.5655737704918</v>
      </c>
      <c r="F8" s="9">
        <f t="shared" si="0"/>
        <v>607.60204918032787</v>
      </c>
      <c r="G8" s="3"/>
    </row>
    <row r="9" spans="1:7" x14ac:dyDescent="0.35">
      <c r="A9" s="13" t="s">
        <v>145</v>
      </c>
      <c r="B9" s="16" t="s">
        <v>146</v>
      </c>
      <c r="C9" s="18">
        <v>2</v>
      </c>
      <c r="D9" s="4" t="s">
        <v>141</v>
      </c>
      <c r="E9" s="28">
        <f>Materials_Master!$H$14</f>
        <v>24</v>
      </c>
      <c r="F9" s="9">
        <f t="shared" si="0"/>
        <v>48</v>
      </c>
      <c r="G9" s="3"/>
    </row>
    <row r="10" spans="1:7" x14ac:dyDescent="0.35">
      <c r="A10" s="13" t="s">
        <v>147</v>
      </c>
      <c r="B10" s="16" t="s">
        <v>148</v>
      </c>
      <c r="C10" s="18">
        <v>137.66999999999999</v>
      </c>
      <c r="D10" s="4" t="s">
        <v>137</v>
      </c>
      <c r="E10" s="28">
        <f>Materials_Master!$H$15</f>
        <v>49.785976627712849</v>
      </c>
      <c r="F10" s="9">
        <f t="shared" si="0"/>
        <v>6854.0354023372274</v>
      </c>
      <c r="G10" s="3"/>
    </row>
    <row r="11" spans="1:7" x14ac:dyDescent="0.35">
      <c r="A11" s="13" t="s">
        <v>149</v>
      </c>
      <c r="B11" s="16" t="s">
        <v>150</v>
      </c>
      <c r="C11" s="18">
        <v>58.56</v>
      </c>
      <c r="D11" s="4" t="s">
        <v>137</v>
      </c>
      <c r="E11" s="28">
        <f>Materials_Master!$H$16</f>
        <v>82.8</v>
      </c>
      <c r="F11" s="9">
        <f t="shared" si="0"/>
        <v>4848.768</v>
      </c>
      <c r="G11" s="3"/>
    </row>
    <row r="12" spans="1:7" x14ac:dyDescent="0.35">
      <c r="A12" s="13" t="s">
        <v>151</v>
      </c>
      <c r="B12" s="16" t="s">
        <v>152</v>
      </c>
      <c r="C12" s="18">
        <v>210.43</v>
      </c>
      <c r="D12" s="4" t="s">
        <v>137</v>
      </c>
      <c r="E12" s="28">
        <f>Materials_Master!$H$17</f>
        <v>126.9739629005059</v>
      </c>
      <c r="F12" s="9">
        <f t="shared" si="0"/>
        <v>26719.131013153456</v>
      </c>
      <c r="G12" s="3"/>
    </row>
    <row r="13" spans="1:7" x14ac:dyDescent="0.35">
      <c r="A13" s="13" t="s">
        <v>153</v>
      </c>
      <c r="B13" s="16" t="s">
        <v>154</v>
      </c>
      <c r="C13" s="18">
        <v>41.47</v>
      </c>
      <c r="D13" s="4" t="s">
        <v>137</v>
      </c>
      <c r="E13" s="28">
        <f>Materials_Master!$H$18</f>
        <v>186.29999999999998</v>
      </c>
      <c r="F13" s="9">
        <f t="shared" si="0"/>
        <v>7725.860999999999</v>
      </c>
      <c r="G13" s="3"/>
    </row>
    <row r="14" spans="1:7" x14ac:dyDescent="0.35">
      <c r="A14" s="13" t="s">
        <v>155</v>
      </c>
      <c r="B14" s="16" t="s">
        <v>156</v>
      </c>
      <c r="C14" s="18">
        <v>38.47</v>
      </c>
      <c r="D14" s="4" t="s">
        <v>137</v>
      </c>
      <c r="E14" s="28">
        <f>Materials_Master!$H$19</f>
        <v>311.9271794871795</v>
      </c>
      <c r="F14" s="9">
        <f t="shared" si="0"/>
        <v>11999.838594871795</v>
      </c>
      <c r="G14" s="3"/>
    </row>
    <row r="15" spans="1:7" x14ac:dyDescent="0.35">
      <c r="A15" s="13" t="s">
        <v>157</v>
      </c>
      <c r="B15" s="16" t="s">
        <v>158</v>
      </c>
      <c r="C15" s="18">
        <v>10</v>
      </c>
      <c r="D15" s="4" t="s">
        <v>141</v>
      </c>
      <c r="E15" s="28">
        <f>Materials_Master!$H$31</f>
        <v>17</v>
      </c>
      <c r="F15" s="9">
        <f t="shared" si="0"/>
        <v>170</v>
      </c>
      <c r="G15" s="3"/>
    </row>
    <row r="16" spans="1:7" ht="25" x14ac:dyDescent="0.35">
      <c r="A16" s="13" t="s">
        <v>159</v>
      </c>
      <c r="B16" s="16" t="s">
        <v>160</v>
      </c>
      <c r="C16" s="18">
        <v>115.45</v>
      </c>
      <c r="D16" s="4" t="s">
        <v>137</v>
      </c>
      <c r="E16" s="28">
        <f>Materials_Master!$H$20</f>
        <v>178.59499999999997</v>
      </c>
      <c r="F16" s="9">
        <f t="shared" si="0"/>
        <v>20618.792749999997</v>
      </c>
      <c r="G16" s="3" t="s">
        <v>161</v>
      </c>
    </row>
    <row r="17" spans="1:7" ht="25" x14ac:dyDescent="0.35">
      <c r="A17" s="13" t="s">
        <v>162</v>
      </c>
      <c r="B17" s="16" t="s">
        <v>163</v>
      </c>
      <c r="C17" s="18">
        <v>33.25</v>
      </c>
      <c r="D17" s="4" t="s">
        <v>137</v>
      </c>
      <c r="E17" s="28">
        <f>Materials_Master!$H$21</f>
        <v>50.62299999999999</v>
      </c>
      <c r="F17" s="9">
        <f t="shared" si="0"/>
        <v>1683.2147499999996</v>
      </c>
      <c r="G17" s="3"/>
    </row>
    <row r="18" spans="1:7" ht="20" x14ac:dyDescent="0.35">
      <c r="A18" s="13" t="s">
        <v>164</v>
      </c>
      <c r="B18" s="16" t="s">
        <v>165</v>
      </c>
      <c r="C18" s="18">
        <v>283.70999999999998</v>
      </c>
      <c r="D18" s="4" t="s">
        <v>137</v>
      </c>
      <c r="E18" s="28">
        <f>Materials_Master!$H$22</f>
        <v>9.9061000000000003</v>
      </c>
      <c r="F18" s="9">
        <f t="shared" si="0"/>
        <v>2810.4596309999997</v>
      </c>
      <c r="G18" s="3" t="s">
        <v>166</v>
      </c>
    </row>
    <row r="19" spans="1:7" x14ac:dyDescent="0.35">
      <c r="A19" s="13" t="s">
        <v>167</v>
      </c>
      <c r="B19" s="16" t="s">
        <v>168</v>
      </c>
      <c r="C19" s="18">
        <v>17</v>
      </c>
      <c r="D19" s="4" t="s">
        <v>141</v>
      </c>
      <c r="E19" s="28">
        <f>Materials_Master!$H$23</f>
        <v>4.83</v>
      </c>
      <c r="F19" s="9">
        <f t="shared" si="0"/>
        <v>82.11</v>
      </c>
      <c r="G19" s="3"/>
    </row>
    <row r="20" spans="1:7" x14ac:dyDescent="0.35">
      <c r="A20" s="13" t="s">
        <v>169</v>
      </c>
      <c r="B20" s="16" t="s">
        <v>170</v>
      </c>
      <c r="C20" s="18">
        <v>9</v>
      </c>
      <c r="D20" s="4" t="s">
        <v>141</v>
      </c>
      <c r="E20" s="28">
        <f>Materials_Master!$H$24</f>
        <v>4.83</v>
      </c>
      <c r="F20" s="9">
        <f t="shared" si="0"/>
        <v>43.47</v>
      </c>
      <c r="G20" s="3"/>
    </row>
    <row r="21" spans="1:7" x14ac:dyDescent="0.35">
      <c r="A21" s="13" t="s">
        <v>171</v>
      </c>
      <c r="B21" s="16" t="s">
        <v>172</v>
      </c>
      <c r="C21" s="18">
        <v>1</v>
      </c>
      <c r="D21" s="4" t="s">
        <v>141</v>
      </c>
      <c r="E21" s="28">
        <f>Materials_Master!$H$25</f>
        <v>32.43</v>
      </c>
      <c r="F21" s="9">
        <f t="shared" si="0"/>
        <v>32.43</v>
      </c>
      <c r="G21" s="3"/>
    </row>
    <row r="22" spans="1:7" x14ac:dyDescent="0.35">
      <c r="A22" s="13" t="s">
        <v>173</v>
      </c>
      <c r="B22" s="16" t="s">
        <v>174</v>
      </c>
      <c r="C22" s="18">
        <v>26</v>
      </c>
      <c r="D22" s="4" t="s">
        <v>141</v>
      </c>
      <c r="E22" s="28">
        <f>Materials_Master!$H$26</f>
        <v>13.799999999999999</v>
      </c>
      <c r="F22" s="9">
        <f t="shared" si="0"/>
        <v>358.79999999999995</v>
      </c>
      <c r="G22" s="3"/>
    </row>
    <row r="23" spans="1:7" x14ac:dyDescent="0.35">
      <c r="A23" s="13" t="s">
        <v>175</v>
      </c>
      <c r="B23" s="16" t="s">
        <v>176</v>
      </c>
      <c r="C23" s="18">
        <v>1</v>
      </c>
      <c r="D23" s="4" t="s">
        <v>141</v>
      </c>
      <c r="E23" s="28">
        <f>Materials_Master!$H$27</f>
        <v>82.938000000000002</v>
      </c>
      <c r="F23" s="9">
        <f t="shared" si="0"/>
        <v>82.938000000000002</v>
      </c>
      <c r="G23" s="3"/>
    </row>
    <row r="24" spans="1:7" x14ac:dyDescent="0.35">
      <c r="A24" s="13" t="s">
        <v>177</v>
      </c>
      <c r="B24" s="16" t="s">
        <v>178</v>
      </c>
      <c r="C24" s="18">
        <v>11</v>
      </c>
      <c r="D24" s="4" t="s">
        <v>141</v>
      </c>
      <c r="E24" s="28">
        <f>Materials_Master!$H$28</f>
        <v>53.198999999999991</v>
      </c>
      <c r="F24" s="9">
        <f t="shared" si="0"/>
        <v>585.18899999999985</v>
      </c>
      <c r="G24" s="3"/>
    </row>
    <row r="25" spans="1:7" x14ac:dyDescent="0.35">
      <c r="A25" s="13" t="s">
        <v>179</v>
      </c>
      <c r="B25" s="16" t="s">
        <v>180</v>
      </c>
      <c r="C25" s="18">
        <v>3</v>
      </c>
      <c r="D25" s="4" t="s">
        <v>141</v>
      </c>
      <c r="E25" s="28">
        <f>Materials_Master!$H$29</f>
        <v>206.99999999999997</v>
      </c>
      <c r="F25" s="9">
        <f t="shared" si="0"/>
        <v>620.99999999999989</v>
      </c>
      <c r="G25" s="3"/>
    </row>
    <row r="26" spans="1:7" x14ac:dyDescent="0.35">
      <c r="A26" s="13" t="s">
        <v>181</v>
      </c>
      <c r="B26" s="16" t="s">
        <v>182</v>
      </c>
      <c r="C26" s="18">
        <v>20</v>
      </c>
      <c r="D26" s="4" t="s">
        <v>141</v>
      </c>
      <c r="E26" s="28">
        <f>Materials_Master!$H$30</f>
        <v>310</v>
      </c>
      <c r="F26" s="9">
        <f t="shared" si="0"/>
        <v>6200</v>
      </c>
      <c r="G26" s="3"/>
    </row>
    <row r="27" spans="1:7" x14ac:dyDescent="0.35">
      <c r="A27" s="13" t="s">
        <v>183</v>
      </c>
      <c r="B27" s="16" t="s">
        <v>184</v>
      </c>
      <c r="C27" s="19">
        <f>ROUNDUP(33.39/2.4,0)</f>
        <v>14</v>
      </c>
      <c r="D27" s="4" t="s">
        <v>141</v>
      </c>
      <c r="E27" s="28">
        <f>Materials_Master!$H$32</f>
        <v>1095</v>
      </c>
      <c r="F27" s="9">
        <f t="shared" si="0"/>
        <v>15330</v>
      </c>
      <c r="G27" s="3" t="s">
        <v>185</v>
      </c>
    </row>
    <row r="28" spans="1:7" x14ac:dyDescent="0.35">
      <c r="A28" s="13" t="s">
        <v>186</v>
      </c>
      <c r="B28" s="16" t="s">
        <v>187</v>
      </c>
      <c r="C28" s="19">
        <f>ROUNDUP(5.17/2.4,0)</f>
        <v>3</v>
      </c>
      <c r="D28" s="4" t="s">
        <v>141</v>
      </c>
      <c r="E28" s="28">
        <f>Materials_Master!$H$33</f>
        <v>1171.2</v>
      </c>
      <c r="F28" s="9">
        <f t="shared" si="0"/>
        <v>3513.6000000000004</v>
      </c>
      <c r="G28" s="3"/>
    </row>
    <row r="29" spans="1:7" x14ac:dyDescent="0.35">
      <c r="A29" s="13" t="s">
        <v>188</v>
      </c>
      <c r="B29" s="16" t="s">
        <v>189</v>
      </c>
      <c r="C29" s="19">
        <f>ROUNDUP(27.86/2.4,0)</f>
        <v>12</v>
      </c>
      <c r="D29" s="4" t="s">
        <v>141</v>
      </c>
      <c r="E29" s="28">
        <f>Materials_Master!$H$34</f>
        <v>1404.8</v>
      </c>
      <c r="F29" s="9">
        <f t="shared" si="0"/>
        <v>16857.599999999999</v>
      </c>
      <c r="G29" s="3"/>
    </row>
    <row r="30" spans="1:7" x14ac:dyDescent="0.35">
      <c r="A30" s="13" t="s">
        <v>190</v>
      </c>
      <c r="B30" s="16" t="s">
        <v>191</v>
      </c>
      <c r="C30" s="19">
        <f>ROUNDUP(17.77/2.4,0)</f>
        <v>8</v>
      </c>
      <c r="D30" s="4" t="s">
        <v>141</v>
      </c>
      <c r="E30" s="28">
        <f>Materials_Master!$H$35</f>
        <v>1718.4</v>
      </c>
      <c r="F30" s="9">
        <f t="shared" si="0"/>
        <v>13747.2</v>
      </c>
      <c r="G30" s="3"/>
    </row>
    <row r="31" spans="1:7" x14ac:dyDescent="0.35">
      <c r="A31" s="13" t="s">
        <v>192</v>
      </c>
      <c r="B31" s="16" t="s">
        <v>193</v>
      </c>
      <c r="C31" s="19">
        <f>ROUNDUP(29.04/2.4,0)</f>
        <v>13</v>
      </c>
      <c r="D31" s="4" t="s">
        <v>141</v>
      </c>
      <c r="E31" s="28">
        <f>Materials_Master!$H$36</f>
        <v>3065.72</v>
      </c>
      <c r="F31" s="9">
        <f t="shared" si="0"/>
        <v>39854.36</v>
      </c>
      <c r="G31" s="3"/>
    </row>
    <row r="32" spans="1:7" x14ac:dyDescent="0.35">
      <c r="A32" s="13" t="s">
        <v>194</v>
      </c>
      <c r="B32" s="16" t="s">
        <v>195</v>
      </c>
      <c r="C32" s="19">
        <f>ROUNDUP(17.53/2.4,0)</f>
        <v>8</v>
      </c>
      <c r="D32" s="4" t="s">
        <v>141</v>
      </c>
      <c r="E32" s="28">
        <f>Materials_Master!$H$37</f>
        <v>5891.95</v>
      </c>
      <c r="F32" s="9">
        <f t="shared" si="0"/>
        <v>47135.6</v>
      </c>
      <c r="G32" s="3"/>
    </row>
    <row r="33" spans="1:7" x14ac:dyDescent="0.35">
      <c r="A33" s="13" t="s">
        <v>196</v>
      </c>
      <c r="B33" s="16" t="s">
        <v>197</v>
      </c>
      <c r="C33" s="18">
        <v>5</v>
      </c>
      <c r="D33" s="4" t="s">
        <v>141</v>
      </c>
      <c r="E33" s="28">
        <f>Materials_Master!$H$38</f>
        <v>317.05</v>
      </c>
      <c r="F33" s="9">
        <f t="shared" si="0"/>
        <v>1585.25</v>
      </c>
      <c r="G33" s="3"/>
    </row>
    <row r="34" spans="1:7" x14ac:dyDescent="0.35">
      <c r="A34" s="13" t="s">
        <v>198</v>
      </c>
      <c r="B34" s="16" t="s">
        <v>199</v>
      </c>
      <c r="C34" s="18">
        <v>2</v>
      </c>
      <c r="D34" s="4" t="s">
        <v>141</v>
      </c>
      <c r="E34" s="28">
        <f>Materials_Master!$H$39</f>
        <v>588.79999999999995</v>
      </c>
      <c r="F34" s="9">
        <f t="shared" si="0"/>
        <v>1177.5999999999999</v>
      </c>
      <c r="G34" s="3"/>
    </row>
    <row r="35" spans="1:7" x14ac:dyDescent="0.35">
      <c r="A35" s="13" t="s">
        <v>200</v>
      </c>
      <c r="B35" s="16" t="s">
        <v>201</v>
      </c>
      <c r="C35" s="18">
        <v>1</v>
      </c>
      <c r="D35" s="4" t="s">
        <v>141</v>
      </c>
      <c r="E35" s="28">
        <f>Materials_Master!$H$40</f>
        <v>158</v>
      </c>
      <c r="F35" s="9">
        <f t="shared" si="0"/>
        <v>158</v>
      </c>
      <c r="G35" s="3"/>
    </row>
    <row r="36" spans="1:7" x14ac:dyDescent="0.35">
      <c r="A36" s="13" t="s">
        <v>202</v>
      </c>
      <c r="B36" s="16" t="s">
        <v>203</v>
      </c>
      <c r="C36" s="18">
        <v>1</v>
      </c>
      <c r="D36" s="4" t="s">
        <v>141</v>
      </c>
      <c r="E36" s="28">
        <f>Materials_Master!$H$41</f>
        <v>280</v>
      </c>
      <c r="F36" s="9">
        <f t="shared" si="0"/>
        <v>280</v>
      </c>
      <c r="G36" s="3"/>
    </row>
    <row r="37" spans="1:7" x14ac:dyDescent="0.35">
      <c r="A37" s="13" t="s">
        <v>204</v>
      </c>
      <c r="B37" s="16" t="s">
        <v>205</v>
      </c>
      <c r="C37" s="18">
        <v>1</v>
      </c>
      <c r="D37" s="4" t="s">
        <v>141</v>
      </c>
      <c r="E37" s="28">
        <f>Materials_Master!$H$42</f>
        <v>352</v>
      </c>
      <c r="F37" s="9">
        <f t="shared" si="0"/>
        <v>352</v>
      </c>
      <c r="G37" s="3"/>
    </row>
    <row r="38" spans="1:7" x14ac:dyDescent="0.35">
      <c r="A38" s="13" t="s">
        <v>206</v>
      </c>
      <c r="B38" s="16" t="s">
        <v>207</v>
      </c>
      <c r="C38" s="18">
        <v>8</v>
      </c>
      <c r="D38" s="4" t="s">
        <v>141</v>
      </c>
      <c r="E38" s="28">
        <f>Materials_Master!$H$43</f>
        <v>1800.63</v>
      </c>
      <c r="F38" s="9">
        <f t="shared" ref="F38:F69" si="1">C38*E38</f>
        <v>14405.04</v>
      </c>
      <c r="G38" s="3"/>
    </row>
    <row r="39" spans="1:7" x14ac:dyDescent="0.35">
      <c r="A39" s="13" t="s">
        <v>208</v>
      </c>
      <c r="B39" s="16" t="s">
        <v>209</v>
      </c>
      <c r="C39" s="18">
        <v>1</v>
      </c>
      <c r="D39" s="4" t="s">
        <v>141</v>
      </c>
      <c r="E39" s="28">
        <f>Materials_Master!$H$44</f>
        <v>2162.6</v>
      </c>
      <c r="F39" s="9">
        <f t="shared" si="1"/>
        <v>2162.6</v>
      </c>
      <c r="G39" s="3"/>
    </row>
    <row r="40" spans="1:7" x14ac:dyDescent="0.35">
      <c r="A40" s="13" t="s">
        <v>210</v>
      </c>
      <c r="B40" s="16" t="s">
        <v>211</v>
      </c>
      <c r="C40" s="18">
        <v>4</v>
      </c>
      <c r="D40" s="4" t="s">
        <v>141</v>
      </c>
      <c r="E40" s="28">
        <f>Materials_Master!$H$45</f>
        <v>2425.63</v>
      </c>
      <c r="F40" s="9">
        <f t="shared" si="1"/>
        <v>9702.52</v>
      </c>
      <c r="G40" s="3"/>
    </row>
    <row r="41" spans="1:7" x14ac:dyDescent="0.35">
      <c r="A41" s="13" t="s">
        <v>212</v>
      </c>
      <c r="B41" s="16" t="s">
        <v>213</v>
      </c>
      <c r="C41" s="18">
        <v>2</v>
      </c>
      <c r="D41" s="4" t="s">
        <v>141</v>
      </c>
      <c r="E41" s="28">
        <f>Materials_Master!$H$46</f>
        <v>3322.45</v>
      </c>
      <c r="F41" s="9">
        <f t="shared" si="1"/>
        <v>6644.9</v>
      </c>
      <c r="G41" s="3"/>
    </row>
    <row r="42" spans="1:7" x14ac:dyDescent="0.35">
      <c r="A42" s="13" t="s">
        <v>214</v>
      </c>
      <c r="B42" s="16" t="s">
        <v>215</v>
      </c>
      <c r="C42" s="18">
        <v>2</v>
      </c>
      <c r="D42" s="4" t="s">
        <v>141</v>
      </c>
      <c r="E42" s="28">
        <f>Materials_Master!$H$47</f>
        <v>4222.78</v>
      </c>
      <c r="F42" s="9">
        <f t="shared" si="1"/>
        <v>8445.56</v>
      </c>
      <c r="G42" s="3"/>
    </row>
    <row r="43" spans="1:7" x14ac:dyDescent="0.35">
      <c r="A43" s="13" t="s">
        <v>216</v>
      </c>
      <c r="B43" s="16" t="s">
        <v>217</v>
      </c>
      <c r="C43" s="18">
        <v>2</v>
      </c>
      <c r="D43" s="4" t="s">
        <v>141</v>
      </c>
      <c r="E43" s="28">
        <f>Materials_Master!$H$48</f>
        <v>5241.45</v>
      </c>
      <c r="F43" s="9">
        <f t="shared" si="1"/>
        <v>10482.9</v>
      </c>
      <c r="G43" s="3"/>
    </row>
    <row r="44" spans="1:7" x14ac:dyDescent="0.35">
      <c r="A44" s="13" t="s">
        <v>218</v>
      </c>
      <c r="B44" s="16" t="s">
        <v>219</v>
      </c>
      <c r="C44" s="18">
        <v>28</v>
      </c>
      <c r="D44" s="4" t="s">
        <v>141</v>
      </c>
      <c r="E44" s="28">
        <f>Materials_Master!$H$49</f>
        <v>1350</v>
      </c>
      <c r="F44" s="9">
        <f t="shared" si="1"/>
        <v>37800</v>
      </c>
      <c r="G44" s="3"/>
    </row>
    <row r="45" spans="1:7" x14ac:dyDescent="0.35">
      <c r="A45" s="13" t="s">
        <v>220</v>
      </c>
      <c r="B45" s="16" t="s">
        <v>221</v>
      </c>
      <c r="C45" s="18">
        <v>5</v>
      </c>
      <c r="D45" s="4" t="s">
        <v>141</v>
      </c>
      <c r="E45" s="28">
        <f>Materials_Master!$H$49</f>
        <v>1350</v>
      </c>
      <c r="F45" s="9">
        <f t="shared" si="1"/>
        <v>6750</v>
      </c>
      <c r="G45" s="3"/>
    </row>
    <row r="46" spans="1:7" x14ac:dyDescent="0.35">
      <c r="A46" s="13" t="s">
        <v>222</v>
      </c>
      <c r="B46" s="16" t="s">
        <v>223</v>
      </c>
      <c r="C46" s="18">
        <v>13</v>
      </c>
      <c r="D46" s="4" t="s">
        <v>141</v>
      </c>
      <c r="E46" s="28">
        <f>Materials_Master!$H$50</f>
        <v>364</v>
      </c>
      <c r="F46" s="9">
        <f t="shared" si="1"/>
        <v>4732</v>
      </c>
      <c r="G46" s="3"/>
    </row>
    <row r="47" spans="1:7" x14ac:dyDescent="0.35">
      <c r="A47" s="13" t="s">
        <v>224</v>
      </c>
      <c r="B47" s="16" t="s">
        <v>225</v>
      </c>
      <c r="C47" s="18">
        <v>13</v>
      </c>
      <c r="D47" s="4" t="s">
        <v>141</v>
      </c>
      <c r="E47" s="28">
        <f>Materials_Master!$H$51</f>
        <v>400</v>
      </c>
      <c r="F47" s="9">
        <f t="shared" si="1"/>
        <v>5200</v>
      </c>
      <c r="G47" s="3"/>
    </row>
    <row r="48" spans="1:7" x14ac:dyDescent="0.35">
      <c r="A48" s="13" t="s">
        <v>226</v>
      </c>
      <c r="B48" s="16" t="s">
        <v>227</v>
      </c>
      <c r="C48" s="18">
        <v>3</v>
      </c>
      <c r="D48" s="4" t="s">
        <v>141</v>
      </c>
      <c r="E48" s="28">
        <f>Materials_Master!$H$52</f>
        <v>1101</v>
      </c>
      <c r="F48" s="9">
        <f t="shared" si="1"/>
        <v>3303</v>
      </c>
      <c r="G48" s="3" t="s">
        <v>228</v>
      </c>
    </row>
    <row r="49" spans="1:7" x14ac:dyDescent="0.35">
      <c r="A49" s="13" t="s">
        <v>229</v>
      </c>
      <c r="B49" s="16" t="s">
        <v>230</v>
      </c>
      <c r="C49" s="18">
        <v>1</v>
      </c>
      <c r="D49" s="4" t="s">
        <v>141</v>
      </c>
      <c r="E49" s="28">
        <f>Materials_Master!$H$53</f>
        <v>1403</v>
      </c>
      <c r="F49" s="9">
        <f t="shared" si="1"/>
        <v>1403</v>
      </c>
      <c r="G49" s="3" t="s">
        <v>231</v>
      </c>
    </row>
    <row r="50" spans="1:7" x14ac:dyDescent="0.35">
      <c r="A50" s="13" t="s">
        <v>232</v>
      </c>
      <c r="B50" s="16" t="s">
        <v>233</v>
      </c>
      <c r="C50" s="18">
        <v>4</v>
      </c>
      <c r="D50" s="4" t="s">
        <v>141</v>
      </c>
      <c r="E50" s="28">
        <f>Materials_Master!$H$54</f>
        <v>400</v>
      </c>
      <c r="F50" s="9">
        <f t="shared" si="1"/>
        <v>1600</v>
      </c>
      <c r="G50" s="3"/>
    </row>
    <row r="51" spans="1:7" x14ac:dyDescent="0.35">
      <c r="A51" s="13" t="s">
        <v>234</v>
      </c>
      <c r="B51" s="16" t="s">
        <v>235</v>
      </c>
      <c r="C51" s="18">
        <v>17</v>
      </c>
      <c r="D51" s="4" t="s">
        <v>141</v>
      </c>
      <c r="E51" s="28">
        <f>Materials_Master!$H$55</f>
        <v>298</v>
      </c>
      <c r="F51" s="9">
        <f t="shared" si="1"/>
        <v>5066</v>
      </c>
      <c r="G51" s="3"/>
    </row>
    <row r="52" spans="1:7" x14ac:dyDescent="0.35">
      <c r="A52" s="13" t="s">
        <v>236</v>
      </c>
      <c r="B52" s="16" t="s">
        <v>237</v>
      </c>
      <c r="C52" s="18">
        <v>3</v>
      </c>
      <c r="D52" s="4" t="s">
        <v>141</v>
      </c>
      <c r="E52" s="28">
        <f>Materials_Master!$H$56</f>
        <v>229.5</v>
      </c>
      <c r="F52" s="9">
        <f t="shared" si="1"/>
        <v>688.5</v>
      </c>
      <c r="G52" s="3"/>
    </row>
    <row r="53" spans="1:7" x14ac:dyDescent="0.35">
      <c r="A53" s="13" t="s">
        <v>238</v>
      </c>
      <c r="B53" s="16" t="s">
        <v>239</v>
      </c>
      <c r="C53" s="18">
        <v>3</v>
      </c>
      <c r="D53" s="4" t="s">
        <v>141</v>
      </c>
      <c r="E53" s="28">
        <f>Materials_Master!$H$57</f>
        <v>365.2</v>
      </c>
      <c r="F53" s="9">
        <f t="shared" si="1"/>
        <v>1095.5999999999999</v>
      </c>
      <c r="G53" s="3"/>
    </row>
    <row r="54" spans="1:7" ht="25" x14ac:dyDescent="0.35">
      <c r="A54" s="13" t="s">
        <v>240</v>
      </c>
      <c r="B54" s="16" t="s">
        <v>241</v>
      </c>
      <c r="C54" s="18">
        <v>548.79999999999995</v>
      </c>
      <c r="D54" s="4" t="s">
        <v>137</v>
      </c>
      <c r="E54" s="28">
        <f>Materials_Master!$H$58</f>
        <v>321.4572</v>
      </c>
      <c r="F54" s="9">
        <f t="shared" si="1"/>
        <v>176415.71135999999</v>
      </c>
      <c r="G54" s="3" t="s">
        <v>242</v>
      </c>
    </row>
    <row r="55" spans="1:7" x14ac:dyDescent="0.35">
      <c r="A55" s="13" t="s">
        <v>243</v>
      </c>
      <c r="B55" s="16" t="s">
        <v>244</v>
      </c>
      <c r="C55" s="18">
        <v>13.1</v>
      </c>
      <c r="D55" s="4" t="s">
        <v>137</v>
      </c>
      <c r="E55" s="28">
        <f>Materials_Master!$H$59</f>
        <v>508.1712</v>
      </c>
      <c r="F55" s="9">
        <f t="shared" si="1"/>
        <v>6657.0427199999995</v>
      </c>
      <c r="G55" s="3" t="s">
        <v>245</v>
      </c>
    </row>
    <row r="56" spans="1:7" x14ac:dyDescent="0.35">
      <c r="A56" s="13" t="s">
        <v>246</v>
      </c>
      <c r="B56" s="16" t="s">
        <v>247</v>
      </c>
      <c r="C56" s="18">
        <v>25</v>
      </c>
      <c r="D56" s="4" t="s">
        <v>141</v>
      </c>
      <c r="E56" s="28">
        <f>Materials_Master!$H$61</f>
        <v>738.70019999999988</v>
      </c>
      <c r="F56" s="9">
        <f t="shared" si="1"/>
        <v>18467.504999999997</v>
      </c>
      <c r="G56" s="3"/>
    </row>
    <row r="57" spans="1:7" x14ac:dyDescent="0.35">
      <c r="A57" s="13" t="s">
        <v>248</v>
      </c>
      <c r="B57" s="16" t="s">
        <v>249</v>
      </c>
      <c r="C57" s="18">
        <v>8</v>
      </c>
      <c r="D57" s="4" t="s">
        <v>141</v>
      </c>
      <c r="E57" s="28">
        <f>Materials_Master!$H$63</f>
        <v>32.471399999999996</v>
      </c>
      <c r="F57" s="9">
        <f t="shared" si="1"/>
        <v>259.77119999999996</v>
      </c>
      <c r="G57" s="3"/>
    </row>
    <row r="58" spans="1:7" x14ac:dyDescent="0.35">
      <c r="A58" s="13" t="s">
        <v>250</v>
      </c>
      <c r="B58" s="16" t="s">
        <v>251</v>
      </c>
      <c r="C58" s="18">
        <v>10</v>
      </c>
      <c r="D58" s="4" t="s">
        <v>141</v>
      </c>
      <c r="E58" s="28">
        <f>Materials_Master!$H$64</f>
        <v>12.985799999999999</v>
      </c>
      <c r="F58" s="9">
        <f t="shared" si="1"/>
        <v>129.858</v>
      </c>
      <c r="G58" s="3"/>
    </row>
    <row r="59" spans="1:7" x14ac:dyDescent="0.35">
      <c r="A59" s="13" t="s">
        <v>252</v>
      </c>
      <c r="B59" s="16" t="s">
        <v>253</v>
      </c>
      <c r="C59" s="19">
        <f>70.4*0.36</f>
        <v>25.344000000000001</v>
      </c>
      <c r="D59" s="4" t="s">
        <v>116</v>
      </c>
      <c r="E59" s="28">
        <f>Materials_Master!$H$73</f>
        <v>110</v>
      </c>
      <c r="F59" s="9">
        <f t="shared" si="1"/>
        <v>2787.84</v>
      </c>
      <c r="G59" s="3" t="s">
        <v>254</v>
      </c>
    </row>
    <row r="60" spans="1:7" x14ac:dyDescent="0.35">
      <c r="A60" s="13" t="s">
        <v>255</v>
      </c>
      <c r="B60" s="16" t="s">
        <v>256</v>
      </c>
      <c r="C60" s="19">
        <f>179.56*0.18</f>
        <v>32.320799999999998</v>
      </c>
      <c r="D60" s="4" t="s">
        <v>116</v>
      </c>
      <c r="E60" s="28">
        <f>Materials_Master!$H$74</f>
        <v>120</v>
      </c>
      <c r="F60" s="9">
        <f t="shared" si="1"/>
        <v>3878.4959999999996</v>
      </c>
      <c r="G60" s="3"/>
    </row>
    <row r="61" spans="1:7" x14ac:dyDescent="0.35">
      <c r="A61" s="13" t="s">
        <v>257</v>
      </c>
      <c r="B61" s="16" t="s">
        <v>258</v>
      </c>
      <c r="C61" s="19">
        <f>263.33*0.9</f>
        <v>236.99699999999999</v>
      </c>
      <c r="D61" s="4" t="s">
        <v>116</v>
      </c>
      <c r="E61" s="28">
        <f>Materials_Master!$H$73</f>
        <v>110</v>
      </c>
      <c r="F61" s="9">
        <f t="shared" si="1"/>
        <v>26069.67</v>
      </c>
      <c r="G61" s="3"/>
    </row>
    <row r="62" spans="1:7" x14ac:dyDescent="0.35">
      <c r="A62" s="13" t="s">
        <v>259</v>
      </c>
      <c r="B62" s="16" t="s">
        <v>260</v>
      </c>
      <c r="C62" s="34">
        <f>ROUND(0.203*(C6+C8+C10+C11+C12+C13+C14+C16+C17+C18),0)</f>
        <v>332</v>
      </c>
      <c r="D62" s="4" t="s">
        <v>261</v>
      </c>
      <c r="E62" s="28">
        <f>Materials_Master!$H$72</f>
        <v>62</v>
      </c>
      <c r="F62" s="9">
        <f t="shared" si="1"/>
        <v>20584</v>
      </c>
      <c r="G62" s="3"/>
    </row>
    <row r="63" spans="1:7" ht="25" x14ac:dyDescent="0.35">
      <c r="A63" s="13" t="s">
        <v>262</v>
      </c>
      <c r="B63" s="16" t="s">
        <v>263</v>
      </c>
      <c r="C63" s="34">
        <f>ROUND(0.4*130.76,0)</f>
        <v>52</v>
      </c>
      <c r="D63" s="4" t="s">
        <v>261</v>
      </c>
      <c r="E63" s="28">
        <f>Materials_Master!$H$72</f>
        <v>62</v>
      </c>
      <c r="F63" s="9">
        <f t="shared" si="1"/>
        <v>3224</v>
      </c>
      <c r="G63" s="3" t="s">
        <v>264</v>
      </c>
    </row>
    <row r="64" spans="1:7" x14ac:dyDescent="0.35">
      <c r="A64" s="13" t="s">
        <v>265</v>
      </c>
      <c r="B64" s="16" t="s">
        <v>266</v>
      </c>
      <c r="C64" s="18">
        <v>1</v>
      </c>
      <c r="D64" s="4" t="s">
        <v>267</v>
      </c>
      <c r="E64" s="28">
        <f>Materials_Master!$H$78</f>
        <v>2500</v>
      </c>
      <c r="F64" s="9">
        <f t="shared" si="1"/>
        <v>2500</v>
      </c>
      <c r="G64" s="3"/>
    </row>
    <row r="65" spans="1:7" ht="30" x14ac:dyDescent="0.35">
      <c r="A65" s="13" t="s">
        <v>268</v>
      </c>
      <c r="B65" s="35" t="s">
        <v>269</v>
      </c>
      <c r="C65" s="18">
        <v>0</v>
      </c>
      <c r="D65" s="4" t="s">
        <v>270</v>
      </c>
      <c r="F65" s="36">
        <v>0</v>
      </c>
      <c r="G65" s="3" t="s">
        <v>271</v>
      </c>
    </row>
    <row r="66" spans="1:7" x14ac:dyDescent="0.35">
      <c r="A66" s="13" t="s">
        <v>272</v>
      </c>
      <c r="B66" s="16" t="s">
        <v>273</v>
      </c>
      <c r="C66" s="18">
        <v>35</v>
      </c>
      <c r="D66" s="4" t="s">
        <v>274</v>
      </c>
      <c r="E66" s="28">
        <f>Materials_Master!$H$65</f>
        <v>852</v>
      </c>
      <c r="F66" s="9">
        <f t="shared" ref="F66:F71" si="2">C66*E66</f>
        <v>29820</v>
      </c>
      <c r="G66" s="3" t="s">
        <v>275</v>
      </c>
    </row>
    <row r="67" spans="1:7" x14ac:dyDescent="0.35">
      <c r="A67" s="13" t="s">
        <v>276</v>
      </c>
      <c r="B67" s="16" t="s">
        <v>277</v>
      </c>
      <c r="C67" s="18">
        <v>11</v>
      </c>
      <c r="D67" s="4" t="s">
        <v>274</v>
      </c>
      <c r="E67" s="28">
        <f>Materials_Master!$H$66</f>
        <v>1133.1599999999999</v>
      </c>
      <c r="F67" s="9">
        <f t="shared" si="2"/>
        <v>12464.759999999998</v>
      </c>
      <c r="G67" s="3" t="s">
        <v>278</v>
      </c>
    </row>
    <row r="68" spans="1:7" x14ac:dyDescent="0.35">
      <c r="A68" s="13" t="s">
        <v>279</v>
      </c>
      <c r="B68" s="16" t="s">
        <v>280</v>
      </c>
      <c r="C68" s="18">
        <v>1</v>
      </c>
      <c r="D68" s="4" t="s">
        <v>267</v>
      </c>
      <c r="E68" s="28">
        <f>Materials_Master!$H$67</f>
        <v>4500</v>
      </c>
      <c r="F68" s="9">
        <f t="shared" si="2"/>
        <v>4500</v>
      </c>
      <c r="G68" s="3"/>
    </row>
    <row r="69" spans="1:7" x14ac:dyDescent="0.35">
      <c r="A69" s="13" t="s">
        <v>281</v>
      </c>
      <c r="B69" s="16" t="s">
        <v>282</v>
      </c>
      <c r="C69" s="18">
        <v>1</v>
      </c>
      <c r="D69" s="4" t="s">
        <v>267</v>
      </c>
      <c r="E69" s="28">
        <f>Materials_Master!$H$68</f>
        <v>1500</v>
      </c>
      <c r="F69" s="9">
        <f t="shared" si="2"/>
        <v>1500</v>
      </c>
      <c r="G69" s="3"/>
    </row>
    <row r="70" spans="1:7" x14ac:dyDescent="0.35">
      <c r="A70" s="13" t="s">
        <v>283</v>
      </c>
      <c r="B70" s="16" t="s">
        <v>284</v>
      </c>
      <c r="C70" s="18">
        <v>1</v>
      </c>
      <c r="D70" s="4" t="s">
        <v>267</v>
      </c>
      <c r="E70" s="28">
        <f>Materials_Master!$H$69</f>
        <v>5700</v>
      </c>
      <c r="F70" s="9">
        <f t="shared" si="2"/>
        <v>5700</v>
      </c>
      <c r="G70" s="3"/>
    </row>
    <row r="71" spans="1:7" x14ac:dyDescent="0.35">
      <c r="A71" s="13" t="s">
        <v>285</v>
      </c>
      <c r="B71" s="16" t="s">
        <v>286</v>
      </c>
      <c r="C71" s="18">
        <v>1</v>
      </c>
      <c r="D71" s="4" t="s">
        <v>267</v>
      </c>
      <c r="E71" s="28">
        <f>Materials_Master!$H$70</f>
        <v>3000</v>
      </c>
      <c r="F71" s="9">
        <f t="shared" si="2"/>
        <v>3000</v>
      </c>
      <c r="G71" s="3"/>
    </row>
    <row r="72" spans="1:7" x14ac:dyDescent="0.35">
      <c r="B72" s="29" t="s">
        <v>287</v>
      </c>
      <c r="F72" s="30">
        <f>SUM(F6:F71)</f>
        <v>745994.02447054279</v>
      </c>
    </row>
    <row r="73" spans="1:7" x14ac:dyDescent="0.35">
      <c r="B73" s="14" t="s">
        <v>288</v>
      </c>
      <c r="F73" s="9">
        <f>F72*(Materials_Master!$D$8-1)</f>
        <v>134278.92440469767</v>
      </c>
    </row>
    <row r="74" spans="1:7" x14ac:dyDescent="0.35">
      <c r="B74" s="29" t="s">
        <v>289</v>
      </c>
      <c r="F74" s="30">
        <f>F72+F73</f>
        <v>880272.94887524052</v>
      </c>
    </row>
    <row r="76" spans="1:7" x14ac:dyDescent="0.35">
      <c r="B76" s="23" t="s">
        <v>290</v>
      </c>
    </row>
    <row r="77" spans="1:7" x14ac:dyDescent="0.35">
      <c r="A77" s="13" t="s">
        <v>291</v>
      </c>
      <c r="B77" s="16" t="s">
        <v>292</v>
      </c>
      <c r="C77" s="33">
        <v>3</v>
      </c>
      <c r="D77" s="4" t="s">
        <v>293</v>
      </c>
      <c r="E77" s="28">
        <f>LabourRates_Master!$G$15</f>
        <v>2862.42609924812</v>
      </c>
      <c r="F77" s="9">
        <f t="shared" ref="F77:F102" si="3">C77*E77</f>
        <v>8587.2782977443603</v>
      </c>
    </row>
    <row r="78" spans="1:7" x14ac:dyDescent="0.35">
      <c r="A78" s="13" t="s">
        <v>294</v>
      </c>
      <c r="B78" s="16" t="s">
        <v>295</v>
      </c>
      <c r="C78" s="33">
        <v>3</v>
      </c>
      <c r="D78" s="4" t="s">
        <v>293</v>
      </c>
      <c r="E78" s="28">
        <f>LabourRates_Master!$G$15</f>
        <v>2862.42609924812</v>
      </c>
      <c r="F78" s="9">
        <f t="shared" si="3"/>
        <v>8587.2782977443603</v>
      </c>
    </row>
    <row r="79" spans="1:7" ht="25" x14ac:dyDescent="0.35">
      <c r="A79" s="13" t="s">
        <v>296</v>
      </c>
      <c r="B79" s="16" t="s">
        <v>297</v>
      </c>
      <c r="C79" s="33">
        <v>16</v>
      </c>
      <c r="D79" s="4" t="s">
        <v>293</v>
      </c>
      <c r="E79" s="28">
        <f>LabourRates_Master!$G$15</f>
        <v>2862.42609924812</v>
      </c>
      <c r="F79" s="9">
        <f t="shared" si="3"/>
        <v>45798.817587969919</v>
      </c>
    </row>
    <row r="80" spans="1:7" x14ac:dyDescent="0.35">
      <c r="A80" s="13" t="s">
        <v>298</v>
      </c>
      <c r="B80" s="16" t="s">
        <v>299</v>
      </c>
      <c r="C80" s="33">
        <v>1</v>
      </c>
      <c r="D80" s="4" t="s">
        <v>293</v>
      </c>
      <c r="E80" s="28">
        <f>LabourRates_Master!$G$15</f>
        <v>2862.42609924812</v>
      </c>
      <c r="F80" s="9">
        <f t="shared" si="3"/>
        <v>2862.42609924812</v>
      </c>
    </row>
    <row r="81" spans="1:6" x14ac:dyDescent="0.35">
      <c r="A81" s="13" t="s">
        <v>300</v>
      </c>
      <c r="B81" s="16" t="s">
        <v>301</v>
      </c>
      <c r="C81" s="33">
        <v>10</v>
      </c>
      <c r="D81" s="4" t="s">
        <v>293</v>
      </c>
      <c r="E81" s="28">
        <f>LabourRates_Master!$G$15</f>
        <v>2862.42609924812</v>
      </c>
      <c r="F81" s="9">
        <f t="shared" si="3"/>
        <v>28624.260992481199</v>
      </c>
    </row>
    <row r="82" spans="1:6" x14ac:dyDescent="0.35">
      <c r="A82" s="13" t="s">
        <v>302</v>
      </c>
      <c r="B82" s="16" t="s">
        <v>303</v>
      </c>
      <c r="C82" s="33">
        <v>2</v>
      </c>
      <c r="D82" s="4" t="s">
        <v>293</v>
      </c>
      <c r="E82" s="28">
        <f>LabourRates_Master!$G$15</f>
        <v>2862.42609924812</v>
      </c>
      <c r="F82" s="9">
        <f t="shared" si="3"/>
        <v>5724.8521984962399</v>
      </c>
    </row>
    <row r="83" spans="1:6" x14ac:dyDescent="0.35">
      <c r="A83" s="13" t="s">
        <v>304</v>
      </c>
      <c r="B83" s="16" t="s">
        <v>305</v>
      </c>
      <c r="C83" s="33">
        <v>4</v>
      </c>
      <c r="D83" s="4" t="s">
        <v>293</v>
      </c>
      <c r="E83" s="28">
        <f>LabourRates_Master!$G$15</f>
        <v>2862.42609924812</v>
      </c>
      <c r="F83" s="9">
        <f t="shared" si="3"/>
        <v>11449.70439699248</v>
      </c>
    </row>
    <row r="84" spans="1:6" ht="25" x14ac:dyDescent="0.35">
      <c r="A84" s="13" t="s">
        <v>306</v>
      </c>
      <c r="B84" s="16" t="s">
        <v>307</v>
      </c>
      <c r="C84" s="33">
        <v>10</v>
      </c>
      <c r="D84" s="4" t="s">
        <v>293</v>
      </c>
      <c r="E84" s="28">
        <f>LabourRates_Master!$G$15</f>
        <v>2862.42609924812</v>
      </c>
      <c r="F84" s="9">
        <f t="shared" si="3"/>
        <v>28624.260992481199</v>
      </c>
    </row>
    <row r="85" spans="1:6" x14ac:dyDescent="0.35">
      <c r="A85" s="13" t="s">
        <v>308</v>
      </c>
      <c r="B85" s="16" t="s">
        <v>309</v>
      </c>
      <c r="C85" s="33">
        <v>4</v>
      </c>
      <c r="D85" s="4" t="s">
        <v>293</v>
      </c>
      <c r="E85" s="28">
        <f>LabourRates_Master!$G$15</f>
        <v>2862.42609924812</v>
      </c>
      <c r="F85" s="9">
        <f t="shared" si="3"/>
        <v>11449.70439699248</v>
      </c>
    </row>
    <row r="86" spans="1:6" x14ac:dyDescent="0.35">
      <c r="A86" s="13" t="s">
        <v>310</v>
      </c>
      <c r="B86" s="16" t="s">
        <v>311</v>
      </c>
      <c r="C86" s="33">
        <v>3</v>
      </c>
      <c r="D86" s="4" t="s">
        <v>293</v>
      </c>
      <c r="E86" s="28">
        <f>LabourRates_Master!$G$15</f>
        <v>2862.42609924812</v>
      </c>
      <c r="F86" s="9">
        <f t="shared" si="3"/>
        <v>8587.2782977443603</v>
      </c>
    </row>
    <row r="87" spans="1:6" x14ac:dyDescent="0.35">
      <c r="A87" s="13" t="s">
        <v>312</v>
      </c>
      <c r="B87" s="16" t="s">
        <v>313</v>
      </c>
      <c r="C87" s="33">
        <v>4</v>
      </c>
      <c r="D87" s="4" t="s">
        <v>293</v>
      </c>
      <c r="E87" s="28">
        <f>LabourRates_Master!$G$15</f>
        <v>2862.42609924812</v>
      </c>
      <c r="F87" s="9">
        <f t="shared" si="3"/>
        <v>11449.70439699248</v>
      </c>
    </row>
    <row r="88" spans="1:6" x14ac:dyDescent="0.35">
      <c r="A88" s="13" t="s">
        <v>314</v>
      </c>
      <c r="B88" s="16" t="s">
        <v>315</v>
      </c>
      <c r="C88" s="33">
        <v>22</v>
      </c>
      <c r="D88" s="4" t="s">
        <v>293</v>
      </c>
      <c r="E88" s="28">
        <f>LabourRates_Master!$G$15</f>
        <v>2862.42609924812</v>
      </c>
      <c r="F88" s="9">
        <f t="shared" si="3"/>
        <v>62973.37418345864</v>
      </c>
    </row>
    <row r="89" spans="1:6" x14ac:dyDescent="0.35">
      <c r="A89" s="13" t="s">
        <v>316</v>
      </c>
      <c r="B89" s="16" t="s">
        <v>317</v>
      </c>
      <c r="C89" s="33">
        <v>13</v>
      </c>
      <c r="D89" s="4" t="s">
        <v>293</v>
      </c>
      <c r="E89" s="28">
        <f>LabourRates_Master!$G$15</f>
        <v>2862.42609924812</v>
      </c>
      <c r="F89" s="9">
        <f t="shared" si="3"/>
        <v>37211.539290225563</v>
      </c>
    </row>
    <row r="90" spans="1:6" x14ac:dyDescent="0.35">
      <c r="A90" s="13" t="s">
        <v>318</v>
      </c>
      <c r="B90" s="16" t="s">
        <v>319</v>
      </c>
      <c r="C90" s="33">
        <v>6</v>
      </c>
      <c r="D90" s="4" t="s">
        <v>293</v>
      </c>
      <c r="E90" s="28">
        <f>LabourRates_Master!$G$15</f>
        <v>2862.42609924812</v>
      </c>
      <c r="F90" s="9">
        <f t="shared" si="3"/>
        <v>17174.556595488721</v>
      </c>
    </row>
    <row r="91" spans="1:6" x14ac:dyDescent="0.35">
      <c r="A91" s="13" t="s">
        <v>320</v>
      </c>
      <c r="B91" s="16" t="s">
        <v>321</v>
      </c>
      <c r="C91" s="33">
        <v>2</v>
      </c>
      <c r="D91" s="4" t="s">
        <v>293</v>
      </c>
      <c r="E91" s="28">
        <f>LabourRates_Master!$G$15</f>
        <v>2862.42609924812</v>
      </c>
      <c r="F91" s="9">
        <f t="shared" si="3"/>
        <v>5724.8521984962399</v>
      </c>
    </row>
    <row r="92" spans="1:6" x14ac:dyDescent="0.35">
      <c r="A92" s="13" t="s">
        <v>322</v>
      </c>
      <c r="B92" s="16" t="s">
        <v>323</v>
      </c>
      <c r="C92" s="33">
        <v>7</v>
      </c>
      <c r="D92" s="4" t="s">
        <v>293</v>
      </c>
      <c r="E92" s="28">
        <f>LabourRates_Master!$G$15</f>
        <v>2862.42609924812</v>
      </c>
      <c r="F92" s="9">
        <f t="shared" si="3"/>
        <v>20036.982694736838</v>
      </c>
    </row>
    <row r="93" spans="1:6" x14ac:dyDescent="0.35">
      <c r="A93" s="13" t="s">
        <v>324</v>
      </c>
      <c r="B93" s="16" t="s">
        <v>325</v>
      </c>
      <c r="C93" s="33">
        <v>10</v>
      </c>
      <c r="D93" s="4" t="s">
        <v>293</v>
      </c>
      <c r="E93" s="28">
        <f>LabourRates_Master!$G$15</f>
        <v>2862.42609924812</v>
      </c>
      <c r="F93" s="9">
        <f t="shared" si="3"/>
        <v>28624.260992481199</v>
      </c>
    </row>
    <row r="94" spans="1:6" ht="26" x14ac:dyDescent="0.35">
      <c r="A94" s="13" t="s">
        <v>326</v>
      </c>
      <c r="B94" s="35" t="s">
        <v>327</v>
      </c>
      <c r="C94" s="37">
        <v>0</v>
      </c>
      <c r="D94" s="4" t="s">
        <v>293</v>
      </c>
      <c r="E94" s="28">
        <f>LabourRates_Master!$G$15</f>
        <v>2862.42609924812</v>
      </c>
      <c r="F94" s="9">
        <f t="shared" si="3"/>
        <v>0</v>
      </c>
    </row>
    <row r="95" spans="1:6" x14ac:dyDescent="0.35">
      <c r="A95" s="13" t="s">
        <v>328</v>
      </c>
      <c r="B95" s="16" t="s">
        <v>329</v>
      </c>
      <c r="C95" s="33">
        <v>9</v>
      </c>
      <c r="D95" s="4" t="s">
        <v>293</v>
      </c>
      <c r="E95" s="28">
        <f>LabourRates_Master!$G$15</f>
        <v>2862.42609924812</v>
      </c>
      <c r="F95" s="9">
        <f t="shared" si="3"/>
        <v>25761.834893233081</v>
      </c>
    </row>
    <row r="96" spans="1:6" x14ac:dyDescent="0.35">
      <c r="A96" s="13" t="s">
        <v>330</v>
      </c>
      <c r="B96" s="16" t="s">
        <v>331</v>
      </c>
      <c r="C96" s="33">
        <v>6</v>
      </c>
      <c r="D96" s="4" t="s">
        <v>293</v>
      </c>
      <c r="E96" s="28">
        <f>LabourRates_Master!$G$15</f>
        <v>2862.42609924812</v>
      </c>
      <c r="F96" s="9">
        <f t="shared" si="3"/>
        <v>17174.556595488721</v>
      </c>
    </row>
    <row r="97" spans="1:7" x14ac:dyDescent="0.35">
      <c r="A97" s="13" t="s">
        <v>332</v>
      </c>
      <c r="B97" s="16" t="s">
        <v>333</v>
      </c>
      <c r="C97" s="33">
        <v>9</v>
      </c>
      <c r="D97" s="4" t="s">
        <v>293</v>
      </c>
      <c r="E97" s="28">
        <f>LabourRates_Master!$G$15</f>
        <v>2862.42609924812</v>
      </c>
      <c r="F97" s="9">
        <f t="shared" si="3"/>
        <v>25761.834893233081</v>
      </c>
    </row>
    <row r="98" spans="1:7" x14ac:dyDescent="0.35">
      <c r="A98" s="13" t="s">
        <v>334</v>
      </c>
      <c r="B98" s="16" t="s">
        <v>335</v>
      </c>
      <c r="C98" s="33">
        <v>8</v>
      </c>
      <c r="D98" s="4" t="s">
        <v>293</v>
      </c>
      <c r="E98" s="28">
        <f>LabourRates_Master!$G$15</f>
        <v>2862.42609924812</v>
      </c>
      <c r="F98" s="9">
        <f t="shared" si="3"/>
        <v>22899.40879398496</v>
      </c>
    </row>
    <row r="99" spans="1:7" x14ac:dyDescent="0.35">
      <c r="A99" s="13" t="s">
        <v>336</v>
      </c>
      <c r="B99" s="16" t="s">
        <v>337</v>
      </c>
      <c r="C99" s="33">
        <v>16</v>
      </c>
      <c r="D99" s="4" t="s">
        <v>293</v>
      </c>
      <c r="E99" s="28">
        <f>LabourRates_Master!$G$15</f>
        <v>2862.42609924812</v>
      </c>
      <c r="F99" s="9">
        <f t="shared" si="3"/>
        <v>45798.817587969919</v>
      </c>
    </row>
    <row r="100" spans="1:7" ht="25" x14ac:dyDescent="0.35">
      <c r="A100" s="13" t="s">
        <v>338</v>
      </c>
      <c r="B100" s="16" t="s">
        <v>339</v>
      </c>
      <c r="C100" s="33">
        <v>8</v>
      </c>
      <c r="D100" s="4" t="s">
        <v>293</v>
      </c>
      <c r="E100" s="28">
        <f>LabourRates_Master!$G$15</f>
        <v>2862.42609924812</v>
      </c>
      <c r="F100" s="9">
        <f t="shared" si="3"/>
        <v>22899.40879398496</v>
      </c>
    </row>
    <row r="101" spans="1:7" ht="25" x14ac:dyDescent="0.35">
      <c r="A101" s="13" t="s">
        <v>340</v>
      </c>
      <c r="B101" s="16" t="s">
        <v>341</v>
      </c>
      <c r="C101" s="33">
        <v>23</v>
      </c>
      <c r="D101" s="4" t="s">
        <v>293</v>
      </c>
      <c r="E101" s="28">
        <f>LabourRates_Master!$G$15</f>
        <v>2862.42609924812</v>
      </c>
      <c r="F101" s="9">
        <f t="shared" si="3"/>
        <v>65835.800282706754</v>
      </c>
    </row>
    <row r="102" spans="1:7" x14ac:dyDescent="0.35">
      <c r="A102" s="13" t="s">
        <v>342</v>
      </c>
      <c r="B102" s="16" t="s">
        <v>343</v>
      </c>
      <c r="C102" s="33">
        <v>13</v>
      </c>
      <c r="D102" s="4" t="s">
        <v>293</v>
      </c>
      <c r="E102" s="28">
        <f>LabourRates_Master!$G$15</f>
        <v>2862.42609924812</v>
      </c>
      <c r="F102" s="9">
        <f t="shared" si="3"/>
        <v>37211.539290225563</v>
      </c>
    </row>
    <row r="103" spans="1:7" x14ac:dyDescent="0.35">
      <c r="B103" s="29" t="s">
        <v>344</v>
      </c>
      <c r="C103" s="38">
        <f>SUM(C77:C102)</f>
        <v>212</v>
      </c>
      <c r="F103" s="30">
        <f>SUM(F77:F102)</f>
        <v>606834.33304060157</v>
      </c>
    </row>
    <row r="104" spans="1:7" ht="62.5" x14ac:dyDescent="0.35">
      <c r="A104" s="13" t="s">
        <v>345</v>
      </c>
      <c r="B104" s="16" t="s">
        <v>346</v>
      </c>
      <c r="C104" s="19">
        <f>ROUND(120*C103/(C103+Stage1B_Drainage!$C$23),1)</f>
        <v>114.1</v>
      </c>
      <c r="D104" s="4" t="s">
        <v>347</v>
      </c>
      <c r="E104" s="28">
        <f>LabourRates_Master!$G$11</f>
        <v>1329.6342857142859</v>
      </c>
      <c r="F104" s="9">
        <f>C104*E104</f>
        <v>151711.272</v>
      </c>
    </row>
    <row r="105" spans="1:7" ht="20" x14ac:dyDescent="0.35">
      <c r="B105" s="29" t="s">
        <v>348</v>
      </c>
      <c r="F105" s="30">
        <f>F103+F104</f>
        <v>758545.60504060157</v>
      </c>
      <c r="G105" s="3" t="s">
        <v>349</v>
      </c>
    </row>
    <row r="107" spans="1:7" x14ac:dyDescent="0.35">
      <c r="B107" s="23" t="s">
        <v>350</v>
      </c>
    </row>
    <row r="108" spans="1:7" x14ac:dyDescent="0.35">
      <c r="B108" s="16" t="s">
        <v>351</v>
      </c>
      <c r="C108" s="33">
        <v>43</v>
      </c>
      <c r="D108" s="4" t="s">
        <v>352</v>
      </c>
      <c r="E108" s="28">
        <f>Equip_Master!$D$5</f>
        <v>317.2</v>
      </c>
      <c r="F108" s="9">
        <f t="shared" ref="F108:F122" si="4">C108*E108</f>
        <v>13639.6</v>
      </c>
    </row>
    <row r="109" spans="1:7" x14ac:dyDescent="0.35">
      <c r="B109" s="16" t="s">
        <v>353</v>
      </c>
      <c r="C109" s="33">
        <v>64</v>
      </c>
      <c r="D109" s="4" t="s">
        <v>352</v>
      </c>
      <c r="E109" s="28">
        <f>Equip_Master!$D$6</f>
        <v>261.17</v>
      </c>
      <c r="F109" s="9">
        <f t="shared" si="4"/>
        <v>16714.88</v>
      </c>
    </row>
    <row r="110" spans="1:7" x14ac:dyDescent="0.35">
      <c r="B110" s="16" t="s">
        <v>354</v>
      </c>
      <c r="C110" s="33">
        <v>66</v>
      </c>
      <c r="D110" s="4" t="s">
        <v>352</v>
      </c>
      <c r="E110" s="28">
        <f>Equip_Master!$D$7</f>
        <v>314.29000000000002</v>
      </c>
      <c r="F110" s="9">
        <f t="shared" si="4"/>
        <v>20743.140000000003</v>
      </c>
    </row>
    <row r="111" spans="1:7" x14ac:dyDescent="0.35">
      <c r="B111" s="16" t="s">
        <v>355</v>
      </c>
      <c r="C111" s="33">
        <v>56</v>
      </c>
      <c r="D111" s="4" t="s">
        <v>352</v>
      </c>
      <c r="E111" s="28">
        <f>Equip_Master!$D$8</f>
        <v>238.67</v>
      </c>
      <c r="F111" s="9">
        <f t="shared" si="4"/>
        <v>13365.519999999999</v>
      </c>
      <c r="G111" s="3" t="s">
        <v>356</v>
      </c>
    </row>
    <row r="112" spans="1:7" x14ac:dyDescent="0.35">
      <c r="B112" s="16" t="s">
        <v>357</v>
      </c>
      <c r="C112" s="33">
        <v>10</v>
      </c>
      <c r="D112" s="4" t="s">
        <v>352</v>
      </c>
      <c r="E112" s="28">
        <f>Equip_Master!$D$9</f>
        <v>203</v>
      </c>
      <c r="F112" s="9">
        <f t="shared" si="4"/>
        <v>2030</v>
      </c>
    </row>
    <row r="113" spans="2:7" x14ac:dyDescent="0.35">
      <c r="B113" s="16" t="s">
        <v>358</v>
      </c>
      <c r="C113" s="33">
        <v>60</v>
      </c>
      <c r="D113" s="4" t="s">
        <v>352</v>
      </c>
      <c r="E113" s="28">
        <f>Equip_Master!$D$10</f>
        <v>165</v>
      </c>
      <c r="F113" s="9">
        <f t="shared" si="4"/>
        <v>9900</v>
      </c>
    </row>
    <row r="114" spans="2:7" x14ac:dyDescent="0.35">
      <c r="B114" s="16" t="s">
        <v>359</v>
      </c>
      <c r="C114" s="33">
        <v>70</v>
      </c>
      <c r="D114" s="4" t="s">
        <v>352</v>
      </c>
      <c r="E114" s="28">
        <f>Equip_Master!$D$11</f>
        <v>34.29</v>
      </c>
      <c r="F114" s="9">
        <f t="shared" si="4"/>
        <v>2400.2999999999997</v>
      </c>
    </row>
    <row r="115" spans="2:7" x14ac:dyDescent="0.35">
      <c r="B115" s="16" t="s">
        <v>360</v>
      </c>
      <c r="C115" s="33">
        <v>69</v>
      </c>
      <c r="D115" s="4" t="s">
        <v>352</v>
      </c>
      <c r="E115" s="28">
        <f>Equip_Master!$D$12</f>
        <v>171.43</v>
      </c>
      <c r="F115" s="9">
        <f t="shared" si="4"/>
        <v>11828.67</v>
      </c>
      <c r="G115" s="3" t="s">
        <v>361</v>
      </c>
    </row>
    <row r="116" spans="2:7" x14ac:dyDescent="0.35">
      <c r="B116" s="16" t="s">
        <v>362</v>
      </c>
      <c r="C116" s="33">
        <v>8</v>
      </c>
      <c r="D116" s="4" t="s">
        <v>352</v>
      </c>
      <c r="E116" s="28">
        <f>Equip_Master!$D$16</f>
        <v>3800</v>
      </c>
      <c r="F116" s="9">
        <f t="shared" si="4"/>
        <v>30400</v>
      </c>
      <c r="G116" s="3" t="s">
        <v>363</v>
      </c>
    </row>
    <row r="117" spans="2:7" x14ac:dyDescent="0.35">
      <c r="B117" s="16" t="s">
        <v>364</v>
      </c>
      <c r="C117" s="33">
        <v>17</v>
      </c>
      <c r="D117" s="4" t="s">
        <v>352</v>
      </c>
      <c r="E117" s="28">
        <f>Equip_Master!$D$17</f>
        <v>2200</v>
      </c>
      <c r="F117" s="9">
        <f t="shared" si="4"/>
        <v>37400</v>
      </c>
      <c r="G117" s="3" t="s">
        <v>365</v>
      </c>
    </row>
    <row r="118" spans="2:7" x14ac:dyDescent="0.35">
      <c r="B118" s="16" t="s">
        <v>366</v>
      </c>
      <c r="C118" s="33">
        <v>14</v>
      </c>
      <c r="D118" s="4" t="s">
        <v>352</v>
      </c>
      <c r="E118" s="28">
        <f>Equip_Master!$D$18</f>
        <v>120</v>
      </c>
      <c r="F118" s="9">
        <f t="shared" si="4"/>
        <v>1680</v>
      </c>
      <c r="G118" s="3" t="s">
        <v>365</v>
      </c>
    </row>
    <row r="119" spans="2:7" x14ac:dyDescent="0.35">
      <c r="B119" s="16" t="s">
        <v>367</v>
      </c>
      <c r="C119" s="33">
        <v>6</v>
      </c>
      <c r="D119" s="4" t="s">
        <v>352</v>
      </c>
      <c r="E119" s="28">
        <f>Equip_Master!$D$13</f>
        <v>295.77</v>
      </c>
      <c r="F119" s="9">
        <f t="shared" si="4"/>
        <v>1774.62</v>
      </c>
    </row>
    <row r="120" spans="2:7" x14ac:dyDescent="0.35">
      <c r="B120" s="16" t="s">
        <v>368</v>
      </c>
      <c r="C120" s="33">
        <v>2</v>
      </c>
      <c r="D120" s="4" t="s">
        <v>352</v>
      </c>
      <c r="E120" s="28">
        <f>Equip_Master!$D$15</f>
        <v>1100</v>
      </c>
      <c r="F120" s="9">
        <f t="shared" si="4"/>
        <v>2200</v>
      </c>
      <c r="G120" s="3" t="s">
        <v>369</v>
      </c>
    </row>
    <row r="121" spans="2:7" x14ac:dyDescent="0.35">
      <c r="B121" s="16" t="s">
        <v>370</v>
      </c>
      <c r="C121" s="33">
        <v>10</v>
      </c>
      <c r="D121" s="4" t="s">
        <v>352</v>
      </c>
      <c r="E121" s="28">
        <f>Equip_Master!$D$14</f>
        <v>57</v>
      </c>
      <c r="F121" s="9">
        <f t="shared" si="4"/>
        <v>570</v>
      </c>
    </row>
    <row r="122" spans="2:7" x14ac:dyDescent="0.35">
      <c r="B122" s="16" t="s">
        <v>371</v>
      </c>
      <c r="C122" s="33">
        <v>5</v>
      </c>
      <c r="D122" s="4" t="s">
        <v>352</v>
      </c>
      <c r="E122" s="28">
        <f>Equip_Master!$D$19</f>
        <v>100</v>
      </c>
      <c r="F122" s="9">
        <f t="shared" si="4"/>
        <v>500</v>
      </c>
    </row>
    <row r="123" spans="2:7" x14ac:dyDescent="0.35">
      <c r="B123" s="29" t="s">
        <v>372</v>
      </c>
      <c r="F123" s="30">
        <f>SUM(F108:F122)</f>
        <v>165146.73000000001</v>
      </c>
    </row>
    <row r="125" spans="2:7" x14ac:dyDescent="0.35">
      <c r="B125" s="23" t="s">
        <v>373</v>
      </c>
    </row>
    <row r="126" spans="2:7" x14ac:dyDescent="0.35">
      <c r="B126" s="16" t="s">
        <v>374</v>
      </c>
      <c r="C126" s="33">
        <v>5</v>
      </c>
      <c r="D126" s="4" t="s">
        <v>352</v>
      </c>
      <c r="E126" s="28">
        <f>Materials_Master!$H$83</f>
        <v>2070</v>
      </c>
      <c r="F126" s="9">
        <f>C126*E126</f>
        <v>10350</v>
      </c>
    </row>
    <row r="127" spans="2:7" x14ac:dyDescent="0.35">
      <c r="B127" s="16" t="s">
        <v>375</v>
      </c>
      <c r="C127" s="33">
        <v>1</v>
      </c>
      <c r="D127" s="4" t="s">
        <v>352</v>
      </c>
      <c r="E127" s="28">
        <f>Materials_Master!$H$84</f>
        <v>1494.9999999999998</v>
      </c>
      <c r="F127" s="9">
        <f>C127*E127</f>
        <v>1494.9999999999998</v>
      </c>
    </row>
    <row r="128" spans="2:7" x14ac:dyDescent="0.35">
      <c r="B128" s="16" t="s">
        <v>376</v>
      </c>
      <c r="C128" s="33">
        <v>40</v>
      </c>
      <c r="D128" s="4" t="s">
        <v>377</v>
      </c>
      <c r="E128" s="28">
        <f>Materials_Master!$H$85</f>
        <v>140.29999999999998</v>
      </c>
      <c r="F128" s="9">
        <f>C128*E128</f>
        <v>5611.9999999999991</v>
      </c>
    </row>
    <row r="129" spans="2:7" x14ac:dyDescent="0.35">
      <c r="B129" s="16" t="s">
        <v>378</v>
      </c>
      <c r="C129" s="33">
        <v>4</v>
      </c>
      <c r="D129" s="4" t="s">
        <v>379</v>
      </c>
      <c r="E129" s="28">
        <f>Materials_Master!$H$86</f>
        <v>977.49999999999989</v>
      </c>
      <c r="F129" s="9">
        <f>C129*E129</f>
        <v>3909.9999999999995</v>
      </c>
    </row>
    <row r="130" spans="2:7" x14ac:dyDescent="0.35">
      <c r="B130" s="16" t="s">
        <v>380</v>
      </c>
      <c r="C130" s="34">
        <f>ROUND(0.21*(C6+C8+C10+C11+C12+C13+C14+C16+C17+C18)+0.8*130.76,0)</f>
        <v>448</v>
      </c>
      <c r="D130" s="4" t="s">
        <v>116</v>
      </c>
      <c r="E130" s="28">
        <f>Materials_Master!$H$87</f>
        <v>46</v>
      </c>
      <c r="F130" s="9">
        <f>C130*E130</f>
        <v>20608</v>
      </c>
      <c r="G130" s="13" t="s">
        <v>381</v>
      </c>
    </row>
    <row r="131" spans="2:7" x14ac:dyDescent="0.35">
      <c r="B131" s="29" t="s">
        <v>382</v>
      </c>
      <c r="F131" s="30">
        <f>SUM(F126:F130)</f>
        <v>41975</v>
      </c>
    </row>
    <row r="133" spans="2:7" x14ac:dyDescent="0.35">
      <c r="B133" s="23" t="s">
        <v>383</v>
      </c>
    </row>
    <row r="134" spans="2:7" x14ac:dyDescent="0.35">
      <c r="B134" s="4" t="s">
        <v>384</v>
      </c>
      <c r="F134" s="28">
        <f>Accommodation!$E$27*C103/(C103+Stage1B_Drainage!$C$23)</f>
        <v>105872.41973094171</v>
      </c>
    </row>
    <row r="136" spans="2:7" x14ac:dyDescent="0.35">
      <c r="B136" s="2" t="s">
        <v>385</v>
      </c>
      <c r="F136" s="31">
        <f>F74+F105+F123+F131+F134</f>
        <v>1951812.7036467837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workbookViewId="0"/>
  </sheetViews>
  <sheetFormatPr defaultRowHeight="14.5" x14ac:dyDescent="0.35"/>
  <cols>
    <col min="1" max="1" width="8" customWidth="1"/>
    <col min="2" max="2" width="62" customWidth="1"/>
    <col min="3" max="3" width="11" customWidth="1"/>
    <col min="4" max="4" width="10" customWidth="1"/>
    <col min="5" max="5" width="12" customWidth="1"/>
    <col min="6" max="6" width="14" customWidth="1"/>
    <col min="7" max="7" width="64" customWidth="1"/>
    <col min="8" max="8" width="6" customWidth="1"/>
  </cols>
  <sheetData>
    <row r="1" spans="1:7" ht="18" x14ac:dyDescent="0.4">
      <c r="B1" s="1" t="s">
        <v>386</v>
      </c>
    </row>
    <row r="2" spans="1:7" ht="30" x14ac:dyDescent="0.35">
      <c r="B2" s="3" t="s">
        <v>387</v>
      </c>
    </row>
    <row r="4" spans="1:7" x14ac:dyDescent="0.35">
      <c r="A4" s="17" t="s">
        <v>128</v>
      </c>
      <c r="B4" s="17" t="s">
        <v>129</v>
      </c>
      <c r="C4" s="17" t="s">
        <v>130</v>
      </c>
      <c r="D4" s="17" t="s">
        <v>111</v>
      </c>
      <c r="E4" s="17" t="s">
        <v>131</v>
      </c>
      <c r="F4" s="17" t="s">
        <v>132</v>
      </c>
      <c r="G4" s="17" t="s">
        <v>133</v>
      </c>
    </row>
    <row r="5" spans="1:7" x14ac:dyDescent="0.35">
      <c r="B5" s="23" t="s">
        <v>134</v>
      </c>
    </row>
    <row r="6" spans="1:7" x14ac:dyDescent="0.35">
      <c r="A6" s="13" t="s">
        <v>135</v>
      </c>
      <c r="B6" s="16" t="s">
        <v>388</v>
      </c>
      <c r="C6" s="18">
        <v>29.6</v>
      </c>
      <c r="D6" s="4" t="s">
        <v>137</v>
      </c>
      <c r="E6" s="28">
        <f>Materials_Master!$H$21</f>
        <v>50.62299999999999</v>
      </c>
      <c r="F6" s="9">
        <f t="shared" ref="F6:F13" si="0">C6*E6</f>
        <v>1498.4407999999999</v>
      </c>
      <c r="G6" s="3"/>
    </row>
    <row r="7" spans="1:7" ht="25" x14ac:dyDescent="0.35">
      <c r="A7" s="13" t="s">
        <v>240</v>
      </c>
      <c r="B7" s="16" t="s">
        <v>389</v>
      </c>
      <c r="C7" s="18">
        <v>15.2</v>
      </c>
      <c r="D7" s="4" t="s">
        <v>137</v>
      </c>
      <c r="E7" s="28">
        <f>Materials_Master!$H$59</f>
        <v>508.1712</v>
      </c>
      <c r="F7" s="9">
        <f t="shared" si="0"/>
        <v>7724.2022399999996</v>
      </c>
      <c r="G7" s="3" t="s">
        <v>390</v>
      </c>
    </row>
    <row r="8" spans="1:7" ht="25" x14ac:dyDescent="0.35">
      <c r="A8" s="13" t="s">
        <v>243</v>
      </c>
      <c r="B8" s="16" t="s">
        <v>391</v>
      </c>
      <c r="C8" s="18">
        <v>31.4</v>
      </c>
      <c r="D8" s="4" t="s">
        <v>137</v>
      </c>
      <c r="E8" s="28">
        <f>Materials_Master!$H$60</f>
        <v>387.62819999999994</v>
      </c>
      <c r="F8" s="9">
        <f t="shared" si="0"/>
        <v>12171.525479999997</v>
      </c>
      <c r="G8" s="3" t="s">
        <v>392</v>
      </c>
    </row>
    <row r="9" spans="1:7" x14ac:dyDescent="0.35">
      <c r="A9" s="13" t="s">
        <v>246</v>
      </c>
      <c r="B9" s="16" t="s">
        <v>393</v>
      </c>
      <c r="C9" s="18">
        <v>4</v>
      </c>
      <c r="D9" s="4" t="s">
        <v>141</v>
      </c>
      <c r="E9" s="28">
        <f>Materials_Master!$H$62</f>
        <v>295.48559999999998</v>
      </c>
      <c r="F9" s="9">
        <f t="shared" si="0"/>
        <v>1181.9423999999999</v>
      </c>
      <c r="G9" s="3"/>
    </row>
    <row r="10" spans="1:7" x14ac:dyDescent="0.35">
      <c r="A10" s="13" t="s">
        <v>248</v>
      </c>
      <c r="B10" s="16" t="s">
        <v>251</v>
      </c>
      <c r="C10" s="18">
        <v>4</v>
      </c>
      <c r="D10" s="4" t="s">
        <v>141</v>
      </c>
      <c r="E10" s="28">
        <f>Materials_Master!$H$64</f>
        <v>12.985799999999999</v>
      </c>
      <c r="F10" s="9">
        <f t="shared" si="0"/>
        <v>51.943199999999997</v>
      </c>
      <c r="G10" s="3"/>
    </row>
    <row r="11" spans="1:7" x14ac:dyDescent="0.35">
      <c r="A11" s="13" t="s">
        <v>259</v>
      </c>
      <c r="B11" s="16" t="s">
        <v>394</v>
      </c>
      <c r="C11" s="19">
        <f>ROUND(0.203*C6,1)</f>
        <v>6</v>
      </c>
      <c r="D11" s="4" t="s">
        <v>261</v>
      </c>
      <c r="E11" s="28">
        <f>Materials_Master!$H$72</f>
        <v>62</v>
      </c>
      <c r="F11" s="9">
        <f t="shared" si="0"/>
        <v>372</v>
      </c>
      <c r="G11" s="3"/>
    </row>
    <row r="12" spans="1:7" x14ac:dyDescent="0.35">
      <c r="A12" s="13" t="s">
        <v>272</v>
      </c>
      <c r="B12" s="16" t="s">
        <v>395</v>
      </c>
      <c r="C12" s="18">
        <v>1</v>
      </c>
      <c r="D12" s="4" t="s">
        <v>274</v>
      </c>
      <c r="E12" s="28">
        <f>Materials_Master!$H$66</f>
        <v>1133.1599999999999</v>
      </c>
      <c r="F12" s="9">
        <f t="shared" si="0"/>
        <v>1133.1599999999999</v>
      </c>
      <c r="G12" s="3"/>
    </row>
    <row r="13" spans="1:7" x14ac:dyDescent="0.35">
      <c r="A13" s="13" t="s">
        <v>276</v>
      </c>
      <c r="B13" s="16" t="s">
        <v>396</v>
      </c>
      <c r="C13" s="18">
        <v>1</v>
      </c>
      <c r="D13" s="4" t="s">
        <v>267</v>
      </c>
      <c r="E13" s="28">
        <f>Materials_Master!$H$71</f>
        <v>600</v>
      </c>
      <c r="F13" s="9">
        <f t="shared" si="0"/>
        <v>600</v>
      </c>
      <c r="G13" s="3"/>
    </row>
    <row r="14" spans="1:7" x14ac:dyDescent="0.35">
      <c r="B14" s="29" t="s">
        <v>287</v>
      </c>
      <c r="F14" s="30">
        <f>SUM(F6:F13)</f>
        <v>24733.214119999997</v>
      </c>
    </row>
    <row r="15" spans="1:7" x14ac:dyDescent="0.35">
      <c r="B15" s="14" t="s">
        <v>397</v>
      </c>
      <c r="F15" s="9">
        <f>F14*(Materials_Master!$D$8-1)</f>
        <v>4451.9785415999977</v>
      </c>
    </row>
    <row r="16" spans="1:7" x14ac:dyDescent="0.35">
      <c r="B16" s="29" t="s">
        <v>289</v>
      </c>
      <c r="F16" s="30">
        <f>F14+F15</f>
        <v>29185.192661599995</v>
      </c>
    </row>
    <row r="18" spans="1:6" x14ac:dyDescent="0.35">
      <c r="B18" s="23" t="s">
        <v>398</v>
      </c>
    </row>
    <row r="19" spans="1:6" x14ac:dyDescent="0.35">
      <c r="A19" s="13" t="s">
        <v>399</v>
      </c>
      <c r="B19" s="16" t="s">
        <v>400</v>
      </c>
      <c r="C19" s="33">
        <v>2</v>
      </c>
      <c r="D19" s="4" t="s">
        <v>293</v>
      </c>
      <c r="E19" s="28">
        <f>LabourRates_Master!$G$15</f>
        <v>2862.42609924812</v>
      </c>
      <c r="F19" s="9">
        <f>C19*E19</f>
        <v>5724.8521984962399</v>
      </c>
    </row>
    <row r="20" spans="1:6" x14ac:dyDescent="0.35">
      <c r="A20" s="13" t="s">
        <v>401</v>
      </c>
      <c r="B20" s="16" t="s">
        <v>402</v>
      </c>
      <c r="C20" s="33">
        <v>2</v>
      </c>
      <c r="D20" s="4" t="s">
        <v>293</v>
      </c>
      <c r="E20" s="28">
        <f>LabourRates_Master!$G$15</f>
        <v>2862.42609924812</v>
      </c>
      <c r="F20" s="9">
        <f>C20*E20</f>
        <v>5724.8521984962399</v>
      </c>
    </row>
    <row r="21" spans="1:6" x14ac:dyDescent="0.35">
      <c r="A21" s="13" t="s">
        <v>403</v>
      </c>
      <c r="B21" s="16" t="s">
        <v>404</v>
      </c>
      <c r="C21" s="33">
        <v>3</v>
      </c>
      <c r="D21" s="4" t="s">
        <v>293</v>
      </c>
      <c r="E21" s="28">
        <f>LabourRates_Master!$G$15</f>
        <v>2862.42609924812</v>
      </c>
      <c r="F21" s="9">
        <f>C21*E21</f>
        <v>8587.2782977443603</v>
      </c>
    </row>
    <row r="22" spans="1:6" x14ac:dyDescent="0.35">
      <c r="A22" s="13" t="s">
        <v>405</v>
      </c>
      <c r="B22" s="16" t="s">
        <v>406</v>
      </c>
      <c r="C22" s="33">
        <v>4</v>
      </c>
      <c r="D22" s="4" t="s">
        <v>293</v>
      </c>
      <c r="E22" s="28">
        <f>LabourRates_Master!$G$15</f>
        <v>2862.42609924812</v>
      </c>
      <c r="F22" s="9">
        <f>C22*E22</f>
        <v>11449.70439699248</v>
      </c>
    </row>
    <row r="23" spans="1:6" x14ac:dyDescent="0.35">
      <c r="B23" s="29" t="s">
        <v>344</v>
      </c>
      <c r="C23" s="38">
        <f>SUM(C19:C22)</f>
        <v>11</v>
      </c>
      <c r="F23" s="30">
        <f>SUM(F19:F22)</f>
        <v>31486.68709172932</v>
      </c>
    </row>
    <row r="24" spans="1:6" ht="37.5" x14ac:dyDescent="0.35">
      <c r="A24" s="13" t="s">
        <v>345</v>
      </c>
      <c r="B24" s="16" t="s">
        <v>407</v>
      </c>
      <c r="C24" s="19">
        <f>ROUND(120*C23/(Stage1A_Drainage!$C$103+C23),1)</f>
        <v>5.9</v>
      </c>
      <c r="D24" s="4" t="s">
        <v>347</v>
      </c>
      <c r="E24" s="28">
        <f>LabourRates_Master!$G$11</f>
        <v>1329.6342857142859</v>
      </c>
      <c r="F24" s="9">
        <f>C24*E24</f>
        <v>7844.8422857142868</v>
      </c>
    </row>
    <row r="25" spans="1:6" x14ac:dyDescent="0.35">
      <c r="B25" s="29" t="s">
        <v>348</v>
      </c>
      <c r="F25" s="30">
        <f>F23+F24</f>
        <v>39331.529377443607</v>
      </c>
    </row>
    <row r="27" spans="1:6" x14ac:dyDescent="0.35">
      <c r="B27" s="23" t="s">
        <v>408</v>
      </c>
    </row>
    <row r="28" spans="1:6" x14ac:dyDescent="0.35">
      <c r="B28" s="4" t="s">
        <v>355</v>
      </c>
      <c r="C28" s="33">
        <v>7</v>
      </c>
      <c r="D28" s="4" t="s">
        <v>352</v>
      </c>
      <c r="E28" s="28">
        <f>Equip_Master!$D$8</f>
        <v>238.67</v>
      </c>
      <c r="F28" s="9">
        <f>C28*E28</f>
        <v>1670.6899999999998</v>
      </c>
    </row>
    <row r="29" spans="1:6" x14ac:dyDescent="0.35">
      <c r="B29" s="4" t="s">
        <v>360</v>
      </c>
      <c r="C29" s="33">
        <v>1</v>
      </c>
      <c r="D29" s="4" t="s">
        <v>352</v>
      </c>
      <c r="E29" s="28">
        <f>Equip_Master!$D$12</f>
        <v>171.43</v>
      </c>
      <c r="F29" s="9">
        <f>C29*E29</f>
        <v>171.43</v>
      </c>
    </row>
    <row r="30" spans="1:6" x14ac:dyDescent="0.35">
      <c r="B30" s="4" t="s">
        <v>368</v>
      </c>
      <c r="C30" s="33">
        <v>1</v>
      </c>
      <c r="D30" s="4" t="s">
        <v>352</v>
      </c>
      <c r="E30" s="28">
        <f>Equip_Master!$D$15</f>
        <v>1100</v>
      </c>
      <c r="F30" s="9">
        <f>C30*E30</f>
        <v>1100</v>
      </c>
    </row>
    <row r="31" spans="1:6" x14ac:dyDescent="0.35">
      <c r="B31" s="29" t="s">
        <v>372</v>
      </c>
      <c r="F31" s="30">
        <f>SUM(F28:F30)</f>
        <v>2942.12</v>
      </c>
    </row>
    <row r="33" spans="2:6" x14ac:dyDescent="0.35">
      <c r="B33" s="23" t="s">
        <v>409</v>
      </c>
    </row>
    <row r="34" spans="2:6" x14ac:dyDescent="0.35">
      <c r="B34" s="4" t="s">
        <v>410</v>
      </c>
      <c r="C34" s="33">
        <v>1</v>
      </c>
      <c r="D34" s="4" t="s">
        <v>352</v>
      </c>
      <c r="E34" s="28">
        <f>Materials_Master!$H$83</f>
        <v>2070</v>
      </c>
      <c r="F34" s="9">
        <f>C34*E34</f>
        <v>2070</v>
      </c>
    </row>
    <row r="35" spans="2:6" x14ac:dyDescent="0.35">
      <c r="B35" s="4" t="s">
        <v>411</v>
      </c>
      <c r="C35" s="33">
        <v>4</v>
      </c>
      <c r="D35" s="4" t="s">
        <v>377</v>
      </c>
      <c r="E35" s="28">
        <f>Materials_Master!$H$85</f>
        <v>140.29999999999998</v>
      </c>
      <c r="F35" s="9">
        <f>C35*E35</f>
        <v>561.19999999999993</v>
      </c>
    </row>
    <row r="36" spans="2:6" x14ac:dyDescent="0.35">
      <c r="B36" s="4" t="s">
        <v>412</v>
      </c>
      <c r="C36" s="34">
        <f>ROUND(0.21*C6+2,0)</f>
        <v>8</v>
      </c>
      <c r="D36" s="4" t="s">
        <v>116</v>
      </c>
      <c r="E36" s="28">
        <f>Materials_Master!$H$87</f>
        <v>46</v>
      </c>
      <c r="F36" s="9">
        <f>C36*E36</f>
        <v>368</v>
      </c>
    </row>
    <row r="37" spans="2:6" x14ac:dyDescent="0.35">
      <c r="B37" s="29" t="s">
        <v>382</v>
      </c>
      <c r="F37" s="30">
        <f>SUM(F34:F36)</f>
        <v>2999.2</v>
      </c>
    </row>
    <row r="39" spans="2:6" x14ac:dyDescent="0.35">
      <c r="B39" s="23" t="s">
        <v>413</v>
      </c>
    </row>
    <row r="40" spans="2:6" x14ac:dyDescent="0.35">
      <c r="B40" s="4" t="s">
        <v>414</v>
      </c>
      <c r="F40" s="28">
        <f>Accommodation!$E$27*C23/(Stage1A_Drainage!$C$103+C23)</f>
        <v>5493.3802690582961</v>
      </c>
    </row>
    <row r="42" spans="2:6" x14ac:dyDescent="0.35">
      <c r="B42" s="2" t="s">
        <v>415</v>
      </c>
      <c r="F42" s="31">
        <f>F16+F25+F31+F37+F40</f>
        <v>79951.422308101886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/>
  </sheetViews>
  <sheetFormatPr defaultRowHeight="14.5" x14ac:dyDescent="0.35"/>
  <cols>
    <col min="1" max="1" width="4" customWidth="1"/>
    <col min="2" max="2" width="52" customWidth="1"/>
    <col min="3" max="3" width="10" customWidth="1"/>
    <col min="4" max="5" width="14" customWidth="1"/>
    <col min="6" max="8" width="12" customWidth="1"/>
    <col min="9" max="9" width="46" customWidth="1"/>
  </cols>
  <sheetData>
    <row r="1" spans="1:9" ht="18" x14ac:dyDescent="0.4">
      <c r="B1" s="1" t="s">
        <v>416</v>
      </c>
    </row>
    <row r="2" spans="1:9" x14ac:dyDescent="0.35">
      <c r="B2" s="2" t="s">
        <v>417</v>
      </c>
    </row>
    <row r="3" spans="1:9" ht="30" x14ac:dyDescent="0.35">
      <c r="B3" s="3" t="s">
        <v>418</v>
      </c>
    </row>
    <row r="5" spans="1:9" x14ac:dyDescent="0.35">
      <c r="B5" s="4" t="s">
        <v>419</v>
      </c>
      <c r="C5" s="5">
        <v>21</v>
      </c>
    </row>
    <row r="6" spans="1:9" x14ac:dyDescent="0.35">
      <c r="B6" s="4" t="s">
        <v>420</v>
      </c>
      <c r="C6" s="5">
        <v>10</v>
      </c>
    </row>
    <row r="7" spans="1:9" x14ac:dyDescent="0.35">
      <c r="B7" s="4" t="s">
        <v>421</v>
      </c>
      <c r="C7" s="4">
        <f>C5*C6</f>
        <v>210</v>
      </c>
    </row>
    <row r="8" spans="1:9" x14ac:dyDescent="0.35">
      <c r="B8" s="2" t="s">
        <v>422</v>
      </c>
      <c r="C8" s="6">
        <v>1.08</v>
      </c>
    </row>
    <row r="10" spans="1:9" ht="26" x14ac:dyDescent="0.35">
      <c r="A10" s="7"/>
      <c r="B10" s="7" t="s">
        <v>423</v>
      </c>
      <c r="C10" s="7" t="s">
        <v>424</v>
      </c>
      <c r="D10" s="7" t="s">
        <v>425</v>
      </c>
      <c r="E10" s="7" t="s">
        <v>426</v>
      </c>
      <c r="F10" s="7" t="s">
        <v>427</v>
      </c>
      <c r="G10" s="7" t="s">
        <v>428</v>
      </c>
      <c r="H10" s="7" t="s">
        <v>429</v>
      </c>
      <c r="I10" s="7" t="s">
        <v>430</v>
      </c>
    </row>
    <row r="11" spans="1:9" x14ac:dyDescent="0.35">
      <c r="B11" s="4" t="s">
        <v>431</v>
      </c>
      <c r="C11" s="4" t="s">
        <v>432</v>
      </c>
      <c r="D11" s="8">
        <v>25854</v>
      </c>
      <c r="E11" s="9">
        <f>D11*$C$8</f>
        <v>27922.320000000003</v>
      </c>
      <c r="F11" s="10">
        <f>E11/$C$7</f>
        <v>132.96342857142858</v>
      </c>
      <c r="G11" s="9">
        <f>E11/$C$5</f>
        <v>1329.6342857142859</v>
      </c>
      <c r="H11" s="9">
        <f>E11/4</f>
        <v>6980.5800000000008</v>
      </c>
      <c r="I11" s="3" t="s">
        <v>433</v>
      </c>
    </row>
    <row r="12" spans="1:9" x14ac:dyDescent="0.35">
      <c r="B12" s="4" t="s">
        <v>434</v>
      </c>
      <c r="C12" s="4" t="s">
        <v>432</v>
      </c>
      <c r="D12" s="8">
        <v>19764.459298245609</v>
      </c>
      <c r="E12" s="9">
        <f>D12*$C$8</f>
        <v>21345.616042105259</v>
      </c>
      <c r="F12" s="10">
        <f>E12/$C$7</f>
        <v>101.6457906766917</v>
      </c>
      <c r="G12" s="9">
        <f>E12/$C$5</f>
        <v>1016.4579067669171</v>
      </c>
      <c r="H12" s="9">
        <f>E12/4</f>
        <v>5336.4040105263148</v>
      </c>
      <c r="I12" s="3" t="s">
        <v>435</v>
      </c>
    </row>
    <row r="13" spans="1:9" x14ac:dyDescent="0.35">
      <c r="B13" s="4" t="s">
        <v>436</v>
      </c>
      <c r="C13" s="4" t="s">
        <v>432</v>
      </c>
      <c r="D13" s="8">
        <v>16129.36666666667</v>
      </c>
      <c r="E13" s="9">
        <f>D13*$C$8</f>
        <v>17419.716000000004</v>
      </c>
      <c r="F13" s="10">
        <f>E13/$C$7</f>
        <v>82.951028571428594</v>
      </c>
      <c r="G13" s="9">
        <f>E13/$C$5</f>
        <v>829.51028571428594</v>
      </c>
      <c r="H13" s="9">
        <f>E13/4</f>
        <v>4354.929000000001</v>
      </c>
      <c r="I13" s="3" t="s">
        <v>437</v>
      </c>
    </row>
    <row r="15" spans="1:9" x14ac:dyDescent="0.35">
      <c r="B15" s="11" t="s">
        <v>438</v>
      </c>
      <c r="C15" s="4" t="s">
        <v>439</v>
      </c>
      <c r="F15" s="10">
        <f>2*F12+F13</f>
        <v>286.24260992481197</v>
      </c>
      <c r="G15" s="12">
        <f>2*G12+G13</f>
        <v>2862.42609924812</v>
      </c>
      <c r="H15" s="9">
        <f>2*H12+H13</f>
        <v>15027.737021052631</v>
      </c>
      <c r="I15" s="13" t="s">
        <v>440</v>
      </c>
    </row>
    <row r="17" spans="2:2" ht="30" x14ac:dyDescent="0.35">
      <c r="B17" s="3" t="s">
        <v>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7"/>
  <sheetViews>
    <sheetView workbookViewId="0"/>
  </sheetViews>
  <sheetFormatPr defaultRowHeight="14.5" x14ac:dyDescent="0.35"/>
  <cols>
    <col min="1" max="1" width="7" customWidth="1"/>
    <col min="2" max="2" width="56" customWidth="1"/>
    <col min="3" max="3" width="10" customWidth="1"/>
    <col min="4" max="4" width="13" customWidth="1"/>
    <col min="5" max="5" width="30" customWidth="1"/>
    <col min="6" max="6" width="10" customWidth="1"/>
    <col min="7" max="8" width="13" customWidth="1"/>
    <col min="9" max="9" width="64" customWidth="1"/>
  </cols>
  <sheetData>
    <row r="1" spans="1:9" ht="18" x14ac:dyDescent="0.4">
      <c r="B1" s="1" t="s">
        <v>442</v>
      </c>
    </row>
    <row r="2" spans="1:9" ht="50" x14ac:dyDescent="0.35">
      <c r="B2" s="3" t="s">
        <v>443</v>
      </c>
    </row>
    <row r="4" spans="1:9" x14ac:dyDescent="0.35">
      <c r="B4" s="14" t="s">
        <v>444</v>
      </c>
    </row>
    <row r="5" spans="1:9" x14ac:dyDescent="0.35">
      <c r="B5" s="4" t="s">
        <v>445</v>
      </c>
      <c r="D5" s="15">
        <v>1.38</v>
      </c>
    </row>
    <row r="6" spans="1:9" x14ac:dyDescent="0.35">
      <c r="B6" s="4" t="s">
        <v>446</v>
      </c>
      <c r="D6" s="15">
        <v>1.1499999999999999</v>
      </c>
    </row>
    <row r="7" spans="1:9" x14ac:dyDescent="0.35">
      <c r="B7" s="4" t="s">
        <v>447</v>
      </c>
      <c r="D7" s="15">
        <v>1.2</v>
      </c>
    </row>
    <row r="8" spans="1:9" ht="25" x14ac:dyDescent="0.35">
      <c r="B8" s="16" t="s">
        <v>448</v>
      </c>
      <c r="D8" s="15">
        <v>1.18</v>
      </c>
    </row>
    <row r="10" spans="1:9" x14ac:dyDescent="0.35">
      <c r="A10" s="17" t="s">
        <v>449</v>
      </c>
      <c r="B10" s="17" t="s">
        <v>450</v>
      </c>
      <c r="C10" s="17" t="s">
        <v>111</v>
      </c>
      <c r="D10" s="17" t="s">
        <v>451</v>
      </c>
      <c r="E10" s="17" t="s">
        <v>452</v>
      </c>
      <c r="F10" s="17" t="s">
        <v>453</v>
      </c>
      <c r="G10" s="17"/>
      <c r="H10" s="17" t="s">
        <v>454</v>
      </c>
      <c r="I10" s="17" t="s">
        <v>455</v>
      </c>
    </row>
    <row r="11" spans="1:9" ht="30" x14ac:dyDescent="0.35">
      <c r="A11" s="14" t="s">
        <v>456</v>
      </c>
      <c r="B11" s="16" t="s">
        <v>457</v>
      </c>
      <c r="C11" s="4" t="s">
        <v>137</v>
      </c>
      <c r="D11" s="9">
        <f>256.2/2.44</f>
        <v>105</v>
      </c>
      <c r="E11" s="3" t="s">
        <v>458</v>
      </c>
      <c r="F11" s="18">
        <v>1</v>
      </c>
      <c r="H11" s="12">
        <f t="shared" ref="H11:H42" si="0">D11*F11</f>
        <v>105</v>
      </c>
      <c r="I11" s="3" t="s">
        <v>459</v>
      </c>
    </row>
    <row r="12" spans="1:9" ht="20" x14ac:dyDescent="0.35">
      <c r="A12" s="14" t="s">
        <v>460</v>
      </c>
      <c r="B12" s="16" t="s">
        <v>461</v>
      </c>
      <c r="C12" s="4" t="s">
        <v>141</v>
      </c>
      <c r="D12" s="8">
        <v>4.8</v>
      </c>
      <c r="E12" s="3" t="s">
        <v>462</v>
      </c>
      <c r="F12" s="18">
        <v>1</v>
      </c>
      <c r="H12" s="12">
        <f t="shared" si="0"/>
        <v>4.8</v>
      </c>
      <c r="I12" s="3" t="s">
        <v>463</v>
      </c>
    </row>
    <row r="13" spans="1:9" ht="20" x14ac:dyDescent="0.35">
      <c r="A13" s="14" t="s">
        <v>464</v>
      </c>
      <c r="B13" s="16" t="s">
        <v>465</v>
      </c>
      <c r="C13" s="4" t="s">
        <v>137</v>
      </c>
      <c r="D13" s="9">
        <f>447.9/2.44</f>
        <v>183.5655737704918</v>
      </c>
      <c r="E13" s="3" t="s">
        <v>466</v>
      </c>
      <c r="F13" s="18">
        <v>1</v>
      </c>
      <c r="H13" s="12">
        <f t="shared" si="0"/>
        <v>183.5655737704918</v>
      </c>
      <c r="I13" s="3" t="s">
        <v>463</v>
      </c>
    </row>
    <row r="14" spans="1:9" x14ac:dyDescent="0.35">
      <c r="A14" s="14" t="s">
        <v>467</v>
      </c>
      <c r="B14" s="16" t="s">
        <v>468</v>
      </c>
      <c r="C14" s="4" t="s">
        <v>141</v>
      </c>
      <c r="D14" s="8">
        <v>24</v>
      </c>
      <c r="E14" s="3" t="s">
        <v>469</v>
      </c>
      <c r="F14" s="18">
        <v>1</v>
      </c>
      <c r="H14" s="12">
        <f t="shared" si="0"/>
        <v>24</v>
      </c>
      <c r="I14" s="3" t="s">
        <v>470</v>
      </c>
    </row>
    <row r="15" spans="1:9" ht="30" x14ac:dyDescent="0.35">
      <c r="A15" s="14" t="s">
        <v>471</v>
      </c>
      <c r="B15" s="16" t="s">
        <v>472</v>
      </c>
      <c r="C15" s="4" t="s">
        <v>137</v>
      </c>
      <c r="D15" s="9">
        <f>216.1/5.99</f>
        <v>36.076794657762939</v>
      </c>
      <c r="E15" s="3" t="s">
        <v>473</v>
      </c>
      <c r="F15" s="19">
        <f t="shared" ref="F15:F29" si="1">$D$5</f>
        <v>1.38</v>
      </c>
      <c r="H15" s="12">
        <f t="shared" si="0"/>
        <v>49.785976627712849</v>
      </c>
      <c r="I15" s="3" t="s">
        <v>474</v>
      </c>
    </row>
    <row r="16" spans="1:9" ht="20" x14ac:dyDescent="0.35">
      <c r="A16" s="14" t="s">
        <v>475</v>
      </c>
      <c r="B16" s="16" t="s">
        <v>476</v>
      </c>
      <c r="C16" s="4" t="s">
        <v>137</v>
      </c>
      <c r="D16" s="8">
        <v>60</v>
      </c>
      <c r="E16" s="3" t="s">
        <v>477</v>
      </c>
      <c r="F16" s="19">
        <f t="shared" si="1"/>
        <v>1.38</v>
      </c>
      <c r="H16" s="12">
        <f t="shared" si="0"/>
        <v>82.8</v>
      </c>
      <c r="I16" s="3" t="s">
        <v>478</v>
      </c>
    </row>
    <row r="17" spans="1:9" x14ac:dyDescent="0.35">
      <c r="A17" s="14" t="s">
        <v>479</v>
      </c>
      <c r="B17" s="16" t="s">
        <v>480</v>
      </c>
      <c r="C17" s="4" t="s">
        <v>137</v>
      </c>
      <c r="D17" s="9">
        <f>545.62/5.93</f>
        <v>92.010118043844855</v>
      </c>
      <c r="E17" s="3" t="s">
        <v>481</v>
      </c>
      <c r="F17" s="19">
        <f t="shared" si="1"/>
        <v>1.38</v>
      </c>
      <c r="H17" s="12">
        <f t="shared" si="0"/>
        <v>126.9739629005059</v>
      </c>
      <c r="I17" s="3" t="s">
        <v>482</v>
      </c>
    </row>
    <row r="18" spans="1:9" ht="20" x14ac:dyDescent="0.35">
      <c r="A18" s="14" t="s">
        <v>483</v>
      </c>
      <c r="B18" s="16" t="s">
        <v>484</v>
      </c>
      <c r="C18" s="4" t="s">
        <v>137</v>
      </c>
      <c r="D18" s="8">
        <v>135</v>
      </c>
      <c r="E18" s="3" t="s">
        <v>485</v>
      </c>
      <c r="F18" s="19">
        <f t="shared" si="1"/>
        <v>1.38</v>
      </c>
      <c r="H18" s="12">
        <f t="shared" si="0"/>
        <v>186.29999999999998</v>
      </c>
      <c r="I18" s="3" t="s">
        <v>486</v>
      </c>
    </row>
    <row r="19" spans="1:9" x14ac:dyDescent="0.35">
      <c r="A19" s="14" t="s">
        <v>487</v>
      </c>
      <c r="B19" s="16" t="s">
        <v>488</v>
      </c>
      <c r="C19" s="4" t="s">
        <v>137</v>
      </c>
      <c r="D19" s="9">
        <f>1322.3/5.85</f>
        <v>226.03418803418805</v>
      </c>
      <c r="E19" s="3" t="s">
        <v>489</v>
      </c>
      <c r="F19" s="19">
        <f t="shared" si="1"/>
        <v>1.38</v>
      </c>
      <c r="H19" s="12">
        <f t="shared" si="0"/>
        <v>311.9271794871795</v>
      </c>
      <c r="I19" s="3" t="s">
        <v>482</v>
      </c>
    </row>
    <row r="20" spans="1:9" ht="20" x14ac:dyDescent="0.35">
      <c r="A20" s="14" t="s">
        <v>490</v>
      </c>
      <c r="B20" s="16" t="s">
        <v>491</v>
      </c>
      <c r="C20" s="4" t="s">
        <v>137</v>
      </c>
      <c r="D20" s="9">
        <f>776.5/6</f>
        <v>129.41666666666666</v>
      </c>
      <c r="E20" s="3" t="s">
        <v>492</v>
      </c>
      <c r="F20" s="19">
        <f t="shared" si="1"/>
        <v>1.38</v>
      </c>
      <c r="H20" s="12">
        <f t="shared" si="0"/>
        <v>178.59499999999997</v>
      </c>
      <c r="I20" s="3" t="s">
        <v>493</v>
      </c>
    </row>
    <row r="21" spans="1:9" x14ac:dyDescent="0.35">
      <c r="A21" s="14" t="s">
        <v>494</v>
      </c>
      <c r="B21" s="16" t="s">
        <v>495</v>
      </c>
      <c r="C21" s="4" t="s">
        <v>137</v>
      </c>
      <c r="D21" s="9">
        <f>220.1/6</f>
        <v>36.68333333333333</v>
      </c>
      <c r="E21" s="3" t="s">
        <v>496</v>
      </c>
      <c r="F21" s="19">
        <f t="shared" si="1"/>
        <v>1.38</v>
      </c>
      <c r="H21" s="12">
        <f t="shared" si="0"/>
        <v>50.62299999999999</v>
      </c>
      <c r="I21" s="3" t="s">
        <v>497</v>
      </c>
    </row>
    <row r="22" spans="1:9" x14ac:dyDescent="0.35">
      <c r="A22" s="14" t="s">
        <v>498</v>
      </c>
      <c r="B22" s="16" t="s">
        <v>499</v>
      </c>
      <c r="C22" s="4" t="s">
        <v>137</v>
      </c>
      <c r="D22" s="9">
        <f>43.07/6</f>
        <v>7.1783333333333337</v>
      </c>
      <c r="E22" s="3" t="s">
        <v>500</v>
      </c>
      <c r="F22" s="19">
        <f t="shared" si="1"/>
        <v>1.38</v>
      </c>
      <c r="H22" s="12">
        <f t="shared" si="0"/>
        <v>9.9061000000000003</v>
      </c>
      <c r="I22" s="3" t="s">
        <v>501</v>
      </c>
    </row>
    <row r="23" spans="1:9" ht="20" x14ac:dyDescent="0.35">
      <c r="A23" s="14" t="s">
        <v>502</v>
      </c>
      <c r="B23" s="16" t="s">
        <v>503</v>
      </c>
      <c r="C23" s="4" t="s">
        <v>141</v>
      </c>
      <c r="D23" s="8">
        <v>3.5</v>
      </c>
      <c r="E23" s="3" t="s">
        <v>504</v>
      </c>
      <c r="F23" s="19">
        <f t="shared" si="1"/>
        <v>1.38</v>
      </c>
      <c r="H23" s="12">
        <f t="shared" si="0"/>
        <v>4.83</v>
      </c>
      <c r="I23" s="3" t="s">
        <v>505</v>
      </c>
    </row>
    <row r="24" spans="1:9" x14ac:dyDescent="0.35">
      <c r="A24" s="14" t="s">
        <v>506</v>
      </c>
      <c r="B24" s="16" t="s">
        <v>507</v>
      </c>
      <c r="C24" s="4" t="s">
        <v>141</v>
      </c>
      <c r="D24" s="8">
        <v>3.5</v>
      </c>
      <c r="E24" s="3" t="s">
        <v>469</v>
      </c>
      <c r="F24" s="19">
        <f t="shared" si="1"/>
        <v>1.38</v>
      </c>
      <c r="H24" s="12">
        <f t="shared" si="0"/>
        <v>4.83</v>
      </c>
      <c r="I24" s="3" t="s">
        <v>508</v>
      </c>
    </row>
    <row r="25" spans="1:9" x14ac:dyDescent="0.35">
      <c r="A25" s="14" t="s">
        <v>509</v>
      </c>
      <c r="B25" s="16" t="s">
        <v>172</v>
      </c>
      <c r="C25" s="4" t="s">
        <v>141</v>
      </c>
      <c r="D25" s="8">
        <v>23.5</v>
      </c>
      <c r="E25" s="3" t="s">
        <v>469</v>
      </c>
      <c r="F25" s="19">
        <f t="shared" si="1"/>
        <v>1.38</v>
      </c>
      <c r="H25" s="12">
        <f t="shared" si="0"/>
        <v>32.43</v>
      </c>
      <c r="I25" s="3" t="s">
        <v>508</v>
      </c>
    </row>
    <row r="26" spans="1:9" x14ac:dyDescent="0.35">
      <c r="A26" s="14" t="s">
        <v>510</v>
      </c>
      <c r="B26" s="16" t="s">
        <v>511</v>
      </c>
      <c r="C26" s="4" t="s">
        <v>141</v>
      </c>
      <c r="D26" s="8">
        <v>10</v>
      </c>
      <c r="E26" s="3" t="s">
        <v>469</v>
      </c>
      <c r="F26" s="19">
        <f t="shared" si="1"/>
        <v>1.38</v>
      </c>
      <c r="H26" s="12">
        <f t="shared" si="0"/>
        <v>13.799999999999999</v>
      </c>
      <c r="I26" s="3" t="s">
        <v>508</v>
      </c>
    </row>
    <row r="27" spans="1:9" x14ac:dyDescent="0.35">
      <c r="A27" s="14" t="s">
        <v>512</v>
      </c>
      <c r="B27" s="16" t="s">
        <v>176</v>
      </c>
      <c r="C27" s="4" t="s">
        <v>141</v>
      </c>
      <c r="D27" s="8">
        <v>60.1</v>
      </c>
      <c r="E27" s="3" t="s">
        <v>469</v>
      </c>
      <c r="F27" s="19">
        <f t="shared" si="1"/>
        <v>1.38</v>
      </c>
      <c r="H27" s="12">
        <f t="shared" si="0"/>
        <v>82.938000000000002</v>
      </c>
      <c r="I27" s="3" t="s">
        <v>508</v>
      </c>
    </row>
    <row r="28" spans="1:9" x14ac:dyDescent="0.35">
      <c r="A28" s="14" t="s">
        <v>513</v>
      </c>
      <c r="B28" s="16" t="s">
        <v>514</v>
      </c>
      <c r="C28" s="4" t="s">
        <v>141</v>
      </c>
      <c r="D28" s="8">
        <v>38.549999999999997</v>
      </c>
      <c r="E28" s="3" t="s">
        <v>469</v>
      </c>
      <c r="F28" s="19">
        <f t="shared" si="1"/>
        <v>1.38</v>
      </c>
      <c r="H28" s="12">
        <f t="shared" si="0"/>
        <v>53.198999999999991</v>
      </c>
      <c r="I28" s="3" t="s">
        <v>508</v>
      </c>
    </row>
    <row r="29" spans="1:9" x14ac:dyDescent="0.35">
      <c r="A29" s="14" t="s">
        <v>515</v>
      </c>
      <c r="B29" s="16" t="s">
        <v>516</v>
      </c>
      <c r="C29" s="4" t="s">
        <v>141</v>
      </c>
      <c r="D29" s="8">
        <v>150</v>
      </c>
      <c r="E29" s="3" t="s">
        <v>469</v>
      </c>
      <c r="F29" s="19">
        <f t="shared" si="1"/>
        <v>1.38</v>
      </c>
      <c r="H29" s="12">
        <f t="shared" si="0"/>
        <v>206.99999999999997</v>
      </c>
      <c r="I29" s="3" t="s">
        <v>517</v>
      </c>
    </row>
    <row r="30" spans="1:9" ht="25" x14ac:dyDescent="0.35">
      <c r="A30" s="14" t="s">
        <v>518</v>
      </c>
      <c r="B30" s="16" t="s">
        <v>519</v>
      </c>
      <c r="C30" s="4" t="s">
        <v>141</v>
      </c>
      <c r="D30" s="8">
        <v>310</v>
      </c>
      <c r="E30" s="3" t="s">
        <v>520</v>
      </c>
      <c r="F30" s="18">
        <v>1</v>
      </c>
      <c r="H30" s="12">
        <f t="shared" si="0"/>
        <v>310</v>
      </c>
      <c r="I30" s="3" t="s">
        <v>521</v>
      </c>
    </row>
    <row r="31" spans="1:9" x14ac:dyDescent="0.35">
      <c r="A31" s="14" t="s">
        <v>522</v>
      </c>
      <c r="B31" s="16" t="s">
        <v>523</v>
      </c>
      <c r="C31" s="4" t="s">
        <v>141</v>
      </c>
      <c r="D31" s="8">
        <v>17</v>
      </c>
      <c r="E31" s="3" t="s">
        <v>469</v>
      </c>
      <c r="F31" s="18">
        <v>1</v>
      </c>
      <c r="H31" s="12">
        <f t="shared" si="0"/>
        <v>17</v>
      </c>
      <c r="I31" s="3" t="s">
        <v>524</v>
      </c>
    </row>
    <row r="32" spans="1:9" ht="20" x14ac:dyDescent="0.35">
      <c r="A32" s="14" t="s">
        <v>525</v>
      </c>
      <c r="B32" s="16" t="s">
        <v>526</v>
      </c>
      <c r="C32" s="4" t="s">
        <v>141</v>
      </c>
      <c r="D32" s="8">
        <v>1095</v>
      </c>
      <c r="E32" s="3" t="s">
        <v>527</v>
      </c>
      <c r="F32" s="18">
        <v>1</v>
      </c>
      <c r="H32" s="12">
        <f t="shared" si="0"/>
        <v>1095</v>
      </c>
      <c r="I32" s="3" t="s">
        <v>463</v>
      </c>
    </row>
    <row r="33" spans="1:9" ht="20" x14ac:dyDescent="0.35">
      <c r="A33" s="14" t="s">
        <v>528</v>
      </c>
      <c r="B33" s="16" t="s">
        <v>529</v>
      </c>
      <c r="C33" s="4" t="s">
        <v>141</v>
      </c>
      <c r="D33" s="8">
        <v>1171.2</v>
      </c>
      <c r="E33" s="3" t="s">
        <v>530</v>
      </c>
      <c r="F33" s="18">
        <v>1</v>
      </c>
      <c r="H33" s="12">
        <f t="shared" si="0"/>
        <v>1171.2</v>
      </c>
      <c r="I33" s="3" t="s">
        <v>463</v>
      </c>
    </row>
    <row r="34" spans="1:9" ht="20" x14ac:dyDescent="0.35">
      <c r="A34" s="14" t="s">
        <v>531</v>
      </c>
      <c r="B34" s="16" t="s">
        <v>532</v>
      </c>
      <c r="C34" s="4" t="s">
        <v>141</v>
      </c>
      <c r="D34" s="8">
        <v>1404.8</v>
      </c>
      <c r="E34" s="3" t="s">
        <v>533</v>
      </c>
      <c r="F34" s="18">
        <v>1</v>
      </c>
      <c r="H34" s="12">
        <f t="shared" si="0"/>
        <v>1404.8</v>
      </c>
      <c r="I34" s="3" t="s">
        <v>463</v>
      </c>
    </row>
    <row r="35" spans="1:9" ht="20" x14ac:dyDescent="0.35">
      <c r="A35" s="14" t="s">
        <v>534</v>
      </c>
      <c r="B35" s="16" t="s">
        <v>535</v>
      </c>
      <c r="C35" s="4" t="s">
        <v>141</v>
      </c>
      <c r="D35" s="8">
        <v>1718.4</v>
      </c>
      <c r="E35" s="3" t="s">
        <v>462</v>
      </c>
      <c r="F35" s="18">
        <v>1</v>
      </c>
      <c r="H35" s="12">
        <f t="shared" si="0"/>
        <v>1718.4</v>
      </c>
      <c r="I35" s="3" t="s">
        <v>463</v>
      </c>
    </row>
    <row r="36" spans="1:9" ht="30" x14ac:dyDescent="0.35">
      <c r="A36" s="14" t="s">
        <v>536</v>
      </c>
      <c r="B36" s="16" t="s">
        <v>537</v>
      </c>
      <c r="C36" s="4" t="s">
        <v>141</v>
      </c>
      <c r="D36" s="8">
        <v>3065.72</v>
      </c>
      <c r="E36" s="3" t="s">
        <v>538</v>
      </c>
      <c r="F36" s="18">
        <v>1</v>
      </c>
      <c r="H36" s="12">
        <f t="shared" si="0"/>
        <v>3065.72</v>
      </c>
      <c r="I36" s="3" t="s">
        <v>463</v>
      </c>
    </row>
    <row r="37" spans="1:9" ht="20" x14ac:dyDescent="0.35">
      <c r="A37" s="14" t="s">
        <v>539</v>
      </c>
      <c r="B37" s="16" t="s">
        <v>540</v>
      </c>
      <c r="C37" s="4" t="s">
        <v>141</v>
      </c>
      <c r="D37" s="8">
        <v>5891.95</v>
      </c>
      <c r="E37" s="3" t="s">
        <v>541</v>
      </c>
      <c r="F37" s="18">
        <v>1</v>
      </c>
      <c r="H37" s="12">
        <f t="shared" si="0"/>
        <v>5891.95</v>
      </c>
      <c r="I37" s="3" t="s">
        <v>463</v>
      </c>
    </row>
    <row r="38" spans="1:9" ht="20" x14ac:dyDescent="0.35">
      <c r="A38" s="14" t="s">
        <v>542</v>
      </c>
      <c r="B38" s="16" t="s">
        <v>543</v>
      </c>
      <c r="C38" s="4" t="s">
        <v>141</v>
      </c>
      <c r="D38" s="8">
        <v>317.05</v>
      </c>
      <c r="E38" s="3" t="s">
        <v>544</v>
      </c>
      <c r="F38" s="18">
        <v>1</v>
      </c>
      <c r="H38" s="12">
        <f t="shared" si="0"/>
        <v>317.05</v>
      </c>
      <c r="I38" s="3" t="s">
        <v>463</v>
      </c>
    </row>
    <row r="39" spans="1:9" ht="20" x14ac:dyDescent="0.35">
      <c r="A39" s="14" t="s">
        <v>545</v>
      </c>
      <c r="B39" s="16" t="s">
        <v>546</v>
      </c>
      <c r="C39" s="4" t="s">
        <v>141</v>
      </c>
      <c r="D39" s="8">
        <v>588.79999999999995</v>
      </c>
      <c r="E39" s="3" t="s">
        <v>547</v>
      </c>
      <c r="F39" s="18">
        <v>1</v>
      </c>
      <c r="H39" s="12">
        <f t="shared" si="0"/>
        <v>588.79999999999995</v>
      </c>
      <c r="I39" s="3" t="s">
        <v>463</v>
      </c>
    </row>
    <row r="40" spans="1:9" ht="20" x14ac:dyDescent="0.35">
      <c r="A40" s="14" t="s">
        <v>548</v>
      </c>
      <c r="B40" s="16" t="s">
        <v>549</v>
      </c>
      <c r="C40" s="4" t="s">
        <v>141</v>
      </c>
      <c r="D40" s="8">
        <v>158</v>
      </c>
      <c r="E40" s="3" t="s">
        <v>550</v>
      </c>
      <c r="F40" s="18">
        <v>1</v>
      </c>
      <c r="H40" s="12">
        <f t="shared" si="0"/>
        <v>158</v>
      </c>
      <c r="I40" s="3" t="s">
        <v>463</v>
      </c>
    </row>
    <row r="41" spans="1:9" ht="20" x14ac:dyDescent="0.35">
      <c r="A41" s="14" t="s">
        <v>551</v>
      </c>
      <c r="B41" s="16" t="s">
        <v>552</v>
      </c>
      <c r="C41" s="4" t="s">
        <v>141</v>
      </c>
      <c r="D41" s="8">
        <v>280</v>
      </c>
      <c r="E41" s="3" t="s">
        <v>553</v>
      </c>
      <c r="F41" s="18">
        <v>1</v>
      </c>
      <c r="H41" s="12">
        <f t="shared" si="0"/>
        <v>280</v>
      </c>
      <c r="I41" s="3" t="s">
        <v>463</v>
      </c>
    </row>
    <row r="42" spans="1:9" ht="20" x14ac:dyDescent="0.35">
      <c r="A42" s="14" t="s">
        <v>554</v>
      </c>
      <c r="B42" s="16" t="s">
        <v>555</v>
      </c>
      <c r="C42" s="4" t="s">
        <v>141</v>
      </c>
      <c r="D42" s="8">
        <v>352</v>
      </c>
      <c r="E42" s="3" t="s">
        <v>553</v>
      </c>
      <c r="F42" s="18">
        <v>1</v>
      </c>
      <c r="H42" s="12">
        <f t="shared" si="0"/>
        <v>352</v>
      </c>
      <c r="I42" s="3" t="s">
        <v>463</v>
      </c>
    </row>
    <row r="43" spans="1:9" ht="20" x14ac:dyDescent="0.35">
      <c r="A43" s="14" t="s">
        <v>556</v>
      </c>
      <c r="B43" s="16" t="s">
        <v>557</v>
      </c>
      <c r="C43" s="4" t="s">
        <v>141</v>
      </c>
      <c r="D43" s="8">
        <v>1800.63</v>
      </c>
      <c r="E43" s="3" t="s">
        <v>558</v>
      </c>
      <c r="F43" s="18">
        <v>1</v>
      </c>
      <c r="H43" s="12">
        <f t="shared" ref="H43:H74" si="2">D43*F43</f>
        <v>1800.63</v>
      </c>
      <c r="I43" s="3" t="s">
        <v>463</v>
      </c>
    </row>
    <row r="44" spans="1:9" ht="20" x14ac:dyDescent="0.35">
      <c r="A44" s="14" t="s">
        <v>559</v>
      </c>
      <c r="B44" s="16" t="s">
        <v>560</v>
      </c>
      <c r="C44" s="4" t="s">
        <v>141</v>
      </c>
      <c r="D44" s="8">
        <v>2162.6</v>
      </c>
      <c r="E44" s="3" t="s">
        <v>462</v>
      </c>
      <c r="F44" s="18">
        <v>1</v>
      </c>
      <c r="H44" s="12">
        <f t="shared" si="2"/>
        <v>2162.6</v>
      </c>
      <c r="I44" s="3" t="s">
        <v>463</v>
      </c>
    </row>
    <row r="45" spans="1:9" ht="20" x14ac:dyDescent="0.35">
      <c r="A45" s="14" t="s">
        <v>561</v>
      </c>
      <c r="B45" s="16" t="s">
        <v>562</v>
      </c>
      <c r="C45" s="4" t="s">
        <v>141</v>
      </c>
      <c r="D45" s="8">
        <v>2425.63</v>
      </c>
      <c r="E45" s="3" t="s">
        <v>462</v>
      </c>
      <c r="F45" s="18">
        <v>1</v>
      </c>
      <c r="H45" s="12">
        <f t="shared" si="2"/>
        <v>2425.63</v>
      </c>
      <c r="I45" s="3" t="s">
        <v>463</v>
      </c>
    </row>
    <row r="46" spans="1:9" ht="20" x14ac:dyDescent="0.35">
      <c r="A46" s="14" t="s">
        <v>563</v>
      </c>
      <c r="B46" s="16" t="s">
        <v>564</v>
      </c>
      <c r="C46" s="4" t="s">
        <v>141</v>
      </c>
      <c r="D46" s="8">
        <v>3322.45</v>
      </c>
      <c r="E46" s="3" t="s">
        <v>462</v>
      </c>
      <c r="F46" s="18">
        <v>1</v>
      </c>
      <c r="H46" s="12">
        <f t="shared" si="2"/>
        <v>3322.45</v>
      </c>
      <c r="I46" s="3" t="s">
        <v>463</v>
      </c>
    </row>
    <row r="47" spans="1:9" ht="20" x14ac:dyDescent="0.35">
      <c r="A47" s="14" t="s">
        <v>565</v>
      </c>
      <c r="B47" s="16" t="s">
        <v>566</v>
      </c>
      <c r="C47" s="4" t="s">
        <v>141</v>
      </c>
      <c r="D47" s="8">
        <v>4222.78</v>
      </c>
      <c r="E47" s="3" t="s">
        <v>462</v>
      </c>
      <c r="F47" s="18">
        <v>1</v>
      </c>
      <c r="H47" s="12">
        <f t="shared" si="2"/>
        <v>4222.78</v>
      </c>
      <c r="I47" s="3" t="s">
        <v>463</v>
      </c>
    </row>
    <row r="48" spans="1:9" ht="20" x14ac:dyDescent="0.35">
      <c r="A48" s="14" t="s">
        <v>567</v>
      </c>
      <c r="B48" s="16" t="s">
        <v>568</v>
      </c>
      <c r="C48" s="4" t="s">
        <v>141</v>
      </c>
      <c r="D48" s="8">
        <v>5241.45</v>
      </c>
      <c r="E48" s="3" t="s">
        <v>462</v>
      </c>
      <c r="F48" s="18">
        <v>1</v>
      </c>
      <c r="H48" s="12">
        <f t="shared" si="2"/>
        <v>5241.45</v>
      </c>
      <c r="I48" s="3" t="s">
        <v>463</v>
      </c>
    </row>
    <row r="49" spans="1:9" ht="20" x14ac:dyDescent="0.35">
      <c r="A49" s="14" t="s">
        <v>569</v>
      </c>
      <c r="B49" s="16" t="s">
        <v>570</v>
      </c>
      <c r="C49" s="4" t="s">
        <v>141</v>
      </c>
      <c r="D49" s="8">
        <v>1350</v>
      </c>
      <c r="E49" s="3" t="s">
        <v>571</v>
      </c>
      <c r="F49" s="18">
        <v>1</v>
      </c>
      <c r="H49" s="12">
        <f t="shared" si="2"/>
        <v>1350</v>
      </c>
      <c r="I49" s="3" t="s">
        <v>572</v>
      </c>
    </row>
    <row r="50" spans="1:9" ht="20" x14ac:dyDescent="0.35">
      <c r="A50" s="14" t="s">
        <v>573</v>
      </c>
      <c r="B50" s="16" t="s">
        <v>574</v>
      </c>
      <c r="C50" s="4" t="s">
        <v>141</v>
      </c>
      <c r="D50" s="8">
        <v>364</v>
      </c>
      <c r="E50" s="3" t="s">
        <v>575</v>
      </c>
      <c r="F50" s="18">
        <v>1</v>
      </c>
      <c r="H50" s="12">
        <f t="shared" si="2"/>
        <v>364</v>
      </c>
      <c r="I50" s="3" t="s">
        <v>463</v>
      </c>
    </row>
    <row r="51" spans="1:9" ht="20" x14ac:dyDescent="0.35">
      <c r="A51" s="14" t="s">
        <v>576</v>
      </c>
      <c r="B51" s="16" t="s">
        <v>577</v>
      </c>
      <c r="C51" s="4" t="s">
        <v>141</v>
      </c>
      <c r="D51" s="8">
        <v>400</v>
      </c>
      <c r="E51" s="3" t="s">
        <v>469</v>
      </c>
      <c r="F51" s="18">
        <v>1</v>
      </c>
      <c r="H51" s="12">
        <f t="shared" si="2"/>
        <v>400</v>
      </c>
      <c r="I51" s="3" t="s">
        <v>463</v>
      </c>
    </row>
    <row r="52" spans="1:9" ht="20" x14ac:dyDescent="0.35">
      <c r="A52" s="14" t="s">
        <v>578</v>
      </c>
      <c r="B52" s="16" t="s">
        <v>579</v>
      </c>
      <c r="C52" s="4" t="s">
        <v>141</v>
      </c>
      <c r="D52" s="8">
        <v>1101</v>
      </c>
      <c r="E52" s="3" t="s">
        <v>469</v>
      </c>
      <c r="F52" s="18">
        <v>1</v>
      </c>
      <c r="H52" s="12">
        <f t="shared" si="2"/>
        <v>1101</v>
      </c>
      <c r="I52" s="3" t="s">
        <v>463</v>
      </c>
    </row>
    <row r="53" spans="1:9" ht="20" x14ac:dyDescent="0.35">
      <c r="A53" s="14" t="s">
        <v>580</v>
      </c>
      <c r="B53" s="16" t="s">
        <v>581</v>
      </c>
      <c r="C53" s="4" t="s">
        <v>141</v>
      </c>
      <c r="D53" s="8">
        <v>1403</v>
      </c>
      <c r="E53" s="3" t="s">
        <v>469</v>
      </c>
      <c r="F53" s="18">
        <v>1</v>
      </c>
      <c r="H53" s="12">
        <f t="shared" si="2"/>
        <v>1403</v>
      </c>
      <c r="I53" s="3" t="s">
        <v>463</v>
      </c>
    </row>
    <row r="54" spans="1:9" ht="20" x14ac:dyDescent="0.35">
      <c r="A54" s="14" t="s">
        <v>582</v>
      </c>
      <c r="B54" s="16" t="s">
        <v>583</v>
      </c>
      <c r="C54" s="4" t="s">
        <v>141</v>
      </c>
      <c r="D54" s="8">
        <v>400</v>
      </c>
      <c r="E54" s="3" t="s">
        <v>469</v>
      </c>
      <c r="F54" s="18">
        <v>1</v>
      </c>
      <c r="H54" s="12">
        <f t="shared" si="2"/>
        <v>400</v>
      </c>
      <c r="I54" s="3" t="s">
        <v>463</v>
      </c>
    </row>
    <row r="55" spans="1:9" ht="20" x14ac:dyDescent="0.35">
      <c r="A55" s="14" t="s">
        <v>584</v>
      </c>
      <c r="B55" s="16" t="s">
        <v>585</v>
      </c>
      <c r="C55" s="4" t="s">
        <v>141</v>
      </c>
      <c r="D55" s="8">
        <v>298</v>
      </c>
      <c r="E55" s="3" t="s">
        <v>586</v>
      </c>
      <c r="F55" s="18">
        <v>1</v>
      </c>
      <c r="H55" s="12">
        <f t="shared" si="2"/>
        <v>298</v>
      </c>
      <c r="I55" s="3" t="s">
        <v>463</v>
      </c>
    </row>
    <row r="56" spans="1:9" ht="20" x14ac:dyDescent="0.35">
      <c r="A56" s="14" t="s">
        <v>587</v>
      </c>
      <c r="B56" s="16" t="s">
        <v>588</v>
      </c>
      <c r="C56" s="4" t="s">
        <v>141</v>
      </c>
      <c r="D56" s="8">
        <v>229.5</v>
      </c>
      <c r="E56" s="3" t="s">
        <v>589</v>
      </c>
      <c r="F56" s="18">
        <v>1</v>
      </c>
      <c r="H56" s="12">
        <f t="shared" si="2"/>
        <v>229.5</v>
      </c>
      <c r="I56" s="3" t="s">
        <v>463</v>
      </c>
    </row>
    <row r="57" spans="1:9" ht="20" x14ac:dyDescent="0.35">
      <c r="A57" s="14" t="s">
        <v>590</v>
      </c>
      <c r="B57" s="16" t="s">
        <v>591</v>
      </c>
      <c r="C57" s="4" t="s">
        <v>141</v>
      </c>
      <c r="D57" s="8">
        <v>365.2</v>
      </c>
      <c r="E57" s="3" t="s">
        <v>592</v>
      </c>
      <c r="F57" s="18">
        <v>1</v>
      </c>
      <c r="H57" s="12">
        <f t="shared" si="2"/>
        <v>365.2</v>
      </c>
      <c r="I57" s="3" t="s">
        <v>463</v>
      </c>
    </row>
    <row r="58" spans="1:9" ht="40" x14ac:dyDescent="0.35">
      <c r="A58" s="14" t="s">
        <v>593</v>
      </c>
      <c r="B58" s="16" t="s">
        <v>594</v>
      </c>
      <c r="C58" s="4" t="s">
        <v>137</v>
      </c>
      <c r="D58" s="8">
        <v>232.94</v>
      </c>
      <c r="E58" s="3" t="s">
        <v>595</v>
      </c>
      <c r="F58" s="19">
        <f t="shared" ref="F58:F64" si="3">$D$5</f>
        <v>1.38</v>
      </c>
      <c r="H58" s="12">
        <f t="shared" si="2"/>
        <v>321.4572</v>
      </c>
      <c r="I58" s="3" t="s">
        <v>596</v>
      </c>
    </row>
    <row r="59" spans="1:9" ht="25" x14ac:dyDescent="0.35">
      <c r="A59" s="14" t="s">
        <v>597</v>
      </c>
      <c r="B59" s="16" t="s">
        <v>598</v>
      </c>
      <c r="C59" s="4" t="s">
        <v>137</v>
      </c>
      <c r="D59" s="8">
        <v>368.24</v>
      </c>
      <c r="E59" s="3" t="s">
        <v>599</v>
      </c>
      <c r="F59" s="19">
        <f t="shared" si="3"/>
        <v>1.38</v>
      </c>
      <c r="H59" s="12">
        <f t="shared" si="2"/>
        <v>508.1712</v>
      </c>
      <c r="I59" s="3" t="s">
        <v>600</v>
      </c>
    </row>
    <row r="60" spans="1:9" ht="30" x14ac:dyDescent="0.35">
      <c r="A60" s="14" t="s">
        <v>601</v>
      </c>
      <c r="B60" s="16" t="s">
        <v>602</v>
      </c>
      <c r="C60" s="4" t="s">
        <v>137</v>
      </c>
      <c r="D60" s="8">
        <v>280.89</v>
      </c>
      <c r="E60" s="3" t="s">
        <v>603</v>
      </c>
      <c r="F60" s="19">
        <f t="shared" si="3"/>
        <v>1.38</v>
      </c>
      <c r="H60" s="12">
        <f t="shared" si="2"/>
        <v>387.62819999999994</v>
      </c>
      <c r="I60" s="3" t="s">
        <v>604</v>
      </c>
    </row>
    <row r="61" spans="1:9" x14ac:dyDescent="0.35">
      <c r="A61" s="14" t="s">
        <v>605</v>
      </c>
      <c r="B61" s="16" t="s">
        <v>606</v>
      </c>
      <c r="C61" s="4" t="s">
        <v>141</v>
      </c>
      <c r="D61" s="8">
        <v>535.29</v>
      </c>
      <c r="E61" s="3" t="s">
        <v>599</v>
      </c>
      <c r="F61" s="19">
        <f t="shared" si="3"/>
        <v>1.38</v>
      </c>
      <c r="H61" s="12">
        <f t="shared" si="2"/>
        <v>738.70019999999988</v>
      </c>
      <c r="I61" s="3" t="s">
        <v>600</v>
      </c>
    </row>
    <row r="62" spans="1:9" x14ac:dyDescent="0.35">
      <c r="A62" s="14" t="s">
        <v>607</v>
      </c>
      <c r="B62" s="16" t="s">
        <v>608</v>
      </c>
      <c r="C62" s="4" t="s">
        <v>141</v>
      </c>
      <c r="D62" s="8">
        <v>214.12</v>
      </c>
      <c r="E62" s="3" t="s">
        <v>599</v>
      </c>
      <c r="F62" s="19">
        <f t="shared" si="3"/>
        <v>1.38</v>
      </c>
      <c r="H62" s="12">
        <f t="shared" si="2"/>
        <v>295.48559999999998</v>
      </c>
      <c r="I62" s="3" t="s">
        <v>600</v>
      </c>
    </row>
    <row r="63" spans="1:9" x14ac:dyDescent="0.35">
      <c r="A63" s="14" t="s">
        <v>609</v>
      </c>
      <c r="B63" s="16" t="s">
        <v>610</v>
      </c>
      <c r="C63" s="4" t="s">
        <v>141</v>
      </c>
      <c r="D63" s="8">
        <v>23.53</v>
      </c>
      <c r="E63" s="3" t="s">
        <v>599</v>
      </c>
      <c r="F63" s="19">
        <f t="shared" si="3"/>
        <v>1.38</v>
      </c>
      <c r="H63" s="12">
        <f t="shared" si="2"/>
        <v>32.471399999999996</v>
      </c>
      <c r="I63" s="3" t="s">
        <v>600</v>
      </c>
    </row>
    <row r="64" spans="1:9" x14ac:dyDescent="0.35">
      <c r="A64" s="14" t="s">
        <v>611</v>
      </c>
      <c r="B64" s="16" t="s">
        <v>612</v>
      </c>
      <c r="C64" s="4" t="s">
        <v>141</v>
      </c>
      <c r="D64" s="8">
        <v>9.41</v>
      </c>
      <c r="E64" s="3" t="s">
        <v>599</v>
      </c>
      <c r="F64" s="19">
        <f t="shared" si="3"/>
        <v>1.38</v>
      </c>
      <c r="H64" s="12">
        <f t="shared" si="2"/>
        <v>12.985799999999999</v>
      </c>
      <c r="I64" s="3" t="s">
        <v>600</v>
      </c>
    </row>
    <row r="65" spans="1:9" ht="30" x14ac:dyDescent="0.35">
      <c r="A65" s="14" t="s">
        <v>613</v>
      </c>
      <c r="B65" s="16" t="s">
        <v>614</v>
      </c>
      <c r="C65" s="4" t="s">
        <v>274</v>
      </c>
      <c r="D65" s="8">
        <v>710</v>
      </c>
      <c r="E65" s="3" t="s">
        <v>615</v>
      </c>
      <c r="F65" s="19">
        <f t="shared" ref="F65:F71" si="4">$D$7</f>
        <v>1.2</v>
      </c>
      <c r="H65" s="12">
        <f t="shared" si="2"/>
        <v>852</v>
      </c>
      <c r="I65" s="3" t="s">
        <v>616</v>
      </c>
    </row>
    <row r="66" spans="1:9" x14ac:dyDescent="0.35">
      <c r="A66" s="14" t="s">
        <v>617</v>
      </c>
      <c r="B66" s="16" t="s">
        <v>618</v>
      </c>
      <c r="C66" s="4" t="s">
        <v>274</v>
      </c>
      <c r="D66" s="8">
        <v>944.3</v>
      </c>
      <c r="E66" s="3" t="s">
        <v>599</v>
      </c>
      <c r="F66" s="19">
        <f t="shared" si="4"/>
        <v>1.2</v>
      </c>
      <c r="H66" s="12">
        <f t="shared" si="2"/>
        <v>1133.1599999999999</v>
      </c>
      <c r="I66" s="3" t="s">
        <v>619</v>
      </c>
    </row>
    <row r="67" spans="1:9" ht="20" x14ac:dyDescent="0.35">
      <c r="A67" s="14" t="s">
        <v>620</v>
      </c>
      <c r="B67" s="16" t="s">
        <v>621</v>
      </c>
      <c r="C67" s="4" t="s">
        <v>267</v>
      </c>
      <c r="D67" s="8">
        <v>3750</v>
      </c>
      <c r="E67" s="3" t="s">
        <v>622</v>
      </c>
      <c r="F67" s="19">
        <f t="shared" si="4"/>
        <v>1.2</v>
      </c>
      <c r="H67" s="12">
        <f t="shared" si="2"/>
        <v>4500</v>
      </c>
      <c r="I67" s="3" t="s">
        <v>623</v>
      </c>
    </row>
    <row r="68" spans="1:9" ht="20" x14ac:dyDescent="0.35">
      <c r="A68" s="14" t="s">
        <v>624</v>
      </c>
      <c r="B68" s="16" t="s">
        <v>625</v>
      </c>
      <c r="C68" s="4" t="s">
        <v>267</v>
      </c>
      <c r="D68" s="8">
        <v>1250</v>
      </c>
      <c r="E68" s="3" t="s">
        <v>626</v>
      </c>
      <c r="F68" s="19">
        <f t="shared" si="4"/>
        <v>1.2</v>
      </c>
      <c r="H68" s="12">
        <f t="shared" si="2"/>
        <v>1500</v>
      </c>
      <c r="I68" s="3" t="s">
        <v>627</v>
      </c>
    </row>
    <row r="69" spans="1:9" ht="20" x14ac:dyDescent="0.35">
      <c r="A69" s="14" t="s">
        <v>628</v>
      </c>
      <c r="B69" s="16" t="s">
        <v>629</v>
      </c>
      <c r="C69" s="4" t="s">
        <v>267</v>
      </c>
      <c r="D69" s="8">
        <v>4750</v>
      </c>
      <c r="E69" s="3" t="s">
        <v>630</v>
      </c>
      <c r="F69" s="19">
        <f t="shared" si="4"/>
        <v>1.2</v>
      </c>
      <c r="H69" s="12">
        <f t="shared" si="2"/>
        <v>5700</v>
      </c>
      <c r="I69" s="3" t="s">
        <v>631</v>
      </c>
    </row>
    <row r="70" spans="1:9" x14ac:dyDescent="0.35">
      <c r="A70" s="14" t="s">
        <v>632</v>
      </c>
      <c r="B70" s="16" t="s">
        <v>633</v>
      </c>
      <c r="C70" s="4" t="s">
        <v>267</v>
      </c>
      <c r="D70" s="8">
        <v>2500</v>
      </c>
      <c r="E70" s="3" t="s">
        <v>634</v>
      </c>
      <c r="F70" s="19">
        <f t="shared" si="4"/>
        <v>1.2</v>
      </c>
      <c r="H70" s="12">
        <f t="shared" si="2"/>
        <v>3000</v>
      </c>
      <c r="I70" s="3" t="s">
        <v>631</v>
      </c>
    </row>
    <row r="71" spans="1:9" ht="20" x14ac:dyDescent="0.35">
      <c r="A71" s="14" t="s">
        <v>635</v>
      </c>
      <c r="B71" s="16" t="s">
        <v>636</v>
      </c>
      <c r="C71" s="4" t="s">
        <v>267</v>
      </c>
      <c r="D71" s="8">
        <v>500</v>
      </c>
      <c r="E71" s="3" t="s">
        <v>637</v>
      </c>
      <c r="F71" s="19">
        <f t="shared" si="4"/>
        <v>1.2</v>
      </c>
      <c r="H71" s="12">
        <f t="shared" si="2"/>
        <v>600</v>
      </c>
      <c r="I71" s="3" t="s">
        <v>631</v>
      </c>
    </row>
    <row r="72" spans="1:9" ht="20" x14ac:dyDescent="0.35">
      <c r="A72" s="14" t="s">
        <v>638</v>
      </c>
      <c r="B72" s="16" t="s">
        <v>639</v>
      </c>
      <c r="C72" s="4" t="s">
        <v>261</v>
      </c>
      <c r="D72" s="8">
        <v>62</v>
      </c>
      <c r="E72" s="3" t="s">
        <v>640</v>
      </c>
      <c r="F72" s="18">
        <v>1</v>
      </c>
      <c r="H72" s="12">
        <f t="shared" si="2"/>
        <v>62</v>
      </c>
      <c r="I72" s="3" t="s">
        <v>641</v>
      </c>
    </row>
    <row r="73" spans="1:9" ht="20" x14ac:dyDescent="0.35">
      <c r="A73" s="14" t="s">
        <v>642</v>
      </c>
      <c r="B73" s="16" t="s">
        <v>643</v>
      </c>
      <c r="C73" s="4" t="s">
        <v>116</v>
      </c>
      <c r="D73" s="8">
        <v>110</v>
      </c>
      <c r="E73" s="3" t="s">
        <v>469</v>
      </c>
      <c r="F73" s="18">
        <v>1</v>
      </c>
      <c r="H73" s="12">
        <f t="shared" si="2"/>
        <v>110</v>
      </c>
      <c r="I73" s="3" t="s">
        <v>463</v>
      </c>
    </row>
    <row r="74" spans="1:9" ht="20" x14ac:dyDescent="0.35">
      <c r="A74" s="14" t="s">
        <v>644</v>
      </c>
      <c r="B74" s="16" t="s">
        <v>645</v>
      </c>
      <c r="C74" s="4" t="s">
        <v>116</v>
      </c>
      <c r="D74" s="8">
        <v>120</v>
      </c>
      <c r="E74" s="3" t="s">
        <v>469</v>
      </c>
      <c r="F74" s="18">
        <v>1</v>
      </c>
      <c r="H74" s="12">
        <f t="shared" si="2"/>
        <v>120</v>
      </c>
      <c r="I74" s="3" t="s">
        <v>463</v>
      </c>
    </row>
    <row r="75" spans="1:9" ht="20" x14ac:dyDescent="0.35">
      <c r="A75" s="14" t="s">
        <v>646</v>
      </c>
      <c r="B75" s="16" t="s">
        <v>647</v>
      </c>
      <c r="C75" s="4" t="s">
        <v>116</v>
      </c>
      <c r="D75" s="8">
        <v>400</v>
      </c>
      <c r="E75" s="3" t="s">
        <v>648</v>
      </c>
      <c r="F75" s="18">
        <v>1</v>
      </c>
      <c r="H75" s="12">
        <f t="shared" ref="H75:H87" si="5">D75*F75</f>
        <v>400</v>
      </c>
      <c r="I75" s="3" t="s">
        <v>463</v>
      </c>
    </row>
    <row r="76" spans="1:9" x14ac:dyDescent="0.35">
      <c r="A76" s="14" t="s">
        <v>649</v>
      </c>
      <c r="B76" s="16" t="s">
        <v>650</v>
      </c>
      <c r="C76" s="4" t="s">
        <v>651</v>
      </c>
      <c r="D76" s="8">
        <v>85</v>
      </c>
      <c r="E76" s="3" t="s">
        <v>652</v>
      </c>
      <c r="F76" s="18">
        <v>1</v>
      </c>
      <c r="H76" s="12">
        <f t="shared" si="5"/>
        <v>85</v>
      </c>
      <c r="I76" s="3" t="s">
        <v>631</v>
      </c>
    </row>
    <row r="77" spans="1:9" x14ac:dyDescent="0.35">
      <c r="A77" s="14" t="s">
        <v>653</v>
      </c>
      <c r="B77" s="16" t="s">
        <v>654</v>
      </c>
      <c r="C77" s="4" t="s">
        <v>261</v>
      </c>
      <c r="D77" s="8">
        <v>48</v>
      </c>
      <c r="E77" s="3" t="s">
        <v>655</v>
      </c>
      <c r="F77" s="18">
        <v>1</v>
      </c>
      <c r="H77" s="12">
        <f t="shared" si="5"/>
        <v>48</v>
      </c>
      <c r="I77" s="3" t="s">
        <v>631</v>
      </c>
    </row>
    <row r="78" spans="1:9" ht="25" x14ac:dyDescent="0.35">
      <c r="A78" s="14" t="s">
        <v>656</v>
      </c>
      <c r="B78" s="16" t="s">
        <v>657</v>
      </c>
      <c r="C78" s="4" t="s">
        <v>267</v>
      </c>
      <c r="D78" s="8">
        <v>2500</v>
      </c>
      <c r="E78" s="3" t="s">
        <v>658</v>
      </c>
      <c r="F78" s="18">
        <v>1</v>
      </c>
      <c r="H78" s="12">
        <f t="shared" si="5"/>
        <v>2500</v>
      </c>
      <c r="I78" s="3" t="s">
        <v>631</v>
      </c>
    </row>
    <row r="79" spans="1:9" ht="25" x14ac:dyDescent="0.35">
      <c r="A79" s="14" t="s">
        <v>659</v>
      </c>
      <c r="B79" s="16" t="s">
        <v>660</v>
      </c>
      <c r="C79" s="4" t="s">
        <v>141</v>
      </c>
      <c r="D79" s="8">
        <v>850</v>
      </c>
      <c r="E79" s="3" t="s">
        <v>661</v>
      </c>
      <c r="F79" s="18">
        <v>1</v>
      </c>
      <c r="H79" s="12">
        <f t="shared" si="5"/>
        <v>850</v>
      </c>
      <c r="I79" s="3" t="s">
        <v>662</v>
      </c>
    </row>
    <row r="80" spans="1:9" x14ac:dyDescent="0.35">
      <c r="A80" s="14" t="s">
        <v>663</v>
      </c>
      <c r="B80" s="16" t="s">
        <v>664</v>
      </c>
      <c r="C80" s="4" t="s">
        <v>665</v>
      </c>
      <c r="D80" s="8">
        <v>7</v>
      </c>
      <c r="E80" s="3" t="s">
        <v>469</v>
      </c>
      <c r="F80" s="18">
        <v>1</v>
      </c>
      <c r="H80" s="12">
        <f t="shared" si="5"/>
        <v>7</v>
      </c>
      <c r="I80" s="3" t="s">
        <v>666</v>
      </c>
    </row>
    <row r="81" spans="1:9" x14ac:dyDescent="0.35">
      <c r="A81" s="14" t="s">
        <v>667</v>
      </c>
      <c r="B81" s="16" t="s">
        <v>668</v>
      </c>
      <c r="C81" s="4" t="s">
        <v>116</v>
      </c>
      <c r="D81" s="8">
        <v>150</v>
      </c>
      <c r="E81" s="3" t="s">
        <v>469</v>
      </c>
      <c r="F81" s="18">
        <v>1</v>
      </c>
      <c r="H81" s="12">
        <f t="shared" si="5"/>
        <v>150</v>
      </c>
      <c r="I81" s="3" t="s">
        <v>666</v>
      </c>
    </row>
    <row r="82" spans="1:9" ht="20" x14ac:dyDescent="0.35">
      <c r="A82" s="14" t="s">
        <v>669</v>
      </c>
      <c r="B82" s="16" t="s">
        <v>670</v>
      </c>
      <c r="C82" s="4" t="s">
        <v>137</v>
      </c>
      <c r="D82" s="8">
        <v>5</v>
      </c>
      <c r="E82" s="3" t="s">
        <v>671</v>
      </c>
      <c r="F82" s="19">
        <f t="shared" ref="F82:F87" si="6">$D$6</f>
        <v>1.1499999999999999</v>
      </c>
      <c r="H82" s="12">
        <f t="shared" si="5"/>
        <v>5.75</v>
      </c>
      <c r="I82" s="3" t="s">
        <v>672</v>
      </c>
    </row>
    <row r="83" spans="1:9" x14ac:dyDescent="0.35">
      <c r="A83" s="14" t="s">
        <v>673</v>
      </c>
      <c r="B83" s="16" t="s">
        <v>674</v>
      </c>
      <c r="C83" s="4" t="s">
        <v>352</v>
      </c>
      <c r="D83" s="8">
        <v>1800</v>
      </c>
      <c r="E83" s="3" t="s">
        <v>675</v>
      </c>
      <c r="F83" s="19">
        <f t="shared" si="6"/>
        <v>1.1499999999999999</v>
      </c>
      <c r="H83" s="12">
        <f t="shared" si="5"/>
        <v>2070</v>
      </c>
      <c r="I83" s="3" t="s">
        <v>672</v>
      </c>
    </row>
    <row r="84" spans="1:9" x14ac:dyDescent="0.35">
      <c r="A84" s="14" t="s">
        <v>676</v>
      </c>
      <c r="B84" s="16" t="s">
        <v>677</v>
      </c>
      <c r="C84" s="4" t="s">
        <v>352</v>
      </c>
      <c r="D84" s="8">
        <v>1300</v>
      </c>
      <c r="E84" s="3" t="s">
        <v>678</v>
      </c>
      <c r="F84" s="19">
        <f t="shared" si="6"/>
        <v>1.1499999999999999</v>
      </c>
      <c r="H84" s="12">
        <f t="shared" si="5"/>
        <v>1494.9999999999998</v>
      </c>
      <c r="I84" s="3" t="s">
        <v>672</v>
      </c>
    </row>
    <row r="85" spans="1:9" x14ac:dyDescent="0.35">
      <c r="A85" s="14" t="s">
        <v>679</v>
      </c>
      <c r="B85" s="16" t="s">
        <v>680</v>
      </c>
      <c r="C85" s="4" t="s">
        <v>377</v>
      </c>
      <c r="D85" s="8">
        <v>122</v>
      </c>
      <c r="E85" s="3" t="s">
        <v>681</v>
      </c>
      <c r="F85" s="19">
        <f t="shared" si="6"/>
        <v>1.1499999999999999</v>
      </c>
      <c r="H85" s="12">
        <f t="shared" si="5"/>
        <v>140.29999999999998</v>
      </c>
      <c r="I85" s="3" t="s">
        <v>672</v>
      </c>
    </row>
    <row r="86" spans="1:9" ht="20" x14ac:dyDescent="0.35">
      <c r="A86" s="14" t="s">
        <v>682</v>
      </c>
      <c r="B86" s="16" t="s">
        <v>683</v>
      </c>
      <c r="C86" s="4" t="s">
        <v>379</v>
      </c>
      <c r="D86" s="8">
        <v>850</v>
      </c>
      <c r="E86" s="3" t="s">
        <v>684</v>
      </c>
      <c r="F86" s="19">
        <f t="shared" si="6"/>
        <v>1.1499999999999999</v>
      </c>
      <c r="H86" s="12">
        <f t="shared" si="5"/>
        <v>977.49999999999989</v>
      </c>
      <c r="I86" s="3" t="s">
        <v>672</v>
      </c>
    </row>
    <row r="87" spans="1:9" ht="20" x14ac:dyDescent="0.35">
      <c r="A87" s="14" t="s">
        <v>685</v>
      </c>
      <c r="B87" s="16" t="s">
        <v>412</v>
      </c>
      <c r="C87" s="4" t="s">
        <v>116</v>
      </c>
      <c r="D87" s="8">
        <v>40</v>
      </c>
      <c r="E87" s="3" t="s">
        <v>686</v>
      </c>
      <c r="F87" s="19">
        <f t="shared" si="6"/>
        <v>1.1499999999999999</v>
      </c>
      <c r="H87" s="12">
        <f t="shared" si="5"/>
        <v>46</v>
      </c>
      <c r="I87" s="3" t="s">
        <v>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8"/>
  <sheetViews>
    <sheetView workbookViewId="0"/>
  </sheetViews>
  <sheetFormatPr defaultRowHeight="14.5" x14ac:dyDescent="0.35"/>
  <cols>
    <col min="1" max="1" width="4" customWidth="1"/>
    <col min="2" max="2" width="44" customWidth="1"/>
    <col min="3" max="3" width="8" customWidth="1"/>
    <col min="4" max="4" width="12" customWidth="1"/>
    <col min="5" max="5" width="34" customWidth="1"/>
    <col min="6" max="6" width="16" customWidth="1"/>
    <col min="7" max="7" width="58" customWidth="1"/>
  </cols>
  <sheetData>
    <row r="1" spans="1:7" ht="18" x14ac:dyDescent="0.4">
      <c r="B1" s="1" t="s">
        <v>688</v>
      </c>
    </row>
    <row r="2" spans="1:7" ht="40" x14ac:dyDescent="0.35">
      <c r="B2" s="3" t="s">
        <v>689</v>
      </c>
    </row>
    <row r="4" spans="1:7" x14ac:dyDescent="0.35">
      <c r="A4" s="17"/>
      <c r="B4" s="17" t="s">
        <v>450</v>
      </c>
      <c r="C4" s="17" t="s">
        <v>111</v>
      </c>
      <c r="D4" s="17" t="s">
        <v>690</v>
      </c>
      <c r="E4" s="17" t="s">
        <v>452</v>
      </c>
      <c r="F4" s="17" t="s">
        <v>691</v>
      </c>
      <c r="G4" s="17" t="s">
        <v>114</v>
      </c>
    </row>
    <row r="5" spans="1:7" x14ac:dyDescent="0.35">
      <c r="B5" s="4" t="s">
        <v>351</v>
      </c>
      <c r="C5" s="4" t="s">
        <v>352</v>
      </c>
      <c r="D5" s="8">
        <v>317.2</v>
      </c>
      <c r="E5" s="3" t="s">
        <v>692</v>
      </c>
      <c r="F5" s="4" t="s">
        <v>693</v>
      </c>
      <c r="G5" s="3" t="s">
        <v>694</v>
      </c>
    </row>
    <row r="6" spans="1:7" x14ac:dyDescent="0.35">
      <c r="B6" s="4" t="s">
        <v>353</v>
      </c>
      <c r="C6" s="4" t="s">
        <v>352</v>
      </c>
      <c r="D6" s="8">
        <v>261.17</v>
      </c>
      <c r="E6" s="3" t="s">
        <v>692</v>
      </c>
      <c r="F6" s="4" t="s">
        <v>693</v>
      </c>
      <c r="G6" s="3" t="s">
        <v>695</v>
      </c>
    </row>
    <row r="7" spans="1:7" x14ac:dyDescent="0.35">
      <c r="B7" s="4" t="s">
        <v>354</v>
      </c>
      <c r="C7" s="4" t="s">
        <v>352</v>
      </c>
      <c r="D7" s="8">
        <v>314.29000000000002</v>
      </c>
      <c r="E7" s="3" t="s">
        <v>692</v>
      </c>
      <c r="F7" s="4" t="s">
        <v>693</v>
      </c>
      <c r="G7" s="3" t="s">
        <v>696</v>
      </c>
    </row>
    <row r="8" spans="1:7" x14ac:dyDescent="0.35">
      <c r="B8" s="4" t="s">
        <v>355</v>
      </c>
      <c r="C8" s="4" t="s">
        <v>352</v>
      </c>
      <c r="D8" s="8">
        <v>238.67</v>
      </c>
      <c r="E8" s="3" t="s">
        <v>692</v>
      </c>
      <c r="F8" s="4" t="s">
        <v>693</v>
      </c>
      <c r="G8" s="3" t="s">
        <v>697</v>
      </c>
    </row>
    <row r="9" spans="1:7" x14ac:dyDescent="0.35">
      <c r="B9" s="4" t="s">
        <v>357</v>
      </c>
      <c r="C9" s="4" t="s">
        <v>352</v>
      </c>
      <c r="D9" s="8">
        <v>203</v>
      </c>
      <c r="E9" s="3" t="s">
        <v>692</v>
      </c>
      <c r="F9" s="4" t="s">
        <v>693</v>
      </c>
      <c r="G9" s="3" t="s">
        <v>698</v>
      </c>
    </row>
    <row r="10" spans="1:7" x14ac:dyDescent="0.35">
      <c r="B10" s="4" t="s">
        <v>358</v>
      </c>
      <c r="C10" s="4" t="s">
        <v>352</v>
      </c>
      <c r="D10" s="8">
        <v>165</v>
      </c>
      <c r="E10" s="3" t="s">
        <v>692</v>
      </c>
      <c r="F10" s="4" t="s">
        <v>693</v>
      </c>
      <c r="G10" s="3"/>
    </row>
    <row r="11" spans="1:7" x14ac:dyDescent="0.35">
      <c r="B11" s="4" t="s">
        <v>359</v>
      </c>
      <c r="C11" s="4" t="s">
        <v>352</v>
      </c>
      <c r="D11" s="8">
        <v>34.29</v>
      </c>
      <c r="E11" s="3" t="s">
        <v>692</v>
      </c>
      <c r="F11" s="4" t="s">
        <v>693</v>
      </c>
      <c r="G11" s="3"/>
    </row>
    <row r="12" spans="1:7" x14ac:dyDescent="0.35">
      <c r="B12" s="4" t="s">
        <v>360</v>
      </c>
      <c r="C12" s="4" t="s">
        <v>352</v>
      </c>
      <c r="D12" s="8">
        <v>171.43</v>
      </c>
      <c r="E12" s="3" t="s">
        <v>692</v>
      </c>
      <c r="F12" s="4" t="s">
        <v>693</v>
      </c>
      <c r="G12" s="3"/>
    </row>
    <row r="13" spans="1:7" x14ac:dyDescent="0.35">
      <c r="B13" s="4" t="s">
        <v>367</v>
      </c>
      <c r="C13" s="4" t="s">
        <v>352</v>
      </c>
      <c r="D13" s="8">
        <v>295.77</v>
      </c>
      <c r="E13" s="3" t="s">
        <v>692</v>
      </c>
      <c r="F13" s="4" t="s">
        <v>693</v>
      </c>
      <c r="G13" s="3" t="s">
        <v>699</v>
      </c>
    </row>
    <row r="14" spans="1:7" x14ac:dyDescent="0.35">
      <c r="B14" s="4" t="s">
        <v>370</v>
      </c>
      <c r="C14" s="4" t="s">
        <v>352</v>
      </c>
      <c r="D14" s="8">
        <v>57</v>
      </c>
      <c r="E14" s="3" t="s">
        <v>700</v>
      </c>
      <c r="F14" s="4" t="s">
        <v>693</v>
      </c>
      <c r="G14" s="3" t="s">
        <v>701</v>
      </c>
    </row>
    <row r="15" spans="1:7" x14ac:dyDescent="0.35">
      <c r="B15" s="4" t="s">
        <v>368</v>
      </c>
      <c r="C15" s="4" t="s">
        <v>352</v>
      </c>
      <c r="D15" s="8">
        <v>1100</v>
      </c>
      <c r="E15" s="3" t="s">
        <v>702</v>
      </c>
      <c r="F15" s="4" t="s">
        <v>693</v>
      </c>
      <c r="G15" s="3" t="s">
        <v>703</v>
      </c>
    </row>
    <row r="16" spans="1:7" x14ac:dyDescent="0.35">
      <c r="B16" s="4" t="s">
        <v>362</v>
      </c>
      <c r="C16" s="4" t="s">
        <v>352</v>
      </c>
      <c r="D16" s="8">
        <v>3800</v>
      </c>
      <c r="E16" s="3" t="s">
        <v>704</v>
      </c>
      <c r="F16" s="20" t="s">
        <v>705</v>
      </c>
      <c r="G16" s="3" t="s">
        <v>706</v>
      </c>
    </row>
    <row r="17" spans="1:7" x14ac:dyDescent="0.35">
      <c r="B17" s="4" t="s">
        <v>364</v>
      </c>
      <c r="C17" s="4" t="s">
        <v>352</v>
      </c>
      <c r="D17" s="8">
        <v>2200</v>
      </c>
      <c r="E17" s="3" t="s">
        <v>704</v>
      </c>
      <c r="F17" s="20" t="s">
        <v>705</v>
      </c>
      <c r="G17" s="3" t="s">
        <v>707</v>
      </c>
    </row>
    <row r="18" spans="1:7" x14ac:dyDescent="0.35">
      <c r="B18" s="4" t="s">
        <v>366</v>
      </c>
      <c r="C18" s="4" t="s">
        <v>352</v>
      </c>
      <c r="D18" s="8">
        <v>120</v>
      </c>
      <c r="E18" s="3" t="s">
        <v>704</v>
      </c>
      <c r="F18" s="20" t="s">
        <v>705</v>
      </c>
      <c r="G18" s="3" t="s">
        <v>708</v>
      </c>
    </row>
    <row r="19" spans="1:7" ht="20" x14ac:dyDescent="0.35">
      <c r="B19" s="4" t="s">
        <v>371</v>
      </c>
      <c r="C19" s="4" t="s">
        <v>352</v>
      </c>
      <c r="D19" s="8">
        <v>100</v>
      </c>
      <c r="E19" s="3" t="s">
        <v>709</v>
      </c>
      <c r="F19" s="4" t="s">
        <v>710</v>
      </c>
      <c r="G19" s="3" t="s">
        <v>711</v>
      </c>
    </row>
    <row r="20" spans="1:7" ht="20" x14ac:dyDescent="0.35">
      <c r="B20" s="4" t="s">
        <v>712</v>
      </c>
      <c r="C20" s="4" t="s">
        <v>352</v>
      </c>
      <c r="D20" s="8">
        <v>0</v>
      </c>
      <c r="E20" s="3" t="s">
        <v>713</v>
      </c>
      <c r="F20" s="20" t="s">
        <v>714</v>
      </c>
      <c r="G20" s="3" t="s">
        <v>715</v>
      </c>
    </row>
    <row r="22" spans="1:7" ht="70" x14ac:dyDescent="0.35">
      <c r="B22" s="21" t="s">
        <v>716</v>
      </c>
    </row>
    <row r="23" spans="1:7" x14ac:dyDescent="0.35">
      <c r="A23" s="17"/>
      <c r="B23" s="17" t="s">
        <v>129</v>
      </c>
      <c r="C23" s="17"/>
      <c r="D23" s="17" t="s">
        <v>717</v>
      </c>
      <c r="E23" s="17" t="s">
        <v>718</v>
      </c>
      <c r="F23" s="17" t="s">
        <v>719</v>
      </c>
      <c r="G23" s="17" t="s">
        <v>720</v>
      </c>
    </row>
    <row r="24" spans="1:7" x14ac:dyDescent="0.35">
      <c r="B24" s="13" t="s">
        <v>721</v>
      </c>
      <c r="D24" s="22">
        <v>0</v>
      </c>
      <c r="E24" s="22">
        <v>0</v>
      </c>
      <c r="F24" s="22">
        <v>0</v>
      </c>
      <c r="G24" s="22">
        <v>262</v>
      </c>
    </row>
    <row r="25" spans="1:7" x14ac:dyDescent="0.35">
      <c r="B25" s="13" t="s">
        <v>722</v>
      </c>
      <c r="D25" s="22">
        <v>300</v>
      </c>
      <c r="E25" s="22">
        <v>250</v>
      </c>
      <c r="F25" s="22">
        <v>192</v>
      </c>
      <c r="G25" s="22">
        <v>0</v>
      </c>
    </row>
    <row r="26" spans="1:7" x14ac:dyDescent="0.35">
      <c r="B26" s="13" t="s">
        <v>723</v>
      </c>
      <c r="D26" s="22">
        <v>200</v>
      </c>
      <c r="E26" s="22">
        <v>0</v>
      </c>
      <c r="F26" s="22">
        <v>0</v>
      </c>
      <c r="G26" s="22">
        <v>0</v>
      </c>
    </row>
    <row r="27" spans="1:7" x14ac:dyDescent="0.35">
      <c r="B27" s="13" t="s">
        <v>724</v>
      </c>
      <c r="D27" s="22">
        <v>250</v>
      </c>
      <c r="E27" s="22">
        <v>0</v>
      </c>
      <c r="F27" s="22">
        <v>0</v>
      </c>
      <c r="G27" s="22">
        <v>0</v>
      </c>
    </row>
    <row r="28" spans="1:7" x14ac:dyDescent="0.35">
      <c r="B28" s="13" t="s">
        <v>725</v>
      </c>
      <c r="D28" s="22">
        <v>310</v>
      </c>
      <c r="E28" s="22">
        <v>310</v>
      </c>
      <c r="F28" s="22">
        <v>301</v>
      </c>
      <c r="G28" s="22">
        <v>300</v>
      </c>
    </row>
    <row r="29" spans="1:7" x14ac:dyDescent="0.35">
      <c r="B29" s="13" t="s">
        <v>726</v>
      </c>
      <c r="D29" s="22">
        <v>440</v>
      </c>
      <c r="E29" s="22">
        <v>370</v>
      </c>
      <c r="F29" s="22">
        <v>375</v>
      </c>
      <c r="G29" s="22">
        <v>295</v>
      </c>
    </row>
    <row r="30" spans="1:7" x14ac:dyDescent="0.35">
      <c r="B30" s="13" t="s">
        <v>727</v>
      </c>
      <c r="D30" s="22">
        <v>450</v>
      </c>
      <c r="E30" s="22">
        <v>480</v>
      </c>
      <c r="F30" s="22">
        <v>417</v>
      </c>
      <c r="G30" s="22">
        <v>444</v>
      </c>
    </row>
    <row r="31" spans="1:7" x14ac:dyDescent="0.35">
      <c r="B31" s="13" t="s">
        <v>728</v>
      </c>
      <c r="D31" s="22">
        <v>26</v>
      </c>
      <c r="E31" s="22">
        <v>0</v>
      </c>
      <c r="F31" s="22">
        <v>25.7</v>
      </c>
      <c r="G31" s="22">
        <v>0</v>
      </c>
    </row>
    <row r="32" spans="1:7" x14ac:dyDescent="0.35">
      <c r="B32" s="13" t="s">
        <v>729</v>
      </c>
      <c r="D32" s="22">
        <v>26</v>
      </c>
      <c r="E32" s="22">
        <v>0</v>
      </c>
      <c r="F32" s="22">
        <v>25.7</v>
      </c>
      <c r="G32" s="22">
        <v>21</v>
      </c>
    </row>
    <row r="33" spans="2:7" x14ac:dyDescent="0.35">
      <c r="B33" s="13" t="s">
        <v>730</v>
      </c>
      <c r="D33" s="22">
        <v>30</v>
      </c>
      <c r="E33" s="22">
        <v>0</v>
      </c>
      <c r="F33" s="22">
        <v>30.1</v>
      </c>
      <c r="G33" s="22">
        <v>23</v>
      </c>
    </row>
    <row r="34" spans="2:7" x14ac:dyDescent="0.35">
      <c r="B34" s="13" t="s">
        <v>731</v>
      </c>
      <c r="D34" s="22">
        <v>115</v>
      </c>
      <c r="E34" s="22">
        <v>0</v>
      </c>
      <c r="F34" s="22">
        <v>0</v>
      </c>
      <c r="G34" s="22">
        <v>0</v>
      </c>
    </row>
    <row r="35" spans="2:7" x14ac:dyDescent="0.35">
      <c r="B35" s="13" t="s">
        <v>732</v>
      </c>
      <c r="D35" s="22">
        <v>50</v>
      </c>
      <c r="E35" s="22">
        <v>0</v>
      </c>
      <c r="F35" s="22">
        <v>0</v>
      </c>
      <c r="G35" s="22">
        <v>0</v>
      </c>
    </row>
    <row r="36" spans="2:7" x14ac:dyDescent="0.35">
      <c r="B36" s="13" t="s">
        <v>733</v>
      </c>
      <c r="D36" s="22">
        <v>180</v>
      </c>
      <c r="E36" s="22">
        <v>0</v>
      </c>
      <c r="F36" s="22">
        <v>180</v>
      </c>
      <c r="G36" s="22">
        <v>130</v>
      </c>
    </row>
    <row r="37" spans="2:7" x14ac:dyDescent="0.35">
      <c r="B37" s="13" t="s">
        <v>734</v>
      </c>
      <c r="D37" s="22">
        <v>400</v>
      </c>
      <c r="E37" s="22">
        <v>0</v>
      </c>
      <c r="F37" s="22">
        <v>238</v>
      </c>
      <c r="G37" s="22">
        <v>0</v>
      </c>
    </row>
    <row r="38" spans="2:7" x14ac:dyDescent="0.35">
      <c r="B38" s="13" t="s">
        <v>735</v>
      </c>
      <c r="D38" s="22">
        <v>341</v>
      </c>
      <c r="E38" s="22">
        <v>0</v>
      </c>
      <c r="F38" s="22">
        <v>243</v>
      </c>
      <c r="G38" s="22">
        <v>0</v>
      </c>
    </row>
    <row r="39" spans="2:7" x14ac:dyDescent="0.35">
      <c r="B39" s="13" t="s">
        <v>736</v>
      </c>
      <c r="D39" s="22">
        <v>50</v>
      </c>
      <c r="E39" s="22">
        <v>0</v>
      </c>
      <c r="F39" s="22">
        <v>48</v>
      </c>
      <c r="G39" s="22">
        <v>46</v>
      </c>
    </row>
    <row r="40" spans="2:7" x14ac:dyDescent="0.35">
      <c r="B40" s="13" t="s">
        <v>737</v>
      </c>
      <c r="D40" s="22">
        <v>180</v>
      </c>
      <c r="E40" s="22">
        <v>0</v>
      </c>
      <c r="F40" s="22">
        <v>121</v>
      </c>
      <c r="G40" s="22">
        <v>98</v>
      </c>
    </row>
    <row r="41" spans="2:7" x14ac:dyDescent="0.35">
      <c r="B41" s="13" t="s">
        <v>738</v>
      </c>
      <c r="D41" s="22">
        <v>150</v>
      </c>
      <c r="E41" s="22">
        <v>0</v>
      </c>
      <c r="F41" s="22">
        <v>89</v>
      </c>
      <c r="G41" s="22">
        <v>112</v>
      </c>
    </row>
    <row r="42" spans="2:7" x14ac:dyDescent="0.35">
      <c r="B42" s="13" t="s">
        <v>739</v>
      </c>
      <c r="D42" s="22">
        <v>150</v>
      </c>
      <c r="E42" s="22">
        <v>0</v>
      </c>
      <c r="F42" s="22">
        <v>96</v>
      </c>
      <c r="G42" s="22">
        <v>140</v>
      </c>
    </row>
    <row r="43" spans="2:7" x14ac:dyDescent="0.35">
      <c r="B43" s="13" t="s">
        <v>740</v>
      </c>
      <c r="D43" s="22">
        <v>5</v>
      </c>
      <c r="E43" s="22">
        <v>0</v>
      </c>
      <c r="F43" s="22">
        <v>5</v>
      </c>
      <c r="G43" s="22">
        <v>7.5</v>
      </c>
    </row>
    <row r="44" spans="2:7" x14ac:dyDescent="0.35">
      <c r="B44" s="13" t="s">
        <v>741</v>
      </c>
      <c r="D44" s="22">
        <v>0</v>
      </c>
      <c r="E44" s="22">
        <v>0</v>
      </c>
      <c r="F44" s="22">
        <v>15</v>
      </c>
      <c r="G44" s="22">
        <v>13</v>
      </c>
    </row>
    <row r="45" spans="2:7" x14ac:dyDescent="0.35">
      <c r="B45" s="13" t="s">
        <v>742</v>
      </c>
      <c r="D45" s="22">
        <v>5</v>
      </c>
      <c r="E45" s="22">
        <v>0</v>
      </c>
      <c r="F45" s="22">
        <v>4</v>
      </c>
      <c r="G45" s="22">
        <v>0</v>
      </c>
    </row>
    <row r="46" spans="2:7" x14ac:dyDescent="0.35">
      <c r="B46" s="13" t="s">
        <v>743</v>
      </c>
      <c r="D46" s="22">
        <v>0</v>
      </c>
      <c r="E46" s="22">
        <v>0</v>
      </c>
      <c r="F46" s="22">
        <v>100</v>
      </c>
      <c r="G46" s="22">
        <v>50</v>
      </c>
    </row>
    <row r="47" spans="2:7" x14ac:dyDescent="0.35">
      <c r="B47" s="13" t="s">
        <v>744</v>
      </c>
      <c r="D47" s="22">
        <v>50</v>
      </c>
      <c r="E47" s="22">
        <v>0</v>
      </c>
      <c r="F47" s="22">
        <v>45</v>
      </c>
      <c r="G47" s="22">
        <v>35</v>
      </c>
    </row>
    <row r="48" spans="2:7" x14ac:dyDescent="0.35">
      <c r="B48" s="13" t="s">
        <v>745</v>
      </c>
      <c r="D48" s="22">
        <v>0</v>
      </c>
      <c r="E48" s="22">
        <v>0</v>
      </c>
      <c r="F48" s="22">
        <v>73</v>
      </c>
      <c r="G48" s="22">
        <v>68</v>
      </c>
    </row>
    <row r="49" spans="2:7" x14ac:dyDescent="0.35">
      <c r="B49" s="13" t="s">
        <v>746</v>
      </c>
      <c r="D49" s="22">
        <v>0</v>
      </c>
      <c r="E49" s="22">
        <v>0</v>
      </c>
      <c r="F49" s="22">
        <v>34</v>
      </c>
      <c r="G49" s="22">
        <v>0</v>
      </c>
    </row>
    <row r="50" spans="2:7" x14ac:dyDescent="0.35">
      <c r="B50" s="13" t="s">
        <v>747</v>
      </c>
      <c r="D50" s="22">
        <v>0</v>
      </c>
      <c r="E50" s="22">
        <v>0</v>
      </c>
      <c r="F50" s="22">
        <v>9</v>
      </c>
      <c r="G50" s="22">
        <v>1.2</v>
      </c>
    </row>
    <row r="51" spans="2:7" x14ac:dyDescent="0.35">
      <c r="B51" s="13" t="s">
        <v>748</v>
      </c>
      <c r="D51" s="22">
        <v>0</v>
      </c>
      <c r="E51" s="22">
        <v>0</v>
      </c>
      <c r="F51" s="22">
        <v>45</v>
      </c>
      <c r="G51" s="22">
        <v>0</v>
      </c>
    </row>
    <row r="52" spans="2:7" x14ac:dyDescent="0.35">
      <c r="B52" s="13" t="s">
        <v>749</v>
      </c>
      <c r="D52" s="22">
        <v>0</v>
      </c>
      <c r="E52" s="22">
        <v>0</v>
      </c>
      <c r="F52" s="22">
        <v>25</v>
      </c>
      <c r="G52" s="22">
        <v>27</v>
      </c>
    </row>
    <row r="53" spans="2:7" x14ac:dyDescent="0.35">
      <c r="B53" s="13" t="s">
        <v>750</v>
      </c>
      <c r="D53" s="22">
        <v>0</v>
      </c>
      <c r="E53" s="22">
        <v>0</v>
      </c>
      <c r="F53" s="22">
        <v>30</v>
      </c>
      <c r="G53" s="22">
        <v>22</v>
      </c>
    </row>
    <row r="54" spans="2:7" x14ac:dyDescent="0.35">
      <c r="B54" s="13" t="s">
        <v>751</v>
      </c>
      <c r="D54" s="22">
        <v>25</v>
      </c>
      <c r="E54" s="22">
        <v>0</v>
      </c>
      <c r="F54" s="22">
        <v>30</v>
      </c>
      <c r="G54" s="22">
        <v>17</v>
      </c>
    </row>
    <row r="55" spans="2:7" x14ac:dyDescent="0.35">
      <c r="B55" s="13" t="s">
        <v>752</v>
      </c>
      <c r="D55" s="22">
        <v>125</v>
      </c>
      <c r="E55" s="22">
        <v>0</v>
      </c>
      <c r="F55" s="22">
        <v>0</v>
      </c>
      <c r="G55" s="22">
        <v>0</v>
      </c>
    </row>
    <row r="56" spans="2:7" x14ac:dyDescent="0.35">
      <c r="B56" s="13" t="s">
        <v>753</v>
      </c>
      <c r="D56" s="22">
        <v>40</v>
      </c>
      <c r="E56" s="22">
        <v>0</v>
      </c>
      <c r="F56" s="22">
        <v>0</v>
      </c>
      <c r="G56" s="22">
        <v>0</v>
      </c>
    </row>
    <row r="57" spans="2:7" x14ac:dyDescent="0.35">
      <c r="B57" s="13" t="s">
        <v>754</v>
      </c>
      <c r="D57" s="22">
        <v>200</v>
      </c>
      <c r="E57" s="22">
        <v>0</v>
      </c>
      <c r="F57" s="22">
        <v>0</v>
      </c>
      <c r="G57" s="22">
        <v>0</v>
      </c>
    </row>
    <row r="58" spans="2:7" x14ac:dyDescent="0.35">
      <c r="B58" s="13" t="s">
        <v>755</v>
      </c>
      <c r="D58" s="22">
        <v>0</v>
      </c>
      <c r="E58" s="22">
        <v>0</v>
      </c>
      <c r="F58" s="22">
        <v>480</v>
      </c>
      <c r="G58" s="2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/>
  </sheetViews>
  <sheetFormatPr defaultRowHeight="14.5" x14ac:dyDescent="0.35"/>
  <cols>
    <col min="1" max="1" width="4" customWidth="1"/>
    <col min="2" max="2" width="58" customWidth="1"/>
    <col min="3" max="3" width="16" customWidth="1"/>
    <col min="4" max="7" width="14" customWidth="1"/>
    <col min="8" max="8" width="40" customWidth="1"/>
  </cols>
  <sheetData>
    <row r="1" spans="1:7" ht="18" x14ac:dyDescent="0.4">
      <c r="B1" s="1" t="s">
        <v>756</v>
      </c>
    </row>
    <row r="2" spans="1:7" ht="40" x14ac:dyDescent="0.35">
      <c r="B2" s="3" t="s">
        <v>757</v>
      </c>
    </row>
    <row r="4" spans="1:7" x14ac:dyDescent="0.35">
      <c r="B4" s="4" t="s">
        <v>758</v>
      </c>
      <c r="C4" s="8">
        <v>4606.0600000000004</v>
      </c>
      <c r="D4" s="13" t="s">
        <v>759</v>
      </c>
    </row>
    <row r="5" spans="1:7" x14ac:dyDescent="0.35">
      <c r="B5" s="4" t="s">
        <v>760</v>
      </c>
      <c r="C5" s="39">
        <v>103.24679999999999</v>
      </c>
      <c r="D5" s="13" t="s">
        <v>761</v>
      </c>
    </row>
    <row r="6" spans="1:7" x14ac:dyDescent="0.35">
      <c r="B6" s="4" t="s">
        <v>762</v>
      </c>
      <c r="C6" s="5">
        <v>25</v>
      </c>
    </row>
    <row r="7" spans="1:7" x14ac:dyDescent="0.35">
      <c r="B7" s="4" t="s">
        <v>763</v>
      </c>
      <c r="C7" s="8">
        <v>200</v>
      </c>
      <c r="D7" s="13" t="s">
        <v>764</v>
      </c>
    </row>
    <row r="8" spans="1:7" x14ac:dyDescent="0.35">
      <c r="B8" s="4" t="s">
        <v>765</v>
      </c>
      <c r="C8" s="5">
        <v>2</v>
      </c>
    </row>
    <row r="10" spans="1:7" ht="26" x14ac:dyDescent="0.35">
      <c r="A10" s="7"/>
      <c r="B10" s="7" t="s">
        <v>766</v>
      </c>
      <c r="C10" s="7" t="s">
        <v>767</v>
      </c>
      <c r="D10" s="7" t="s">
        <v>768</v>
      </c>
      <c r="E10" s="7" t="s">
        <v>769</v>
      </c>
      <c r="F10" s="7" t="s">
        <v>770</v>
      </c>
      <c r="G10" s="7" t="s">
        <v>771</v>
      </c>
    </row>
    <row r="11" spans="1:7" x14ac:dyDescent="0.35">
      <c r="B11" s="4" t="s">
        <v>772</v>
      </c>
      <c r="C11" s="5">
        <v>10</v>
      </c>
      <c r="D11" s="4">
        <f t="shared" ref="D11:D16" si="0">ROUNDUP((C11-1)/3,0)</f>
        <v>3</v>
      </c>
      <c r="E11" s="9">
        <f t="shared" ref="E11:E16" si="1">D11*$C$4</f>
        <v>13818.18</v>
      </c>
      <c r="F11" s="4">
        <f t="shared" ref="F11:F16" si="2">C11*$C$6</f>
        <v>250</v>
      </c>
      <c r="G11" s="9">
        <f t="shared" ref="G11:G16" si="3">F11*$C$5</f>
        <v>25811.699999999997</v>
      </c>
    </row>
    <row r="12" spans="1:7" x14ac:dyDescent="0.35">
      <c r="B12" s="4" t="s">
        <v>773</v>
      </c>
      <c r="C12" s="5">
        <v>10</v>
      </c>
      <c r="D12" s="4">
        <f t="shared" si="0"/>
        <v>3</v>
      </c>
      <c r="E12" s="9">
        <f t="shared" si="1"/>
        <v>13818.18</v>
      </c>
      <c r="F12" s="4">
        <f t="shared" si="2"/>
        <v>250</v>
      </c>
      <c r="G12" s="9">
        <f t="shared" si="3"/>
        <v>25811.699999999997</v>
      </c>
    </row>
    <row r="13" spans="1:7" x14ac:dyDescent="0.35">
      <c r="B13" s="4" t="s">
        <v>774</v>
      </c>
      <c r="C13" s="5">
        <v>7</v>
      </c>
      <c r="D13" s="4">
        <f t="shared" si="0"/>
        <v>2</v>
      </c>
      <c r="E13" s="9">
        <f t="shared" si="1"/>
        <v>9212.1200000000008</v>
      </c>
      <c r="F13" s="4">
        <f t="shared" si="2"/>
        <v>175</v>
      </c>
      <c r="G13" s="9">
        <f t="shared" si="3"/>
        <v>18068.189999999999</v>
      </c>
    </row>
    <row r="14" spans="1:7" x14ac:dyDescent="0.35">
      <c r="B14" s="4" t="s">
        <v>775</v>
      </c>
      <c r="C14" s="5">
        <v>4</v>
      </c>
      <c r="D14" s="4">
        <f t="shared" si="0"/>
        <v>1</v>
      </c>
      <c r="E14" s="9">
        <f t="shared" si="1"/>
        <v>4606.0600000000004</v>
      </c>
      <c r="F14" s="4">
        <f t="shared" si="2"/>
        <v>100</v>
      </c>
      <c r="G14" s="9">
        <f t="shared" si="3"/>
        <v>10324.679999999998</v>
      </c>
    </row>
    <row r="15" spans="1:7" x14ac:dyDescent="0.35">
      <c r="B15" s="4" t="s">
        <v>776</v>
      </c>
      <c r="C15" s="5">
        <v>7</v>
      </c>
      <c r="D15" s="4">
        <f t="shared" si="0"/>
        <v>2</v>
      </c>
      <c r="E15" s="9">
        <f t="shared" si="1"/>
        <v>9212.1200000000008</v>
      </c>
      <c r="F15" s="4">
        <f t="shared" si="2"/>
        <v>175</v>
      </c>
      <c r="G15" s="9">
        <f t="shared" si="3"/>
        <v>18068.189999999999</v>
      </c>
    </row>
    <row r="16" spans="1:7" x14ac:dyDescent="0.35">
      <c r="B16" s="4" t="s">
        <v>777</v>
      </c>
      <c r="C16" s="5">
        <v>7</v>
      </c>
      <c r="D16" s="4">
        <f t="shared" si="0"/>
        <v>2</v>
      </c>
      <c r="E16" s="9">
        <f t="shared" si="1"/>
        <v>9212.1200000000008</v>
      </c>
      <c r="F16" s="4">
        <f t="shared" si="2"/>
        <v>175</v>
      </c>
      <c r="G16" s="9">
        <f t="shared" si="3"/>
        <v>18068.189999999999</v>
      </c>
    </row>
    <row r="17" spans="2:7" x14ac:dyDescent="0.35">
      <c r="B17" s="29" t="s">
        <v>778</v>
      </c>
      <c r="C17" s="14">
        <f>SUM(C11:C16)</f>
        <v>45</v>
      </c>
      <c r="D17" s="14">
        <f>SUM(D11:D16)</f>
        <v>13</v>
      </c>
      <c r="E17" s="30">
        <f>SUM(E11:E16)</f>
        <v>59878.780000000006</v>
      </c>
      <c r="F17" s="14">
        <f>SUM(F11:F16)</f>
        <v>1125</v>
      </c>
      <c r="G17" s="30">
        <f>SUM(G11:G16)</f>
        <v>116152.65</v>
      </c>
    </row>
    <row r="19" spans="2:7" x14ac:dyDescent="0.35">
      <c r="B19" s="4" t="s">
        <v>779</v>
      </c>
      <c r="C19" s="4">
        <f>6*$C$6</f>
        <v>150</v>
      </c>
      <c r="E19" s="9">
        <f>C19*$C$5</f>
        <v>15487.019999999999</v>
      </c>
    </row>
    <row r="21" spans="2:7" x14ac:dyDescent="0.35">
      <c r="B21" s="2" t="s">
        <v>780</v>
      </c>
      <c r="E21" s="31">
        <f>E17+E19</f>
        <v>75365.8</v>
      </c>
    </row>
    <row r="22" spans="2:7" x14ac:dyDescent="0.35">
      <c r="B22" s="4" t="s">
        <v>781</v>
      </c>
      <c r="E22" s="9">
        <f>G17</f>
        <v>116152.65</v>
      </c>
    </row>
    <row r="23" spans="2:7" x14ac:dyDescent="0.35">
      <c r="B23" s="13" t="s">
        <v>782</v>
      </c>
      <c r="E23" s="9">
        <f>E22-E21</f>
        <v>40786.849999999991</v>
      </c>
    </row>
    <row r="25" spans="2:7" x14ac:dyDescent="0.35">
      <c r="B25" s="4" t="s">
        <v>783</v>
      </c>
      <c r="E25" s="9">
        <f>C17*$C$8*2*$C$7</f>
        <v>36000</v>
      </c>
    </row>
    <row r="27" spans="2:7" x14ac:dyDescent="0.35">
      <c r="B27" s="29" t="s">
        <v>784</v>
      </c>
      <c r="E27" s="30">
        <f>E21+E25</f>
        <v>111365.8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"/>
  <sheetViews>
    <sheetView workbookViewId="0"/>
  </sheetViews>
  <sheetFormatPr defaultRowHeight="14.5" x14ac:dyDescent="0.35"/>
  <cols>
    <col min="1" max="1" width="4" customWidth="1"/>
    <col min="2" max="2" width="66" customWidth="1"/>
    <col min="3" max="4" width="10" customWidth="1"/>
    <col min="5" max="5" width="13" customWidth="1"/>
    <col min="6" max="6" width="14" customWidth="1"/>
    <col min="7" max="7" width="60" customWidth="1"/>
  </cols>
  <sheetData>
    <row r="1" spans="1:7" ht="18" x14ac:dyDescent="0.4">
      <c r="B1" s="1" t="s">
        <v>785</v>
      </c>
    </row>
    <row r="2" spans="1:7" ht="60" x14ac:dyDescent="0.35">
      <c r="B2" s="3" t="s">
        <v>786</v>
      </c>
    </row>
    <row r="4" spans="1:7" x14ac:dyDescent="0.35">
      <c r="A4" s="17"/>
      <c r="B4" s="17" t="s">
        <v>450</v>
      </c>
      <c r="C4" s="17" t="s">
        <v>130</v>
      </c>
      <c r="D4" s="17" t="s">
        <v>111</v>
      </c>
      <c r="E4" s="17" t="s">
        <v>131</v>
      </c>
      <c r="F4" s="17" t="s">
        <v>132</v>
      </c>
      <c r="G4" s="17" t="s">
        <v>787</v>
      </c>
    </row>
    <row r="5" spans="1:7" x14ac:dyDescent="0.35">
      <c r="B5" s="23" t="s">
        <v>788</v>
      </c>
    </row>
    <row r="6" spans="1:7" ht="50" x14ac:dyDescent="0.35">
      <c r="B6" s="16" t="s">
        <v>789</v>
      </c>
      <c r="C6" s="33">
        <v>0</v>
      </c>
      <c r="D6" s="4" t="s">
        <v>352</v>
      </c>
      <c r="E6" s="28">
        <f>LabourRates_Master!$G$11</f>
        <v>1329.6342857142859</v>
      </c>
      <c r="F6" s="9">
        <f>C6*E6</f>
        <v>0</v>
      </c>
      <c r="G6" s="3" t="s">
        <v>790</v>
      </c>
    </row>
    <row r="7" spans="1:7" x14ac:dyDescent="0.35">
      <c r="B7" s="23" t="s">
        <v>791</v>
      </c>
    </row>
    <row r="8" spans="1:7" x14ac:dyDescent="0.35">
      <c r="B8" s="16" t="s">
        <v>792</v>
      </c>
      <c r="C8" s="33">
        <v>1</v>
      </c>
      <c r="D8" s="4" t="s">
        <v>267</v>
      </c>
      <c r="E8" s="8">
        <v>4500</v>
      </c>
      <c r="F8" s="9">
        <f t="shared" ref="F8:F15" si="0">C8*E8</f>
        <v>4500</v>
      </c>
      <c r="G8" s="3" t="s">
        <v>793</v>
      </c>
    </row>
    <row r="9" spans="1:7" x14ac:dyDescent="0.35">
      <c r="B9" s="16" t="s">
        <v>794</v>
      </c>
      <c r="C9" s="33">
        <v>6</v>
      </c>
      <c r="D9" s="4" t="s">
        <v>795</v>
      </c>
      <c r="E9" s="8">
        <v>150</v>
      </c>
      <c r="F9" s="9">
        <f t="shared" si="0"/>
        <v>900</v>
      </c>
      <c r="G9" s="3" t="s">
        <v>796</v>
      </c>
    </row>
    <row r="10" spans="1:7" x14ac:dyDescent="0.35">
      <c r="B10" s="16" t="s">
        <v>797</v>
      </c>
      <c r="C10" s="33">
        <v>6</v>
      </c>
      <c r="D10" s="4" t="s">
        <v>795</v>
      </c>
      <c r="E10" s="8">
        <v>1600</v>
      </c>
      <c r="F10" s="9">
        <f t="shared" si="0"/>
        <v>9600</v>
      </c>
      <c r="G10" s="3" t="s">
        <v>798</v>
      </c>
    </row>
    <row r="11" spans="1:7" x14ac:dyDescent="0.35">
      <c r="B11" s="16" t="s">
        <v>799</v>
      </c>
      <c r="C11" s="33">
        <v>6</v>
      </c>
      <c r="D11" s="4" t="s">
        <v>795</v>
      </c>
      <c r="E11" s="8">
        <v>400</v>
      </c>
      <c r="F11" s="9">
        <f t="shared" si="0"/>
        <v>2400</v>
      </c>
      <c r="G11" s="3" t="s">
        <v>800</v>
      </c>
    </row>
    <row r="12" spans="1:7" x14ac:dyDescent="0.35">
      <c r="B12" s="16" t="s">
        <v>801</v>
      </c>
      <c r="C12" s="33">
        <v>6</v>
      </c>
      <c r="D12" s="4" t="s">
        <v>795</v>
      </c>
      <c r="E12" s="8">
        <v>180</v>
      </c>
      <c r="F12" s="9">
        <f t="shared" si="0"/>
        <v>1080</v>
      </c>
      <c r="G12" s="3" t="s">
        <v>800</v>
      </c>
    </row>
    <row r="13" spans="1:7" x14ac:dyDescent="0.35">
      <c r="B13" s="16" t="s">
        <v>802</v>
      </c>
      <c r="C13" s="33">
        <v>6</v>
      </c>
      <c r="D13" s="4" t="s">
        <v>795</v>
      </c>
      <c r="E13" s="8">
        <v>400</v>
      </c>
      <c r="F13" s="9">
        <f t="shared" si="0"/>
        <v>2400</v>
      </c>
      <c r="G13" s="3" t="s">
        <v>800</v>
      </c>
    </row>
    <row r="14" spans="1:7" x14ac:dyDescent="0.35">
      <c r="B14" s="16" t="s">
        <v>803</v>
      </c>
      <c r="C14" s="33">
        <v>6</v>
      </c>
      <c r="D14" s="4" t="s">
        <v>795</v>
      </c>
      <c r="E14" s="8">
        <v>541</v>
      </c>
      <c r="F14" s="9">
        <f t="shared" si="0"/>
        <v>3246</v>
      </c>
      <c r="G14" s="3" t="s">
        <v>804</v>
      </c>
    </row>
    <row r="15" spans="1:7" x14ac:dyDescent="0.35">
      <c r="B15" s="16" t="s">
        <v>805</v>
      </c>
      <c r="C15" s="33">
        <v>6</v>
      </c>
      <c r="D15" s="4" t="s">
        <v>795</v>
      </c>
      <c r="E15" s="8">
        <v>600</v>
      </c>
      <c r="F15" s="9">
        <f t="shared" si="0"/>
        <v>3600</v>
      </c>
      <c r="G15" s="3" t="s">
        <v>806</v>
      </c>
    </row>
    <row r="16" spans="1:7" x14ac:dyDescent="0.35">
      <c r="B16" s="23" t="s">
        <v>807</v>
      </c>
    </row>
    <row r="17" spans="2:7" x14ac:dyDescent="0.35">
      <c r="B17" s="16" t="s">
        <v>808</v>
      </c>
      <c r="C17" s="33">
        <v>26</v>
      </c>
      <c r="D17" s="4" t="s">
        <v>809</v>
      </c>
      <c r="E17" s="8">
        <v>120</v>
      </c>
      <c r="F17" s="9">
        <f>C17*E17</f>
        <v>3120</v>
      </c>
      <c r="G17" s="3" t="s">
        <v>810</v>
      </c>
    </row>
    <row r="18" spans="2:7" x14ac:dyDescent="0.35">
      <c r="B18" s="16" t="s">
        <v>811</v>
      </c>
      <c r="C18" s="33">
        <v>26</v>
      </c>
      <c r="D18" s="4" t="s">
        <v>809</v>
      </c>
      <c r="E18" s="8">
        <v>130</v>
      </c>
      <c r="F18" s="9">
        <f>C18*E18</f>
        <v>3380</v>
      </c>
      <c r="G18" s="3" t="s">
        <v>812</v>
      </c>
    </row>
    <row r="19" spans="2:7" x14ac:dyDescent="0.35">
      <c r="B19" s="16" t="s">
        <v>813</v>
      </c>
      <c r="C19" s="33">
        <v>1</v>
      </c>
      <c r="D19" s="4" t="s">
        <v>267</v>
      </c>
      <c r="E19" s="8">
        <v>6000</v>
      </c>
      <c r="F19" s="9">
        <f>C19*E19</f>
        <v>6000</v>
      </c>
      <c r="G19" s="3" t="s">
        <v>814</v>
      </c>
    </row>
    <row r="20" spans="2:7" x14ac:dyDescent="0.35">
      <c r="B20" s="16" t="s">
        <v>815</v>
      </c>
      <c r="C20" s="33">
        <v>26</v>
      </c>
      <c r="D20" s="4" t="s">
        <v>809</v>
      </c>
      <c r="E20" s="8">
        <v>25</v>
      </c>
      <c r="F20" s="9">
        <f>C20*E20</f>
        <v>650</v>
      </c>
      <c r="G20" s="3" t="s">
        <v>816</v>
      </c>
    </row>
    <row r="21" spans="2:7" x14ac:dyDescent="0.35">
      <c r="B21" s="23" t="s">
        <v>817</v>
      </c>
    </row>
    <row r="22" spans="2:7" ht="20" x14ac:dyDescent="0.35">
      <c r="B22" s="16" t="s">
        <v>818</v>
      </c>
      <c r="C22" s="33">
        <v>2</v>
      </c>
      <c r="D22" s="4" t="s">
        <v>274</v>
      </c>
      <c r="E22" s="8">
        <v>800</v>
      </c>
      <c r="F22" s="9">
        <f>C22*E22</f>
        <v>1600</v>
      </c>
      <c r="G22" s="3" t="s">
        <v>819</v>
      </c>
    </row>
    <row r="23" spans="2:7" x14ac:dyDescent="0.35">
      <c r="B23" s="23" t="s">
        <v>820</v>
      </c>
    </row>
    <row r="24" spans="2:7" ht="25" x14ac:dyDescent="0.35">
      <c r="B24" s="16" t="s">
        <v>821</v>
      </c>
      <c r="C24" s="34">
        <f>ROUND(Stage1A_Drainage!C6+Stage1A_Drainage!C8+Stage1A_Drainage!C10+Stage1A_Drainage!C11+Stage1A_Drainage!C12+Stage1A_Drainage!C13+Stage1A_Drainage!C14+Stage1A_Drainage!C16+Stage1A_Drainage!C17+Stage1A_Drainage!C18+Stage1B_Drainage!C6,0)</f>
        <v>1667</v>
      </c>
      <c r="D24" s="4" t="s">
        <v>137</v>
      </c>
      <c r="E24" s="28">
        <f>Materials_Master!$H$82</f>
        <v>5.75</v>
      </c>
      <c r="F24" s="9">
        <f>C24*E24</f>
        <v>9585.25</v>
      </c>
      <c r="G24" s="3" t="s">
        <v>822</v>
      </c>
    </row>
    <row r="25" spans="2:7" x14ac:dyDescent="0.35">
      <c r="B25" s="16" t="s">
        <v>823</v>
      </c>
      <c r="C25" s="33">
        <v>1</v>
      </c>
      <c r="D25" s="4" t="s">
        <v>267</v>
      </c>
      <c r="E25" s="8">
        <v>4500</v>
      </c>
      <c r="F25" s="9">
        <f>C25*E25</f>
        <v>4500</v>
      </c>
      <c r="G25" s="3" t="s">
        <v>824</v>
      </c>
    </row>
    <row r="26" spans="2:7" x14ac:dyDescent="0.35">
      <c r="B26" s="16" t="s">
        <v>825</v>
      </c>
      <c r="C26" s="33">
        <v>1</v>
      </c>
      <c r="D26" s="4" t="s">
        <v>267</v>
      </c>
      <c r="E26" s="8">
        <v>3500</v>
      </c>
      <c r="F26" s="9">
        <f>C26*E26</f>
        <v>3500</v>
      </c>
      <c r="G26" s="3" t="s">
        <v>826</v>
      </c>
    </row>
    <row r="27" spans="2:7" x14ac:dyDescent="0.35">
      <c r="B27" s="16" t="s">
        <v>827</v>
      </c>
      <c r="C27" s="33">
        <v>1</v>
      </c>
      <c r="D27" s="4" t="s">
        <v>267</v>
      </c>
      <c r="E27" s="8">
        <v>2500</v>
      </c>
      <c r="F27" s="9">
        <f>C27*E27</f>
        <v>2500</v>
      </c>
      <c r="G27" s="3" t="s">
        <v>828</v>
      </c>
    </row>
    <row r="29" spans="2:7" x14ac:dyDescent="0.35">
      <c r="B29" s="29" t="s">
        <v>829</v>
      </c>
      <c r="F29" s="30">
        <f>SUM(F5:F27)</f>
        <v>62561.25</v>
      </c>
    </row>
    <row r="31" spans="2:7" x14ac:dyDescent="0.35">
      <c r="B31" s="14" t="s">
        <v>830</v>
      </c>
      <c r="F31" s="12">
        <f>0.055*(Stage1A_Drainage!$F$136+Stage1B_Drainage!$F$42)</f>
        <v>111747.0269275187</v>
      </c>
    </row>
    <row r="32" spans="2:7" x14ac:dyDescent="0.35">
      <c r="B32" s="2" t="s">
        <v>831</v>
      </c>
      <c r="F32" s="31">
        <f>F31-F29</f>
        <v>49185.776927518702</v>
      </c>
    </row>
    <row r="33" spans="2:6" x14ac:dyDescent="0.35">
      <c r="B33" s="14" t="s">
        <v>832</v>
      </c>
      <c r="F33" s="27">
        <f>F29/F31-1</f>
        <v>-0.44015289068425556</v>
      </c>
    </row>
    <row r="35" spans="2:6" x14ac:dyDescent="0.35">
      <c r="B35" s="23" t="s">
        <v>833</v>
      </c>
    </row>
    <row r="36" spans="2:6" x14ac:dyDescent="0.35">
      <c r="B36" s="4" t="s">
        <v>834</v>
      </c>
      <c r="F36" s="9">
        <f>0.18*(Stage1A_Drainage!$F$136+Stage1B_Drainage!$F$42)</f>
        <v>365717.5426718794</v>
      </c>
    </row>
    <row r="37" spans="2:6" x14ac:dyDescent="0.35">
      <c r="B37" s="4" t="s">
        <v>835</v>
      </c>
      <c r="C37" s="5">
        <v>6</v>
      </c>
      <c r="D37" s="4" t="s">
        <v>795</v>
      </c>
      <c r="E37" s="8">
        <v>20000</v>
      </c>
      <c r="F37" s="9">
        <f>C37*E37</f>
        <v>120000</v>
      </c>
    </row>
    <row r="38" spans="2:6" x14ac:dyDescent="0.35">
      <c r="B38" s="13" t="s">
        <v>836</v>
      </c>
      <c r="F38" s="9">
        <f>F36-F37</f>
        <v>245717.5426718794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2"/>
  <sheetViews>
    <sheetView workbookViewId="0"/>
  </sheetViews>
  <sheetFormatPr defaultRowHeight="14.5" x14ac:dyDescent="0.35"/>
  <cols>
    <col min="1" max="1" width="4" customWidth="1"/>
    <col min="2" max="2" width="62" customWidth="1"/>
    <col min="3" max="3" width="11" customWidth="1"/>
    <col min="4" max="4" width="10" customWidth="1"/>
    <col min="5" max="5" width="12" customWidth="1"/>
    <col min="6" max="6" width="14" customWidth="1"/>
    <col min="7" max="7" width="70" customWidth="1"/>
  </cols>
  <sheetData>
    <row r="1" spans="1:7" ht="18" x14ac:dyDescent="0.4">
      <c r="B1" s="1" t="s">
        <v>837</v>
      </c>
    </row>
    <row r="2" spans="1:7" ht="30" x14ac:dyDescent="0.35">
      <c r="B2" s="3" t="s">
        <v>838</v>
      </c>
    </row>
    <row r="4" spans="1:7" x14ac:dyDescent="0.35">
      <c r="A4" s="17"/>
      <c r="B4" s="17" t="s">
        <v>450</v>
      </c>
      <c r="C4" s="17" t="s">
        <v>130</v>
      </c>
      <c r="D4" s="17" t="s">
        <v>111</v>
      </c>
      <c r="E4" s="17" t="s">
        <v>131</v>
      </c>
      <c r="F4" s="17" t="s">
        <v>132</v>
      </c>
      <c r="G4" s="17" t="s">
        <v>114</v>
      </c>
    </row>
    <row r="5" spans="1:7" x14ac:dyDescent="0.35">
      <c r="B5" s="40" t="s">
        <v>839</v>
      </c>
    </row>
    <row r="6" spans="1:7" ht="26" x14ac:dyDescent="0.35">
      <c r="B6" s="41" t="s">
        <v>840</v>
      </c>
    </row>
    <row r="7" spans="1:7" ht="26" x14ac:dyDescent="0.35">
      <c r="B7" s="42" t="s">
        <v>841</v>
      </c>
    </row>
    <row r="8" spans="1:7" x14ac:dyDescent="0.35">
      <c r="B8" s="16" t="s">
        <v>842</v>
      </c>
      <c r="C8" s="18">
        <v>9</v>
      </c>
      <c r="D8" s="4" t="s">
        <v>141</v>
      </c>
      <c r="E8" s="28">
        <f>Materials_Master!$H$79</f>
        <v>850</v>
      </c>
      <c r="F8" s="9">
        <f>C8*E8</f>
        <v>7650</v>
      </c>
    </row>
    <row r="9" spans="1:7" x14ac:dyDescent="0.35">
      <c r="B9" s="16" t="s">
        <v>843</v>
      </c>
      <c r="C9" s="19">
        <f>55.67*0.18</f>
        <v>10.0206</v>
      </c>
      <c r="D9" s="4" t="s">
        <v>116</v>
      </c>
      <c r="E9" s="28">
        <f>Materials_Master!$H$81</f>
        <v>150</v>
      </c>
      <c r="F9" s="9">
        <f>C9*E9</f>
        <v>1503.09</v>
      </c>
    </row>
    <row r="10" spans="1:7" x14ac:dyDescent="0.35">
      <c r="B10" s="16" t="s">
        <v>664</v>
      </c>
      <c r="C10" s="18">
        <v>56</v>
      </c>
      <c r="D10" s="4" t="s">
        <v>665</v>
      </c>
      <c r="E10" s="28">
        <f>Materials_Master!$H$80</f>
        <v>7</v>
      </c>
      <c r="F10" s="9">
        <f>C10*E10</f>
        <v>392</v>
      </c>
    </row>
    <row r="11" spans="1:7" x14ac:dyDescent="0.35">
      <c r="B11" s="4" t="s">
        <v>844</v>
      </c>
      <c r="F11" s="9">
        <f>SUM(F8:F10)*Materials_Master!$D$8</f>
        <v>11263.206199999999</v>
      </c>
    </row>
    <row r="12" spans="1:7" x14ac:dyDescent="0.35">
      <c r="B12" s="4" t="s">
        <v>845</v>
      </c>
      <c r="C12" s="33">
        <v>9</v>
      </c>
      <c r="D12" s="4" t="s">
        <v>293</v>
      </c>
      <c r="E12" s="28">
        <f>LabourRates_Master!$G$15</f>
        <v>2862.42609924812</v>
      </c>
      <c r="F12" s="9">
        <f>C12*E12</f>
        <v>25761.834893233081</v>
      </c>
    </row>
    <row r="13" spans="1:7" x14ac:dyDescent="0.35">
      <c r="B13" s="4" t="s">
        <v>846</v>
      </c>
      <c r="C13" s="33">
        <v>9</v>
      </c>
      <c r="D13" s="4" t="s">
        <v>352</v>
      </c>
      <c r="E13" s="28">
        <f>Equip_Master!$D$8</f>
        <v>238.67</v>
      </c>
      <c r="F13" s="9">
        <f>C13*E13</f>
        <v>2148.0299999999997</v>
      </c>
    </row>
    <row r="14" spans="1:7" ht="20" x14ac:dyDescent="0.35">
      <c r="B14" s="2" t="s">
        <v>847</v>
      </c>
      <c r="F14" s="31">
        <f>(F11+F12+F13)*(1+'TCS $ Sched'!$C$8+'TCS $ Sched'!$C$9+'TCS $ Sched'!$C$10)</f>
        <v>55429.895596924798</v>
      </c>
      <c r="G14" s="3" t="s">
        <v>848</v>
      </c>
    </row>
    <row r="16" spans="1:7" x14ac:dyDescent="0.35">
      <c r="B16" s="40" t="s">
        <v>849</v>
      </c>
    </row>
    <row r="17" spans="2:7" ht="52" x14ac:dyDescent="0.35">
      <c r="B17" s="41" t="s">
        <v>850</v>
      </c>
    </row>
    <row r="18" spans="2:7" ht="25" x14ac:dyDescent="0.35">
      <c r="B18" s="16" t="s">
        <v>851</v>
      </c>
      <c r="C18" s="19">
        <f>ROUND(50*1.65*0.125,1)</f>
        <v>10.3</v>
      </c>
      <c r="D18" s="4" t="s">
        <v>116</v>
      </c>
      <c r="E18" s="28">
        <f>Materials_Master!$H$75</f>
        <v>400</v>
      </c>
      <c r="F18" s="9">
        <f>C18*E18</f>
        <v>4120</v>
      </c>
    </row>
    <row r="19" spans="2:7" x14ac:dyDescent="0.35">
      <c r="B19" s="16" t="s">
        <v>852</v>
      </c>
      <c r="C19" s="18">
        <v>12</v>
      </c>
      <c r="D19" s="4" t="s">
        <v>651</v>
      </c>
      <c r="E19" s="28">
        <f>Materials_Master!$H$76</f>
        <v>85</v>
      </c>
      <c r="F19" s="9">
        <f>C19*E19</f>
        <v>1020</v>
      </c>
    </row>
    <row r="20" spans="2:7" x14ac:dyDescent="0.35">
      <c r="B20" s="16" t="s">
        <v>853</v>
      </c>
      <c r="C20" s="18">
        <v>13</v>
      </c>
      <c r="D20" s="4" t="s">
        <v>261</v>
      </c>
      <c r="E20" s="28">
        <f>Materials_Master!$H$77</f>
        <v>48</v>
      </c>
      <c r="F20" s="9">
        <f>C20*E20</f>
        <v>624</v>
      </c>
    </row>
    <row r="21" spans="2:7" x14ac:dyDescent="0.35">
      <c r="B21" s="4" t="s">
        <v>844</v>
      </c>
      <c r="F21" s="9">
        <f>SUM(F18:F20)*Materials_Master!$D$8</f>
        <v>6801.5199999999995</v>
      </c>
    </row>
    <row r="22" spans="2:7" x14ac:dyDescent="0.35">
      <c r="B22" s="4" t="s">
        <v>854</v>
      </c>
      <c r="C22" s="33">
        <v>10</v>
      </c>
      <c r="D22" s="4" t="s">
        <v>293</v>
      </c>
      <c r="E22" s="28">
        <f>LabourRates_Master!$G$15</f>
        <v>2862.42609924812</v>
      </c>
      <c r="F22" s="9">
        <f>C22*E22</f>
        <v>28624.260992481199</v>
      </c>
    </row>
    <row r="23" spans="2:7" x14ac:dyDescent="0.35">
      <c r="B23" s="4" t="s">
        <v>855</v>
      </c>
      <c r="C23" s="33">
        <v>5</v>
      </c>
      <c r="D23" s="4" t="s">
        <v>352</v>
      </c>
      <c r="E23" s="28">
        <f>Equip_Master!$D$8+100</f>
        <v>338.66999999999996</v>
      </c>
      <c r="F23" s="9">
        <f>C23*E23</f>
        <v>1693.35</v>
      </c>
    </row>
    <row r="24" spans="2:7" ht="20" x14ac:dyDescent="0.35">
      <c r="B24" s="2" t="s">
        <v>856</v>
      </c>
      <c r="F24" s="31">
        <f>(F21+F22+F23)*(1+'TCS $ Sched'!$C$8+'TCS $ Sched'!$C$9+'TCS $ Sched'!$C$10)</f>
        <v>52523.570354360883</v>
      </c>
      <c r="G24" s="3" t="s">
        <v>857</v>
      </c>
    </row>
    <row r="26" spans="2:7" x14ac:dyDescent="0.35">
      <c r="B26" s="23" t="s">
        <v>858</v>
      </c>
    </row>
    <row r="27" spans="2:7" ht="50" x14ac:dyDescent="0.35">
      <c r="B27" s="16" t="s">
        <v>859</v>
      </c>
      <c r="F27" s="14" t="s">
        <v>860</v>
      </c>
    </row>
    <row r="28" spans="2:7" ht="50" x14ac:dyDescent="0.35">
      <c r="B28" s="16" t="s">
        <v>861</v>
      </c>
      <c r="F28" s="14" t="s">
        <v>862</v>
      </c>
    </row>
    <row r="29" spans="2:7" ht="25" x14ac:dyDescent="0.35">
      <c r="B29" s="16" t="s">
        <v>863</v>
      </c>
      <c r="F29" s="14" t="s">
        <v>864</v>
      </c>
    </row>
    <row r="30" spans="2:7" ht="25" x14ac:dyDescent="0.35">
      <c r="B30" s="16" t="s">
        <v>865</v>
      </c>
      <c r="F30" s="14" t="s">
        <v>864</v>
      </c>
    </row>
    <row r="31" spans="2:7" ht="25" x14ac:dyDescent="0.35">
      <c r="B31" s="16" t="s">
        <v>866</v>
      </c>
      <c r="F31" s="14" t="s">
        <v>864</v>
      </c>
    </row>
    <row r="32" spans="2:7" ht="37.5" x14ac:dyDescent="0.35">
      <c r="B32" s="16" t="s">
        <v>867</v>
      </c>
      <c r="F32" s="14" t="s">
        <v>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7"/>
  <sheetViews>
    <sheetView workbookViewId="0"/>
  </sheetViews>
  <sheetFormatPr defaultRowHeight="14.5" x14ac:dyDescent="0.35"/>
  <cols>
    <col min="1" max="3" width="10" customWidth="1"/>
    <col min="4" max="4" width="64" customWidth="1"/>
    <col min="5" max="5" width="10" customWidth="1"/>
    <col min="6" max="6" width="12" customWidth="1"/>
    <col min="7" max="7" width="16" customWidth="1"/>
    <col min="8" max="8" width="60" customWidth="1"/>
  </cols>
  <sheetData>
    <row r="1" spans="1:8" ht="18" x14ac:dyDescent="0.4">
      <c r="B1" s="1" t="s">
        <v>869</v>
      </c>
    </row>
    <row r="2" spans="1:8" ht="160" x14ac:dyDescent="0.35">
      <c r="B2" s="3" t="s">
        <v>870</v>
      </c>
    </row>
    <row r="4" spans="1:8" ht="20" x14ac:dyDescent="0.35">
      <c r="A4" s="13" t="s">
        <v>871</v>
      </c>
      <c r="B4" s="13" t="s">
        <v>872</v>
      </c>
      <c r="C4" s="14" t="s">
        <v>873</v>
      </c>
      <c r="D4" s="43" t="s">
        <v>874</v>
      </c>
      <c r="F4" s="4"/>
      <c r="H4" s="3" t="s">
        <v>875</v>
      </c>
    </row>
    <row r="5" spans="1:8" x14ac:dyDescent="0.35">
      <c r="A5" s="13" t="s">
        <v>871</v>
      </c>
      <c r="B5" s="13" t="s">
        <v>876</v>
      </c>
      <c r="C5" s="14" t="s">
        <v>877</v>
      </c>
      <c r="D5" s="43" t="s">
        <v>878</v>
      </c>
      <c r="F5" s="4"/>
      <c r="H5" s="3"/>
    </row>
    <row r="6" spans="1:8" ht="30" x14ac:dyDescent="0.35">
      <c r="A6" s="13" t="s">
        <v>871</v>
      </c>
      <c r="B6" s="13" t="s">
        <v>879</v>
      </c>
      <c r="C6" s="4" t="s">
        <v>880</v>
      </c>
      <c r="D6" s="16" t="s">
        <v>881</v>
      </c>
      <c r="F6" s="4"/>
      <c r="H6" s="3" t="s">
        <v>882</v>
      </c>
    </row>
    <row r="7" spans="1:8" x14ac:dyDescent="0.35">
      <c r="A7" s="13" t="s">
        <v>871</v>
      </c>
      <c r="B7" s="13" t="s">
        <v>883</v>
      </c>
      <c r="C7" s="14" t="s">
        <v>884</v>
      </c>
      <c r="D7" s="43" t="s">
        <v>885</v>
      </c>
      <c r="F7" s="4"/>
      <c r="H7" s="3"/>
    </row>
    <row r="8" spans="1:8" ht="20" x14ac:dyDescent="0.35">
      <c r="A8" s="13" t="s">
        <v>871</v>
      </c>
      <c r="B8" s="13" t="s">
        <v>886</v>
      </c>
      <c r="C8" s="4"/>
      <c r="D8" s="16" t="s">
        <v>887</v>
      </c>
      <c r="E8" s="4" t="s">
        <v>450</v>
      </c>
      <c r="F8" s="4">
        <v>1</v>
      </c>
      <c r="G8" s="12">
        <f>'TCS $ Sched'!D24-F67</f>
        <v>2204088.4793844856</v>
      </c>
      <c r="H8" s="3" t="s">
        <v>888</v>
      </c>
    </row>
    <row r="9" spans="1:8" ht="30" x14ac:dyDescent="0.35">
      <c r="A9" s="13" t="s">
        <v>871</v>
      </c>
      <c r="B9" s="13" t="s">
        <v>889</v>
      </c>
      <c r="C9" s="4"/>
      <c r="D9" s="16" t="s">
        <v>890</v>
      </c>
      <c r="F9" s="4"/>
      <c r="H9" s="3" t="s">
        <v>891</v>
      </c>
    </row>
    <row r="10" spans="1:8" ht="30" x14ac:dyDescent="0.35">
      <c r="A10" s="13" t="s">
        <v>871</v>
      </c>
      <c r="B10" s="13" t="s">
        <v>892</v>
      </c>
      <c r="C10" s="4"/>
      <c r="D10" s="16" t="s">
        <v>893</v>
      </c>
      <c r="E10" s="4" t="s">
        <v>450</v>
      </c>
      <c r="F10" s="4">
        <v>1</v>
      </c>
      <c r="G10" s="12">
        <f>'TCS $ Sched'!D31</f>
        <v>111787.73950000001</v>
      </c>
      <c r="H10" s="3" t="s">
        <v>894</v>
      </c>
    </row>
    <row r="11" spans="1:8" x14ac:dyDescent="0.35">
      <c r="A11" s="13" t="s">
        <v>871</v>
      </c>
      <c r="B11" s="13" t="s">
        <v>895</v>
      </c>
      <c r="C11" s="14" t="s">
        <v>896</v>
      </c>
      <c r="D11" s="43" t="s">
        <v>897</v>
      </c>
      <c r="F11" s="4"/>
      <c r="H11" s="3"/>
    </row>
    <row r="12" spans="1:8" ht="30" x14ac:dyDescent="0.35">
      <c r="A12" s="13" t="s">
        <v>871</v>
      </c>
      <c r="B12" s="13" t="s">
        <v>898</v>
      </c>
      <c r="C12" s="4" t="s">
        <v>899</v>
      </c>
      <c r="D12" s="16" t="s">
        <v>900</v>
      </c>
      <c r="E12" s="4" t="s">
        <v>450</v>
      </c>
      <c r="F12" s="4">
        <v>1</v>
      </c>
      <c r="G12" s="12">
        <f>F67</f>
        <v>557726.49627571332</v>
      </c>
      <c r="H12" s="3" t="s">
        <v>901</v>
      </c>
    </row>
    <row r="13" spans="1:8" x14ac:dyDescent="0.35">
      <c r="A13" s="13" t="s">
        <v>871</v>
      </c>
      <c r="B13" s="13" t="s">
        <v>902</v>
      </c>
      <c r="C13" s="14"/>
      <c r="D13" s="44" t="s">
        <v>903</v>
      </c>
      <c r="F13" s="4"/>
      <c r="G13" s="12">
        <f>'TCS $ Sched'!D24+'TCS $ Sched'!D31</f>
        <v>2873602.715160199</v>
      </c>
      <c r="H13" s="3" t="s">
        <v>904</v>
      </c>
    </row>
    <row r="14" spans="1:8" x14ac:dyDescent="0.35">
      <c r="A14" s="13" t="s">
        <v>871</v>
      </c>
      <c r="B14" s="13" t="s">
        <v>905</v>
      </c>
      <c r="C14" s="14" t="s">
        <v>906</v>
      </c>
      <c r="D14" s="43" t="s">
        <v>907</v>
      </c>
      <c r="F14" s="4"/>
      <c r="H14" s="3"/>
    </row>
    <row r="15" spans="1:8" ht="25" x14ac:dyDescent="0.35">
      <c r="A15" s="13" t="s">
        <v>871</v>
      </c>
      <c r="B15" s="13" t="s">
        <v>908</v>
      </c>
      <c r="C15" s="4"/>
      <c r="D15" s="16" t="s">
        <v>909</v>
      </c>
      <c r="E15" s="4" t="s">
        <v>116</v>
      </c>
      <c r="G15" s="12">
        <f>'TCS $ Sched'!F51</f>
        <v>239.11491402180448</v>
      </c>
      <c r="H15" s="3" t="s">
        <v>910</v>
      </c>
    </row>
    <row r="16" spans="1:8" x14ac:dyDescent="0.35">
      <c r="A16" s="13" t="s">
        <v>871</v>
      </c>
      <c r="B16" s="13" t="s">
        <v>908</v>
      </c>
      <c r="C16" s="4"/>
      <c r="D16" s="16" t="s">
        <v>911</v>
      </c>
      <c r="E16" s="4" t="s">
        <v>116</v>
      </c>
      <c r="G16" s="12">
        <f>'TCS $ Sched'!F52</f>
        <v>478.22982804360896</v>
      </c>
      <c r="H16" s="3"/>
    </row>
    <row r="17" spans="1:8" x14ac:dyDescent="0.35">
      <c r="A17" s="13" t="s">
        <v>871</v>
      </c>
      <c r="B17" s="13" t="s">
        <v>908</v>
      </c>
      <c r="C17" s="4"/>
      <c r="D17" s="16" t="s">
        <v>912</v>
      </c>
      <c r="E17" s="4" t="s">
        <v>116</v>
      </c>
      <c r="G17" s="12">
        <f>'TCS $ Sched'!F53</f>
        <v>318.81988536240596</v>
      </c>
      <c r="H17" s="3"/>
    </row>
    <row r="18" spans="1:8" x14ac:dyDescent="0.35">
      <c r="A18" s="13" t="s">
        <v>871</v>
      </c>
      <c r="B18" s="13" t="s">
        <v>908</v>
      </c>
      <c r="C18" s="4"/>
      <c r="D18" s="16" t="s">
        <v>913</v>
      </c>
      <c r="E18" s="4" t="s">
        <v>116</v>
      </c>
      <c r="G18" s="12">
        <f>'TCS $ Sched'!F54</f>
        <v>597.78728505451113</v>
      </c>
      <c r="H18" s="3"/>
    </row>
    <row r="19" spans="1:8" x14ac:dyDescent="0.35">
      <c r="A19" s="13" t="s">
        <v>871</v>
      </c>
      <c r="B19" s="13" t="s">
        <v>914</v>
      </c>
      <c r="C19" s="4"/>
      <c r="D19" s="16" t="s">
        <v>915</v>
      </c>
      <c r="E19" s="4" t="s">
        <v>116</v>
      </c>
      <c r="G19" s="12">
        <f>'TCS $ Sched'!F55</f>
        <v>390.38510934786962</v>
      </c>
      <c r="H19" s="3" t="s">
        <v>916</v>
      </c>
    </row>
    <row r="21" spans="1:8" x14ac:dyDescent="0.35">
      <c r="A21" s="13" t="s">
        <v>917</v>
      </c>
      <c r="B21" s="13" t="s">
        <v>876</v>
      </c>
      <c r="C21" s="14" t="s">
        <v>877</v>
      </c>
      <c r="D21" s="43" t="s">
        <v>878</v>
      </c>
      <c r="F21" s="4"/>
      <c r="H21" s="3"/>
    </row>
    <row r="22" spans="1:8" x14ac:dyDescent="0.35">
      <c r="A22" s="13" t="s">
        <v>917</v>
      </c>
      <c r="B22" s="13" t="s">
        <v>918</v>
      </c>
      <c r="C22" s="14" t="s">
        <v>880</v>
      </c>
      <c r="D22" s="43" t="s">
        <v>885</v>
      </c>
      <c r="F22" s="4"/>
      <c r="H22" s="3"/>
    </row>
    <row r="23" spans="1:8" x14ac:dyDescent="0.35">
      <c r="A23" s="13" t="s">
        <v>917</v>
      </c>
      <c r="B23" s="13" t="s">
        <v>919</v>
      </c>
      <c r="C23" s="4"/>
      <c r="D23" s="16" t="s">
        <v>887</v>
      </c>
      <c r="E23" s="4" t="s">
        <v>450</v>
      </c>
      <c r="F23" s="4">
        <v>1</v>
      </c>
      <c r="G23" s="12">
        <f>'TCS $ Sched'!D44</f>
        <v>113131.26256596416</v>
      </c>
      <c r="H23" s="3" t="s">
        <v>920</v>
      </c>
    </row>
    <row r="24" spans="1:8" ht="20" x14ac:dyDescent="0.35">
      <c r="A24" s="13" t="s">
        <v>917</v>
      </c>
      <c r="B24" s="13" t="s">
        <v>921</v>
      </c>
      <c r="C24" s="4"/>
      <c r="D24" s="16" t="s">
        <v>890</v>
      </c>
      <c r="F24" s="4"/>
      <c r="H24" s="3" t="s">
        <v>922</v>
      </c>
    </row>
    <row r="25" spans="1:8" x14ac:dyDescent="0.35">
      <c r="A25" s="13" t="s">
        <v>917</v>
      </c>
      <c r="B25" s="13" t="s">
        <v>923</v>
      </c>
      <c r="C25" s="14"/>
      <c r="D25" s="44" t="s">
        <v>903</v>
      </c>
      <c r="F25" s="4"/>
      <c r="G25" s="12">
        <f>'TCS $ Sched'!D44</f>
        <v>113131.26256596416</v>
      </c>
      <c r="H25" s="3"/>
    </row>
    <row r="26" spans="1:8" x14ac:dyDescent="0.35">
      <c r="A26" s="13" t="s">
        <v>917</v>
      </c>
      <c r="B26" s="13" t="s">
        <v>924</v>
      </c>
      <c r="C26" s="14" t="s">
        <v>925</v>
      </c>
      <c r="D26" s="43" t="s">
        <v>907</v>
      </c>
      <c r="F26" s="4"/>
      <c r="H26" s="3"/>
    </row>
    <row r="27" spans="1:8" x14ac:dyDescent="0.35">
      <c r="A27" s="13" t="s">
        <v>917</v>
      </c>
      <c r="B27" s="13" t="s">
        <v>926</v>
      </c>
      <c r="C27" s="4"/>
      <c r="D27" s="16" t="s">
        <v>927</v>
      </c>
      <c r="E27" s="4" t="s">
        <v>116</v>
      </c>
      <c r="G27" s="12">
        <f>'TCS $ Sched'!F51</f>
        <v>239.11491402180448</v>
      </c>
      <c r="H27" s="3" t="s">
        <v>928</v>
      </c>
    </row>
    <row r="28" spans="1:8" x14ac:dyDescent="0.35">
      <c r="A28" s="13" t="s">
        <v>917</v>
      </c>
      <c r="B28" s="13" t="s">
        <v>926</v>
      </c>
      <c r="C28" s="4"/>
      <c r="D28" s="16" t="s">
        <v>911</v>
      </c>
      <c r="E28" s="4" t="s">
        <v>116</v>
      </c>
      <c r="G28" s="12">
        <f>'TCS $ Sched'!F52</f>
        <v>478.22982804360896</v>
      </c>
      <c r="H28" s="3"/>
    </row>
    <row r="29" spans="1:8" x14ac:dyDescent="0.35">
      <c r="A29" s="13" t="s">
        <v>917</v>
      </c>
      <c r="B29" s="13" t="s">
        <v>926</v>
      </c>
      <c r="C29" s="4"/>
      <c r="D29" s="16" t="s">
        <v>912</v>
      </c>
      <c r="E29" s="4" t="s">
        <v>116</v>
      </c>
      <c r="G29" s="12">
        <f>'TCS $ Sched'!F53</f>
        <v>318.81988536240596</v>
      </c>
      <c r="H29" s="3"/>
    </row>
    <row r="30" spans="1:8" x14ac:dyDescent="0.35">
      <c r="A30" s="13" t="s">
        <v>917</v>
      </c>
      <c r="B30" s="13" t="s">
        <v>926</v>
      </c>
      <c r="C30" s="4"/>
      <c r="D30" s="16" t="s">
        <v>913</v>
      </c>
      <c r="E30" s="4" t="s">
        <v>116</v>
      </c>
      <c r="G30" s="12">
        <f>'TCS $ Sched'!F54</f>
        <v>597.78728505451113</v>
      </c>
      <c r="H30" s="3"/>
    </row>
    <row r="31" spans="1:8" x14ac:dyDescent="0.35">
      <c r="A31" s="13" t="s">
        <v>917</v>
      </c>
      <c r="B31" s="13" t="s">
        <v>929</v>
      </c>
      <c r="C31" s="4"/>
      <c r="D31" s="16" t="s">
        <v>915</v>
      </c>
      <c r="E31" s="4" t="s">
        <v>116</v>
      </c>
      <c r="G31" s="12">
        <f>'TCS $ Sched'!F55</f>
        <v>390.38510934786962</v>
      </c>
      <c r="H31" s="3"/>
    </row>
    <row r="60" spans="2:6" x14ac:dyDescent="0.35">
      <c r="B60" s="23" t="s">
        <v>930</v>
      </c>
    </row>
    <row r="61" spans="2:6" x14ac:dyDescent="0.35">
      <c r="D61" s="4" t="s">
        <v>931</v>
      </c>
      <c r="F61" s="28">
        <f>(Stage1A_Drainage!F54+Stage1A_Drainage!F55+Stage1A_Drainage!F56+Stage1A_Drainage!F57+Stage1A_Drainage!F58)*Materials_Master!$D$8</f>
        <v>238277.26817039997</v>
      </c>
    </row>
    <row r="62" spans="2:6" x14ac:dyDescent="0.35">
      <c r="D62" s="4" t="s">
        <v>932</v>
      </c>
      <c r="F62" s="28">
        <f>Stage1A_Drainage!F101+Stage1A_Drainage!F102</f>
        <v>103047.33957293231</v>
      </c>
    </row>
    <row r="63" spans="2:6" x14ac:dyDescent="0.35">
      <c r="D63" s="4" t="s">
        <v>933</v>
      </c>
      <c r="F63" s="9">
        <f>36*Equip_Master!$D$8+5*Equip_Master!$D$19</f>
        <v>9092.119999999999</v>
      </c>
    </row>
    <row r="64" spans="2:6" x14ac:dyDescent="0.35">
      <c r="D64" s="4" t="s">
        <v>934</v>
      </c>
      <c r="F64" s="9">
        <f>Accommodation!$E$27*36/(Stage1A_Drainage!C103+Stage1B_Drainage!C23)</f>
        <v>17978.335426008969</v>
      </c>
    </row>
    <row r="65" spans="4:6" x14ac:dyDescent="0.35">
      <c r="D65" s="4" t="s">
        <v>935</v>
      </c>
      <c r="F65" s="9">
        <f>(Stage1A_Drainage!F104+Stage1B_Drainage!F24)*36/(Stage1A_Drainage!C103+Stage1B_Drainage!C23)</f>
        <v>25757.937732222934</v>
      </c>
    </row>
    <row r="66" spans="4:6" x14ac:dyDescent="0.35">
      <c r="D66" s="14" t="s">
        <v>936</v>
      </c>
      <c r="F66" s="12">
        <f>SUM(F61:F65)</f>
        <v>394153.0009015642</v>
      </c>
    </row>
    <row r="67" spans="4:6" x14ac:dyDescent="0.35">
      <c r="D67" s="29" t="s">
        <v>937</v>
      </c>
      <c r="F67" s="30">
        <f>F66*(1+'TCS $ Sched'!$C$8+'TCS $ Sched'!$C$9+'TCS $ Sched'!$C$10)</f>
        <v>557726.49627571332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Cover_Control</vt:lpstr>
      <vt:lpstr>TCS $ Sched</vt:lpstr>
      <vt:lpstr>Stage1A_Drainage</vt:lpstr>
      <vt:lpstr>Stage1B_Drainage</vt:lpstr>
      <vt:lpstr>LabourRates_Master</vt:lpstr>
      <vt:lpstr>Materials_Master</vt:lpstr>
      <vt:lpstr>Equip_Master</vt:lpstr>
      <vt:lpstr>Accommodation</vt:lpstr>
      <vt:lpstr>Prelim_OH</vt:lpstr>
      <vt:lpstr>EBC</vt:lpstr>
      <vt:lpstr>Sched3_Extract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Mitch - TPS</cp:lastModifiedBy>
  <dcterms:created xsi:type="dcterms:W3CDTF">2026-07-26T18:46:14Z</dcterms:created>
  <dcterms:modified xsi:type="dcterms:W3CDTF">2026-07-26T18:46:38Z</dcterms:modified>
</cp:coreProperties>
</file>