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icoreplumbing-my.sharepoint.com/personal/mitch_tricoreplumbing_com_au/Documents/Documents/GitHub/ROK Sports Precinct - Stage 1/Working_Cost_Models/TPS/"/>
    </mc:Choice>
  </mc:AlternateContent>
  <xr:revisionPtr revIDLastSave="8" documentId="11_479A3B2E7308A1E21ED34FF2498246D4E6A5FA58" xr6:coauthVersionLast="47" xr6:coauthVersionMax="47" xr10:uidLastSave="{E578CBCE-173B-46E9-9A02-1ABF35C32906}"/>
  <bookViews>
    <workbookView xWindow="-108" yWindow="-108" windowWidth="30936" windowHeight="12576" activeTab="3" xr2:uid="{00000000-000D-0000-FFFF-FFFF00000000}"/>
  </bookViews>
  <sheets>
    <sheet name="TCS $ Sched" sheetId="1" r:id="rId1"/>
    <sheet name="00_ TCS Prelim &amp; OH" sheetId="2" r:id="rId2"/>
    <sheet name="ClubHouse (NBC )" sheetId="3" r:id="rId3"/>
    <sheet name="Public Amenities (PAM)" sheetId="4" r:id="rId4"/>
    <sheet name="Siteworks " sheetId="5" r:id="rId5"/>
    <sheet name="LabourProject Rates_Master" sheetId="6" r:id="rId6"/>
    <sheet name="Material Rates_Master" sheetId="7" r:id="rId7"/>
    <sheet name="Equip&amp;HIRE_Master" sheetId="8" r:id="rId8"/>
    <sheet name="Misc Subbie Rates_Master" sheetId="9" r:id="rId9"/>
    <sheet name="Accomodation_Master" sheetId="10" r:id="rId10"/>
    <sheet name="EBC_Alternates" sheetId="11" r:id="rId11"/>
    <sheet name="Sched3_Extract" sheetId="12" r:id="rId12"/>
  </sheets>
  <definedNames>
    <definedName name="aa" localSheetId="1">#REF!</definedName>
    <definedName name="aa" localSheetId="9">#REF!</definedName>
    <definedName name="aa" localSheetId="2">#REF!</definedName>
    <definedName name="aa" localSheetId="5">#REF!</definedName>
    <definedName name="aa" localSheetId="6">#REF!</definedName>
    <definedName name="aa" localSheetId="8">#REF!</definedName>
    <definedName name="aa" localSheetId="3">#REF!</definedName>
    <definedName name="aa" localSheetId="4">#REF!</definedName>
    <definedName name="aa" localSheetId="0">#REF!</definedName>
    <definedName name="Civil4" localSheetId="1">#REF!</definedName>
    <definedName name="Civil4" localSheetId="9">#REF!</definedName>
    <definedName name="Civil4" localSheetId="2">#REF!</definedName>
    <definedName name="Civil4" localSheetId="5">#REF!</definedName>
    <definedName name="Civil4" localSheetId="6">#REF!</definedName>
    <definedName name="Civil4" localSheetId="8">#REF!</definedName>
    <definedName name="Civil4" localSheetId="3">#REF!</definedName>
    <definedName name="Civil4" localSheetId="4">#REF!</definedName>
    <definedName name="Civil4" localSheetId="0">#REF!</definedName>
    <definedName name="d" localSheetId="1">#REF!</definedName>
    <definedName name="d" localSheetId="9">#REF!</definedName>
    <definedName name="d" localSheetId="2">#REF!</definedName>
    <definedName name="d" localSheetId="5">#REF!</definedName>
    <definedName name="d" localSheetId="6">#REF!</definedName>
    <definedName name="d" localSheetId="8">#REF!</definedName>
    <definedName name="d" localSheetId="3">#REF!</definedName>
    <definedName name="d" localSheetId="4">#REF!</definedName>
    <definedName name="d" localSheetId="0">#REF!</definedName>
    <definedName name="date" localSheetId="1">#REF!</definedName>
    <definedName name="date" localSheetId="9">#REF!</definedName>
    <definedName name="date" localSheetId="2">#REF!</definedName>
    <definedName name="date" localSheetId="5">#REF!</definedName>
    <definedName name="date" localSheetId="6">#REF!</definedName>
    <definedName name="date" localSheetId="8">#REF!</definedName>
    <definedName name="date" localSheetId="3">#REF!</definedName>
    <definedName name="date" localSheetId="4">#REF!</definedName>
    <definedName name="date" localSheetId="0">#REF!</definedName>
    <definedName name="daz" localSheetId="1">#REF!</definedName>
    <definedName name="daz" localSheetId="9">#REF!</definedName>
    <definedName name="daz" localSheetId="2">#REF!</definedName>
    <definedName name="daz" localSheetId="5">#REF!</definedName>
    <definedName name="daz" localSheetId="8">#REF!</definedName>
    <definedName name="daz" localSheetId="3">#REF!</definedName>
    <definedName name="daz" localSheetId="4">#REF!</definedName>
    <definedName name="daz" localSheetId="0">#REF!</definedName>
    <definedName name="ddd" localSheetId="1">#REF!</definedName>
    <definedName name="ddd" localSheetId="9">#REF!</definedName>
    <definedName name="ddd" localSheetId="2">#REF!</definedName>
    <definedName name="ddd" localSheetId="5">#REF!</definedName>
    <definedName name="ddd" localSheetId="8">#REF!</definedName>
    <definedName name="ddd" localSheetId="3">#REF!</definedName>
    <definedName name="ddd" localSheetId="4">#REF!</definedName>
    <definedName name="ddd" localSheetId="0">#REF!</definedName>
    <definedName name="for" localSheetId="1">#REF!</definedName>
    <definedName name="for" localSheetId="9">#REF!</definedName>
    <definedName name="for" localSheetId="2">#REF!</definedName>
    <definedName name="for" localSheetId="5">#REF!</definedName>
    <definedName name="for" localSheetId="8">#REF!</definedName>
    <definedName name="for" localSheetId="3">#REF!</definedName>
    <definedName name="for" localSheetId="4">#REF!</definedName>
    <definedName name="for" localSheetId="0">#REF!</definedName>
    <definedName name="job" localSheetId="1">#REF!</definedName>
    <definedName name="job" localSheetId="9">#REF!</definedName>
    <definedName name="job" localSheetId="2">#REF!</definedName>
    <definedName name="job" localSheetId="5">#REF!</definedName>
    <definedName name="job" localSheetId="8">#REF!</definedName>
    <definedName name="job" localSheetId="3">#REF!</definedName>
    <definedName name="job" localSheetId="4">#REF!</definedName>
    <definedName name="job" localSheetId="0">#REF!</definedName>
    <definedName name="No" localSheetId="1">#REF!</definedName>
    <definedName name="No" localSheetId="9">#REF!</definedName>
    <definedName name="No" localSheetId="2">#REF!</definedName>
    <definedName name="No" localSheetId="5">#REF!</definedName>
    <definedName name="No" localSheetId="8">#REF!</definedName>
    <definedName name="No" localSheetId="3">#REF!</definedName>
    <definedName name="No" localSheetId="4">#REF!</definedName>
    <definedName name="No" localSheetId="0">#REF!</definedName>
    <definedName name="_xlnm.Print_Area" localSheetId="6">'Material Rates_Master'!$A$1:$B$241</definedName>
    <definedName name="_xlnm.Print_Area" localSheetId="0">'TCS $ Sched'!$B$1:$N$79</definedName>
    <definedName name="qqq" localSheetId="1">#REF!</definedName>
    <definedName name="qqq" localSheetId="9">#REF!</definedName>
    <definedName name="qqq" localSheetId="2">#REF!</definedName>
    <definedName name="qqq" localSheetId="5">#REF!</definedName>
    <definedName name="qqq" localSheetId="6">#REF!</definedName>
    <definedName name="qqq" localSheetId="8">#REF!</definedName>
    <definedName name="qqq" localSheetId="3">#REF!</definedName>
    <definedName name="qqq" localSheetId="4">#REF!</definedName>
    <definedName name="qqq" localSheetId="0">#REF!</definedName>
    <definedName name="site" localSheetId="1">#REF!</definedName>
    <definedName name="site" localSheetId="9">#REF!</definedName>
    <definedName name="site" localSheetId="2">#REF!</definedName>
    <definedName name="site" localSheetId="5">#REF!</definedName>
    <definedName name="site" localSheetId="6">#REF!</definedName>
    <definedName name="site" localSheetId="8">#REF!</definedName>
    <definedName name="site" localSheetId="3">#REF!</definedName>
    <definedName name="site" localSheetId="4">#REF!</definedName>
    <definedName name="site" localSheetId="0">#REF!</definedName>
    <definedName name="site1" localSheetId="1">#REF!</definedName>
    <definedName name="site1" localSheetId="9">#REF!</definedName>
    <definedName name="site1" localSheetId="2">#REF!</definedName>
    <definedName name="site1" localSheetId="5">#REF!</definedName>
    <definedName name="site1" localSheetId="6">#REF!</definedName>
    <definedName name="site1" localSheetId="8">#REF!</definedName>
    <definedName name="site1" localSheetId="3">#REF!</definedName>
    <definedName name="site1" localSheetId="4">#REF!</definedName>
    <definedName name="site1" localSheetId="0">#REF!</definedName>
    <definedName name="site2" localSheetId="1">#REF!</definedName>
    <definedName name="site2" localSheetId="9">#REF!</definedName>
    <definedName name="site2" localSheetId="2">#REF!</definedName>
    <definedName name="site2" localSheetId="5">#REF!</definedName>
    <definedName name="site2" localSheetId="8">#REF!</definedName>
    <definedName name="site2" localSheetId="3">#REF!</definedName>
    <definedName name="site2" localSheetId="4">#REF!</definedName>
    <definedName name="site2" localSheetId="0">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2" l="1"/>
  <c r="E32" i="12"/>
  <c r="E19" i="12"/>
  <c r="F47" i="11"/>
  <c r="E46" i="11"/>
  <c r="F46" i="11" s="1"/>
  <c r="E45" i="11"/>
  <c r="F45" i="11" s="1"/>
  <c r="F44" i="11"/>
  <c r="E37" i="11"/>
  <c r="F37" i="11" s="1"/>
  <c r="F23" i="11"/>
  <c r="F16" i="11"/>
  <c r="E10" i="11"/>
  <c r="F10" i="11" s="1"/>
  <c r="E7" i="11"/>
  <c r="F7" i="11" s="1"/>
  <c r="C340" i="10"/>
  <c r="B340" i="10"/>
  <c r="C339" i="10"/>
  <c r="B339" i="10"/>
  <c r="C338" i="10"/>
  <c r="B338" i="10"/>
  <c r="B337" i="10"/>
  <c r="F308" i="10"/>
  <c r="E306" i="10"/>
  <c r="D306" i="10" s="1"/>
  <c r="C306" i="10"/>
  <c r="E305" i="10"/>
  <c r="D305" i="10" s="1"/>
  <c r="C305" i="10"/>
  <c r="E304" i="10"/>
  <c r="D304" i="10" s="1"/>
  <c r="C304" i="10"/>
  <c r="E303" i="10"/>
  <c r="D303" i="10" s="1"/>
  <c r="C303" i="10"/>
  <c r="E302" i="10"/>
  <c r="D302" i="10" s="1"/>
  <c r="C302" i="10"/>
  <c r="E301" i="10"/>
  <c r="D301" i="10" s="1"/>
  <c r="C301" i="10"/>
  <c r="E299" i="10"/>
  <c r="D299" i="10" s="1"/>
  <c r="C299" i="10"/>
  <c r="F286" i="10"/>
  <c r="E284" i="10"/>
  <c r="D284" i="10" s="1"/>
  <c r="C284" i="10"/>
  <c r="E283" i="10"/>
  <c r="D283" i="10" s="1"/>
  <c r="C283" i="10"/>
  <c r="E282" i="10"/>
  <c r="D282" i="10" s="1"/>
  <c r="C282" i="10"/>
  <c r="E281" i="10"/>
  <c r="D281" i="10" s="1"/>
  <c r="C281" i="10"/>
  <c r="E280" i="10"/>
  <c r="D280" i="10" s="1"/>
  <c r="C280" i="10"/>
  <c r="E279" i="10"/>
  <c r="D279" i="10" s="1"/>
  <c r="C279" i="10"/>
  <c r="E277" i="10"/>
  <c r="D277" i="10" s="1"/>
  <c r="C277" i="10"/>
  <c r="E260" i="10"/>
  <c r="D260" i="10" s="1"/>
  <c r="C260" i="10"/>
  <c r="E259" i="10"/>
  <c r="F259" i="10" s="1"/>
  <c r="C259" i="10"/>
  <c r="E258" i="10"/>
  <c r="F258" i="10" s="1"/>
  <c r="C258" i="10"/>
  <c r="E257" i="10"/>
  <c r="F257" i="10" s="1"/>
  <c r="C257" i="10"/>
  <c r="E256" i="10"/>
  <c r="D256" i="10" s="1"/>
  <c r="C256" i="10"/>
  <c r="E254" i="10"/>
  <c r="C254" i="10"/>
  <c r="D239" i="10"/>
  <c r="D240" i="10" s="1"/>
  <c r="E237" i="10"/>
  <c r="F237" i="10" s="1"/>
  <c r="C237" i="10"/>
  <c r="E236" i="10"/>
  <c r="F236" i="10" s="1"/>
  <c r="C236" i="10"/>
  <c r="E235" i="10"/>
  <c r="F235" i="10" s="1"/>
  <c r="C235" i="10"/>
  <c r="E234" i="10"/>
  <c r="F234" i="10" s="1"/>
  <c r="C234" i="10"/>
  <c r="E233" i="10"/>
  <c r="F233" i="10" s="1"/>
  <c r="C233" i="10"/>
  <c r="E231" i="10"/>
  <c r="F231" i="10" s="1"/>
  <c r="C231" i="10"/>
  <c r="D218" i="10"/>
  <c r="D219" i="10" s="1"/>
  <c r="E216" i="10"/>
  <c r="F216" i="10" s="1"/>
  <c r="C216" i="10"/>
  <c r="E215" i="10"/>
  <c r="F215" i="10" s="1"/>
  <c r="C215" i="10"/>
  <c r="E214" i="10"/>
  <c r="F214" i="10" s="1"/>
  <c r="C214" i="10"/>
  <c r="E213" i="10"/>
  <c r="F213" i="10" s="1"/>
  <c r="C213" i="10"/>
  <c r="E212" i="10"/>
  <c r="F212" i="10" s="1"/>
  <c r="C212" i="10"/>
  <c r="E210" i="10"/>
  <c r="C210" i="10"/>
  <c r="D197" i="10"/>
  <c r="D198" i="10" s="1"/>
  <c r="E195" i="10"/>
  <c r="F195" i="10" s="1"/>
  <c r="C195" i="10"/>
  <c r="E194" i="10"/>
  <c r="F194" i="10" s="1"/>
  <c r="C194" i="10"/>
  <c r="E193" i="10"/>
  <c r="F193" i="10" s="1"/>
  <c r="C193" i="10"/>
  <c r="E192" i="10"/>
  <c r="F192" i="10" s="1"/>
  <c r="C192" i="10"/>
  <c r="E191" i="10"/>
  <c r="F191" i="10" s="1"/>
  <c r="C191" i="10"/>
  <c r="E189" i="10"/>
  <c r="C189" i="10"/>
  <c r="D176" i="10"/>
  <c r="D177" i="10" s="1"/>
  <c r="E174" i="10"/>
  <c r="F174" i="10" s="1"/>
  <c r="C174" i="10"/>
  <c r="E173" i="10"/>
  <c r="F173" i="10" s="1"/>
  <c r="C173" i="10"/>
  <c r="E172" i="10"/>
  <c r="F172" i="10" s="1"/>
  <c r="C172" i="10"/>
  <c r="E171" i="10"/>
  <c r="F171" i="10" s="1"/>
  <c r="C171" i="10"/>
  <c r="E170" i="10"/>
  <c r="F170" i="10" s="1"/>
  <c r="C170" i="10"/>
  <c r="E168" i="10"/>
  <c r="C168" i="10"/>
  <c r="D155" i="10"/>
  <c r="D156" i="10" s="1"/>
  <c r="E153" i="10"/>
  <c r="F153" i="10" s="1"/>
  <c r="C153" i="10"/>
  <c r="E152" i="10"/>
  <c r="F152" i="10" s="1"/>
  <c r="C152" i="10"/>
  <c r="E151" i="10"/>
  <c r="F151" i="10" s="1"/>
  <c r="C151" i="10"/>
  <c r="E150" i="10"/>
  <c r="F150" i="10" s="1"/>
  <c r="C150" i="10"/>
  <c r="E149" i="10"/>
  <c r="C149" i="10"/>
  <c r="E147" i="10"/>
  <c r="F147" i="10" s="1"/>
  <c r="C147" i="10"/>
  <c r="D134" i="10"/>
  <c r="D135" i="10" s="1"/>
  <c r="E132" i="10"/>
  <c r="F132" i="10" s="1"/>
  <c r="C132" i="10"/>
  <c r="E131" i="10"/>
  <c r="F131" i="10" s="1"/>
  <c r="C131" i="10"/>
  <c r="E130" i="10"/>
  <c r="F130" i="10" s="1"/>
  <c r="C130" i="10"/>
  <c r="E129" i="10"/>
  <c r="F129" i="10" s="1"/>
  <c r="C129" i="10"/>
  <c r="E128" i="10"/>
  <c r="C128" i="10"/>
  <c r="E126" i="10"/>
  <c r="F126" i="10" s="1"/>
  <c r="C126" i="10"/>
  <c r="D113" i="10"/>
  <c r="D114" i="10" s="1"/>
  <c r="C114" i="10" s="1"/>
  <c r="F350" i="10" s="1"/>
  <c r="E111" i="10"/>
  <c r="F111" i="10" s="1"/>
  <c r="C111" i="10"/>
  <c r="E110" i="10"/>
  <c r="F110" i="10" s="1"/>
  <c r="C110" i="10"/>
  <c r="E109" i="10"/>
  <c r="F109" i="10" s="1"/>
  <c r="C109" i="10"/>
  <c r="E108" i="10"/>
  <c r="F108" i="10" s="1"/>
  <c r="C108" i="10"/>
  <c r="E107" i="10"/>
  <c r="F107" i="10" s="1"/>
  <c r="C107" i="10"/>
  <c r="E105" i="10"/>
  <c r="C105" i="10"/>
  <c r="D91" i="10"/>
  <c r="D92" i="10" s="1"/>
  <c r="E89" i="10"/>
  <c r="F89" i="10" s="1"/>
  <c r="C89" i="10"/>
  <c r="E88" i="10"/>
  <c r="F88" i="10" s="1"/>
  <c r="C88" i="10"/>
  <c r="E87" i="10"/>
  <c r="F87" i="10" s="1"/>
  <c r="C87" i="10"/>
  <c r="E86" i="10"/>
  <c r="F86" i="10" s="1"/>
  <c r="C86" i="10"/>
  <c r="E85" i="10"/>
  <c r="F85" i="10" s="1"/>
  <c r="C85" i="10"/>
  <c r="E83" i="10"/>
  <c r="C83" i="10"/>
  <c r="D69" i="10"/>
  <c r="D70" i="10" s="1"/>
  <c r="E67" i="10"/>
  <c r="F67" i="10" s="1"/>
  <c r="C67" i="10"/>
  <c r="E66" i="10"/>
  <c r="F66" i="10" s="1"/>
  <c r="C66" i="10"/>
  <c r="E65" i="10"/>
  <c r="F65" i="10" s="1"/>
  <c r="C65" i="10"/>
  <c r="E64" i="10"/>
  <c r="F64" i="10" s="1"/>
  <c r="C64" i="10"/>
  <c r="E63" i="10"/>
  <c r="F63" i="10" s="1"/>
  <c r="C63" i="10"/>
  <c r="E61" i="10"/>
  <c r="F61" i="10" s="1"/>
  <c r="C61" i="10"/>
  <c r="D48" i="10"/>
  <c r="D47" i="10"/>
  <c r="E45" i="10"/>
  <c r="F45" i="10" s="1"/>
  <c r="C45" i="10"/>
  <c r="E44" i="10"/>
  <c r="F44" i="10" s="1"/>
  <c r="C44" i="10"/>
  <c r="E43" i="10"/>
  <c r="F43" i="10" s="1"/>
  <c r="C43" i="10"/>
  <c r="E42" i="10"/>
  <c r="F42" i="10" s="1"/>
  <c r="C42" i="10"/>
  <c r="E41" i="10"/>
  <c r="C41" i="10"/>
  <c r="E39" i="10"/>
  <c r="F39" i="10" s="1"/>
  <c r="C39" i="10"/>
  <c r="D26" i="10"/>
  <c r="E26" i="10" s="1"/>
  <c r="D25" i="10"/>
  <c r="E23" i="10"/>
  <c r="F23" i="10" s="1"/>
  <c r="C23" i="10"/>
  <c r="E22" i="10"/>
  <c r="F22" i="10" s="1"/>
  <c r="C22" i="10"/>
  <c r="E21" i="10"/>
  <c r="F21" i="10" s="1"/>
  <c r="C21" i="10"/>
  <c r="E20" i="10"/>
  <c r="F20" i="10" s="1"/>
  <c r="C20" i="10"/>
  <c r="E19" i="10"/>
  <c r="F19" i="10" s="1"/>
  <c r="C19" i="10"/>
  <c r="E17" i="10"/>
  <c r="C17" i="10"/>
  <c r="E106" i="9"/>
  <c r="E105" i="9"/>
  <c r="E104" i="9"/>
  <c r="E103" i="9"/>
  <c r="E101" i="9"/>
  <c r="E100" i="9"/>
  <c r="E99" i="9"/>
  <c r="E98" i="9"/>
  <c r="E97" i="9"/>
  <c r="E86" i="9"/>
  <c r="E85" i="9"/>
  <c r="E84" i="9"/>
  <c r="E83" i="9"/>
  <c r="E82" i="9"/>
  <c r="E81" i="9"/>
  <c r="E80" i="9"/>
  <c r="E74" i="9"/>
  <c r="E73" i="9"/>
  <c r="E72" i="9"/>
  <c r="E66" i="9"/>
  <c r="E65" i="9"/>
  <c r="E64" i="9"/>
  <c r="E59" i="9"/>
  <c r="E58" i="9"/>
  <c r="E57" i="9"/>
  <c r="E56" i="9"/>
  <c r="E51" i="9"/>
  <c r="E50" i="9"/>
  <c r="E49" i="9"/>
  <c r="E44" i="9"/>
  <c r="E43" i="9"/>
  <c r="E42" i="9"/>
  <c r="E37" i="9"/>
  <c r="E36" i="9"/>
  <c r="E35" i="9"/>
  <c r="H253" i="7"/>
  <c r="K253" i="7" s="1"/>
  <c r="L253" i="7" s="1"/>
  <c r="D253" i="7"/>
  <c r="H252" i="7"/>
  <c r="K252" i="7" s="1"/>
  <c r="L252" i="7" s="1"/>
  <c r="D252" i="7"/>
  <c r="H251" i="7"/>
  <c r="K251" i="7" s="1"/>
  <c r="L251" i="7" s="1"/>
  <c r="D251" i="7"/>
  <c r="D250" i="7"/>
  <c r="H249" i="7"/>
  <c r="K249" i="7" s="1"/>
  <c r="L249" i="7" s="1"/>
  <c r="D249" i="7"/>
  <c r="K248" i="7"/>
  <c r="L248" i="7" s="1"/>
  <c r="D248" i="7"/>
  <c r="D247" i="7"/>
  <c r="H246" i="7"/>
  <c r="K246" i="7" s="1"/>
  <c r="L246" i="7" s="1"/>
  <c r="D246" i="7"/>
  <c r="G240" i="7"/>
  <c r="E240" i="7"/>
  <c r="C240" i="7"/>
  <c r="F240" i="7" s="1"/>
  <c r="G237" i="7"/>
  <c r="E237" i="7"/>
  <c r="C237" i="7"/>
  <c r="F237" i="7" s="1"/>
  <c r="G235" i="7"/>
  <c r="E235" i="7"/>
  <c r="C235" i="7"/>
  <c r="F235" i="7" s="1"/>
  <c r="E234" i="7"/>
  <c r="C234" i="7"/>
  <c r="F234" i="7" s="1"/>
  <c r="G234" i="7" s="1"/>
  <c r="E231" i="7"/>
  <c r="C231" i="7"/>
  <c r="F231" i="7" s="1"/>
  <c r="G231" i="7" s="1"/>
  <c r="F226" i="7"/>
  <c r="I219" i="7"/>
  <c r="F199" i="7"/>
  <c r="F195" i="7"/>
  <c r="F194" i="7"/>
  <c r="F193" i="7"/>
  <c r="F189" i="7"/>
  <c r="F188" i="7"/>
  <c r="F187" i="7"/>
  <c r="F186" i="7"/>
  <c r="F185" i="7"/>
  <c r="F176" i="7"/>
  <c r="F175" i="7"/>
  <c r="F174" i="7"/>
  <c r="F173" i="7"/>
  <c r="F172" i="7"/>
  <c r="F171" i="7"/>
  <c r="D167" i="7"/>
  <c r="F167" i="7" s="1"/>
  <c r="F166" i="7"/>
  <c r="F165" i="7"/>
  <c r="F164" i="7"/>
  <c r="F163" i="7"/>
  <c r="F162" i="7"/>
  <c r="F161" i="7"/>
  <c r="F160" i="7"/>
  <c r="F158" i="7"/>
  <c r="F157" i="7"/>
  <c r="F156" i="7"/>
  <c r="F155" i="7"/>
  <c r="F154" i="7"/>
  <c r="F153" i="7"/>
  <c r="F152" i="7"/>
  <c r="F151" i="7"/>
  <c r="F150" i="7"/>
  <c r="F149" i="7"/>
  <c r="F148" i="7"/>
  <c r="F146" i="7"/>
  <c r="F145" i="7"/>
  <c r="F144" i="7"/>
  <c r="F143" i="7"/>
  <c r="F142" i="7"/>
  <c r="F141" i="7"/>
  <c r="F140" i="7"/>
  <c r="F139" i="7"/>
  <c r="F137" i="7"/>
  <c r="F136" i="7"/>
  <c r="F134" i="7"/>
  <c r="F133" i="7"/>
  <c r="F132" i="7"/>
  <c r="F131" i="7"/>
  <c r="F130" i="7"/>
  <c r="F129" i="7"/>
  <c r="F127" i="7"/>
  <c r="F126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1" i="7"/>
  <c r="F110" i="7"/>
  <c r="F109" i="7"/>
  <c r="F108" i="7"/>
  <c r="F104" i="7"/>
  <c r="F103" i="7"/>
  <c r="F102" i="7"/>
  <c r="F101" i="7"/>
  <c r="F99" i="7"/>
  <c r="F98" i="7"/>
  <c r="F97" i="7"/>
  <c r="F96" i="7"/>
  <c r="F95" i="7"/>
  <c r="F94" i="7"/>
  <c r="F93" i="7"/>
  <c r="F92" i="7"/>
  <c r="F90" i="7"/>
  <c r="F89" i="7"/>
  <c r="F88" i="7"/>
  <c r="F87" i="7"/>
  <c r="F86" i="7"/>
  <c r="F85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5" i="7"/>
  <c r="F54" i="7"/>
  <c r="F53" i="7"/>
  <c r="F52" i="7"/>
  <c r="F51" i="7"/>
  <c r="F50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8" i="7"/>
  <c r="F7" i="7"/>
  <c r="F6" i="7"/>
  <c r="F5" i="7"/>
  <c r="B110" i="6"/>
  <c r="B63" i="2" s="1"/>
  <c r="B105" i="6"/>
  <c r="B104" i="6"/>
  <c r="B103" i="6"/>
  <c r="B100" i="6"/>
  <c r="B53" i="2" s="1"/>
  <c r="B91" i="6"/>
  <c r="B90" i="6"/>
  <c r="B89" i="6"/>
  <c r="E78" i="6"/>
  <c r="E76" i="6" s="1"/>
  <c r="F76" i="6" s="1"/>
  <c r="B52" i="6"/>
  <c r="B60" i="6" s="1"/>
  <c r="B68" i="6" s="1"/>
  <c r="B76" i="6" s="1"/>
  <c r="B47" i="6"/>
  <c r="E46" i="6"/>
  <c r="E43" i="6" s="1"/>
  <c r="B46" i="6"/>
  <c r="B54" i="6" s="1"/>
  <c r="B62" i="6" s="1"/>
  <c r="B70" i="6" s="1"/>
  <c r="B45" i="6"/>
  <c r="B53" i="6" s="1"/>
  <c r="B40" i="6"/>
  <c r="E39" i="6"/>
  <c r="E37" i="6" s="1"/>
  <c r="E39" i="2" s="1"/>
  <c r="E17" i="2" s="1"/>
  <c r="F17" i="2" s="1"/>
  <c r="B39" i="6"/>
  <c r="B38" i="6"/>
  <c r="F31" i="6"/>
  <c r="E30" i="6"/>
  <c r="F30" i="6" s="1"/>
  <c r="B30" i="6"/>
  <c r="B28" i="5" s="1"/>
  <c r="E29" i="6"/>
  <c r="F29" i="6" s="1"/>
  <c r="E28" i="6"/>
  <c r="F28" i="6" s="1"/>
  <c r="F24" i="6"/>
  <c r="E23" i="6"/>
  <c r="F23" i="6" s="1"/>
  <c r="B23" i="6"/>
  <c r="C26" i="6" s="1"/>
  <c r="E22" i="6"/>
  <c r="E16" i="3" s="1"/>
  <c r="F16" i="3" s="1"/>
  <c r="E21" i="6"/>
  <c r="F17" i="6"/>
  <c r="E16" i="6"/>
  <c r="F16" i="6" s="1"/>
  <c r="B16" i="6"/>
  <c r="C19" i="6" s="1"/>
  <c r="E15" i="6"/>
  <c r="F15" i="6" s="1"/>
  <c r="E14" i="6"/>
  <c r="F14" i="6" s="1"/>
  <c r="I923" i="5"/>
  <c r="E923" i="5"/>
  <c r="I922" i="5"/>
  <c r="E922" i="5"/>
  <c r="F922" i="5" s="1"/>
  <c r="I921" i="5"/>
  <c r="E921" i="5"/>
  <c r="E920" i="5"/>
  <c r="F920" i="5" s="1"/>
  <c r="J919" i="5"/>
  <c r="E919" i="5"/>
  <c r="F919" i="5" s="1"/>
  <c r="E918" i="5"/>
  <c r="E917" i="5"/>
  <c r="L917" i="5" s="1"/>
  <c r="N917" i="5" s="1"/>
  <c r="E916" i="5"/>
  <c r="F916" i="5" s="1"/>
  <c r="J915" i="5"/>
  <c r="E915" i="5"/>
  <c r="F915" i="5" s="1"/>
  <c r="E909" i="5"/>
  <c r="G909" i="5" s="1"/>
  <c r="H909" i="5" s="1"/>
  <c r="G900" i="5"/>
  <c r="D900" i="5"/>
  <c r="C900" i="5"/>
  <c r="G899" i="5"/>
  <c r="D899" i="5"/>
  <c r="C899" i="5"/>
  <c r="G898" i="5"/>
  <c r="D898" i="5"/>
  <c r="G897" i="5"/>
  <c r="D897" i="5"/>
  <c r="E896" i="5"/>
  <c r="E898" i="5" s="1"/>
  <c r="B896" i="5"/>
  <c r="G895" i="5"/>
  <c r="B895" i="5"/>
  <c r="C886" i="5"/>
  <c r="E891" i="5" s="1"/>
  <c r="F862" i="5"/>
  <c r="F861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E795" i="5"/>
  <c r="F795" i="5" s="1"/>
  <c r="F794" i="5"/>
  <c r="E793" i="5"/>
  <c r="F793" i="5" s="1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1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E743" i="5"/>
  <c r="F743" i="5" s="1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699" i="5"/>
  <c r="F698" i="5"/>
  <c r="F697" i="5"/>
  <c r="F696" i="5"/>
  <c r="F695" i="5"/>
  <c r="F694" i="5"/>
  <c r="F693" i="5"/>
  <c r="F692" i="5"/>
  <c r="E691" i="5"/>
  <c r="F691" i="5" s="1"/>
  <c r="E690" i="5"/>
  <c r="F690" i="5" s="1"/>
  <c r="F689" i="5"/>
  <c r="F688" i="5"/>
  <c r="F687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E417" i="5"/>
  <c r="F417" i="5" s="1"/>
  <c r="E416" i="5"/>
  <c r="F416" i="5" s="1"/>
  <c r="F415" i="5"/>
  <c r="F414" i="5"/>
  <c r="F413" i="5"/>
  <c r="F412" i="5"/>
  <c r="E411" i="5"/>
  <c r="F411" i="5" s="1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E359" i="5"/>
  <c r="F359" i="5" s="1"/>
  <c r="F358" i="5"/>
  <c r="F357" i="5"/>
  <c r="F356" i="5"/>
  <c r="F355" i="5"/>
  <c r="F354" i="5"/>
  <c r="F353" i="5"/>
  <c r="F352" i="5"/>
  <c r="F351" i="5"/>
  <c r="F350" i="5"/>
  <c r="E349" i="5"/>
  <c r="F349" i="5" s="1"/>
  <c r="F38" i="11" s="1"/>
  <c r="E344" i="5"/>
  <c r="F344" i="5" s="1"/>
  <c r="C344" i="5"/>
  <c r="E343" i="5"/>
  <c r="F343" i="5" s="1"/>
  <c r="C343" i="5"/>
  <c r="E342" i="5"/>
  <c r="F342" i="5" s="1"/>
  <c r="C342" i="5"/>
  <c r="F341" i="5"/>
  <c r="E340" i="5"/>
  <c r="F340" i="5" s="1"/>
  <c r="C340" i="5"/>
  <c r="F339" i="5"/>
  <c r="C339" i="5"/>
  <c r="C335" i="5"/>
  <c r="E334" i="5"/>
  <c r="F334" i="5" s="1"/>
  <c r="C334" i="5"/>
  <c r="E333" i="5"/>
  <c r="F333" i="5" s="1"/>
  <c r="C333" i="5"/>
  <c r="E332" i="5"/>
  <c r="F332" i="5" s="1"/>
  <c r="C332" i="5"/>
  <c r="E331" i="5"/>
  <c r="F331" i="5" s="1"/>
  <c r="C331" i="5"/>
  <c r="E330" i="5"/>
  <c r="F330" i="5" s="1"/>
  <c r="C330" i="5"/>
  <c r="E329" i="5"/>
  <c r="F329" i="5" s="1"/>
  <c r="C329" i="5"/>
  <c r="E328" i="5"/>
  <c r="F328" i="5" s="1"/>
  <c r="C328" i="5"/>
  <c r="E327" i="5"/>
  <c r="F327" i="5" s="1"/>
  <c r="C327" i="5"/>
  <c r="E326" i="5"/>
  <c r="F326" i="5" s="1"/>
  <c r="C326" i="5"/>
  <c r="E325" i="5"/>
  <c r="F325" i="5" s="1"/>
  <c r="C325" i="5"/>
  <c r="E324" i="5"/>
  <c r="F324" i="5" s="1"/>
  <c r="C324" i="5"/>
  <c r="E323" i="5"/>
  <c r="F323" i="5" s="1"/>
  <c r="C323" i="5"/>
  <c r="E322" i="5"/>
  <c r="F322" i="5" s="1"/>
  <c r="C322" i="5"/>
  <c r="E321" i="5"/>
  <c r="F321" i="5" s="1"/>
  <c r="C321" i="5"/>
  <c r="E320" i="5"/>
  <c r="F320" i="5" s="1"/>
  <c r="C320" i="5"/>
  <c r="E319" i="5"/>
  <c r="F319" i="5" s="1"/>
  <c r="C319" i="5"/>
  <c r="E318" i="5"/>
  <c r="F318" i="5" s="1"/>
  <c r="C318" i="5"/>
  <c r="E317" i="5"/>
  <c r="F317" i="5" s="1"/>
  <c r="C317" i="5"/>
  <c r="E316" i="5"/>
  <c r="F316" i="5" s="1"/>
  <c r="C316" i="5"/>
  <c r="E315" i="5"/>
  <c r="F315" i="5" s="1"/>
  <c r="C315" i="5"/>
  <c r="E314" i="5"/>
  <c r="F314" i="5" s="1"/>
  <c r="C314" i="5"/>
  <c r="E313" i="5"/>
  <c r="F313" i="5" s="1"/>
  <c r="C313" i="5"/>
  <c r="E312" i="5"/>
  <c r="F312" i="5" s="1"/>
  <c r="C312" i="5"/>
  <c r="E311" i="5"/>
  <c r="F311" i="5" s="1"/>
  <c r="C311" i="5"/>
  <c r="E310" i="5"/>
  <c r="F310" i="5" s="1"/>
  <c r="C310" i="5"/>
  <c r="F309" i="5"/>
  <c r="C309" i="5"/>
  <c r="E308" i="5"/>
  <c r="F308" i="5" s="1"/>
  <c r="C308" i="5"/>
  <c r="E307" i="5"/>
  <c r="F307" i="5" s="1"/>
  <c r="E306" i="5"/>
  <c r="F306" i="5" s="1"/>
  <c r="C306" i="5"/>
  <c r="E305" i="5"/>
  <c r="F305" i="5" s="1"/>
  <c r="C305" i="5"/>
  <c r="E304" i="5"/>
  <c r="F304" i="5" s="1"/>
  <c r="C304" i="5"/>
  <c r="E303" i="5"/>
  <c r="F303" i="5" s="1"/>
  <c r="C303" i="5"/>
  <c r="E302" i="5"/>
  <c r="F302" i="5" s="1"/>
  <c r="C302" i="5"/>
  <c r="E301" i="5"/>
  <c r="F301" i="5" s="1"/>
  <c r="C301" i="5"/>
  <c r="E300" i="5"/>
  <c r="F300" i="5" s="1"/>
  <c r="C300" i="5"/>
  <c r="E299" i="5"/>
  <c r="F299" i="5" s="1"/>
  <c r="C299" i="5"/>
  <c r="E298" i="5"/>
  <c r="F298" i="5" s="1"/>
  <c r="C298" i="5"/>
  <c r="E297" i="5"/>
  <c r="F297" i="5" s="1"/>
  <c r="C297" i="5"/>
  <c r="E296" i="5"/>
  <c r="F296" i="5" s="1"/>
  <c r="C296" i="5"/>
  <c r="E295" i="5"/>
  <c r="F295" i="5" s="1"/>
  <c r="C295" i="5"/>
  <c r="E294" i="5"/>
  <c r="F294" i="5" s="1"/>
  <c r="C294" i="5"/>
  <c r="E293" i="5"/>
  <c r="F293" i="5" s="1"/>
  <c r="C293" i="5"/>
  <c r="E292" i="5"/>
  <c r="F292" i="5" s="1"/>
  <c r="C292" i="5"/>
  <c r="E291" i="5"/>
  <c r="F291" i="5" s="1"/>
  <c r="C291" i="5"/>
  <c r="E290" i="5"/>
  <c r="F290" i="5" s="1"/>
  <c r="C290" i="5"/>
  <c r="E289" i="5"/>
  <c r="F289" i="5" s="1"/>
  <c r="C289" i="5"/>
  <c r="E288" i="5"/>
  <c r="F288" i="5" s="1"/>
  <c r="C288" i="5"/>
  <c r="E287" i="5"/>
  <c r="F287" i="5" s="1"/>
  <c r="C287" i="5"/>
  <c r="E286" i="5"/>
  <c r="F286" i="5" s="1"/>
  <c r="C286" i="5"/>
  <c r="E285" i="5"/>
  <c r="F285" i="5" s="1"/>
  <c r="C285" i="5"/>
  <c r="E284" i="5"/>
  <c r="F284" i="5" s="1"/>
  <c r="C284" i="5"/>
  <c r="E283" i="5"/>
  <c r="F283" i="5" s="1"/>
  <c r="C283" i="5"/>
  <c r="E282" i="5"/>
  <c r="F282" i="5" s="1"/>
  <c r="C282" i="5"/>
  <c r="E281" i="5"/>
  <c r="F281" i="5" s="1"/>
  <c r="C281" i="5"/>
  <c r="E280" i="5"/>
  <c r="F280" i="5" s="1"/>
  <c r="C280" i="5"/>
  <c r="E279" i="5"/>
  <c r="F279" i="5" s="1"/>
  <c r="C279" i="5"/>
  <c r="E278" i="5"/>
  <c r="F278" i="5" s="1"/>
  <c r="C278" i="5"/>
  <c r="E277" i="5"/>
  <c r="F277" i="5" s="1"/>
  <c r="C277" i="5"/>
  <c r="E276" i="5"/>
  <c r="F276" i="5" s="1"/>
  <c r="C276" i="5"/>
  <c r="E275" i="5"/>
  <c r="F275" i="5" s="1"/>
  <c r="C275" i="5"/>
  <c r="C274" i="5"/>
  <c r="F273" i="5"/>
  <c r="F272" i="5"/>
  <c r="E271" i="5"/>
  <c r="F271" i="5" s="1"/>
  <c r="C271" i="5"/>
  <c r="E270" i="5"/>
  <c r="F270" i="5" s="1"/>
  <c r="C270" i="5"/>
  <c r="E269" i="5"/>
  <c r="F269" i="5" s="1"/>
  <c r="C269" i="5"/>
  <c r="E268" i="5"/>
  <c r="F268" i="5" s="1"/>
  <c r="C268" i="5"/>
  <c r="E267" i="5"/>
  <c r="F267" i="5" s="1"/>
  <c r="C267" i="5"/>
  <c r="E266" i="5"/>
  <c r="F266" i="5" s="1"/>
  <c r="C266" i="5"/>
  <c r="E265" i="5"/>
  <c r="F265" i="5" s="1"/>
  <c r="C265" i="5"/>
  <c r="E264" i="5"/>
  <c r="F264" i="5" s="1"/>
  <c r="C264" i="5"/>
  <c r="E263" i="5"/>
  <c r="F263" i="5" s="1"/>
  <c r="C263" i="5"/>
  <c r="E262" i="5"/>
  <c r="F262" i="5" s="1"/>
  <c r="C262" i="5"/>
  <c r="E261" i="5"/>
  <c r="F261" i="5" s="1"/>
  <c r="C261" i="5"/>
  <c r="E260" i="5"/>
  <c r="F260" i="5" s="1"/>
  <c r="C260" i="5"/>
  <c r="E259" i="5"/>
  <c r="F259" i="5" s="1"/>
  <c r="C259" i="5"/>
  <c r="E258" i="5"/>
  <c r="F258" i="5" s="1"/>
  <c r="C258" i="5"/>
  <c r="E257" i="5"/>
  <c r="F257" i="5" s="1"/>
  <c r="C257" i="5"/>
  <c r="E256" i="5"/>
  <c r="F256" i="5" s="1"/>
  <c r="C256" i="5"/>
  <c r="E255" i="5"/>
  <c r="F255" i="5" s="1"/>
  <c r="C255" i="5"/>
  <c r="E254" i="5"/>
  <c r="F254" i="5" s="1"/>
  <c r="C254" i="5"/>
  <c r="E253" i="5"/>
  <c r="F253" i="5" s="1"/>
  <c r="C253" i="5"/>
  <c r="E252" i="5"/>
  <c r="F252" i="5" s="1"/>
  <c r="C252" i="5"/>
  <c r="E251" i="5"/>
  <c r="F251" i="5" s="1"/>
  <c r="C251" i="5"/>
  <c r="E250" i="5"/>
  <c r="F250" i="5" s="1"/>
  <c r="C250" i="5"/>
  <c r="E249" i="5"/>
  <c r="F249" i="5" s="1"/>
  <c r="C249" i="5"/>
  <c r="E248" i="5"/>
  <c r="F248" i="5" s="1"/>
  <c r="C248" i="5"/>
  <c r="E247" i="5"/>
  <c r="F247" i="5" s="1"/>
  <c r="C247" i="5"/>
  <c r="E246" i="5"/>
  <c r="F246" i="5" s="1"/>
  <c r="C246" i="5"/>
  <c r="E245" i="5"/>
  <c r="F245" i="5" s="1"/>
  <c r="C245" i="5"/>
  <c r="E244" i="5"/>
  <c r="F244" i="5" s="1"/>
  <c r="C244" i="5"/>
  <c r="E243" i="5"/>
  <c r="F243" i="5" s="1"/>
  <c r="C243" i="5"/>
  <c r="E242" i="5"/>
  <c r="F242" i="5" s="1"/>
  <c r="C242" i="5"/>
  <c r="E241" i="5"/>
  <c r="F241" i="5" s="1"/>
  <c r="C241" i="5"/>
  <c r="E240" i="5"/>
  <c r="F240" i="5" s="1"/>
  <c r="C240" i="5"/>
  <c r="E239" i="5"/>
  <c r="F239" i="5" s="1"/>
  <c r="C239" i="5"/>
  <c r="E238" i="5"/>
  <c r="F238" i="5" s="1"/>
  <c r="C238" i="5"/>
  <c r="E237" i="5"/>
  <c r="F237" i="5" s="1"/>
  <c r="C237" i="5"/>
  <c r="E236" i="5"/>
  <c r="F236" i="5" s="1"/>
  <c r="C236" i="5"/>
  <c r="E235" i="5"/>
  <c r="F235" i="5" s="1"/>
  <c r="C235" i="5"/>
  <c r="E234" i="5"/>
  <c r="F234" i="5" s="1"/>
  <c r="C234" i="5"/>
  <c r="E233" i="5"/>
  <c r="F233" i="5" s="1"/>
  <c r="C233" i="5"/>
  <c r="E232" i="5"/>
  <c r="F232" i="5" s="1"/>
  <c r="C232" i="5"/>
  <c r="E231" i="5"/>
  <c r="F231" i="5" s="1"/>
  <c r="C231" i="5"/>
  <c r="E230" i="5"/>
  <c r="F230" i="5" s="1"/>
  <c r="C230" i="5"/>
  <c r="E229" i="5"/>
  <c r="F229" i="5" s="1"/>
  <c r="C229" i="5"/>
  <c r="E228" i="5"/>
  <c r="F228" i="5" s="1"/>
  <c r="C228" i="5"/>
  <c r="E227" i="5"/>
  <c r="F227" i="5" s="1"/>
  <c r="C227" i="5"/>
  <c r="E226" i="5"/>
  <c r="F226" i="5" s="1"/>
  <c r="C226" i="5"/>
  <c r="E225" i="5"/>
  <c r="F225" i="5" s="1"/>
  <c r="C225" i="5"/>
  <c r="E224" i="5"/>
  <c r="F224" i="5" s="1"/>
  <c r="C224" i="5"/>
  <c r="E223" i="5"/>
  <c r="F223" i="5" s="1"/>
  <c r="C223" i="5"/>
  <c r="E222" i="5"/>
  <c r="F222" i="5" s="1"/>
  <c r="C222" i="5"/>
  <c r="E221" i="5"/>
  <c r="F221" i="5" s="1"/>
  <c r="C221" i="5"/>
  <c r="E220" i="5"/>
  <c r="F220" i="5" s="1"/>
  <c r="C220" i="5"/>
  <c r="E219" i="5"/>
  <c r="F219" i="5" s="1"/>
  <c r="C219" i="5"/>
  <c r="E218" i="5"/>
  <c r="F218" i="5" s="1"/>
  <c r="C218" i="5"/>
  <c r="E217" i="5"/>
  <c r="F217" i="5" s="1"/>
  <c r="C217" i="5"/>
  <c r="E216" i="5"/>
  <c r="F216" i="5" s="1"/>
  <c r="C216" i="5"/>
  <c r="E215" i="5"/>
  <c r="F215" i="5" s="1"/>
  <c r="C215" i="5"/>
  <c r="E214" i="5"/>
  <c r="F214" i="5" s="1"/>
  <c r="C214" i="5"/>
  <c r="E213" i="5"/>
  <c r="F213" i="5" s="1"/>
  <c r="C213" i="5"/>
  <c r="E212" i="5"/>
  <c r="F212" i="5" s="1"/>
  <c r="C212" i="5"/>
  <c r="E211" i="5"/>
  <c r="F211" i="5" s="1"/>
  <c r="C211" i="5"/>
  <c r="E210" i="5"/>
  <c r="F210" i="5" s="1"/>
  <c r="C210" i="5"/>
  <c r="E209" i="5"/>
  <c r="F209" i="5" s="1"/>
  <c r="C209" i="5"/>
  <c r="E208" i="5"/>
  <c r="F208" i="5" s="1"/>
  <c r="C208" i="5"/>
  <c r="E207" i="5"/>
  <c r="F207" i="5" s="1"/>
  <c r="C207" i="5"/>
  <c r="E206" i="5"/>
  <c r="F206" i="5" s="1"/>
  <c r="C206" i="5"/>
  <c r="E205" i="5"/>
  <c r="F205" i="5" s="1"/>
  <c r="C205" i="5"/>
  <c r="E204" i="5"/>
  <c r="F204" i="5" s="1"/>
  <c r="C204" i="5"/>
  <c r="E203" i="5"/>
  <c r="F203" i="5" s="1"/>
  <c r="C203" i="5"/>
  <c r="E202" i="5"/>
  <c r="F202" i="5" s="1"/>
  <c r="C202" i="5"/>
  <c r="E201" i="5"/>
  <c r="F201" i="5" s="1"/>
  <c r="C201" i="5"/>
  <c r="E200" i="5"/>
  <c r="F200" i="5" s="1"/>
  <c r="C200" i="5"/>
  <c r="E199" i="5"/>
  <c r="F199" i="5" s="1"/>
  <c r="C199" i="5"/>
  <c r="E198" i="5"/>
  <c r="F198" i="5" s="1"/>
  <c r="C198" i="5"/>
  <c r="E197" i="5"/>
  <c r="F197" i="5" s="1"/>
  <c r="C197" i="5"/>
  <c r="E196" i="5"/>
  <c r="F196" i="5" s="1"/>
  <c r="C196" i="5"/>
  <c r="E195" i="5"/>
  <c r="F195" i="5" s="1"/>
  <c r="C195" i="5"/>
  <c r="E194" i="5"/>
  <c r="F194" i="5" s="1"/>
  <c r="C194" i="5"/>
  <c r="E193" i="5"/>
  <c r="F193" i="5" s="1"/>
  <c r="C193" i="5"/>
  <c r="E192" i="5"/>
  <c r="F192" i="5" s="1"/>
  <c r="C192" i="5"/>
  <c r="E191" i="5"/>
  <c r="F191" i="5" s="1"/>
  <c r="C191" i="5"/>
  <c r="E190" i="5"/>
  <c r="F190" i="5" s="1"/>
  <c r="C190" i="5"/>
  <c r="E189" i="5"/>
  <c r="F189" i="5" s="1"/>
  <c r="C189" i="5"/>
  <c r="E188" i="5"/>
  <c r="F188" i="5" s="1"/>
  <c r="C188" i="5"/>
  <c r="E187" i="5"/>
  <c r="F187" i="5" s="1"/>
  <c r="C187" i="5"/>
  <c r="E186" i="5"/>
  <c r="F186" i="5" s="1"/>
  <c r="C186" i="5"/>
  <c r="F185" i="5"/>
  <c r="F184" i="5"/>
  <c r="C184" i="5"/>
  <c r="E183" i="5"/>
  <c r="F183" i="5" s="1"/>
  <c r="C183" i="5"/>
  <c r="E182" i="5"/>
  <c r="F182" i="5" s="1"/>
  <c r="C182" i="5"/>
  <c r="E181" i="5"/>
  <c r="F181" i="5" s="1"/>
  <c r="C181" i="5"/>
  <c r="E180" i="5"/>
  <c r="F180" i="5" s="1"/>
  <c r="C180" i="5"/>
  <c r="E179" i="5"/>
  <c r="F179" i="5" s="1"/>
  <c r="C179" i="5"/>
  <c r="E178" i="5"/>
  <c r="F178" i="5" s="1"/>
  <c r="C178" i="5"/>
  <c r="E177" i="5"/>
  <c r="F177" i="5" s="1"/>
  <c r="C177" i="5"/>
  <c r="E176" i="5"/>
  <c r="F176" i="5" s="1"/>
  <c r="C176" i="5"/>
  <c r="E175" i="5"/>
  <c r="E174" i="5"/>
  <c r="F174" i="5" s="1"/>
  <c r="C174" i="5"/>
  <c r="E173" i="5"/>
  <c r="F173" i="5" s="1"/>
  <c r="C173" i="5"/>
  <c r="E172" i="5"/>
  <c r="F172" i="5" s="1"/>
  <c r="C172" i="5"/>
  <c r="E171" i="5"/>
  <c r="F171" i="5" s="1"/>
  <c r="C171" i="5"/>
  <c r="F166" i="5"/>
  <c r="F165" i="5"/>
  <c r="E164" i="5"/>
  <c r="F164" i="5" s="1"/>
  <c r="C164" i="5"/>
  <c r="B164" i="5"/>
  <c r="E163" i="5"/>
  <c r="F163" i="5" s="1"/>
  <c r="C163" i="5"/>
  <c r="B163" i="5"/>
  <c r="E162" i="5"/>
  <c r="F162" i="5" s="1"/>
  <c r="C162" i="5"/>
  <c r="B162" i="5"/>
  <c r="E160" i="5"/>
  <c r="F160" i="5" s="1"/>
  <c r="C160" i="5"/>
  <c r="B160" i="5"/>
  <c r="E159" i="5"/>
  <c r="F159" i="5" s="1"/>
  <c r="C159" i="5"/>
  <c r="B159" i="5"/>
  <c r="E158" i="5"/>
  <c r="F158" i="5" s="1"/>
  <c r="C158" i="5"/>
  <c r="B158" i="5"/>
  <c r="E157" i="5"/>
  <c r="F157" i="5" s="1"/>
  <c r="C157" i="5"/>
  <c r="B157" i="5"/>
  <c r="E156" i="5"/>
  <c r="C156" i="5"/>
  <c r="B156" i="5"/>
  <c r="F153" i="5"/>
  <c r="F152" i="5"/>
  <c r="E151" i="5"/>
  <c r="F151" i="5" s="1"/>
  <c r="E150" i="5"/>
  <c r="F150" i="5" s="1"/>
  <c r="F149" i="5"/>
  <c r="F148" i="5"/>
  <c r="F147" i="5"/>
  <c r="E146" i="5"/>
  <c r="E145" i="5"/>
  <c r="E144" i="5"/>
  <c r="F144" i="5" s="1"/>
  <c r="E143" i="5"/>
  <c r="F143" i="5" s="1"/>
  <c r="F139" i="5"/>
  <c r="F138" i="5"/>
  <c r="E137" i="5"/>
  <c r="F137" i="5" s="1"/>
  <c r="E136" i="5"/>
  <c r="F136" i="5" s="1"/>
  <c r="E135" i="5"/>
  <c r="F135" i="5" s="1"/>
  <c r="E134" i="5"/>
  <c r="F134" i="5" s="1"/>
  <c r="E133" i="5"/>
  <c r="F133" i="5" s="1"/>
  <c r="E132" i="5"/>
  <c r="F132" i="5" s="1"/>
  <c r="E131" i="5"/>
  <c r="F131" i="5" s="1"/>
  <c r="E130" i="5"/>
  <c r="F130" i="5" s="1"/>
  <c r="E129" i="5"/>
  <c r="F129" i="5" s="1"/>
  <c r="E128" i="5"/>
  <c r="F128" i="5" s="1"/>
  <c r="E127" i="5"/>
  <c r="F127" i="5" s="1"/>
  <c r="E126" i="5"/>
  <c r="F126" i="5" s="1"/>
  <c r="E125" i="5"/>
  <c r="F125" i="5" s="1"/>
  <c r="E124" i="5"/>
  <c r="F124" i="5" s="1"/>
  <c r="E123" i="5"/>
  <c r="F123" i="5" s="1"/>
  <c r="E122" i="5"/>
  <c r="F122" i="5" s="1"/>
  <c r="E121" i="5"/>
  <c r="F121" i="5" s="1"/>
  <c r="E120" i="5"/>
  <c r="F120" i="5" s="1"/>
  <c r="E119" i="5"/>
  <c r="F119" i="5" s="1"/>
  <c r="E118" i="5"/>
  <c r="F118" i="5" s="1"/>
  <c r="E117" i="5"/>
  <c r="F117" i="5" s="1"/>
  <c r="E116" i="5"/>
  <c r="F116" i="5" s="1"/>
  <c r="E115" i="5"/>
  <c r="F115" i="5" s="1"/>
  <c r="E114" i="5"/>
  <c r="F114" i="5" s="1"/>
  <c r="E113" i="5"/>
  <c r="F113" i="5" s="1"/>
  <c r="E112" i="5"/>
  <c r="F112" i="5" s="1"/>
  <c r="E111" i="5"/>
  <c r="F111" i="5" s="1"/>
  <c r="E110" i="5"/>
  <c r="F110" i="5" s="1"/>
  <c r="E109" i="5"/>
  <c r="F109" i="5" s="1"/>
  <c r="E108" i="5"/>
  <c r="F108" i="5" s="1"/>
  <c r="E107" i="5"/>
  <c r="F107" i="5" s="1"/>
  <c r="E106" i="5"/>
  <c r="F106" i="5" s="1"/>
  <c r="E105" i="5"/>
  <c r="F105" i="5" s="1"/>
  <c r="F104" i="5"/>
  <c r="E103" i="5"/>
  <c r="F103" i="5" s="1"/>
  <c r="E102" i="5"/>
  <c r="F102" i="5" s="1"/>
  <c r="E101" i="5"/>
  <c r="F101" i="5" s="1"/>
  <c r="E100" i="5"/>
  <c r="F100" i="5" s="1"/>
  <c r="E99" i="5"/>
  <c r="F99" i="5" s="1"/>
  <c r="E98" i="5"/>
  <c r="F98" i="5" s="1"/>
  <c r="E97" i="5"/>
  <c r="F97" i="5" s="1"/>
  <c r="E96" i="5"/>
  <c r="F96" i="5" s="1"/>
  <c r="E95" i="5"/>
  <c r="F95" i="5" s="1"/>
  <c r="E94" i="5"/>
  <c r="F94" i="5" s="1"/>
  <c r="E93" i="5"/>
  <c r="F93" i="5" s="1"/>
  <c r="E92" i="5"/>
  <c r="F92" i="5" s="1"/>
  <c r="E91" i="5"/>
  <c r="F91" i="5" s="1"/>
  <c r="E90" i="5"/>
  <c r="F90" i="5" s="1"/>
  <c r="E89" i="5"/>
  <c r="F89" i="5" s="1"/>
  <c r="E88" i="5"/>
  <c r="F88" i="5" s="1"/>
  <c r="E87" i="5"/>
  <c r="F87" i="5" s="1"/>
  <c r="E86" i="5"/>
  <c r="F86" i="5" s="1"/>
  <c r="E85" i="5"/>
  <c r="F85" i="5" s="1"/>
  <c r="E84" i="5"/>
  <c r="F84" i="5" s="1"/>
  <c r="E83" i="5"/>
  <c r="F83" i="5" s="1"/>
  <c r="E82" i="5"/>
  <c r="F82" i="5" s="1"/>
  <c r="E81" i="5"/>
  <c r="F81" i="5" s="1"/>
  <c r="E80" i="5"/>
  <c r="F80" i="5" s="1"/>
  <c r="E79" i="5"/>
  <c r="F79" i="5" s="1"/>
  <c r="E78" i="5"/>
  <c r="F78" i="5" s="1"/>
  <c r="E77" i="5"/>
  <c r="F77" i="5" s="1"/>
  <c r="E76" i="5"/>
  <c r="F76" i="5" s="1"/>
  <c r="E75" i="5"/>
  <c r="F75" i="5" s="1"/>
  <c r="E74" i="5"/>
  <c r="F74" i="5" s="1"/>
  <c r="E73" i="5"/>
  <c r="F73" i="5" s="1"/>
  <c r="E72" i="5"/>
  <c r="F72" i="5" s="1"/>
  <c r="E69" i="5"/>
  <c r="F69" i="5" s="1"/>
  <c r="E68" i="5"/>
  <c r="F68" i="5" s="1"/>
  <c r="E67" i="5"/>
  <c r="F67" i="5" s="1"/>
  <c r="E66" i="5"/>
  <c r="F66" i="5" s="1"/>
  <c r="E65" i="5"/>
  <c r="F65" i="5" s="1"/>
  <c r="E64" i="5"/>
  <c r="F64" i="5" s="1"/>
  <c r="E63" i="5"/>
  <c r="F63" i="5" s="1"/>
  <c r="E62" i="5"/>
  <c r="F62" i="5" s="1"/>
  <c r="E61" i="5"/>
  <c r="F61" i="5" s="1"/>
  <c r="E60" i="5"/>
  <c r="F60" i="5" s="1"/>
  <c r="E59" i="5"/>
  <c r="F59" i="5" s="1"/>
  <c r="E58" i="5"/>
  <c r="F58" i="5" s="1"/>
  <c r="E57" i="5"/>
  <c r="F57" i="5" s="1"/>
  <c r="E56" i="5"/>
  <c r="F56" i="5" s="1"/>
  <c r="E55" i="5"/>
  <c r="F55" i="5" s="1"/>
  <c r="E54" i="5"/>
  <c r="F54" i="5" s="1"/>
  <c r="E53" i="5"/>
  <c r="F53" i="5" s="1"/>
  <c r="E52" i="5"/>
  <c r="F52" i="5" s="1"/>
  <c r="E51" i="5"/>
  <c r="F51" i="5" s="1"/>
  <c r="E46" i="5"/>
  <c r="F46" i="5" s="1"/>
  <c r="B46" i="5"/>
  <c r="E45" i="5"/>
  <c r="F45" i="5" s="1"/>
  <c r="B45" i="5"/>
  <c r="E44" i="5"/>
  <c r="F44" i="5" s="1"/>
  <c r="B44" i="5"/>
  <c r="E42" i="5"/>
  <c r="F42" i="5" s="1"/>
  <c r="B42" i="5"/>
  <c r="E41" i="5"/>
  <c r="F41" i="5" s="1"/>
  <c r="B41" i="5"/>
  <c r="E40" i="5"/>
  <c r="F40" i="5" s="1"/>
  <c r="B40" i="5"/>
  <c r="E39" i="5"/>
  <c r="F39" i="5" s="1"/>
  <c r="B39" i="5"/>
  <c r="E37" i="5"/>
  <c r="F37" i="5" s="1"/>
  <c r="E36" i="5"/>
  <c r="F36" i="5" s="1"/>
  <c r="B36" i="5"/>
  <c r="E35" i="5"/>
  <c r="F35" i="5" s="1"/>
  <c r="B35" i="5"/>
  <c r="B30" i="5"/>
  <c r="B29" i="5"/>
  <c r="B26" i="5"/>
  <c r="B23" i="5"/>
  <c r="B22" i="5"/>
  <c r="B21" i="5"/>
  <c r="B20" i="5"/>
  <c r="B19" i="5"/>
  <c r="B18" i="5"/>
  <c r="B17" i="5"/>
  <c r="B15" i="5"/>
  <c r="I992" i="3"/>
  <c r="E992" i="3"/>
  <c r="I991" i="3"/>
  <c r="E991" i="3"/>
  <c r="F991" i="3" s="1"/>
  <c r="I990" i="3"/>
  <c r="E990" i="3"/>
  <c r="F990" i="3" s="1"/>
  <c r="E989" i="3"/>
  <c r="F989" i="3" s="1"/>
  <c r="J988" i="3"/>
  <c r="E988" i="3"/>
  <c r="F988" i="3" s="1"/>
  <c r="E987" i="3"/>
  <c r="F987" i="3" s="1"/>
  <c r="E986" i="3"/>
  <c r="L986" i="3" s="1"/>
  <c r="N986" i="3" s="1"/>
  <c r="E985" i="3"/>
  <c r="F985" i="3" s="1"/>
  <c r="J984" i="3"/>
  <c r="E984" i="3"/>
  <c r="F984" i="3" s="1"/>
  <c r="E978" i="3"/>
  <c r="G978" i="3" s="1"/>
  <c r="H978" i="3" s="1"/>
  <c r="G969" i="3"/>
  <c r="D969" i="3"/>
  <c r="C969" i="3"/>
  <c r="G968" i="3"/>
  <c r="D968" i="3"/>
  <c r="C968" i="3"/>
  <c r="G967" i="3"/>
  <c r="D967" i="3"/>
  <c r="G966" i="3"/>
  <c r="D966" i="3"/>
  <c r="E965" i="3"/>
  <c r="E969" i="3" s="1"/>
  <c r="B965" i="3"/>
  <c r="G964" i="3"/>
  <c r="B964" i="3"/>
  <c r="C955" i="3"/>
  <c r="I988" i="3" s="1"/>
  <c r="F933" i="3"/>
  <c r="F932" i="3"/>
  <c r="F931" i="3"/>
  <c r="F930" i="3"/>
  <c r="F925" i="3"/>
  <c r="F924" i="3"/>
  <c r="F923" i="3"/>
  <c r="E922" i="3"/>
  <c r="F922" i="3" s="1"/>
  <c r="E921" i="3"/>
  <c r="F921" i="3" s="1"/>
  <c r="E920" i="3"/>
  <c r="F920" i="3" s="1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E862" i="3"/>
  <c r="F862" i="3" s="1"/>
  <c r="F861" i="3"/>
  <c r="E860" i="3"/>
  <c r="F860" i="3" s="1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E813" i="3"/>
  <c r="F813" i="3" s="1"/>
  <c r="F807" i="3"/>
  <c r="F806" i="3"/>
  <c r="F805" i="3"/>
  <c r="E804" i="3"/>
  <c r="F804" i="3" s="1"/>
  <c r="F803" i="3"/>
  <c r="F802" i="3"/>
  <c r="F801" i="3"/>
  <c r="F800" i="3"/>
  <c r="F799" i="3"/>
  <c r="F798" i="3"/>
  <c r="F797" i="3"/>
  <c r="F796" i="3"/>
  <c r="F795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E767" i="3"/>
  <c r="F767" i="3" s="1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18" i="3"/>
  <c r="F717" i="3"/>
  <c r="F716" i="3"/>
  <c r="F715" i="3"/>
  <c r="F714" i="3"/>
  <c r="F713" i="3"/>
  <c r="F712" i="3"/>
  <c r="E711" i="3"/>
  <c r="F711" i="3" s="1"/>
  <c r="E710" i="3"/>
  <c r="F710" i="3" s="1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E656" i="3"/>
  <c r="F656" i="3" s="1"/>
  <c r="J655" i="3"/>
  <c r="E655" i="3"/>
  <c r="F655" i="3" s="1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E443" i="3"/>
  <c r="F443" i="3" s="1"/>
  <c r="E442" i="3"/>
  <c r="F442" i="3" s="1"/>
  <c r="F441" i="3"/>
  <c r="F440" i="3"/>
  <c r="E439" i="3"/>
  <c r="F439" i="3" s="1"/>
  <c r="E438" i="3"/>
  <c r="F438" i="3" s="1"/>
  <c r="F437" i="3"/>
  <c r="F436" i="3"/>
  <c r="F435" i="3"/>
  <c r="F433" i="3"/>
  <c r="F432" i="3"/>
  <c r="F431" i="3"/>
  <c r="F430" i="3"/>
  <c r="F429" i="3"/>
  <c r="F428" i="3"/>
  <c r="E427" i="3"/>
  <c r="F427" i="3" s="1"/>
  <c r="E426" i="3"/>
  <c r="F426" i="3" s="1"/>
  <c r="E425" i="3"/>
  <c r="F425" i="3" s="1"/>
  <c r="E424" i="3"/>
  <c r="F424" i="3" s="1"/>
  <c r="E423" i="3"/>
  <c r="F423" i="3" s="1"/>
  <c r="E422" i="3"/>
  <c r="F422" i="3" s="1"/>
  <c r="E421" i="3"/>
  <c r="F421" i="3" s="1"/>
  <c r="E420" i="3"/>
  <c r="F420" i="3" s="1"/>
  <c r="E419" i="3"/>
  <c r="F419" i="3" s="1"/>
  <c r="E418" i="3"/>
  <c r="F418" i="3" s="1"/>
  <c r="E417" i="3"/>
  <c r="F417" i="3" s="1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E367" i="3"/>
  <c r="F367" i="3" s="1"/>
  <c r="F366" i="3"/>
  <c r="F365" i="3"/>
  <c r="F364" i="3"/>
  <c r="F363" i="3"/>
  <c r="F362" i="3"/>
  <c r="F361" i="3"/>
  <c r="F360" i="3"/>
  <c r="E355" i="3"/>
  <c r="F355" i="3" s="1"/>
  <c r="C355" i="3"/>
  <c r="E354" i="3"/>
  <c r="F354" i="3" s="1"/>
  <c r="C354" i="3"/>
  <c r="E353" i="3"/>
  <c r="F353" i="3" s="1"/>
  <c r="C353" i="3"/>
  <c r="F352" i="3"/>
  <c r="E351" i="3"/>
  <c r="F351" i="3" s="1"/>
  <c r="C351" i="3"/>
  <c r="F350" i="3"/>
  <c r="C350" i="3"/>
  <c r="C346" i="3"/>
  <c r="E345" i="3"/>
  <c r="F345" i="3" s="1"/>
  <c r="C345" i="3"/>
  <c r="E344" i="3"/>
  <c r="F344" i="3" s="1"/>
  <c r="C344" i="3"/>
  <c r="E343" i="3"/>
  <c r="F343" i="3" s="1"/>
  <c r="C343" i="3"/>
  <c r="E342" i="3"/>
  <c r="F342" i="3" s="1"/>
  <c r="C342" i="3"/>
  <c r="E341" i="3"/>
  <c r="F341" i="3" s="1"/>
  <c r="C341" i="3"/>
  <c r="E340" i="3"/>
  <c r="F340" i="3" s="1"/>
  <c r="C340" i="3"/>
  <c r="E339" i="3"/>
  <c r="F339" i="3" s="1"/>
  <c r="C339" i="3"/>
  <c r="E338" i="3"/>
  <c r="F338" i="3" s="1"/>
  <c r="C338" i="3"/>
  <c r="E337" i="3"/>
  <c r="F337" i="3" s="1"/>
  <c r="C337" i="3"/>
  <c r="E336" i="3"/>
  <c r="F336" i="3" s="1"/>
  <c r="C336" i="3"/>
  <c r="E335" i="3"/>
  <c r="F335" i="3" s="1"/>
  <c r="C335" i="3"/>
  <c r="E334" i="3"/>
  <c r="F334" i="3" s="1"/>
  <c r="C334" i="3"/>
  <c r="E333" i="3"/>
  <c r="F333" i="3" s="1"/>
  <c r="C333" i="3"/>
  <c r="E332" i="3"/>
  <c r="F332" i="3" s="1"/>
  <c r="C332" i="3"/>
  <c r="E331" i="3"/>
  <c r="F331" i="3" s="1"/>
  <c r="E330" i="3"/>
  <c r="F330" i="3" s="1"/>
  <c r="C330" i="3"/>
  <c r="E329" i="3"/>
  <c r="F329" i="3" s="1"/>
  <c r="C329" i="3"/>
  <c r="E328" i="3"/>
  <c r="F328" i="3" s="1"/>
  <c r="C328" i="3"/>
  <c r="E327" i="3"/>
  <c r="F327" i="3" s="1"/>
  <c r="C327" i="3"/>
  <c r="E326" i="3"/>
  <c r="F326" i="3" s="1"/>
  <c r="C326" i="3"/>
  <c r="F325" i="3"/>
  <c r="F324" i="3"/>
  <c r="F323" i="3"/>
  <c r="E322" i="3"/>
  <c r="F322" i="3" s="1"/>
  <c r="E321" i="3"/>
  <c r="F321" i="3" s="1"/>
  <c r="C321" i="3"/>
  <c r="E320" i="3"/>
  <c r="F320" i="3" s="1"/>
  <c r="C320" i="3"/>
  <c r="E319" i="3"/>
  <c r="F319" i="3" s="1"/>
  <c r="C319" i="3"/>
  <c r="E318" i="3"/>
  <c r="F318" i="3" s="1"/>
  <c r="C318" i="3"/>
  <c r="E317" i="3"/>
  <c r="F317" i="3" s="1"/>
  <c r="C317" i="3"/>
  <c r="E316" i="3"/>
  <c r="F316" i="3" s="1"/>
  <c r="C316" i="3"/>
  <c r="E315" i="3"/>
  <c r="F315" i="3" s="1"/>
  <c r="C315" i="3"/>
  <c r="E314" i="3"/>
  <c r="F314" i="3" s="1"/>
  <c r="C314" i="3"/>
  <c r="E313" i="3"/>
  <c r="F313" i="3" s="1"/>
  <c r="C313" i="3"/>
  <c r="E312" i="3"/>
  <c r="F312" i="3" s="1"/>
  <c r="C312" i="3"/>
  <c r="E311" i="3"/>
  <c r="F311" i="3" s="1"/>
  <c r="C311" i="3"/>
  <c r="E310" i="3"/>
  <c r="F310" i="3" s="1"/>
  <c r="C310" i="3"/>
  <c r="F309" i="3"/>
  <c r="F308" i="3"/>
  <c r="E307" i="3"/>
  <c r="F307" i="3" s="1"/>
  <c r="C307" i="3"/>
  <c r="E306" i="3"/>
  <c r="F306" i="3" s="1"/>
  <c r="C306" i="3"/>
  <c r="E305" i="3"/>
  <c r="F305" i="3" s="1"/>
  <c r="C305" i="3"/>
  <c r="E304" i="3"/>
  <c r="F304" i="3" s="1"/>
  <c r="C304" i="3"/>
  <c r="E303" i="3"/>
  <c r="F303" i="3" s="1"/>
  <c r="C303" i="3"/>
  <c r="E302" i="3"/>
  <c r="F302" i="3" s="1"/>
  <c r="C302" i="3"/>
  <c r="E301" i="3"/>
  <c r="F301" i="3" s="1"/>
  <c r="C301" i="3"/>
  <c r="E300" i="3"/>
  <c r="F300" i="3" s="1"/>
  <c r="C300" i="3"/>
  <c r="E299" i="3"/>
  <c r="F299" i="3" s="1"/>
  <c r="C299" i="3"/>
  <c r="E298" i="3"/>
  <c r="F298" i="3" s="1"/>
  <c r="C298" i="3"/>
  <c r="E297" i="3"/>
  <c r="F297" i="3" s="1"/>
  <c r="C297" i="3"/>
  <c r="E296" i="3"/>
  <c r="F296" i="3" s="1"/>
  <c r="C296" i="3"/>
  <c r="E295" i="3"/>
  <c r="F295" i="3" s="1"/>
  <c r="C295" i="3"/>
  <c r="E294" i="3"/>
  <c r="F294" i="3" s="1"/>
  <c r="C294" i="3"/>
  <c r="E293" i="3"/>
  <c r="F293" i="3" s="1"/>
  <c r="C293" i="3"/>
  <c r="E292" i="3"/>
  <c r="F292" i="3" s="1"/>
  <c r="C292" i="3"/>
  <c r="E291" i="3"/>
  <c r="F291" i="3" s="1"/>
  <c r="C291" i="3"/>
  <c r="E290" i="3"/>
  <c r="F290" i="3" s="1"/>
  <c r="C290" i="3"/>
  <c r="E289" i="3"/>
  <c r="F289" i="3" s="1"/>
  <c r="C289" i="3"/>
  <c r="E288" i="3"/>
  <c r="F288" i="3" s="1"/>
  <c r="C288" i="3"/>
  <c r="E287" i="3"/>
  <c r="F287" i="3" s="1"/>
  <c r="C287" i="3"/>
  <c r="E286" i="3"/>
  <c r="F286" i="3" s="1"/>
  <c r="C286" i="3"/>
  <c r="E285" i="3"/>
  <c r="F285" i="3" s="1"/>
  <c r="C285" i="3"/>
  <c r="E284" i="3"/>
  <c r="F284" i="3" s="1"/>
  <c r="C284" i="3"/>
  <c r="E283" i="3"/>
  <c r="F283" i="3" s="1"/>
  <c r="C283" i="3"/>
  <c r="E282" i="3"/>
  <c r="F282" i="3" s="1"/>
  <c r="C282" i="3"/>
  <c r="C281" i="3"/>
  <c r="F280" i="3"/>
  <c r="F279" i="3"/>
  <c r="E278" i="3"/>
  <c r="F278" i="3" s="1"/>
  <c r="C278" i="3"/>
  <c r="E277" i="3"/>
  <c r="F277" i="3" s="1"/>
  <c r="C277" i="3"/>
  <c r="E276" i="3"/>
  <c r="F276" i="3" s="1"/>
  <c r="C276" i="3"/>
  <c r="E275" i="3"/>
  <c r="F275" i="3" s="1"/>
  <c r="C275" i="3"/>
  <c r="E274" i="3"/>
  <c r="F274" i="3" s="1"/>
  <c r="C274" i="3"/>
  <c r="E273" i="3"/>
  <c r="F273" i="3" s="1"/>
  <c r="C273" i="3"/>
  <c r="E272" i="3"/>
  <c r="F272" i="3" s="1"/>
  <c r="C272" i="3"/>
  <c r="E271" i="3"/>
  <c r="F271" i="3" s="1"/>
  <c r="C271" i="3"/>
  <c r="E270" i="3"/>
  <c r="F270" i="3" s="1"/>
  <c r="C270" i="3"/>
  <c r="E269" i="3"/>
  <c r="F269" i="3" s="1"/>
  <c r="C269" i="3"/>
  <c r="E268" i="3"/>
  <c r="F268" i="3" s="1"/>
  <c r="C268" i="3"/>
  <c r="E267" i="3"/>
  <c r="F267" i="3" s="1"/>
  <c r="C267" i="3"/>
  <c r="E266" i="3"/>
  <c r="F266" i="3" s="1"/>
  <c r="C266" i="3"/>
  <c r="E265" i="3"/>
  <c r="F265" i="3" s="1"/>
  <c r="C265" i="3"/>
  <c r="E264" i="3"/>
  <c r="F264" i="3" s="1"/>
  <c r="C264" i="3"/>
  <c r="E263" i="3"/>
  <c r="F263" i="3" s="1"/>
  <c r="C263" i="3"/>
  <c r="E262" i="3"/>
  <c r="F262" i="3" s="1"/>
  <c r="C262" i="3"/>
  <c r="E261" i="3"/>
  <c r="F261" i="3" s="1"/>
  <c r="C261" i="3"/>
  <c r="E260" i="3"/>
  <c r="F260" i="3" s="1"/>
  <c r="C260" i="3"/>
  <c r="E259" i="3"/>
  <c r="F259" i="3" s="1"/>
  <c r="C259" i="3"/>
  <c r="E258" i="3"/>
  <c r="F258" i="3" s="1"/>
  <c r="C258" i="3"/>
  <c r="E257" i="3"/>
  <c r="F257" i="3" s="1"/>
  <c r="C257" i="3"/>
  <c r="E256" i="3"/>
  <c r="F256" i="3" s="1"/>
  <c r="C256" i="3"/>
  <c r="E255" i="3"/>
  <c r="F255" i="3" s="1"/>
  <c r="C255" i="3"/>
  <c r="E254" i="3"/>
  <c r="F254" i="3" s="1"/>
  <c r="C254" i="3"/>
  <c r="E253" i="3"/>
  <c r="F253" i="3" s="1"/>
  <c r="C253" i="3"/>
  <c r="E252" i="3"/>
  <c r="F252" i="3" s="1"/>
  <c r="C252" i="3"/>
  <c r="E251" i="3"/>
  <c r="F251" i="3" s="1"/>
  <c r="C251" i="3"/>
  <c r="E250" i="3"/>
  <c r="F250" i="3" s="1"/>
  <c r="C250" i="3"/>
  <c r="E249" i="3"/>
  <c r="F249" i="3" s="1"/>
  <c r="C249" i="3"/>
  <c r="E248" i="3"/>
  <c r="F248" i="3" s="1"/>
  <c r="C248" i="3"/>
  <c r="E247" i="3"/>
  <c r="F247" i="3" s="1"/>
  <c r="C247" i="3"/>
  <c r="E246" i="3"/>
  <c r="F246" i="3" s="1"/>
  <c r="C246" i="3"/>
  <c r="E245" i="3"/>
  <c r="F245" i="3" s="1"/>
  <c r="C245" i="3"/>
  <c r="E244" i="3"/>
  <c r="F244" i="3" s="1"/>
  <c r="C244" i="3"/>
  <c r="E243" i="3"/>
  <c r="F243" i="3" s="1"/>
  <c r="C243" i="3"/>
  <c r="E242" i="3"/>
  <c r="F242" i="3" s="1"/>
  <c r="C242" i="3"/>
  <c r="E241" i="3"/>
  <c r="F241" i="3" s="1"/>
  <c r="C241" i="3"/>
  <c r="E240" i="3"/>
  <c r="F240" i="3" s="1"/>
  <c r="C240" i="3"/>
  <c r="E239" i="3"/>
  <c r="F239" i="3" s="1"/>
  <c r="C239" i="3"/>
  <c r="E238" i="3"/>
  <c r="F238" i="3" s="1"/>
  <c r="C238" i="3"/>
  <c r="E237" i="3"/>
  <c r="F237" i="3" s="1"/>
  <c r="C237" i="3"/>
  <c r="E236" i="3"/>
  <c r="F236" i="3" s="1"/>
  <c r="C236" i="3"/>
  <c r="E235" i="3"/>
  <c r="F235" i="3" s="1"/>
  <c r="C235" i="3"/>
  <c r="E234" i="3"/>
  <c r="F234" i="3" s="1"/>
  <c r="C234" i="3"/>
  <c r="E233" i="3"/>
  <c r="F233" i="3" s="1"/>
  <c r="C233" i="3"/>
  <c r="E232" i="3"/>
  <c r="F232" i="3" s="1"/>
  <c r="C232" i="3"/>
  <c r="E231" i="3"/>
  <c r="F231" i="3" s="1"/>
  <c r="C231" i="3"/>
  <c r="E230" i="3"/>
  <c r="F230" i="3" s="1"/>
  <c r="C230" i="3"/>
  <c r="E229" i="3"/>
  <c r="F229" i="3" s="1"/>
  <c r="C229" i="3"/>
  <c r="E228" i="3"/>
  <c r="F228" i="3" s="1"/>
  <c r="C228" i="3"/>
  <c r="E227" i="3"/>
  <c r="F227" i="3" s="1"/>
  <c r="C227" i="3"/>
  <c r="E226" i="3"/>
  <c r="F226" i="3" s="1"/>
  <c r="C226" i="3"/>
  <c r="E225" i="3"/>
  <c r="F225" i="3" s="1"/>
  <c r="C225" i="3"/>
  <c r="E224" i="3"/>
  <c r="F224" i="3" s="1"/>
  <c r="C224" i="3"/>
  <c r="E223" i="3"/>
  <c r="F223" i="3" s="1"/>
  <c r="C223" i="3"/>
  <c r="F222" i="3"/>
  <c r="F221" i="3"/>
  <c r="E220" i="3"/>
  <c r="F220" i="3" s="1"/>
  <c r="C220" i="3"/>
  <c r="E219" i="3"/>
  <c r="F219" i="3" s="1"/>
  <c r="C219" i="3"/>
  <c r="E218" i="3"/>
  <c r="F218" i="3" s="1"/>
  <c r="C218" i="3"/>
  <c r="E217" i="3"/>
  <c r="F217" i="3" s="1"/>
  <c r="C217" i="3"/>
  <c r="E216" i="3"/>
  <c r="F216" i="3" s="1"/>
  <c r="C216" i="3"/>
  <c r="E215" i="3"/>
  <c r="F215" i="3" s="1"/>
  <c r="C215" i="3"/>
  <c r="E214" i="3"/>
  <c r="F214" i="3" s="1"/>
  <c r="C214" i="3"/>
  <c r="E213" i="3"/>
  <c r="F213" i="3" s="1"/>
  <c r="C213" i="3"/>
  <c r="E212" i="3"/>
  <c r="F212" i="3" s="1"/>
  <c r="C212" i="3"/>
  <c r="E211" i="3"/>
  <c r="F211" i="3" s="1"/>
  <c r="C211" i="3"/>
  <c r="E210" i="3"/>
  <c r="F210" i="3" s="1"/>
  <c r="C210" i="3"/>
  <c r="E209" i="3"/>
  <c r="F209" i="3" s="1"/>
  <c r="C209" i="3"/>
  <c r="E208" i="3"/>
  <c r="F208" i="3" s="1"/>
  <c r="C208" i="3"/>
  <c r="E207" i="3"/>
  <c r="F207" i="3" s="1"/>
  <c r="C207" i="3"/>
  <c r="E206" i="3"/>
  <c r="F206" i="3" s="1"/>
  <c r="C206" i="3"/>
  <c r="E205" i="3"/>
  <c r="F205" i="3" s="1"/>
  <c r="C205" i="3"/>
  <c r="E204" i="3"/>
  <c r="F204" i="3" s="1"/>
  <c r="C204" i="3"/>
  <c r="E203" i="3"/>
  <c r="F203" i="3" s="1"/>
  <c r="C203" i="3"/>
  <c r="E202" i="3"/>
  <c r="F202" i="3" s="1"/>
  <c r="C202" i="3"/>
  <c r="E201" i="3"/>
  <c r="F201" i="3" s="1"/>
  <c r="C201" i="3"/>
  <c r="E200" i="3"/>
  <c r="F200" i="3" s="1"/>
  <c r="C200" i="3"/>
  <c r="E199" i="3"/>
  <c r="F199" i="3" s="1"/>
  <c r="C199" i="3"/>
  <c r="F198" i="3"/>
  <c r="C198" i="3"/>
  <c r="E197" i="3"/>
  <c r="F197" i="3" s="1"/>
  <c r="C197" i="3"/>
  <c r="E196" i="3"/>
  <c r="F196" i="3" s="1"/>
  <c r="C196" i="3"/>
  <c r="E195" i="3"/>
  <c r="F195" i="3" s="1"/>
  <c r="C195" i="3"/>
  <c r="E194" i="3"/>
  <c r="F194" i="3" s="1"/>
  <c r="C194" i="3"/>
  <c r="E193" i="3"/>
  <c r="F193" i="3" s="1"/>
  <c r="C193" i="3"/>
  <c r="E192" i="3"/>
  <c r="F192" i="3" s="1"/>
  <c r="C192" i="3"/>
  <c r="E191" i="3"/>
  <c r="F191" i="3" s="1"/>
  <c r="C191" i="3"/>
  <c r="E190" i="3"/>
  <c r="F190" i="3" s="1"/>
  <c r="C190" i="3"/>
  <c r="E189" i="3"/>
  <c r="F189" i="3" s="1"/>
  <c r="C189" i="3"/>
  <c r="E188" i="3"/>
  <c r="F188" i="3" s="1"/>
  <c r="C188" i="3"/>
  <c r="E187" i="3"/>
  <c r="F187" i="3" s="1"/>
  <c r="C187" i="3"/>
  <c r="E186" i="3"/>
  <c r="F186" i="3" s="1"/>
  <c r="C186" i="3"/>
  <c r="E185" i="3"/>
  <c r="F185" i="3" s="1"/>
  <c r="C185" i="3"/>
  <c r="E184" i="3"/>
  <c r="F184" i="3" s="1"/>
  <c r="C184" i="3"/>
  <c r="E183" i="3"/>
  <c r="F183" i="3" s="1"/>
  <c r="C183" i="3"/>
  <c r="E182" i="3"/>
  <c r="F182" i="3" s="1"/>
  <c r="C182" i="3"/>
  <c r="E181" i="3"/>
  <c r="F181" i="3" s="1"/>
  <c r="C181" i="3"/>
  <c r="E180" i="3"/>
  <c r="E177" i="3"/>
  <c r="F177" i="3" s="1"/>
  <c r="C177" i="3"/>
  <c r="F176" i="3"/>
  <c r="E175" i="3"/>
  <c r="F175" i="3" s="1"/>
  <c r="C175" i="3"/>
  <c r="E174" i="3"/>
  <c r="F174" i="3" s="1"/>
  <c r="C174" i="3"/>
  <c r="E173" i="3"/>
  <c r="F173" i="3" s="1"/>
  <c r="C173" i="3"/>
  <c r="F168" i="3"/>
  <c r="E166" i="3"/>
  <c r="F166" i="3" s="1"/>
  <c r="C166" i="3"/>
  <c r="B166" i="3"/>
  <c r="E165" i="3"/>
  <c r="F165" i="3" s="1"/>
  <c r="C165" i="3"/>
  <c r="B165" i="3"/>
  <c r="E164" i="3"/>
  <c r="F164" i="3" s="1"/>
  <c r="C164" i="3"/>
  <c r="B164" i="3"/>
  <c r="E162" i="3"/>
  <c r="F162" i="3" s="1"/>
  <c r="C162" i="3"/>
  <c r="B162" i="3"/>
  <c r="E161" i="3"/>
  <c r="F161" i="3" s="1"/>
  <c r="C161" i="3"/>
  <c r="B161" i="3"/>
  <c r="E160" i="3"/>
  <c r="F160" i="3" s="1"/>
  <c r="C160" i="3"/>
  <c r="B160" i="3"/>
  <c r="E159" i="3"/>
  <c r="F159" i="3" s="1"/>
  <c r="C159" i="3"/>
  <c r="B159" i="3"/>
  <c r="E158" i="3"/>
  <c r="C158" i="3"/>
  <c r="B158" i="3"/>
  <c r="F155" i="3"/>
  <c r="F154" i="3"/>
  <c r="E153" i="3"/>
  <c r="F153" i="3" s="1"/>
  <c r="E152" i="3"/>
  <c r="F152" i="3" s="1"/>
  <c r="F151" i="3"/>
  <c r="F150" i="3"/>
  <c r="F149" i="3"/>
  <c r="E148" i="3"/>
  <c r="F148" i="3" s="1"/>
  <c r="E147" i="3"/>
  <c r="F147" i="3" s="1"/>
  <c r="E146" i="3"/>
  <c r="F146" i="3" s="1"/>
  <c r="E145" i="3"/>
  <c r="F145" i="3" s="1"/>
  <c r="F141" i="3"/>
  <c r="F140" i="3"/>
  <c r="E139" i="3"/>
  <c r="F139" i="3" s="1"/>
  <c r="E138" i="3"/>
  <c r="F138" i="3" s="1"/>
  <c r="E137" i="3"/>
  <c r="F137" i="3" s="1"/>
  <c r="E136" i="3"/>
  <c r="F136" i="3" s="1"/>
  <c r="E135" i="3"/>
  <c r="F135" i="3" s="1"/>
  <c r="E134" i="3"/>
  <c r="F134" i="3" s="1"/>
  <c r="E133" i="3"/>
  <c r="F133" i="3" s="1"/>
  <c r="E132" i="3"/>
  <c r="F132" i="3" s="1"/>
  <c r="E131" i="3"/>
  <c r="F131" i="3" s="1"/>
  <c r="E130" i="3"/>
  <c r="F130" i="3" s="1"/>
  <c r="E129" i="3"/>
  <c r="F129" i="3" s="1"/>
  <c r="E128" i="3"/>
  <c r="F128" i="3" s="1"/>
  <c r="E127" i="3"/>
  <c r="F127" i="3" s="1"/>
  <c r="E126" i="3"/>
  <c r="F126" i="3" s="1"/>
  <c r="E125" i="3"/>
  <c r="F125" i="3" s="1"/>
  <c r="E124" i="3"/>
  <c r="F124" i="3" s="1"/>
  <c r="E123" i="3"/>
  <c r="F123" i="3" s="1"/>
  <c r="E122" i="3"/>
  <c r="F122" i="3" s="1"/>
  <c r="E121" i="3"/>
  <c r="F121" i="3" s="1"/>
  <c r="E120" i="3"/>
  <c r="F120" i="3" s="1"/>
  <c r="E119" i="3"/>
  <c r="F119" i="3" s="1"/>
  <c r="E118" i="3"/>
  <c r="F118" i="3" s="1"/>
  <c r="E117" i="3"/>
  <c r="F117" i="3" s="1"/>
  <c r="E116" i="3"/>
  <c r="F116" i="3" s="1"/>
  <c r="E115" i="3"/>
  <c r="F115" i="3" s="1"/>
  <c r="E114" i="3"/>
  <c r="F114" i="3" s="1"/>
  <c r="E113" i="3"/>
  <c r="F113" i="3" s="1"/>
  <c r="E112" i="3"/>
  <c r="F112" i="3" s="1"/>
  <c r="E111" i="3"/>
  <c r="F111" i="3" s="1"/>
  <c r="E110" i="3"/>
  <c r="F110" i="3" s="1"/>
  <c r="E109" i="3"/>
  <c r="F109" i="3" s="1"/>
  <c r="E108" i="3"/>
  <c r="F108" i="3" s="1"/>
  <c r="E107" i="3"/>
  <c r="F107" i="3" s="1"/>
  <c r="F106" i="3"/>
  <c r="F105" i="3"/>
  <c r="E104" i="3"/>
  <c r="F104" i="3" s="1"/>
  <c r="E103" i="3"/>
  <c r="F103" i="3" s="1"/>
  <c r="E102" i="3"/>
  <c r="F102" i="3" s="1"/>
  <c r="E101" i="3"/>
  <c r="F101" i="3" s="1"/>
  <c r="E100" i="3"/>
  <c r="F100" i="3" s="1"/>
  <c r="E99" i="3"/>
  <c r="F99" i="3" s="1"/>
  <c r="E98" i="3"/>
  <c r="F98" i="3" s="1"/>
  <c r="E97" i="3"/>
  <c r="F97" i="3" s="1"/>
  <c r="E96" i="3"/>
  <c r="F96" i="3" s="1"/>
  <c r="E95" i="3"/>
  <c r="F95" i="3" s="1"/>
  <c r="E94" i="3"/>
  <c r="F94" i="3" s="1"/>
  <c r="E93" i="3"/>
  <c r="F93" i="3" s="1"/>
  <c r="E92" i="3"/>
  <c r="F92" i="3" s="1"/>
  <c r="E91" i="3"/>
  <c r="F91" i="3" s="1"/>
  <c r="E90" i="3"/>
  <c r="F90" i="3" s="1"/>
  <c r="E89" i="3"/>
  <c r="F89" i="3" s="1"/>
  <c r="E88" i="3"/>
  <c r="F88" i="3" s="1"/>
  <c r="E87" i="3"/>
  <c r="F87" i="3" s="1"/>
  <c r="E86" i="3"/>
  <c r="F86" i="3" s="1"/>
  <c r="E85" i="3"/>
  <c r="F85" i="3" s="1"/>
  <c r="E84" i="3"/>
  <c r="F84" i="3" s="1"/>
  <c r="E83" i="3"/>
  <c r="F83" i="3" s="1"/>
  <c r="E82" i="3"/>
  <c r="F82" i="3" s="1"/>
  <c r="E81" i="3"/>
  <c r="F81" i="3" s="1"/>
  <c r="E80" i="3"/>
  <c r="F80" i="3" s="1"/>
  <c r="E79" i="3"/>
  <c r="F79" i="3" s="1"/>
  <c r="E78" i="3"/>
  <c r="F78" i="3" s="1"/>
  <c r="E77" i="3"/>
  <c r="F77" i="3" s="1"/>
  <c r="E76" i="3"/>
  <c r="F76" i="3" s="1"/>
  <c r="E75" i="3"/>
  <c r="F75" i="3" s="1"/>
  <c r="E74" i="3"/>
  <c r="F74" i="3" s="1"/>
  <c r="E71" i="3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58" i="3"/>
  <c r="F58" i="3" s="1"/>
  <c r="E57" i="3"/>
  <c r="F57" i="3" s="1"/>
  <c r="E56" i="3"/>
  <c r="F56" i="3" s="1"/>
  <c r="E55" i="3"/>
  <c r="F55" i="3" s="1"/>
  <c r="E54" i="3"/>
  <c r="F54" i="3" s="1"/>
  <c r="E53" i="3"/>
  <c r="F53" i="3" s="1"/>
  <c r="E48" i="3"/>
  <c r="F48" i="3" s="1"/>
  <c r="B48" i="3"/>
  <c r="E47" i="3"/>
  <c r="F47" i="3" s="1"/>
  <c r="B47" i="3"/>
  <c r="E46" i="3"/>
  <c r="F46" i="3" s="1"/>
  <c r="B46" i="3"/>
  <c r="E44" i="3"/>
  <c r="F44" i="3" s="1"/>
  <c r="B44" i="3"/>
  <c r="E43" i="3"/>
  <c r="F43" i="3" s="1"/>
  <c r="B43" i="3"/>
  <c r="E42" i="3"/>
  <c r="F42" i="3" s="1"/>
  <c r="B42" i="3"/>
  <c r="E41" i="3"/>
  <c r="F41" i="3" s="1"/>
  <c r="B41" i="3"/>
  <c r="E39" i="3"/>
  <c r="F39" i="3" s="1"/>
  <c r="E38" i="3"/>
  <c r="F38" i="3" s="1"/>
  <c r="B38" i="3"/>
  <c r="E37" i="3"/>
  <c r="F37" i="3" s="1"/>
  <c r="B37" i="3"/>
  <c r="B32" i="3"/>
  <c r="B31" i="3"/>
  <c r="B28" i="3"/>
  <c r="B23" i="3"/>
  <c r="B22" i="3"/>
  <c r="B21" i="3"/>
  <c r="B20" i="3"/>
  <c r="B19" i="3"/>
  <c r="B18" i="3"/>
  <c r="B15" i="3"/>
  <c r="F94" i="2"/>
  <c r="E95" i="2" s="1"/>
  <c r="F95" i="2" s="1"/>
  <c r="F96" i="2" s="1"/>
  <c r="F87" i="2"/>
  <c r="F83" i="2"/>
  <c r="E81" i="2"/>
  <c r="D81" i="2"/>
  <c r="F80" i="2"/>
  <c r="B80" i="2"/>
  <c r="E79" i="2"/>
  <c r="D79" i="2"/>
  <c r="B79" i="2"/>
  <c r="E78" i="2"/>
  <c r="D78" i="2"/>
  <c r="B78" i="2"/>
  <c r="E77" i="2"/>
  <c r="D77" i="2"/>
  <c r="B77" i="2"/>
  <c r="F76" i="2"/>
  <c r="D75" i="2"/>
  <c r="F75" i="2" s="1"/>
  <c r="F74" i="2"/>
  <c r="F72" i="2"/>
  <c r="F71" i="2"/>
  <c r="F70" i="2"/>
  <c r="F65" i="2"/>
  <c r="G60" i="2"/>
  <c r="B60" i="2"/>
  <c r="G59" i="2"/>
  <c r="G58" i="2"/>
  <c r="G57" i="2"/>
  <c r="B57" i="2"/>
  <c r="F46" i="2"/>
  <c r="F45" i="2"/>
  <c r="B44" i="2"/>
  <c r="B40" i="2"/>
  <c r="B39" i="2"/>
  <c r="B36" i="2"/>
  <c r="F35" i="2"/>
  <c r="F26" i="2"/>
  <c r="B18" i="2"/>
  <c r="B17" i="2"/>
  <c r="B14" i="2"/>
  <c r="S76" i="1"/>
  <c r="N76" i="1"/>
  <c r="E31" i="12" s="1"/>
  <c r="N75" i="1"/>
  <c r="E30" i="12" s="1"/>
  <c r="N74" i="1"/>
  <c r="N72" i="1"/>
  <c r="E18" i="12" s="1"/>
  <c r="N71" i="1"/>
  <c r="R53" i="1"/>
  <c r="Q51" i="1"/>
  <c r="R33" i="1"/>
  <c r="W31" i="1"/>
  <c r="AC17" i="1"/>
  <c r="Z17" i="1"/>
  <c r="W11" i="1"/>
  <c r="W17" i="1" s="1"/>
  <c r="I913" i="4"/>
  <c r="E913" i="4"/>
  <c r="F913" i="4" s="1"/>
  <c r="I912" i="4"/>
  <c r="E912" i="4"/>
  <c r="I911" i="4"/>
  <c r="E911" i="4"/>
  <c r="F911" i="4" s="1"/>
  <c r="E910" i="4"/>
  <c r="F910" i="4" s="1"/>
  <c r="J909" i="4"/>
  <c r="E909" i="4"/>
  <c r="F909" i="4" s="1"/>
  <c r="E908" i="4"/>
  <c r="L908" i="4" s="1"/>
  <c r="N908" i="4" s="1"/>
  <c r="E907" i="4"/>
  <c r="F907" i="4" s="1"/>
  <c r="E906" i="4"/>
  <c r="F906" i="4" s="1"/>
  <c r="J905" i="4"/>
  <c r="E905" i="4"/>
  <c r="F905" i="4" s="1"/>
  <c r="E899" i="4"/>
  <c r="G899" i="4" s="1"/>
  <c r="H899" i="4" s="1"/>
  <c r="G890" i="4"/>
  <c r="D890" i="4"/>
  <c r="C890" i="4"/>
  <c r="G889" i="4"/>
  <c r="D889" i="4"/>
  <c r="C889" i="4"/>
  <c r="G888" i="4"/>
  <c r="D888" i="4"/>
  <c r="G887" i="4"/>
  <c r="D887" i="4"/>
  <c r="E886" i="4"/>
  <c r="E890" i="4" s="1"/>
  <c r="B886" i="4"/>
  <c r="G885" i="4"/>
  <c r="B885" i="4"/>
  <c r="C876" i="4"/>
  <c r="E880" i="4" s="1"/>
  <c r="F854" i="4"/>
  <c r="F853" i="4"/>
  <c r="F852" i="4"/>
  <c r="F851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E785" i="4"/>
  <c r="F785" i="4" s="1"/>
  <c r="F784" i="4"/>
  <c r="E783" i="4"/>
  <c r="F783" i="4" s="1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1" i="4"/>
  <c r="F759" i="4"/>
  <c r="F758" i="4"/>
  <c r="F757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E733" i="4"/>
  <c r="F733" i="4" s="1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88" i="4"/>
  <c r="F687" i="4"/>
  <c r="F686" i="4"/>
  <c r="F685" i="4"/>
  <c r="F684" i="4"/>
  <c r="F683" i="4"/>
  <c r="F682" i="4"/>
  <c r="E681" i="4"/>
  <c r="F681" i="4" s="1"/>
  <c r="E680" i="4"/>
  <c r="F680" i="4" s="1"/>
  <c r="E679" i="4"/>
  <c r="F679" i="4" s="1"/>
  <c r="F678" i="4"/>
  <c r="F677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E425" i="4"/>
  <c r="F425" i="4" s="1"/>
  <c r="F424" i="4"/>
  <c r="E423" i="4"/>
  <c r="F423" i="4" s="1"/>
  <c r="F422" i="4"/>
  <c r="F421" i="4"/>
  <c r="E420" i="4"/>
  <c r="F420" i="4" s="1"/>
  <c r="E419" i="4"/>
  <c r="F419" i="4" s="1"/>
  <c r="F417" i="4"/>
  <c r="F416" i="4"/>
  <c r="F415" i="4"/>
  <c r="F414" i="4"/>
  <c r="F413" i="4"/>
  <c r="F412" i="4"/>
  <c r="E411" i="4"/>
  <c r="F411" i="4" s="1"/>
  <c r="E410" i="4"/>
  <c r="F410" i="4" s="1"/>
  <c r="F409" i="4"/>
  <c r="E408" i="4"/>
  <c r="F408" i="4" s="1"/>
  <c r="E407" i="4"/>
  <c r="F407" i="4" s="1"/>
  <c r="E406" i="4"/>
  <c r="F406" i="4" s="1"/>
  <c r="E405" i="4"/>
  <c r="F405" i="4" s="1"/>
  <c r="F404" i="4"/>
  <c r="E403" i="4"/>
  <c r="F403" i="4" s="1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E353" i="4"/>
  <c r="F353" i="4" s="1"/>
  <c r="F352" i="4"/>
  <c r="F351" i="4"/>
  <c r="F350" i="4"/>
  <c r="F349" i="4"/>
  <c r="F348" i="4"/>
  <c r="F347" i="4"/>
  <c r="E342" i="4"/>
  <c r="F342" i="4" s="1"/>
  <c r="C342" i="4"/>
  <c r="E341" i="4"/>
  <c r="F341" i="4" s="1"/>
  <c r="C341" i="4"/>
  <c r="E340" i="4"/>
  <c r="F340" i="4" s="1"/>
  <c r="C340" i="4"/>
  <c r="F339" i="4"/>
  <c r="E338" i="4"/>
  <c r="F338" i="4" s="1"/>
  <c r="C338" i="4"/>
  <c r="F337" i="4"/>
  <c r="C337" i="4"/>
  <c r="C333" i="4"/>
  <c r="E332" i="4"/>
  <c r="F332" i="4" s="1"/>
  <c r="C332" i="4"/>
  <c r="E331" i="4"/>
  <c r="F331" i="4" s="1"/>
  <c r="C331" i="4"/>
  <c r="E330" i="4"/>
  <c r="F330" i="4" s="1"/>
  <c r="C330" i="4"/>
  <c r="E329" i="4"/>
  <c r="F329" i="4" s="1"/>
  <c r="C329" i="4"/>
  <c r="E328" i="4"/>
  <c r="F328" i="4" s="1"/>
  <c r="C328" i="4"/>
  <c r="E327" i="4"/>
  <c r="F327" i="4" s="1"/>
  <c r="C327" i="4"/>
  <c r="E326" i="4"/>
  <c r="F326" i="4" s="1"/>
  <c r="C326" i="4"/>
  <c r="E325" i="4"/>
  <c r="F325" i="4" s="1"/>
  <c r="C325" i="4"/>
  <c r="E324" i="4"/>
  <c r="F324" i="4" s="1"/>
  <c r="C324" i="4"/>
  <c r="E323" i="4"/>
  <c r="F323" i="4" s="1"/>
  <c r="C323" i="4"/>
  <c r="E322" i="4"/>
  <c r="F322" i="4" s="1"/>
  <c r="C322" i="4"/>
  <c r="E321" i="4"/>
  <c r="F321" i="4" s="1"/>
  <c r="C321" i="4"/>
  <c r="E320" i="4"/>
  <c r="F320" i="4" s="1"/>
  <c r="C320" i="4"/>
  <c r="E319" i="4"/>
  <c r="F319" i="4" s="1"/>
  <c r="C319" i="4"/>
  <c r="E318" i="4"/>
  <c r="F318" i="4" s="1"/>
  <c r="C318" i="4"/>
  <c r="E317" i="4"/>
  <c r="F317" i="4" s="1"/>
  <c r="C317" i="4"/>
  <c r="E316" i="4"/>
  <c r="F316" i="4" s="1"/>
  <c r="C316" i="4"/>
  <c r="E315" i="4"/>
  <c r="F315" i="4" s="1"/>
  <c r="C315" i="4"/>
  <c r="E314" i="4"/>
  <c r="F314" i="4" s="1"/>
  <c r="C314" i="4"/>
  <c r="E313" i="4"/>
  <c r="F313" i="4" s="1"/>
  <c r="C313" i="4"/>
  <c r="E312" i="4"/>
  <c r="F312" i="4" s="1"/>
  <c r="C312" i="4"/>
  <c r="E311" i="4"/>
  <c r="F311" i="4" s="1"/>
  <c r="C311" i="4"/>
  <c r="E310" i="4"/>
  <c r="F310" i="4" s="1"/>
  <c r="C310" i="4"/>
  <c r="E309" i="4"/>
  <c r="F309" i="4" s="1"/>
  <c r="C309" i="4"/>
  <c r="E308" i="4"/>
  <c r="F308" i="4" s="1"/>
  <c r="C308" i="4"/>
  <c r="E307" i="4"/>
  <c r="F307" i="4" s="1"/>
  <c r="C307" i="4"/>
  <c r="E306" i="4"/>
  <c r="F306" i="4" s="1"/>
  <c r="C306" i="4"/>
  <c r="E305" i="4"/>
  <c r="F305" i="4" s="1"/>
  <c r="C305" i="4"/>
  <c r="E304" i="4"/>
  <c r="F304" i="4" s="1"/>
  <c r="C304" i="4"/>
  <c r="E303" i="4"/>
  <c r="F303" i="4" s="1"/>
  <c r="C303" i="4"/>
  <c r="E302" i="4"/>
  <c r="F302" i="4" s="1"/>
  <c r="C302" i="4"/>
  <c r="E301" i="4"/>
  <c r="F301" i="4" s="1"/>
  <c r="C301" i="4"/>
  <c r="E300" i="4"/>
  <c r="F300" i="4" s="1"/>
  <c r="C300" i="4"/>
  <c r="E299" i="4"/>
  <c r="F299" i="4" s="1"/>
  <c r="C299" i="4"/>
  <c r="E298" i="4"/>
  <c r="F298" i="4" s="1"/>
  <c r="C298" i="4"/>
  <c r="E297" i="4"/>
  <c r="F297" i="4" s="1"/>
  <c r="C297" i="4"/>
  <c r="E296" i="4"/>
  <c r="F296" i="4" s="1"/>
  <c r="C296" i="4"/>
  <c r="E295" i="4"/>
  <c r="F295" i="4" s="1"/>
  <c r="C295" i="4"/>
  <c r="E294" i="4"/>
  <c r="F294" i="4" s="1"/>
  <c r="C294" i="4"/>
  <c r="E293" i="4"/>
  <c r="F293" i="4" s="1"/>
  <c r="C293" i="4"/>
  <c r="E292" i="4"/>
  <c r="F292" i="4" s="1"/>
  <c r="C292" i="4"/>
  <c r="E291" i="4"/>
  <c r="F291" i="4" s="1"/>
  <c r="C291" i="4"/>
  <c r="E290" i="4"/>
  <c r="F290" i="4" s="1"/>
  <c r="C290" i="4"/>
  <c r="E289" i="4"/>
  <c r="F289" i="4" s="1"/>
  <c r="C289" i="4"/>
  <c r="E288" i="4"/>
  <c r="F288" i="4" s="1"/>
  <c r="C288" i="4"/>
  <c r="E287" i="4"/>
  <c r="F287" i="4" s="1"/>
  <c r="C287" i="4"/>
  <c r="E286" i="4"/>
  <c r="F286" i="4" s="1"/>
  <c r="C286" i="4"/>
  <c r="E285" i="4"/>
  <c r="F285" i="4" s="1"/>
  <c r="C285" i="4"/>
  <c r="E284" i="4"/>
  <c r="F284" i="4" s="1"/>
  <c r="C284" i="4"/>
  <c r="E283" i="4"/>
  <c r="F283" i="4" s="1"/>
  <c r="C283" i="4"/>
  <c r="E282" i="4"/>
  <c r="F282" i="4" s="1"/>
  <c r="C282" i="4"/>
  <c r="E281" i="4"/>
  <c r="F281" i="4" s="1"/>
  <c r="C281" i="4"/>
  <c r="E280" i="4"/>
  <c r="F280" i="4" s="1"/>
  <c r="C280" i="4"/>
  <c r="E279" i="4"/>
  <c r="F279" i="4" s="1"/>
  <c r="C279" i="4"/>
  <c r="E278" i="4"/>
  <c r="F278" i="4" s="1"/>
  <c r="C278" i="4"/>
  <c r="E277" i="4"/>
  <c r="F277" i="4" s="1"/>
  <c r="C277" i="4"/>
  <c r="E276" i="4"/>
  <c r="F276" i="4" s="1"/>
  <c r="C276" i="4"/>
  <c r="E275" i="4"/>
  <c r="F275" i="4" s="1"/>
  <c r="C275" i="4"/>
  <c r="E274" i="4"/>
  <c r="F274" i="4" s="1"/>
  <c r="C274" i="4"/>
  <c r="C273" i="4"/>
  <c r="F272" i="4"/>
  <c r="F271" i="4"/>
  <c r="E270" i="4"/>
  <c r="F270" i="4" s="1"/>
  <c r="C270" i="4"/>
  <c r="E269" i="4"/>
  <c r="F269" i="4" s="1"/>
  <c r="C269" i="4"/>
  <c r="E268" i="4"/>
  <c r="F268" i="4" s="1"/>
  <c r="C268" i="4"/>
  <c r="E267" i="4"/>
  <c r="F267" i="4" s="1"/>
  <c r="C267" i="4"/>
  <c r="E266" i="4"/>
  <c r="F266" i="4" s="1"/>
  <c r="C266" i="4"/>
  <c r="E265" i="4"/>
  <c r="F265" i="4" s="1"/>
  <c r="C265" i="4"/>
  <c r="E264" i="4"/>
  <c r="F264" i="4" s="1"/>
  <c r="C264" i="4"/>
  <c r="E263" i="4"/>
  <c r="F263" i="4" s="1"/>
  <c r="C263" i="4"/>
  <c r="E262" i="4"/>
  <c r="F262" i="4" s="1"/>
  <c r="C262" i="4"/>
  <c r="E261" i="4"/>
  <c r="F261" i="4" s="1"/>
  <c r="C261" i="4"/>
  <c r="E260" i="4"/>
  <c r="F260" i="4" s="1"/>
  <c r="C260" i="4"/>
  <c r="E259" i="4"/>
  <c r="F259" i="4" s="1"/>
  <c r="C259" i="4"/>
  <c r="E258" i="4"/>
  <c r="F258" i="4" s="1"/>
  <c r="C258" i="4"/>
  <c r="E257" i="4"/>
  <c r="F257" i="4" s="1"/>
  <c r="C257" i="4"/>
  <c r="E256" i="4"/>
  <c r="F256" i="4" s="1"/>
  <c r="C256" i="4"/>
  <c r="E255" i="4"/>
  <c r="F255" i="4" s="1"/>
  <c r="C255" i="4"/>
  <c r="E254" i="4"/>
  <c r="F254" i="4" s="1"/>
  <c r="C254" i="4"/>
  <c r="E253" i="4"/>
  <c r="F253" i="4" s="1"/>
  <c r="C253" i="4"/>
  <c r="E252" i="4"/>
  <c r="F252" i="4" s="1"/>
  <c r="C252" i="4"/>
  <c r="E251" i="4"/>
  <c r="F251" i="4" s="1"/>
  <c r="C251" i="4"/>
  <c r="E250" i="4"/>
  <c r="F250" i="4" s="1"/>
  <c r="C250" i="4"/>
  <c r="E249" i="4"/>
  <c r="F249" i="4" s="1"/>
  <c r="C249" i="4"/>
  <c r="E248" i="4"/>
  <c r="F248" i="4" s="1"/>
  <c r="C248" i="4"/>
  <c r="E247" i="4"/>
  <c r="F247" i="4" s="1"/>
  <c r="C247" i="4"/>
  <c r="E246" i="4"/>
  <c r="F246" i="4" s="1"/>
  <c r="C246" i="4"/>
  <c r="E245" i="4"/>
  <c r="F245" i="4" s="1"/>
  <c r="C245" i="4"/>
  <c r="E244" i="4"/>
  <c r="F244" i="4" s="1"/>
  <c r="C244" i="4"/>
  <c r="E243" i="4"/>
  <c r="F243" i="4" s="1"/>
  <c r="C243" i="4"/>
  <c r="E242" i="4"/>
  <c r="F242" i="4" s="1"/>
  <c r="C242" i="4"/>
  <c r="E241" i="4"/>
  <c r="F241" i="4" s="1"/>
  <c r="C241" i="4"/>
  <c r="E240" i="4"/>
  <c r="F240" i="4" s="1"/>
  <c r="C240" i="4"/>
  <c r="E239" i="4"/>
  <c r="F239" i="4" s="1"/>
  <c r="C239" i="4"/>
  <c r="E238" i="4"/>
  <c r="F238" i="4" s="1"/>
  <c r="C238" i="4"/>
  <c r="E237" i="4"/>
  <c r="F237" i="4" s="1"/>
  <c r="C237" i="4"/>
  <c r="E236" i="4"/>
  <c r="F236" i="4" s="1"/>
  <c r="C236" i="4"/>
  <c r="E235" i="4"/>
  <c r="F235" i="4" s="1"/>
  <c r="C235" i="4"/>
  <c r="E234" i="4"/>
  <c r="F234" i="4" s="1"/>
  <c r="C234" i="4"/>
  <c r="E233" i="4"/>
  <c r="F233" i="4" s="1"/>
  <c r="C233" i="4"/>
  <c r="E232" i="4"/>
  <c r="F232" i="4" s="1"/>
  <c r="C232" i="4"/>
  <c r="E231" i="4"/>
  <c r="F231" i="4" s="1"/>
  <c r="C231" i="4"/>
  <c r="E230" i="4"/>
  <c r="F230" i="4" s="1"/>
  <c r="C230" i="4"/>
  <c r="E229" i="4"/>
  <c r="F229" i="4" s="1"/>
  <c r="C229" i="4"/>
  <c r="E228" i="4"/>
  <c r="F228" i="4" s="1"/>
  <c r="C228" i="4"/>
  <c r="E227" i="4"/>
  <c r="F227" i="4" s="1"/>
  <c r="C227" i="4"/>
  <c r="E226" i="4"/>
  <c r="F226" i="4" s="1"/>
  <c r="C226" i="4"/>
  <c r="E225" i="4"/>
  <c r="F225" i="4" s="1"/>
  <c r="C225" i="4"/>
  <c r="E224" i="4"/>
  <c r="F224" i="4" s="1"/>
  <c r="C224" i="4"/>
  <c r="E223" i="4"/>
  <c r="F223" i="4" s="1"/>
  <c r="C223" i="4"/>
  <c r="E222" i="4"/>
  <c r="F222" i="4" s="1"/>
  <c r="C222" i="4"/>
  <c r="E221" i="4"/>
  <c r="F221" i="4" s="1"/>
  <c r="C221" i="4"/>
  <c r="E220" i="4"/>
  <c r="F220" i="4" s="1"/>
  <c r="C220" i="4"/>
  <c r="E219" i="4"/>
  <c r="F219" i="4" s="1"/>
  <c r="C219" i="4"/>
  <c r="E218" i="4"/>
  <c r="F218" i="4" s="1"/>
  <c r="C218" i="4"/>
  <c r="E217" i="4"/>
  <c r="F217" i="4" s="1"/>
  <c r="C217" i="4"/>
  <c r="E216" i="4"/>
  <c r="F216" i="4" s="1"/>
  <c r="C216" i="4"/>
  <c r="E215" i="4"/>
  <c r="F215" i="4" s="1"/>
  <c r="C215" i="4"/>
  <c r="E214" i="4"/>
  <c r="F214" i="4" s="1"/>
  <c r="C214" i="4"/>
  <c r="E213" i="4"/>
  <c r="F213" i="4" s="1"/>
  <c r="C213" i="4"/>
  <c r="E212" i="4"/>
  <c r="F212" i="4" s="1"/>
  <c r="C212" i="4"/>
  <c r="E211" i="4"/>
  <c r="F211" i="4" s="1"/>
  <c r="C211" i="4"/>
  <c r="E210" i="4"/>
  <c r="F210" i="4" s="1"/>
  <c r="C210" i="4"/>
  <c r="E209" i="4"/>
  <c r="F209" i="4" s="1"/>
  <c r="C209" i="4"/>
  <c r="E208" i="4"/>
  <c r="F208" i="4" s="1"/>
  <c r="C208" i="4"/>
  <c r="E207" i="4"/>
  <c r="F207" i="4" s="1"/>
  <c r="C207" i="4"/>
  <c r="E206" i="4"/>
  <c r="F206" i="4" s="1"/>
  <c r="C206" i="4"/>
  <c r="E205" i="4"/>
  <c r="F205" i="4" s="1"/>
  <c r="C205" i="4"/>
  <c r="E204" i="4"/>
  <c r="F204" i="4" s="1"/>
  <c r="C204" i="4"/>
  <c r="E203" i="4"/>
  <c r="F203" i="4" s="1"/>
  <c r="C203" i="4"/>
  <c r="E202" i="4"/>
  <c r="F202" i="4" s="1"/>
  <c r="C202" i="4"/>
  <c r="E201" i="4"/>
  <c r="F201" i="4" s="1"/>
  <c r="C201" i="4"/>
  <c r="E200" i="4"/>
  <c r="F200" i="4" s="1"/>
  <c r="C200" i="4"/>
  <c r="E199" i="4"/>
  <c r="F199" i="4" s="1"/>
  <c r="C199" i="4"/>
  <c r="E198" i="4"/>
  <c r="F198" i="4" s="1"/>
  <c r="C198" i="4"/>
  <c r="E197" i="4"/>
  <c r="F197" i="4" s="1"/>
  <c r="C197" i="4"/>
  <c r="E196" i="4"/>
  <c r="F196" i="4" s="1"/>
  <c r="C196" i="4"/>
  <c r="E195" i="4"/>
  <c r="F195" i="4" s="1"/>
  <c r="C195" i="4"/>
  <c r="E194" i="4"/>
  <c r="F194" i="4" s="1"/>
  <c r="C194" i="4"/>
  <c r="E193" i="4"/>
  <c r="F193" i="4" s="1"/>
  <c r="C193" i="4"/>
  <c r="E192" i="4"/>
  <c r="F192" i="4" s="1"/>
  <c r="C192" i="4"/>
  <c r="E191" i="4"/>
  <c r="F191" i="4" s="1"/>
  <c r="C191" i="4"/>
  <c r="E190" i="4"/>
  <c r="F190" i="4" s="1"/>
  <c r="C190" i="4"/>
  <c r="E189" i="4"/>
  <c r="F189" i="4" s="1"/>
  <c r="C189" i="4"/>
  <c r="E188" i="4"/>
  <c r="F188" i="4" s="1"/>
  <c r="C188" i="4"/>
  <c r="E187" i="4"/>
  <c r="F187" i="4" s="1"/>
  <c r="C187" i="4"/>
  <c r="E186" i="4"/>
  <c r="F186" i="4" s="1"/>
  <c r="C186" i="4"/>
  <c r="E185" i="4"/>
  <c r="F185" i="4" s="1"/>
  <c r="C185" i="4"/>
  <c r="E184" i="4"/>
  <c r="F184" i="4" s="1"/>
  <c r="C184" i="4"/>
  <c r="E183" i="4"/>
  <c r="F183" i="4" s="1"/>
  <c r="C183" i="4"/>
  <c r="E182" i="4"/>
  <c r="F182" i="4" s="1"/>
  <c r="C182" i="4"/>
  <c r="E181" i="4"/>
  <c r="F181" i="4" s="1"/>
  <c r="C181" i="4"/>
  <c r="E180" i="4"/>
  <c r="F180" i="4" s="1"/>
  <c r="C180" i="4"/>
  <c r="E179" i="4"/>
  <c r="F179" i="4" s="1"/>
  <c r="C179" i="4"/>
  <c r="E178" i="4"/>
  <c r="F178" i="4" s="1"/>
  <c r="C178" i="4"/>
  <c r="E177" i="4"/>
  <c r="F177" i="4" s="1"/>
  <c r="C177" i="4"/>
  <c r="E176" i="4"/>
  <c r="F176" i="4" s="1"/>
  <c r="C176" i="4"/>
  <c r="E175" i="4"/>
  <c r="E174" i="4"/>
  <c r="F174" i="4" s="1"/>
  <c r="C174" i="4"/>
  <c r="E173" i="4"/>
  <c r="F173" i="4" s="1"/>
  <c r="C173" i="4"/>
  <c r="E172" i="4"/>
  <c r="F172" i="4" s="1"/>
  <c r="C172" i="4"/>
  <c r="E171" i="4"/>
  <c r="F171" i="4" s="1"/>
  <c r="C171" i="4"/>
  <c r="F166" i="4"/>
  <c r="E164" i="4"/>
  <c r="F164" i="4" s="1"/>
  <c r="C164" i="4"/>
  <c r="B164" i="4"/>
  <c r="E163" i="4"/>
  <c r="F163" i="4" s="1"/>
  <c r="C163" i="4"/>
  <c r="B163" i="4"/>
  <c r="E162" i="4"/>
  <c r="F162" i="4" s="1"/>
  <c r="C162" i="4"/>
  <c r="B162" i="4"/>
  <c r="E160" i="4"/>
  <c r="F160" i="4" s="1"/>
  <c r="C160" i="4"/>
  <c r="B160" i="4"/>
  <c r="E159" i="4"/>
  <c r="F159" i="4" s="1"/>
  <c r="C159" i="4"/>
  <c r="B159" i="4"/>
  <c r="E158" i="4"/>
  <c r="F158" i="4" s="1"/>
  <c r="C158" i="4"/>
  <c r="B158" i="4"/>
  <c r="E157" i="4"/>
  <c r="F157" i="4" s="1"/>
  <c r="C157" i="4"/>
  <c r="B157" i="4"/>
  <c r="E156" i="4"/>
  <c r="C156" i="4"/>
  <c r="B156" i="4"/>
  <c r="F152" i="4"/>
  <c r="E151" i="4"/>
  <c r="F151" i="4" s="1"/>
  <c r="E150" i="4"/>
  <c r="F150" i="4" s="1"/>
  <c r="F149" i="4"/>
  <c r="F148" i="4"/>
  <c r="F147" i="4"/>
  <c r="E146" i="4"/>
  <c r="E145" i="4"/>
  <c r="E144" i="4"/>
  <c r="F144" i="4" s="1"/>
  <c r="E143" i="4"/>
  <c r="F143" i="4" s="1"/>
  <c r="F139" i="4"/>
  <c r="E137" i="4"/>
  <c r="F137" i="4" s="1"/>
  <c r="E136" i="4"/>
  <c r="F136" i="4" s="1"/>
  <c r="E135" i="4"/>
  <c r="F135" i="4" s="1"/>
  <c r="E134" i="4"/>
  <c r="F134" i="4" s="1"/>
  <c r="E133" i="4"/>
  <c r="F133" i="4" s="1"/>
  <c r="E132" i="4"/>
  <c r="F132" i="4" s="1"/>
  <c r="E131" i="4"/>
  <c r="F131" i="4" s="1"/>
  <c r="E130" i="4"/>
  <c r="F130" i="4" s="1"/>
  <c r="E129" i="4"/>
  <c r="F129" i="4" s="1"/>
  <c r="E128" i="4"/>
  <c r="F128" i="4" s="1"/>
  <c r="E127" i="4"/>
  <c r="F127" i="4" s="1"/>
  <c r="E126" i="4"/>
  <c r="F126" i="4" s="1"/>
  <c r="E125" i="4"/>
  <c r="F125" i="4" s="1"/>
  <c r="E124" i="4"/>
  <c r="F124" i="4" s="1"/>
  <c r="E123" i="4"/>
  <c r="F123" i="4" s="1"/>
  <c r="E122" i="4"/>
  <c r="F122" i="4" s="1"/>
  <c r="E121" i="4"/>
  <c r="F121" i="4" s="1"/>
  <c r="E120" i="4"/>
  <c r="F120" i="4" s="1"/>
  <c r="E119" i="4"/>
  <c r="F119" i="4" s="1"/>
  <c r="E118" i="4"/>
  <c r="F118" i="4" s="1"/>
  <c r="E117" i="4"/>
  <c r="F117" i="4" s="1"/>
  <c r="E116" i="4"/>
  <c r="F116" i="4" s="1"/>
  <c r="E115" i="4"/>
  <c r="F115" i="4" s="1"/>
  <c r="E114" i="4"/>
  <c r="F114" i="4" s="1"/>
  <c r="E113" i="4"/>
  <c r="F113" i="4" s="1"/>
  <c r="E112" i="4"/>
  <c r="F112" i="4" s="1"/>
  <c r="E111" i="4"/>
  <c r="F111" i="4" s="1"/>
  <c r="E110" i="4"/>
  <c r="F110" i="4" s="1"/>
  <c r="E109" i="4"/>
  <c r="F109" i="4" s="1"/>
  <c r="E108" i="4"/>
  <c r="F108" i="4" s="1"/>
  <c r="E107" i="4"/>
  <c r="F107" i="4" s="1"/>
  <c r="E106" i="4"/>
  <c r="F106" i="4" s="1"/>
  <c r="E105" i="4"/>
  <c r="F105" i="4" s="1"/>
  <c r="E104" i="4"/>
  <c r="F104" i="4" s="1"/>
  <c r="E103" i="4"/>
  <c r="F103" i="4" s="1"/>
  <c r="E102" i="4"/>
  <c r="F102" i="4" s="1"/>
  <c r="E101" i="4"/>
  <c r="F101" i="4" s="1"/>
  <c r="E100" i="4"/>
  <c r="F100" i="4" s="1"/>
  <c r="E99" i="4"/>
  <c r="F99" i="4" s="1"/>
  <c r="E98" i="4"/>
  <c r="F98" i="4" s="1"/>
  <c r="E97" i="4"/>
  <c r="F97" i="4" s="1"/>
  <c r="E96" i="4"/>
  <c r="F96" i="4" s="1"/>
  <c r="E95" i="4"/>
  <c r="F95" i="4" s="1"/>
  <c r="E94" i="4"/>
  <c r="F94" i="4" s="1"/>
  <c r="E93" i="4"/>
  <c r="F93" i="4" s="1"/>
  <c r="E92" i="4"/>
  <c r="F92" i="4" s="1"/>
  <c r="E91" i="4"/>
  <c r="F91" i="4" s="1"/>
  <c r="E90" i="4"/>
  <c r="F90" i="4" s="1"/>
  <c r="E89" i="4"/>
  <c r="F89" i="4" s="1"/>
  <c r="E88" i="4"/>
  <c r="F88" i="4" s="1"/>
  <c r="E87" i="4"/>
  <c r="F87" i="4" s="1"/>
  <c r="E86" i="4"/>
  <c r="F86" i="4" s="1"/>
  <c r="E85" i="4"/>
  <c r="F85" i="4" s="1"/>
  <c r="E84" i="4"/>
  <c r="F84" i="4" s="1"/>
  <c r="E83" i="4"/>
  <c r="F83" i="4" s="1"/>
  <c r="E82" i="4"/>
  <c r="F82" i="4" s="1"/>
  <c r="E81" i="4"/>
  <c r="F81" i="4" s="1"/>
  <c r="E80" i="4"/>
  <c r="F80" i="4" s="1"/>
  <c r="E79" i="4"/>
  <c r="F79" i="4" s="1"/>
  <c r="E78" i="4"/>
  <c r="F78" i="4" s="1"/>
  <c r="E77" i="4"/>
  <c r="F77" i="4" s="1"/>
  <c r="E76" i="4"/>
  <c r="F76" i="4" s="1"/>
  <c r="E75" i="4"/>
  <c r="F75" i="4" s="1"/>
  <c r="E74" i="4"/>
  <c r="F74" i="4" s="1"/>
  <c r="E73" i="4"/>
  <c r="F73" i="4" s="1"/>
  <c r="E72" i="4"/>
  <c r="F72" i="4" s="1"/>
  <c r="E69" i="4"/>
  <c r="F69" i="4" s="1"/>
  <c r="E68" i="4"/>
  <c r="F68" i="4" s="1"/>
  <c r="E67" i="4"/>
  <c r="F67" i="4" s="1"/>
  <c r="E66" i="4"/>
  <c r="F66" i="4" s="1"/>
  <c r="E65" i="4"/>
  <c r="F65" i="4" s="1"/>
  <c r="E64" i="4"/>
  <c r="F64" i="4" s="1"/>
  <c r="E63" i="4"/>
  <c r="F63" i="4" s="1"/>
  <c r="E62" i="4"/>
  <c r="F62" i="4" s="1"/>
  <c r="E61" i="4"/>
  <c r="F61" i="4" s="1"/>
  <c r="E60" i="4"/>
  <c r="F60" i="4" s="1"/>
  <c r="E59" i="4"/>
  <c r="F59" i="4" s="1"/>
  <c r="E58" i="4"/>
  <c r="F58" i="4" s="1"/>
  <c r="E57" i="4"/>
  <c r="F57" i="4" s="1"/>
  <c r="E56" i="4"/>
  <c r="F56" i="4" s="1"/>
  <c r="E55" i="4"/>
  <c r="F55" i="4" s="1"/>
  <c r="E54" i="4"/>
  <c r="F54" i="4" s="1"/>
  <c r="E53" i="4"/>
  <c r="F53" i="4" s="1"/>
  <c r="E52" i="4"/>
  <c r="F52" i="4" s="1"/>
  <c r="E51" i="4"/>
  <c r="F51" i="4" s="1"/>
  <c r="E46" i="4"/>
  <c r="F46" i="4" s="1"/>
  <c r="B46" i="4"/>
  <c r="E45" i="4"/>
  <c r="F45" i="4" s="1"/>
  <c r="B45" i="4"/>
  <c r="E44" i="4"/>
  <c r="F44" i="4" s="1"/>
  <c r="B44" i="4"/>
  <c r="E42" i="4"/>
  <c r="F42" i="4" s="1"/>
  <c r="B42" i="4"/>
  <c r="E41" i="4"/>
  <c r="F41" i="4" s="1"/>
  <c r="B41" i="4"/>
  <c r="E40" i="4"/>
  <c r="F40" i="4" s="1"/>
  <c r="B40" i="4"/>
  <c r="E39" i="4"/>
  <c r="F39" i="4" s="1"/>
  <c r="B39" i="4"/>
  <c r="E37" i="4"/>
  <c r="F37" i="4" s="1"/>
  <c r="E36" i="4"/>
  <c r="F36" i="4" s="1"/>
  <c r="B36" i="4"/>
  <c r="E35" i="4"/>
  <c r="F35" i="4" s="1"/>
  <c r="B35" i="4"/>
  <c r="B30" i="4"/>
  <c r="B29" i="4"/>
  <c r="E27" i="4"/>
  <c r="F27" i="4" s="1"/>
  <c r="B26" i="4"/>
  <c r="B23" i="4"/>
  <c r="B22" i="4"/>
  <c r="B21" i="4"/>
  <c r="B20" i="4"/>
  <c r="B19" i="4"/>
  <c r="B18" i="4"/>
  <c r="E17" i="4"/>
  <c r="F17" i="4" s="1"/>
  <c r="B17" i="4"/>
  <c r="B15" i="4"/>
  <c r="E38" i="2" l="1"/>
  <c r="F38" i="2" s="1"/>
  <c r="B30" i="3"/>
  <c r="D145" i="5"/>
  <c r="E15" i="4"/>
  <c r="F15" i="4" s="1"/>
  <c r="I919" i="5"/>
  <c r="K919" i="5" s="1"/>
  <c r="L919" i="5" s="1"/>
  <c r="N919" i="5" s="1"/>
  <c r="E18" i="3"/>
  <c r="F18" i="3" s="1"/>
  <c r="E18" i="4"/>
  <c r="F18" i="4" s="1"/>
  <c r="B28" i="4"/>
  <c r="E18" i="5"/>
  <c r="F18" i="5" s="1"/>
  <c r="C882" i="5"/>
  <c r="E23" i="4"/>
  <c r="F23" i="4" s="1"/>
  <c r="E28" i="4"/>
  <c r="F28" i="4" s="1"/>
  <c r="E28" i="5"/>
  <c r="F28" i="5" s="1"/>
  <c r="L923" i="5"/>
  <c r="N923" i="5" s="1"/>
  <c r="C106" i="6"/>
  <c r="E26" i="4"/>
  <c r="F26" i="4" s="1"/>
  <c r="C33" i="6"/>
  <c r="F77" i="2"/>
  <c r="D145" i="4"/>
  <c r="B27" i="4"/>
  <c r="B15" i="2"/>
  <c r="E17" i="5"/>
  <c r="F17" i="5" s="1"/>
  <c r="C872" i="4"/>
  <c r="L991" i="3"/>
  <c r="N991" i="3" s="1"/>
  <c r="I915" i="5"/>
  <c r="K915" i="5" s="1"/>
  <c r="L915" i="5" s="1"/>
  <c r="M915" i="5" s="1"/>
  <c r="C41" i="6"/>
  <c r="F79" i="2"/>
  <c r="B16" i="4"/>
  <c r="B54" i="2"/>
  <c r="L907" i="4"/>
  <c r="N907" i="4" s="1"/>
  <c r="F262" i="10"/>
  <c r="B58" i="2"/>
  <c r="E45" i="6"/>
  <c r="F45" i="6" s="1"/>
  <c r="E51" i="6"/>
  <c r="E59" i="6" s="1"/>
  <c r="E32" i="3"/>
  <c r="F32" i="3" s="1"/>
  <c r="E30" i="4"/>
  <c r="F30" i="4" s="1"/>
  <c r="L992" i="3"/>
  <c r="N992" i="3" s="1"/>
  <c r="E26" i="5"/>
  <c r="F26" i="5" s="1"/>
  <c r="E346" i="3"/>
  <c r="F346" i="3" s="1"/>
  <c r="E262" i="10"/>
  <c r="E16" i="4"/>
  <c r="F16" i="4" s="1"/>
  <c r="E333" i="4"/>
  <c r="F333" i="4" s="1"/>
  <c r="L911" i="4"/>
  <c r="N911" i="4" s="1"/>
  <c r="E44" i="2"/>
  <c r="F44" i="2" s="1"/>
  <c r="E15" i="3"/>
  <c r="F15" i="3" s="1"/>
  <c r="E15" i="5"/>
  <c r="F15" i="5" s="1"/>
  <c r="E889" i="5"/>
  <c r="C239" i="10"/>
  <c r="H896" i="5"/>
  <c r="L912" i="4"/>
  <c r="N912" i="4" s="1"/>
  <c r="B59" i="2"/>
  <c r="B17" i="3"/>
  <c r="B16" i="5"/>
  <c r="E890" i="5"/>
  <c r="E75" i="6"/>
  <c r="F75" i="6" s="1"/>
  <c r="C155" i="10"/>
  <c r="E900" i="5"/>
  <c r="E91" i="10"/>
  <c r="B37" i="2"/>
  <c r="E28" i="3"/>
  <c r="F28" i="3" s="1"/>
  <c r="B38" i="2"/>
  <c r="B29" i="3"/>
  <c r="E23" i="5"/>
  <c r="F23" i="5" s="1"/>
  <c r="E335" i="5"/>
  <c r="F335" i="5" s="1"/>
  <c r="E895" i="5"/>
  <c r="H895" i="5" s="1"/>
  <c r="L922" i="5"/>
  <c r="N922" i="5" s="1"/>
  <c r="C26" i="10"/>
  <c r="F343" i="10" s="1"/>
  <c r="E63" i="2" s="1"/>
  <c r="F63" i="2" s="1"/>
  <c r="C197" i="10"/>
  <c r="I909" i="4"/>
  <c r="K909" i="4" s="1"/>
  <c r="L909" i="4" s="1"/>
  <c r="M909" i="4" s="1"/>
  <c r="E879" i="4"/>
  <c r="F239" i="10"/>
  <c r="F39" i="2"/>
  <c r="F986" i="3"/>
  <c r="C218" i="10"/>
  <c r="L913" i="4"/>
  <c r="N913" i="4" s="1"/>
  <c r="E37" i="2"/>
  <c r="E17" i="3"/>
  <c r="F17" i="3" s="1"/>
  <c r="E958" i="3"/>
  <c r="L990" i="3"/>
  <c r="N990" i="3" s="1"/>
  <c r="E16" i="5"/>
  <c r="F16" i="5" s="1"/>
  <c r="F22" i="6"/>
  <c r="E90" i="6"/>
  <c r="F90" i="6" s="1"/>
  <c r="E218" i="10"/>
  <c r="C262" i="10"/>
  <c r="E960" i="3"/>
  <c r="L987" i="3"/>
  <c r="N987" i="3" s="1"/>
  <c r="F39" i="6"/>
  <c r="F78" i="6"/>
  <c r="C47" i="10"/>
  <c r="E69" i="10"/>
  <c r="E176" i="10"/>
  <c r="F210" i="10"/>
  <c r="F218" i="10" s="1"/>
  <c r="D254" i="10"/>
  <c r="D262" i="10" s="1"/>
  <c r="D263" i="10" s="1"/>
  <c r="C263" i="10" s="1"/>
  <c r="C308" i="10"/>
  <c r="E30" i="3"/>
  <c r="F30" i="3" s="1"/>
  <c r="F69" i="10"/>
  <c r="E134" i="10"/>
  <c r="E155" i="10"/>
  <c r="F908" i="4"/>
  <c r="F917" i="5"/>
  <c r="F923" i="5"/>
  <c r="F128" i="10"/>
  <c r="F134" i="10" s="1"/>
  <c r="F149" i="10"/>
  <c r="F155" i="10" s="1"/>
  <c r="B16" i="2"/>
  <c r="F81" i="2"/>
  <c r="B16" i="3"/>
  <c r="E23" i="3"/>
  <c r="F23" i="3" s="1"/>
  <c r="B27" i="5"/>
  <c r="E30" i="5"/>
  <c r="F30" i="5" s="1"/>
  <c r="E36" i="6"/>
  <c r="E44" i="6"/>
  <c r="F44" i="6" s="1"/>
  <c r="E54" i="6"/>
  <c r="C113" i="10"/>
  <c r="E16" i="2"/>
  <c r="F16" i="2" s="1"/>
  <c r="E36" i="2"/>
  <c r="F78" i="2"/>
  <c r="C69" i="10"/>
  <c r="C91" i="10"/>
  <c r="F39" i="11"/>
  <c r="F40" i="11" s="1"/>
  <c r="E888" i="4"/>
  <c r="I888" i="4" s="1"/>
  <c r="J890" i="4" s="1"/>
  <c r="E29" i="12"/>
  <c r="N85" i="1"/>
  <c r="H886" i="4"/>
  <c r="F49" i="11"/>
  <c r="K988" i="3"/>
  <c r="L988" i="3" s="1"/>
  <c r="E881" i="4"/>
  <c r="F912" i="4"/>
  <c r="N78" i="1"/>
  <c r="B61" i="6"/>
  <c r="E885" i="4"/>
  <c r="I905" i="4"/>
  <c r="K905" i="4" s="1"/>
  <c r="L905" i="4" s="1"/>
  <c r="E17" i="12"/>
  <c r="N82" i="1"/>
  <c r="F21" i="6"/>
  <c r="E27" i="5"/>
  <c r="F27" i="5" s="1"/>
  <c r="E29" i="3"/>
  <c r="F29" i="3" s="1"/>
  <c r="E48" i="10"/>
  <c r="C48" i="10"/>
  <c r="E70" i="10"/>
  <c r="F70" i="10" s="1"/>
  <c r="C70" i="10"/>
  <c r="F315" i="10"/>
  <c r="F26" i="10"/>
  <c r="E25" i="10"/>
  <c r="F17" i="10"/>
  <c r="F25" i="10" s="1"/>
  <c r="E239" i="10"/>
  <c r="E964" i="3"/>
  <c r="I898" i="5"/>
  <c r="E92" i="10"/>
  <c r="C92" i="10"/>
  <c r="F345" i="10" s="1"/>
  <c r="C286" i="10"/>
  <c r="F48" i="11"/>
  <c r="D44" i="12"/>
  <c r="F44" i="12" s="1"/>
  <c r="E17" i="11"/>
  <c r="F17" i="11" s="1"/>
  <c r="F18" i="11" s="1"/>
  <c r="F19" i="11" s="1"/>
  <c r="F37" i="6"/>
  <c r="D47" i="12"/>
  <c r="F47" i="12" s="1"/>
  <c r="D43" i="12"/>
  <c r="F43" i="12" s="1"/>
  <c r="E24" i="11"/>
  <c r="F24" i="11" s="1"/>
  <c r="F25" i="11" s="1"/>
  <c r="F26" i="11" s="1"/>
  <c r="D46" i="12"/>
  <c r="F46" i="12" s="1"/>
  <c r="D45" i="12"/>
  <c r="F45" i="12" s="1"/>
  <c r="E9" i="11"/>
  <c r="F9" i="11" s="1"/>
  <c r="E135" i="10"/>
  <c r="F135" i="10" s="1"/>
  <c r="C135" i="10"/>
  <c r="D286" i="10"/>
  <c r="D287" i="10" s="1"/>
  <c r="E8" i="11"/>
  <c r="F8" i="11" s="1"/>
  <c r="C951" i="3"/>
  <c r="I984" i="3"/>
  <c r="K984" i="3" s="1"/>
  <c r="L984" i="3" s="1"/>
  <c r="F992" i="3"/>
  <c r="B55" i="6"/>
  <c r="B63" i="6" s="1"/>
  <c r="B71" i="6" s="1"/>
  <c r="B78" i="6" s="1"/>
  <c r="C48" i="6"/>
  <c r="C25" i="10"/>
  <c r="E113" i="10"/>
  <c r="F105" i="10"/>
  <c r="F113" i="10" s="1"/>
  <c r="C134" i="10"/>
  <c r="E156" i="10"/>
  <c r="F156" i="10" s="1"/>
  <c r="C156" i="10"/>
  <c r="C198" i="10"/>
  <c r="E198" i="10"/>
  <c r="F198" i="10" s="1"/>
  <c r="E219" i="10"/>
  <c r="F219" i="10" s="1"/>
  <c r="C219" i="10"/>
  <c r="E286" i="10"/>
  <c r="E967" i="3"/>
  <c r="I967" i="3" s="1"/>
  <c r="J969" i="3" s="1"/>
  <c r="E177" i="10"/>
  <c r="C177" i="10"/>
  <c r="E240" i="10"/>
  <c r="C240" i="10"/>
  <c r="F50" i="11"/>
  <c r="F51" i="11" s="1"/>
  <c r="L921" i="5"/>
  <c r="N921" i="5" s="1"/>
  <c r="F921" i="5"/>
  <c r="E47" i="10"/>
  <c r="C176" i="10"/>
  <c r="E959" i="3"/>
  <c r="H965" i="3"/>
  <c r="L918" i="5"/>
  <c r="N918" i="5" s="1"/>
  <c r="F918" i="5"/>
  <c r="E197" i="10"/>
  <c r="F189" i="10"/>
  <c r="F197" i="10" s="1"/>
  <c r="D308" i="10"/>
  <c r="D309" i="10" s="1"/>
  <c r="F41" i="10"/>
  <c r="F47" i="10" s="1"/>
  <c r="E38" i="6"/>
  <c r="F38" i="6" s="1"/>
  <c r="F43" i="6"/>
  <c r="F46" i="6"/>
  <c r="E77" i="6"/>
  <c r="F77" i="6" s="1"/>
  <c r="F83" i="10"/>
  <c r="F91" i="10" s="1"/>
  <c r="E114" i="10"/>
  <c r="F168" i="10"/>
  <c r="F176" i="10" s="1"/>
  <c r="E308" i="10"/>
  <c r="E103" i="6" s="1"/>
  <c r="F145" i="5" l="1"/>
  <c r="D146" i="5"/>
  <c r="F146" i="5" s="1"/>
  <c r="C92" i="6"/>
  <c r="F145" i="4"/>
  <c r="D146" i="4"/>
  <c r="F146" i="4" s="1"/>
  <c r="H902" i="5"/>
  <c r="F364" i="10"/>
  <c r="E109" i="6" s="1"/>
  <c r="H59" i="2" s="1"/>
  <c r="I59" i="2" s="1"/>
  <c r="F51" i="6"/>
  <c r="E53" i="6"/>
  <c r="F53" i="6" s="1"/>
  <c r="J900" i="5"/>
  <c r="M919" i="5"/>
  <c r="N915" i="5"/>
  <c r="O915" i="5" s="1"/>
  <c r="F11" i="11"/>
  <c r="F12" i="11" s="1"/>
  <c r="E8" i="12" s="1"/>
  <c r="E263" i="10"/>
  <c r="F329" i="10" s="1"/>
  <c r="F357" i="10" s="1"/>
  <c r="N909" i="4"/>
  <c r="Q909" i="4" s="1"/>
  <c r="E899" i="5"/>
  <c r="E897" i="5"/>
  <c r="I897" i="5" s="1"/>
  <c r="I902" i="5" s="1"/>
  <c r="D156" i="5" s="1"/>
  <c r="F156" i="5" s="1"/>
  <c r="F36" i="6"/>
  <c r="E31" i="3"/>
  <c r="F31" i="3" s="1"/>
  <c r="E29" i="5"/>
  <c r="F29" i="5" s="1"/>
  <c r="E29" i="4"/>
  <c r="F29" i="4" s="1"/>
  <c r="E88" i="6"/>
  <c r="F88" i="6" s="1"/>
  <c r="E87" i="6"/>
  <c r="F87" i="6" s="1"/>
  <c r="E14" i="2"/>
  <c r="F14" i="2" s="1"/>
  <c r="F36" i="2"/>
  <c r="E89" i="6"/>
  <c r="F89" i="6" s="1"/>
  <c r="F54" i="6"/>
  <c r="E62" i="6"/>
  <c r="E19" i="5"/>
  <c r="F19" i="5" s="1"/>
  <c r="E40" i="2"/>
  <c r="E19" i="3"/>
  <c r="F19" i="3" s="1"/>
  <c r="E19" i="4"/>
  <c r="F19" i="4" s="1"/>
  <c r="E52" i="6"/>
  <c r="E60" i="6" s="1"/>
  <c r="F52" i="11"/>
  <c r="F53" i="11" s="1"/>
  <c r="E15" i="2"/>
  <c r="F15" i="2" s="1"/>
  <c r="F37" i="2"/>
  <c r="E102" i="6"/>
  <c r="E54" i="2"/>
  <c r="F54" i="2" s="1"/>
  <c r="F103" i="6"/>
  <c r="E53" i="2"/>
  <c r="F53" i="2" s="1"/>
  <c r="E67" i="6"/>
  <c r="F67" i="6" s="1"/>
  <c r="F59" i="6"/>
  <c r="F322" i="10"/>
  <c r="F114" i="10"/>
  <c r="M905" i="4"/>
  <c r="N905" i="4"/>
  <c r="O905" i="4" s="1"/>
  <c r="F324" i="10"/>
  <c r="F352" i="10" s="1"/>
  <c r="F177" i="10"/>
  <c r="E287" i="10"/>
  <c r="F287" i="10" s="1"/>
  <c r="C287" i="10"/>
  <c r="C309" i="10"/>
  <c r="E309" i="10"/>
  <c r="N984" i="3"/>
  <c r="O984" i="3" s="1"/>
  <c r="M984" i="3"/>
  <c r="F317" i="10"/>
  <c r="F92" i="10"/>
  <c r="F319" i="10"/>
  <c r="F347" i="10" s="1"/>
  <c r="F48" i="10"/>
  <c r="E889" i="4"/>
  <c r="E887" i="4"/>
  <c r="I887" i="4" s="1"/>
  <c r="I892" i="4" s="1"/>
  <c r="D156" i="4" s="1"/>
  <c r="F156" i="4" s="1"/>
  <c r="H885" i="4"/>
  <c r="H892" i="4" s="1"/>
  <c r="F240" i="10"/>
  <c r="F326" i="10"/>
  <c r="F354" i="10" s="1"/>
  <c r="C56" i="6"/>
  <c r="N988" i="3"/>
  <c r="M988" i="3"/>
  <c r="C64" i="6"/>
  <c r="B69" i="6"/>
  <c r="Q919" i="5"/>
  <c r="P919" i="5"/>
  <c r="H964" i="3"/>
  <c r="H971" i="3" s="1"/>
  <c r="E968" i="3"/>
  <c r="E966" i="3"/>
  <c r="I966" i="3" s="1"/>
  <c r="I971" i="3" s="1"/>
  <c r="D158" i="3" s="1"/>
  <c r="F158" i="3" s="1"/>
  <c r="F109" i="6" l="1"/>
  <c r="R32" i="1"/>
  <c r="H60" i="2"/>
  <c r="I60" i="2" s="1"/>
  <c r="H58" i="2"/>
  <c r="I58" i="2" s="1"/>
  <c r="H57" i="2"/>
  <c r="I57" i="2" s="1"/>
  <c r="E110" i="6"/>
  <c r="E111" i="6" s="1"/>
  <c r="F111" i="6" s="1"/>
  <c r="P909" i="4"/>
  <c r="E61" i="6"/>
  <c r="F57" i="11"/>
  <c r="F263" i="10"/>
  <c r="J899" i="5"/>
  <c r="J902" i="5" s="1"/>
  <c r="K902" i="5" s="1"/>
  <c r="M902" i="5" s="1"/>
  <c r="E161" i="5" s="1"/>
  <c r="F161" i="5" s="1"/>
  <c r="E20" i="5"/>
  <c r="F20" i="5" s="1"/>
  <c r="E20" i="3"/>
  <c r="F20" i="3" s="1"/>
  <c r="F52" i="6"/>
  <c r="F40" i="2"/>
  <c r="F89" i="2" s="1"/>
  <c r="E18" i="2"/>
  <c r="F18" i="2" s="1"/>
  <c r="F19" i="2" s="1"/>
  <c r="F27" i="2" s="1"/>
  <c r="E20" i="4"/>
  <c r="F20" i="4" s="1"/>
  <c r="E70" i="6"/>
  <c r="F70" i="6" s="1"/>
  <c r="F62" i="6"/>
  <c r="G66" i="2"/>
  <c r="B77" i="6"/>
  <c r="C80" i="6" s="1"/>
  <c r="C72" i="6"/>
  <c r="F332" i="10"/>
  <c r="F360" i="10" s="1"/>
  <c r="F365" i="10" s="1"/>
  <c r="F309" i="10"/>
  <c r="J889" i="4"/>
  <c r="J892" i="4" s="1"/>
  <c r="K892" i="4" s="1"/>
  <c r="M892" i="4" s="1"/>
  <c r="E161" i="4" s="1"/>
  <c r="F161" i="4" s="1"/>
  <c r="F102" i="6"/>
  <c r="E101" i="6"/>
  <c r="F101" i="6" s="1"/>
  <c r="J968" i="3"/>
  <c r="J971" i="3" s="1"/>
  <c r="K971" i="3" s="1"/>
  <c r="M971" i="3" s="1"/>
  <c r="E163" i="3" s="1"/>
  <c r="F163" i="3" s="1"/>
  <c r="Q988" i="3"/>
  <c r="P988" i="3"/>
  <c r="F60" i="6"/>
  <c r="E68" i="6"/>
  <c r="E21" i="5"/>
  <c r="F21" i="5" s="1"/>
  <c r="E21" i="3"/>
  <c r="F21" i="3" s="1"/>
  <c r="E21" i="4"/>
  <c r="F21" i="4" s="1"/>
  <c r="I66" i="2" l="1"/>
  <c r="F110" i="6"/>
  <c r="E69" i="6"/>
  <c r="F69" i="6" s="1"/>
  <c r="F61" i="6"/>
  <c r="E22" i="5"/>
  <c r="F22" i="5" s="1"/>
  <c r="F867" i="5" s="1"/>
  <c r="F874" i="5" s="1"/>
  <c r="R29" i="1" s="1"/>
  <c r="F68" i="6"/>
  <c r="E22" i="4"/>
  <c r="F22" i="4" s="1"/>
  <c r="F857" i="4" s="1"/>
  <c r="F864" i="4" s="1"/>
  <c r="R23" i="1" s="1"/>
  <c r="E22" i="3"/>
  <c r="F22" i="3" s="1"/>
  <c r="F936" i="3" s="1"/>
  <c r="F943" i="3" s="1"/>
  <c r="R16" i="1" s="1"/>
  <c r="H100" i="2"/>
  <c r="R39" i="1" l="1"/>
  <c r="R47" i="1" l="1"/>
  <c r="R43" i="1"/>
  <c r="R42" i="1"/>
  <c r="H96" i="2" l="1"/>
  <c r="Q68" i="1"/>
  <c r="G94" i="2" s="1"/>
  <c r="H89" i="2"/>
  <c r="Q67" i="1"/>
  <c r="R45" i="1"/>
  <c r="R49" i="1" s="1"/>
  <c r="Q73" i="1" l="1"/>
  <c r="H101" i="2"/>
  <c r="H90" i="2"/>
  <c r="H91" i="2" s="1"/>
  <c r="S16" i="1"/>
  <c r="N16" i="1" s="1"/>
  <c r="S29" i="1"/>
  <c r="N29" i="1" s="1"/>
  <c r="S23" i="1"/>
  <c r="N23" i="1" s="1"/>
  <c r="S32" i="1"/>
  <c r="N32" i="1" s="1"/>
  <c r="S33" i="1"/>
  <c r="N33" i="1" s="1"/>
  <c r="H97" i="2"/>
  <c r="H98" i="2" s="1"/>
  <c r="N84" i="1" l="1"/>
  <c r="N86" i="1" s="1"/>
  <c r="E36" i="12" s="1"/>
  <c r="N81" i="1"/>
  <c r="N83" i="1" s="1"/>
  <c r="N64" i="1"/>
  <c r="H102" i="2"/>
  <c r="I102" i="2" s="1"/>
  <c r="E22" i="12" l="1"/>
  <c r="N87" i="1"/>
  <c r="E37" i="12" s="1"/>
  <c r="N88" i="1" l="1"/>
</calcChain>
</file>

<file path=xl/sharedStrings.xml><?xml version="1.0" encoding="utf-8"?>
<sst xmlns="http://schemas.openxmlformats.org/spreadsheetml/2006/main" count="6664" uniqueCount="1545">
  <si>
    <t xml:space="preserve">Project: </t>
  </si>
  <si>
    <t>Tricore   -</t>
  </si>
  <si>
    <t>Stage 1 Version 1</t>
  </si>
  <si>
    <t xml:space="preserve">Item  </t>
  </si>
  <si>
    <t xml:space="preserve">Complete - </t>
  </si>
  <si>
    <t>Labour</t>
  </si>
  <si>
    <t>Denis qty</t>
  </si>
  <si>
    <t>Qty / rate source note</t>
  </si>
  <si>
    <t>DAY</t>
  </si>
  <si>
    <t>april 2026 direct impact Increase % (not contigency)</t>
  </si>
  <si>
    <t>Day</t>
  </si>
  <si>
    <t>PE Pipe &amp; Fitting</t>
  </si>
  <si>
    <t>PVC Pipe &amp; Fittings</t>
  </si>
  <si>
    <t>Phase 7 crew-days (1B): T1-09 PAM UG drainage 4</t>
  </si>
  <si>
    <t>Subby Rates</t>
  </si>
  <si>
    <t>Phase 7 crew-days (1B): T2-09 1B site branch take-offs 4 (1B scope carried on PAM sheet as 1B roll-up collector - interface L9)</t>
  </si>
  <si>
    <t>Delivey Rate</t>
  </si>
  <si>
    <t>Phase 7 crew-days (1B): T3-03 PAM vent + AG waste 2</t>
  </si>
  <si>
    <t>Phase 7 crew-days (1B): T4-05 4 + T4-06 1</t>
  </si>
  <si>
    <t>Phase 7 crew-days (1B): T5-03 4 + T5-04b 1 (bubbler install)</t>
  </si>
  <si>
    <t>HOUR</t>
  </si>
  <si>
    <t>HR</t>
  </si>
  <si>
    <t>Phase 7 LH supervision - 1B activities 168.5 hr</t>
  </si>
  <si>
    <t>Demolition &amp; Reinstatement</t>
  </si>
  <si>
    <t>DEMO</t>
  </si>
  <si>
    <t>m</t>
  </si>
  <si>
    <t>Con Cut Establishemnt Fee</t>
  </si>
  <si>
    <t>ea</t>
  </si>
  <si>
    <t>REINSTATE - CONCRETE</t>
  </si>
  <si>
    <t>lm</t>
  </si>
  <si>
    <t>REINSTATE - ASPHALT</t>
  </si>
  <si>
    <t>m2</t>
  </si>
  <si>
    <t>Ea</t>
  </si>
  <si>
    <t>Equipment &amp; Hire - INCL WET PLANT HIRE</t>
  </si>
  <si>
    <t>PLANT HIRE - WET</t>
  </si>
  <si>
    <t>1.8T Excavator</t>
  </si>
  <si>
    <t>Hr</t>
  </si>
  <si>
    <t xml:space="preserve"> 3-5 ton Excavator</t>
  </si>
  <si>
    <t>3-5T Combo</t>
  </si>
  <si>
    <t>Hammer attachment 3.5-4T</t>
  </si>
  <si>
    <t>Ripper 3.5-4T</t>
  </si>
  <si>
    <t>5t Excavator</t>
  </si>
  <si>
    <t>Hammer attachment 5T</t>
  </si>
  <si>
    <t>Skid steer</t>
  </si>
  <si>
    <t>8T Excavator</t>
  </si>
  <si>
    <t>Hammer attachment 8T</t>
  </si>
  <si>
    <t>Ripper 8T</t>
  </si>
  <si>
    <t>13-15T Excavator</t>
  </si>
  <si>
    <t>Hammer attachment 14T</t>
  </si>
  <si>
    <t>Ripper 14T</t>
  </si>
  <si>
    <t>3000L Hydro Excavation Truck</t>
  </si>
  <si>
    <t xml:space="preserve">4500L Hydro Excavation Truck </t>
  </si>
  <si>
    <t>6300L Hydro Excavation Truck</t>
  </si>
  <si>
    <t xml:space="preserve">Water Truck allow for water at cost </t>
  </si>
  <si>
    <t>12t Body Truck Tipper</t>
  </si>
  <si>
    <t>HIRE - DRY</t>
  </si>
  <si>
    <t>Skid Steer Loader_Tracked (CAT249+)</t>
  </si>
  <si>
    <t>Skid Steer Loader_Wheeled (CAT226+)</t>
  </si>
  <si>
    <t>Mini Loader, Stand-on Type</t>
  </si>
  <si>
    <t>1.5-1.8 Ton_Excavator</t>
  </si>
  <si>
    <t>Phase 7 plant (1B): T1-09 4 + T2-09 4</t>
  </si>
  <si>
    <t>1.7-2Ton_Excavator</t>
  </si>
  <si>
    <t>3-5Ton_Excavator</t>
  </si>
  <si>
    <t>8Ton_Excavator</t>
  </si>
  <si>
    <t>10-12Ton_Excavator</t>
  </si>
  <si>
    <t>13-16Ton_Excavator</t>
  </si>
  <si>
    <t>20-24Ton_Excavator</t>
  </si>
  <si>
    <t>Ripper_1.7-2T</t>
  </si>
  <si>
    <t>Ripper_1.5-4T</t>
  </si>
  <si>
    <t>Ripper_3-5T</t>
  </si>
  <si>
    <t>Ripper_8T</t>
  </si>
  <si>
    <t>Breaker_1.7-2T</t>
  </si>
  <si>
    <t>Breaker_3-5T</t>
  </si>
  <si>
    <t>Breaker_8T</t>
  </si>
  <si>
    <t>Breaker_10-12T</t>
  </si>
  <si>
    <t>Breaker_13-15T</t>
  </si>
  <si>
    <t>Auger Drive_10-12T</t>
  </si>
  <si>
    <t>300Dia Auger Drill</t>
  </si>
  <si>
    <t xml:space="preserve">1.25T_Tipper Truck </t>
  </si>
  <si>
    <t>2-4T_Tipper Truck</t>
  </si>
  <si>
    <t>&lt;6T_Tipper Truck</t>
  </si>
  <si>
    <t>&lt;10T_Articulated Site Tipper</t>
  </si>
  <si>
    <t>Upright Rammer_Wacker</t>
  </si>
  <si>
    <t>Phase 7 plant (1B): T1-09 4</t>
  </si>
  <si>
    <t>Trench Roller_Dbl Drum_Remote</t>
  </si>
  <si>
    <t>&lt;26Ft_Scissor Lift - Diesel</t>
  </si>
  <si>
    <t>&lt;26Ft_Scissor Lift - Elec</t>
  </si>
  <si>
    <t>&lt;34Ft_Boom Lift - Diesel</t>
  </si>
  <si>
    <t>&lt;34Ft_Boom Lift - Elec</t>
  </si>
  <si>
    <t>Porta Loo_No Tank</t>
  </si>
  <si>
    <t>6*3m Demantable Lunchroom - COMPLETE</t>
  </si>
  <si>
    <t>6*3m Demantable Office - COMPLETE</t>
  </si>
  <si>
    <t>20Ft Shipping Container</t>
  </si>
  <si>
    <t>Quick Cut Demo Saw</t>
  </si>
  <si>
    <t>Sngl Ph_6KVA Genset</t>
  </si>
  <si>
    <t>Diesel Air Compressor_Trailer</t>
  </si>
  <si>
    <t>Air Breaker - Heavy</t>
  </si>
  <si>
    <t>Air Hose &lt;10m</t>
  </si>
  <si>
    <t>Elec Breaker/Jachammer</t>
  </si>
  <si>
    <t>Flexdrive Motor Unit</t>
  </si>
  <si>
    <t>Flexdrive_Pump Shaft</t>
  </si>
  <si>
    <t>Temporary Power Board</t>
  </si>
  <si>
    <t>Dual CabUte</t>
  </si>
  <si>
    <t xml:space="preserve">3m3 Skip Bbin </t>
  </si>
  <si>
    <t>per serive</t>
  </si>
  <si>
    <t xml:space="preserve">plus disposal </t>
  </si>
  <si>
    <t xml:space="preserve">Tonne </t>
  </si>
  <si>
    <t xml:space="preserve">site fee </t>
  </si>
  <si>
    <t>Week</t>
  </si>
  <si>
    <t>~4m3_Skip Bin</t>
  </si>
  <si>
    <t xml:space="preserve">per change over </t>
  </si>
  <si>
    <t>~6m3_Skip Bin</t>
  </si>
  <si>
    <t xml:space="preserve">Plus disposal </t>
  </si>
  <si>
    <t xml:space="preserve">Site fee </t>
  </si>
  <si>
    <t>Vacuum Excavator - Vermeer VT250D</t>
  </si>
  <si>
    <t>Vac Trailer – Dry Hire</t>
  </si>
  <si>
    <t>TRANSPORT_Ex BRIS - Return</t>
  </si>
  <si>
    <t>TRANSPORT_Ex ROK - Return</t>
  </si>
  <si>
    <t>Hour</t>
  </si>
  <si>
    <t>0-4T Per Hour Delivery Rate</t>
  </si>
  <si>
    <t xml:space="preserve">5 - 9t Transport Hourly Rate </t>
  </si>
  <si>
    <t>10 - 19t Low Loader Hourly rate - Minimum 2 Hour Charge</t>
  </si>
  <si>
    <t>FUEL - Average_Candle</t>
  </si>
  <si>
    <t xml:space="preserve">Subbies &amp; Misc </t>
  </si>
  <si>
    <t>Surveyor</t>
  </si>
  <si>
    <t>Services Locator</t>
  </si>
  <si>
    <t>Compaction Testing - TEST</t>
  </si>
  <si>
    <t>Compaction Testing - Site Establishment</t>
  </si>
  <si>
    <t>FIRE TESTING / CERT</t>
  </si>
  <si>
    <t>FULL Hydro Test - Per Test (6.5Hr 1 x fitter, 1 x apprentice, 1 day Test gear)</t>
  </si>
  <si>
    <t>Provision of Form 72</t>
  </si>
  <si>
    <t>Consumables &amp; small tools - PAM/1B crews (allowance)</t>
  </si>
  <si>
    <t>item</t>
  </si>
  <si>
    <t>Phase 7 consumables flag</t>
  </si>
  <si>
    <t>Material - Quarry, Misc</t>
  </si>
  <si>
    <t>Bedding import = helper I892 (auto)</t>
  </si>
  <si>
    <t>Spoil haulage &amp; dump (take-off helper M892 @ $15/m3)</t>
  </si>
  <si>
    <t>Auto from helper</t>
  </si>
  <si>
    <t>Valve Margin strips; Concrete slab, 1 directions sign, 3 x valve No sign.</t>
  </si>
  <si>
    <t>FIRE SERVICES - INGROUND</t>
  </si>
  <si>
    <t>200 HDPE PN16 SDR11 - REDLINE</t>
  </si>
  <si>
    <t>180 HDPE PN16 SDR11 - REDLINE</t>
  </si>
  <si>
    <t>125 HDPE PN16 SDR11 - REDLINE</t>
  </si>
  <si>
    <t>32 HDPE PN16 SDR11 - BLUELINE</t>
  </si>
  <si>
    <t>200 EF Coupler</t>
  </si>
  <si>
    <t>180 EF Coupler</t>
  </si>
  <si>
    <t>125 EF Coupler</t>
  </si>
  <si>
    <t>200 EF 45DFeg Bend</t>
  </si>
  <si>
    <t>180 EF 45DFeg Bend</t>
  </si>
  <si>
    <t>125 EF 45DFeg Bend</t>
  </si>
  <si>
    <t>200 EF 90DFeg Bend</t>
  </si>
  <si>
    <t>180 EF 90DFeg Bend</t>
  </si>
  <si>
    <t>125 EF 90DFeg Bend</t>
  </si>
  <si>
    <t>200 EF TEE</t>
  </si>
  <si>
    <t>180 EF TEE</t>
  </si>
  <si>
    <t>125 EF TEE</t>
  </si>
  <si>
    <t>200*180 EF TEE</t>
  </si>
  <si>
    <t>200*125 EF TEE</t>
  </si>
  <si>
    <t>180*125 EF TEE</t>
  </si>
  <si>
    <t>200*180 EF Reducer</t>
  </si>
  <si>
    <t>180*125 EF Reducer</t>
  </si>
  <si>
    <t>200PE*8"(200m) - MaxiStub W/Backing Ring</t>
  </si>
  <si>
    <t>180PE*6"(150mm) - MaxiStub W/Backing Ring</t>
  </si>
  <si>
    <t>125PE*4" (100mm) - MaxiStub W/Backing Ring</t>
  </si>
  <si>
    <t xml:space="preserve">180mm PE x 150mm GALV ADAPTER - PLASSON Brand </t>
  </si>
  <si>
    <t xml:space="preserve">125mm PE x 100mm GALV ADAPTER - PLASSON Brand </t>
  </si>
  <si>
    <t>180mm PE x 150mm GALV ADAPTER</t>
  </si>
  <si>
    <t>125mm PE x 100mm GALV ADAPTER</t>
  </si>
  <si>
    <t>200 Long SPIG 45DFeg Bend</t>
  </si>
  <si>
    <t>180 Long SPIG 45DFeg Bend</t>
  </si>
  <si>
    <t>125 Long SPIG 45DFeg Bend</t>
  </si>
  <si>
    <t>200 Long SPIG 90DFeg Bend</t>
  </si>
  <si>
    <t>180 Long SPIG 90DFeg Bend</t>
  </si>
  <si>
    <t>125 Long SPIG 90DFeg Bend</t>
  </si>
  <si>
    <t>200 Long SPIG TEE</t>
  </si>
  <si>
    <t>180 Long SPIG TEE</t>
  </si>
  <si>
    <t>125 Long SPIG TEE</t>
  </si>
  <si>
    <t>200*180 Long SPIG TEE</t>
  </si>
  <si>
    <t>200*125 Long SPIG TEE</t>
  </si>
  <si>
    <t>180*125 Long SPIG TEE</t>
  </si>
  <si>
    <t>200*180 Long SPIG Reducer</t>
  </si>
  <si>
    <t>180*125 Long SPIG Reducer</t>
  </si>
  <si>
    <t>200 FL DICL Sluice Valve</t>
  </si>
  <si>
    <t>150 FL DICL Sluice Valve</t>
  </si>
  <si>
    <t>100 FL DICL Sluice Valve</t>
  </si>
  <si>
    <t>Valve Spindle Riser - 600Long</t>
  </si>
  <si>
    <t>Valve Box - Cast Iron Trafficable - Rectangle Type "V"</t>
  </si>
  <si>
    <t>Valve Box - Non-Trafficable - Plastic Surround with CI Drop In "V"</t>
  </si>
  <si>
    <t>200*150mm DICL FL Reducer</t>
  </si>
  <si>
    <t>200*100mm DICL FL Reducer</t>
  </si>
  <si>
    <t>150*100mm DICL FL Reducer</t>
  </si>
  <si>
    <t>150mm DICL FL * SP Adapter</t>
  </si>
  <si>
    <t>100mm DICL FL * SP Adapter</t>
  </si>
  <si>
    <t>200mm DICL FL 90Deg Bend</t>
  </si>
  <si>
    <t>150mm DICL FL 90Deg Bend</t>
  </si>
  <si>
    <t>100mm DICL FL 90Deg Bend</t>
  </si>
  <si>
    <t>200mm DICL FL TEE</t>
  </si>
  <si>
    <t>150mm DICL FL TEE</t>
  </si>
  <si>
    <t>100mm DICL FL TEE</t>
  </si>
  <si>
    <t>200*150*200 DICL FL TEE</t>
  </si>
  <si>
    <t>200*100*200 DICL FL TEE</t>
  </si>
  <si>
    <t>150-100-150 DICL FL TEE</t>
  </si>
  <si>
    <t>200mm DICL FL Pipe @ 1000</t>
  </si>
  <si>
    <t>200mm DICL FL Pipe @ 600</t>
  </si>
  <si>
    <t>200mm DICL FL Pipe @ 300</t>
  </si>
  <si>
    <t>150mm DICL FL Pipe @ 1000</t>
  </si>
  <si>
    <t>150mm DICL FL Pipe @ 600</t>
  </si>
  <si>
    <t>150mm DICL FL Pipe @ 450</t>
  </si>
  <si>
    <t>150mm DICL FL Pipe @ 300</t>
  </si>
  <si>
    <t>100mm DICL FL Pipe @ 1000</t>
  </si>
  <si>
    <t>100mm DICL FL Pipe @ 600</t>
  </si>
  <si>
    <t>100mm DICL FL Pipe @ 450</t>
  </si>
  <si>
    <t>100mm DICL FL Pipe @ 300</t>
  </si>
  <si>
    <t>150mm DICL FL Deadplate</t>
  </si>
  <si>
    <t xml:space="preserve">100mm DICL FL Deadplate </t>
  </si>
  <si>
    <t>200mm PE*DI Gasket Kit Complete</t>
  </si>
  <si>
    <t>200mm DI*DI Gasket Kit Complete</t>
  </si>
  <si>
    <t>150mm PE*DI Gasket Kit Complete</t>
  </si>
  <si>
    <t>150mm DI*DI Gasket Kit Complete</t>
  </si>
  <si>
    <t>100mm PE*DI Gasket Kit Complete</t>
  </si>
  <si>
    <t>100mm DI*DI Gasket Kit Complete</t>
  </si>
  <si>
    <t>150mm SS Gibault Adapter Coupling</t>
  </si>
  <si>
    <t>100mm SS Gibault Adapter Coupling</t>
  </si>
  <si>
    <t>180mm PE GRIPPER Adapter Coupling</t>
  </si>
  <si>
    <t>125mm PE GRIPPER Adapter Coupling</t>
  </si>
  <si>
    <t>180mm PE GRIPPER * 150FL Adapter Coupling</t>
  </si>
  <si>
    <t>125mm PE GRIPPER * 100FL Adapter Coupling</t>
  </si>
  <si>
    <t>180mm PE GRIPPER Sluice Valve</t>
  </si>
  <si>
    <t>125mm PE GRIPPER Sluice Valve</t>
  </si>
  <si>
    <t>Detectable Tape - Fire x 250m</t>
  </si>
  <si>
    <t>Alcohol Weld Wipes</t>
  </si>
  <si>
    <t>Denzo Tape 100mm roll</t>
  </si>
  <si>
    <t>Black over-wrap tape - roll</t>
  </si>
  <si>
    <t>FIRE SERVICES - ABOVE GROUND</t>
  </si>
  <si>
    <t>Description</t>
  </si>
  <si>
    <t>150mm MED DUTY Galv Pipe</t>
  </si>
  <si>
    <t>100mm MED DUTY Galv Pipe w/RG Ends</t>
  </si>
  <si>
    <t>100mm Class B Copper Pipe</t>
  </si>
  <si>
    <t>25mm Class B Copper Pipe</t>
  </si>
  <si>
    <t>150mm Galv RG Coupling</t>
  </si>
  <si>
    <t>100mm Galv RG Coupling</t>
  </si>
  <si>
    <t>150mm Galv RG TEE</t>
  </si>
  <si>
    <t>100mm Galv RG TEE</t>
  </si>
  <si>
    <t>150mm Galv RG BEND 90Deg</t>
  </si>
  <si>
    <t>100mm Galv RG BEND 90Deg</t>
  </si>
  <si>
    <t>150mm Galv RG BEND 45Deg</t>
  </si>
  <si>
    <t>100mm Galv RG BEND 45Deg</t>
  </si>
  <si>
    <t>150mm Galv RG x 100mm FLANGE Adapt</t>
  </si>
  <si>
    <t>100mm Galv RG x 100mm FLANGE Adapt</t>
  </si>
  <si>
    <t>150mm RG Butterfly Valve Geared Wheel</t>
  </si>
  <si>
    <t>100mm RG Butterfly Valve Geared Wheel</t>
  </si>
  <si>
    <t>150mm H-Pattern Booster Assembly Complete</t>
  </si>
  <si>
    <t>Booster Cabinet - Compl with doors and stickers</t>
  </si>
  <si>
    <t>100mm Dual Pillar Hydrant Complete_ Flanged Base 1500 High w/landing Valves</t>
  </si>
  <si>
    <t>100mm Dual Pillar Hydrant Complete_ RG Base 1500 High w/landing Valves_OPTION</t>
  </si>
  <si>
    <t xml:space="preserve">65mm RG Landing Valve </t>
  </si>
  <si>
    <t>Red caps and chain - suit 65mm QLD Landing valve</t>
  </si>
  <si>
    <t>36m Fire Hose Reel w/25mm isolation valve</t>
  </si>
  <si>
    <t>25mm Isolation Ball Valve (for fire hose reel) valve only, with hose nozzle latch</t>
  </si>
  <si>
    <t>150mm FL Testable Double Check Valve - Compl. w/Valves</t>
  </si>
  <si>
    <t>150mm FL RPZD Valve - Compl. w/Valves</t>
  </si>
  <si>
    <t>100mm FL Levered Butterfly Vlave</t>
  </si>
  <si>
    <t>100mm Copper Crimp - TEE</t>
  </si>
  <si>
    <t>100mm Copper Crimp - 90Deg Bend</t>
  </si>
  <si>
    <t>100mm Copper Crimp - 45Deg Bend</t>
  </si>
  <si>
    <t>100mm Copper Crimp - Straight Socket</t>
  </si>
  <si>
    <t>100mm Copper Crimp - 100mm FL Adapter</t>
  </si>
  <si>
    <t>80mm Copper Crimp - TEE</t>
  </si>
  <si>
    <t>100mm*80mm Copper Crimp - REDUCER</t>
  </si>
  <si>
    <t>32mm Fi Lockable Ball Valve</t>
  </si>
  <si>
    <t>32mm Cu Crimp * 32mi Adapt</t>
  </si>
  <si>
    <t>32mm Cu Crimp Coupling Straight</t>
  </si>
  <si>
    <t>32mm Cu Crimp 90Deg Bend</t>
  </si>
  <si>
    <t>32mm Cu Crimp 45Deg Bend</t>
  </si>
  <si>
    <t>32mm*25mm Cu Crimp Reducer</t>
  </si>
  <si>
    <t>25mm Fi Lockable Ball Valve</t>
  </si>
  <si>
    <t>25mm Cu Crimp * 25mi Adapt</t>
  </si>
  <si>
    <t>25mm Cu Crimp Coupling Straight</t>
  </si>
  <si>
    <t>25mm Cu Crimp 90Deg Bend</t>
  </si>
  <si>
    <t>25mm Cu Crimp 45Deg Bend</t>
  </si>
  <si>
    <t>150mm Galv 2 Piece Weld-nut Bracket M12</t>
  </si>
  <si>
    <t>100mm Galv 2 Piece Weld-nut Bracket M12</t>
  </si>
  <si>
    <t>150 Galv 2 Piece Channel Clip</t>
  </si>
  <si>
    <t>100 Galv 2 Piece Channel Clip</t>
  </si>
  <si>
    <t>12mm Galv Threaded Rod</t>
  </si>
  <si>
    <t>Galv Braced Counter Lever Bracket - 450Long</t>
  </si>
  <si>
    <t>003 Padlock</t>
  </si>
  <si>
    <t xml:space="preserve">FIRE SERVICES - Misc. </t>
  </si>
  <si>
    <t>Decommisioning Material</t>
  </si>
  <si>
    <t>Electrofusion PE Welder 25-250mmPE. Please detail Spec</t>
  </si>
  <si>
    <t>PE Butt Welder. Automatic. 125-250mmPE. Please detail Spec - HIRE</t>
  </si>
  <si>
    <t>WEEK</t>
  </si>
  <si>
    <t>Hand Roll Groover. 65-150mm.</t>
  </si>
  <si>
    <t>Delivery - To Rockhampton PIPE LENGTHS as quoted</t>
  </si>
  <si>
    <t>Delivery - To Rockhampton Standard/Palletised items</t>
  </si>
  <si>
    <t>POTABLE WATER_MAINS &amp; R'Ins</t>
  </si>
  <si>
    <t>125 HDPE PN16 SDR11 - BLUELINE</t>
  </si>
  <si>
    <t xml:space="preserve">75 HDPE PE100 PN 16 -Blueline </t>
  </si>
  <si>
    <t xml:space="preserve">63 HDPE PE100 PN 16 -Blueline </t>
  </si>
  <si>
    <t>63 HDPE PN12.5 SDR11 - BLUELINE</t>
  </si>
  <si>
    <t>50 HDPE PE100 PN 16 - BLUELINE</t>
  </si>
  <si>
    <t xml:space="preserve">40 HDPE PE100 PN16 Blue Line </t>
  </si>
  <si>
    <t>ADOPTED qty per QUANTITY_RECONCILIATION TPS_PAM</t>
  </si>
  <si>
    <t>40 HDPE PN12.5 SDR11 - BLUELINE</t>
  </si>
  <si>
    <t xml:space="preserve">32 HDPE PE100 PN 16 -Blueline </t>
  </si>
  <si>
    <t xml:space="preserve">25 HDPE PE100 PN16 - BLUELINE </t>
  </si>
  <si>
    <t>25 HDPE PN12.5 SDR11 - BLUELINE</t>
  </si>
  <si>
    <t>EF COUPLER                 125MM (EA)</t>
  </si>
  <si>
    <t>TEE EQUAL PE100 E/F 125MM</t>
  </si>
  <si>
    <t>TEE PE100 E/F 125*63MM</t>
  </si>
  <si>
    <t>EF REDUCER      125 X 90MM</t>
  </si>
  <si>
    <t>EF REDUCER      125 X 63MM</t>
  </si>
  <si>
    <t>EF REDUCER      75 X 63MM</t>
  </si>
  <si>
    <t>EF REDUCER      63 X 50MM</t>
  </si>
  <si>
    <t>EF REDUCER      50 X 40MM</t>
  </si>
  <si>
    <t>EF REDUCER      40 X 32MM</t>
  </si>
  <si>
    <t>EF REDUCER      40 X 25MM</t>
  </si>
  <si>
    <t>EF REDUCER      32 X 25MM</t>
  </si>
  <si>
    <t>ELBOW PE100 E/F 125MM X 45D</t>
  </si>
  <si>
    <t>ELBOW PE100 E/F 125MM X 90D</t>
  </si>
  <si>
    <t xml:space="preserve">HDPE 63MM X 90 D ELBOW </t>
  </si>
  <si>
    <t xml:space="preserve">HDPE 50MM X 90 D ELBOW </t>
  </si>
  <si>
    <t xml:space="preserve">HDPE 40MM X 90 D ELBOW </t>
  </si>
  <si>
    <t>Reducing Tee 125mm x 90mm</t>
  </si>
  <si>
    <t>Reducing Tee 125mm x 32mm</t>
  </si>
  <si>
    <t>Reducing Tee 75mm x 63mm</t>
  </si>
  <si>
    <t>Reducing Tee 75mm x 50mm</t>
  </si>
  <si>
    <t>Reducing Tee 75mm x 32mm</t>
  </si>
  <si>
    <t>Reducing Tee 63mm x 50mm</t>
  </si>
  <si>
    <t>Reducing Tee 63mm x 32mm</t>
  </si>
  <si>
    <t>Reducing Tee 50mm x 40mm</t>
  </si>
  <si>
    <t>Reducing Tee 40mm x 25mm</t>
  </si>
  <si>
    <t>Reducing Tee 32mm x 25mm</t>
  </si>
  <si>
    <t>EF Reducer 50mm x 25mm</t>
  </si>
  <si>
    <t>50mm Tee</t>
  </si>
  <si>
    <t>40mm Tee</t>
  </si>
  <si>
    <t xml:space="preserve">32mm Tee </t>
  </si>
  <si>
    <t xml:space="preserve">HDPE 32mm X 90 D ELBOW </t>
  </si>
  <si>
    <t xml:space="preserve">HDPE 25mm X 90 D ELBOW </t>
  </si>
  <si>
    <t xml:space="preserve">HDPE 25mm X 45 D ELBOW </t>
  </si>
  <si>
    <t>25mm Tee</t>
  </si>
  <si>
    <t>PE MAXI STUB FLANGE W/SS BK RING 125X 4" (EA)</t>
  </si>
  <si>
    <t>SLUICE VALVE PN16 T/D ACC FLNGD 100MM</t>
  </si>
  <si>
    <t>Valve Box - Cast Iron - Rectangle - Large - HD</t>
  </si>
  <si>
    <t>SADDLE TAPPING EF 125PE X 25PE</t>
  </si>
  <si>
    <t>SADDLE TAPPING EF 125PE X 32PE</t>
  </si>
  <si>
    <t>SADDLE TAPPING EF 125PE X 63PE</t>
  </si>
  <si>
    <t>Detectable WATER Marker Tape - 250m</t>
  </si>
  <si>
    <t>WIPES WELDING PLASSON XL (120 PK)</t>
  </si>
  <si>
    <t>Paint Pen - WHITE</t>
  </si>
  <si>
    <t xml:space="preserve">100 Cu Above Grnd </t>
  </si>
  <si>
    <t>50 Cu Above Grnd</t>
  </si>
  <si>
    <t>316SS press-fit tube 35mm (was 32 Cu) - WS2 conforming</t>
  </si>
  <si>
    <t>ADOPTED 9.56 m; RE-RATED 316SS press-fit 35mm - WS2 conforming base (&gt;DN22); copper alternate in EBC_Alternates</t>
  </si>
  <si>
    <t>316SS press-fit BASE per WS2 (&gt;DN22): pipe rate = Reece Q-459014431 316 tube rate set (project quote; no &gt;35mm needed). PENDING RFQ PER GAP LIST (Gap #2). Copper alternate: EBC_Alternates.</t>
  </si>
  <si>
    <t>316SS press: 32mm x25mm reducing tee</t>
  </si>
  <si>
    <t>316SS press fitting benchmark = Cu press rate x1.5 (SS press fittings 1.4-1.6x Cu per supplier curves) - pending RFQ (Gap #2)</t>
  </si>
  <si>
    <t>316SS press-fit tube 28mm (was 25 Cu) - WS2 conforming</t>
  </si>
  <si>
    <t>ADOPTED 26.9 m; RE-RATED 316SS press-fit 28mm - WS2 conforming base (&gt;DN22)</t>
  </si>
  <si>
    <t>316SS press: B-PRESS WATER EQUAL TEE  32MM (EA)</t>
  </si>
  <si>
    <t>B-PRESS WATER ELBOW         90DEG X 25MM (EA)</t>
  </si>
  <si>
    <t>316SS press: B-PRESS WATER EQUAL TEE  25MM (EA)</t>
  </si>
  <si>
    <t>20 Cu Above Grnd</t>
  </si>
  <si>
    <t>ADOPTED qty per QUANTITY_RECONCILIATION TPS_PAM - 20 Cu 0.96 m (&lt;=DN22 retained copper)</t>
  </si>
  <si>
    <t>B-PRESS WATER EQUAL TEE  20MM (EA)</t>
  </si>
  <si>
    <t>50mm Cu 10mm Nut Clip</t>
  </si>
  <si>
    <t>32mm Cu 10mm Nut Clip</t>
  </si>
  <si>
    <t>25mm Cu 10mm Nut Clip</t>
  </si>
  <si>
    <t>20mm Cu 10mm Nut Clip</t>
  </si>
  <si>
    <t>10mm Zinc Threaded Rod</t>
  </si>
  <si>
    <t>316SS press: Kembla copper  WATER ELBOW         90DEG X 32MM (EA)</t>
  </si>
  <si>
    <t>EA</t>
  </si>
  <si>
    <t xml:space="preserve">316SS press: Kembla copper  WATER ELBOW        90DEG X 25MM </t>
  </si>
  <si>
    <t xml:space="preserve">Kembla copper  WATER ELBOW        90DEG X 20MM </t>
  </si>
  <si>
    <t>316SS press: B-PRESS WATER REDUCING COUP 25X20MM (EA)</t>
  </si>
  <si>
    <t>316SS press: 32mm Poly to 32mm Copper B Press Adapter</t>
  </si>
  <si>
    <t>HIDDEN</t>
  </si>
  <si>
    <t>63mm E/F PE 90 Deg Elb</t>
  </si>
  <si>
    <t>63mm E/F PE 45 Deg Elb</t>
  </si>
  <si>
    <t>63mm E/F PE TEE</t>
  </si>
  <si>
    <t>63x40x63 E/F PE TEE</t>
  </si>
  <si>
    <t>63x32x63 E/F PE TEE</t>
  </si>
  <si>
    <t>63x25x63 E/F PE TEE</t>
  </si>
  <si>
    <t>63mm E/F PE Coupling</t>
  </si>
  <si>
    <t>63x40 E/F PE Reducer Coupling</t>
  </si>
  <si>
    <t>63x32 E/F PE Reducer Coupling</t>
  </si>
  <si>
    <t>63x25 E/F PE Reducer Coupling</t>
  </si>
  <si>
    <t>63PEx50Fi E/F PE Adapter</t>
  </si>
  <si>
    <t>63PEx50Mi E/F PE Adapter</t>
  </si>
  <si>
    <t>63PEx50Fi E/F PE Tramsiton Union</t>
  </si>
  <si>
    <t>63PEx50Mi E/F PE Transition Union</t>
  </si>
  <si>
    <t>40mm E/F PE 90 Deg Elb</t>
  </si>
  <si>
    <t>40mm E/F PE 45 Deg Elb</t>
  </si>
  <si>
    <t>40mm E/F PE TEE</t>
  </si>
  <si>
    <t>40x32x40 E/F PE TEE</t>
  </si>
  <si>
    <t>40x25x40 E/F PE TEE</t>
  </si>
  <si>
    <t>40mm E/F PE Coupling</t>
  </si>
  <si>
    <t>40x32 E/F PE Reducer Coupling</t>
  </si>
  <si>
    <t>40x25 E/F PE Reducer Coupling</t>
  </si>
  <si>
    <t>40PEx32Fi E/F PE Adapter</t>
  </si>
  <si>
    <t>40PEx32Mi E/F PE Adapter</t>
  </si>
  <si>
    <t>40PEx32Fi E/F PE Tramsiton Union</t>
  </si>
  <si>
    <t>40PEx32Mi E/F PE Transition Union</t>
  </si>
  <si>
    <t>32mm E/F PE 90 Deg Elb</t>
  </si>
  <si>
    <t>32mm E/F PE 45 Deg Elb</t>
  </si>
  <si>
    <t>32mm E/F PE TEE</t>
  </si>
  <si>
    <t>32x25x32 E/F PE TEE</t>
  </si>
  <si>
    <t>32mm E/F PE Coupling</t>
  </si>
  <si>
    <t>32x25 E/F PE Reducer Coupling</t>
  </si>
  <si>
    <t>32PEx25Fi E/F PE Adapter</t>
  </si>
  <si>
    <t>32PEx25Mi E/F PE Adapter</t>
  </si>
  <si>
    <t>32mm E/F PE End Cap</t>
  </si>
  <si>
    <t>32mm E/F PE End Plug</t>
  </si>
  <si>
    <t>25mm E/F PE 90 Deg Elb</t>
  </si>
  <si>
    <t>25mm E/F PE 45 Deg Elb</t>
  </si>
  <si>
    <t>25mm E/F PE TEE</t>
  </si>
  <si>
    <t>25mm E/F PE Coupling</t>
  </si>
  <si>
    <t>25PEx25Fi E/F PE Adapter</t>
  </si>
  <si>
    <t>25PEx25Mi E/F PE Adapter</t>
  </si>
  <si>
    <t>25PEx20Fi E/F PE Adapter</t>
  </si>
  <si>
    <t>25PEx20Mi E/F PE Adapter</t>
  </si>
  <si>
    <t>25mm E/F PE End Cap</t>
  </si>
  <si>
    <t>25mm E/F PE End Plug</t>
  </si>
  <si>
    <t>100mm CU Crimp 90 DEG FxF Elbow</t>
  </si>
  <si>
    <t>100mm CU Crimp 45 DEG FxF Elbow</t>
  </si>
  <si>
    <t>100mm CU Crimp Tee</t>
  </si>
  <si>
    <t>100x50x100 CU Crimp Tee</t>
  </si>
  <si>
    <t>100x50 CU Crimp Reducer</t>
  </si>
  <si>
    <t>100mm CU Crimp Repair Coupling</t>
  </si>
  <si>
    <t>100mm CU Crimp Coupling</t>
  </si>
  <si>
    <t>100Cu x 100Flange CU Crimp Coupling</t>
  </si>
  <si>
    <t>50mm CU Crimp 90 DEG FxF Elbow</t>
  </si>
  <si>
    <t>50mm CU Crimp 45 DEG FxF Elbow</t>
  </si>
  <si>
    <t>50mm CU Crimp Tee</t>
  </si>
  <si>
    <t>50x40x50 CU Crimp Tee</t>
  </si>
  <si>
    <t>50x40x40 CU Crimp Tee</t>
  </si>
  <si>
    <t>50x32x50 CU Crimp Tee</t>
  </si>
  <si>
    <t>50x32x32 CU Crimp Tee</t>
  </si>
  <si>
    <t>50x32x40 CU Crimp Tee</t>
  </si>
  <si>
    <t>50x25x50 CU Crimp Tee</t>
  </si>
  <si>
    <t>50x20x50 CU Crimp Tee</t>
  </si>
  <si>
    <t>50x15x50 CU Crimp Tee</t>
  </si>
  <si>
    <t>50x40 CU Crimp Reducer</t>
  </si>
  <si>
    <t>50x32 CU Crimp Reducer</t>
  </si>
  <si>
    <t>50x25 CU Crimp Reducer</t>
  </si>
  <si>
    <t>50x20 CU Crimp Reducer</t>
  </si>
  <si>
    <t>50x15 CU Crimp Reducer</t>
  </si>
  <si>
    <t>50Cu x 50Mi CU Crimp Adapter</t>
  </si>
  <si>
    <t>50Cu x 50Fi CU Crimp Adapter</t>
  </si>
  <si>
    <t>50mm CU Crimp Repair Coupling</t>
  </si>
  <si>
    <t>50mm CU Crimp Coupling</t>
  </si>
  <si>
    <t>50Cu x 50Flange CU Crimp Coupling</t>
  </si>
  <si>
    <t>50mm CU Crimp Cap</t>
  </si>
  <si>
    <t>50Cu x W69/Barrell Barrell Union CU Crimp</t>
  </si>
  <si>
    <t>40mm CU Crimp 90 DEG FxF Elbow</t>
  </si>
  <si>
    <t>40mm CU Crimp 45 DEG FxF Elbow</t>
  </si>
  <si>
    <t>40mm CU Crimp 90 DEG MxF Elbow</t>
  </si>
  <si>
    <t>40mm CU Crimp 45 DEG MxF Elbow</t>
  </si>
  <si>
    <t>40mm CU Crimp Tee</t>
  </si>
  <si>
    <t>40x32x40 CU Crimp Tee</t>
  </si>
  <si>
    <t>40x32x32 CU Crimp Tee</t>
  </si>
  <si>
    <t>40x32x25 CU Crimp Tee</t>
  </si>
  <si>
    <t>40x25x40 CU Crimp Tee</t>
  </si>
  <si>
    <t>40x25x20 CU Crimp Tee</t>
  </si>
  <si>
    <t>40x20x40 CU Crimp Tee</t>
  </si>
  <si>
    <t>40x15x40 CU Crimp Tee</t>
  </si>
  <si>
    <t>40x32 CU Crimp Reducer</t>
  </si>
  <si>
    <t>40x25 CU Crimp Reducer</t>
  </si>
  <si>
    <t>40x20 CU Crimp Reducer</t>
  </si>
  <si>
    <t>40x15 CU Crimp Reducer</t>
  </si>
  <si>
    <t>40Cu x 40Mi CU Crimp Adapter</t>
  </si>
  <si>
    <t>40Cu x 40Fi CU Crimp Adapter</t>
  </si>
  <si>
    <t>40mm CU Crimp Repair Coupling</t>
  </si>
  <si>
    <t>40mm CU Crimp Coupling</t>
  </si>
  <si>
    <t>40Cu x 40Flange CU Crimp Coupling</t>
  </si>
  <si>
    <t>40mm CU Crimp Cap</t>
  </si>
  <si>
    <t>40Cu x W69/Barrell Barrell Union CU Crimp</t>
  </si>
  <si>
    <t>32mm CU Crimp 90 DEG FxF Elbow</t>
  </si>
  <si>
    <t>32mm CU Crimp 45 DEG FxF Elbow</t>
  </si>
  <si>
    <t>32mm CU Crimp 90 DEG MxF Elbow</t>
  </si>
  <si>
    <t>32mm CU Crimp 45 DEG MxF Elbow</t>
  </si>
  <si>
    <t>32mm CU Crimp Tee</t>
  </si>
  <si>
    <t>32x25x32 CU Crimp Tee</t>
  </si>
  <si>
    <t>32x25x20 CU Crimp Tee</t>
  </si>
  <si>
    <t>32x20x32 CU Crimp Tee</t>
  </si>
  <si>
    <t>32x20x20 CU Crimp Tee</t>
  </si>
  <si>
    <t>32x20x15 CU Crimp Tee</t>
  </si>
  <si>
    <t>32x15x32 CU Crimp Tee</t>
  </si>
  <si>
    <t>32x15x25 CU Crimp Tee</t>
  </si>
  <si>
    <t>32x15x20 CU Crimp Tee</t>
  </si>
  <si>
    <t>32x15x15 CU Crimp Tee</t>
  </si>
  <si>
    <t>COUPLING RED CU KEMPRESS WATER 32MM X 25MM</t>
  </si>
  <si>
    <t>32x20 CU Crimp Reducer</t>
  </si>
  <si>
    <t>32x15 CU Crimp Reducer</t>
  </si>
  <si>
    <t>32Cu x 32Mi CU Crimp Adapter</t>
  </si>
  <si>
    <t>32Cu x 32Fi CU Crimp Adapter</t>
  </si>
  <si>
    <t>32mm CU Crimp Repair Coupling</t>
  </si>
  <si>
    <t>32mm CU Crimp Coupling</t>
  </si>
  <si>
    <t>32mm CU Crimp Cap</t>
  </si>
  <si>
    <t>32Cu x W69/Barrell Barrell Union CU Crimp</t>
  </si>
  <si>
    <t>25mm CU Crimp 90 DEG FxF Elbow</t>
  </si>
  <si>
    <t>25mm CU Crimp 45 DEG FxF Elbow</t>
  </si>
  <si>
    <t>25mm CU Crimp 90 DEG MxF Elbow</t>
  </si>
  <si>
    <t>25mm CU Crimp 45 DEG MxF Elbow</t>
  </si>
  <si>
    <t>25mm CU Crimp Tee</t>
  </si>
  <si>
    <t>25x20x25 CU Crimp Tee</t>
  </si>
  <si>
    <t>25x20x20 CU Crimp Tee</t>
  </si>
  <si>
    <t>25x20x15 CU Crimp Tee</t>
  </si>
  <si>
    <t>25x15x25 CU Crimp Tee</t>
  </si>
  <si>
    <t>25x15x20 CU Crimp Tee</t>
  </si>
  <si>
    <t>25x15x15 CU Crimp Tee</t>
  </si>
  <si>
    <t>25x20 CU Crimp Reducer</t>
  </si>
  <si>
    <t>25x15 CU Crimp Reducer</t>
  </si>
  <si>
    <t>25Cu x 25Mi CU Crimp Adapter</t>
  </si>
  <si>
    <t>25Cu x 25Fi CU Crimp Adapter</t>
  </si>
  <si>
    <t>25mm CU Crimp Repair Coupling</t>
  </si>
  <si>
    <t>25mm CU Crimp Coupling</t>
  </si>
  <si>
    <t>25mm CU Crimp Cap</t>
  </si>
  <si>
    <t>25Cu x W69/Barrell Barrell Union CU Crimp</t>
  </si>
  <si>
    <t>20mm CU Crimp 90 DEG FxF Elbow</t>
  </si>
  <si>
    <t>20mm CU Crimp 45 DEG FxF Elbow</t>
  </si>
  <si>
    <t>20mm CU Crimp 90 DEG MxF Elbow</t>
  </si>
  <si>
    <t>20mm CU Crimp 45 DEG MxF Elbow</t>
  </si>
  <si>
    <t>20mm CU Crimp Tee</t>
  </si>
  <si>
    <t>20x15x20 CU Crimp Tee</t>
  </si>
  <si>
    <t>20x15x15 CU Crimp Tee</t>
  </si>
  <si>
    <t>20x15 CU Crimp Reducer</t>
  </si>
  <si>
    <t>20Cu x 20Mi CU Crimp Adapter</t>
  </si>
  <si>
    <t>20Cu x 20Fi CU Crimp Adapter</t>
  </si>
  <si>
    <t>20mm CU Crimp Repair Coupling</t>
  </si>
  <si>
    <t>20mm CU Crimp Coupling</t>
  </si>
  <si>
    <t>20mm CU Crimp Cap</t>
  </si>
  <si>
    <t>20Cu x W69/Barrell Barrell Union CU Crimp</t>
  </si>
  <si>
    <t>15mm CU Crimp 90 DEG FxF Elbow</t>
  </si>
  <si>
    <t>15mm CU Crimp 45 DEG FxF Elbow</t>
  </si>
  <si>
    <t>15mm CU Crimp 90 DEG MxF Elbow</t>
  </si>
  <si>
    <t>15mm CU Crimp 45 DEG MxF Elbow</t>
  </si>
  <si>
    <t>15mm CU Crimp Tee</t>
  </si>
  <si>
    <t>15Cu x 15Mi CU Crimp Adapter</t>
  </si>
  <si>
    <t>15Cu x 15Fi CU Crimp Adapter</t>
  </si>
  <si>
    <t>15Cu Fi BP, wall elbow</t>
  </si>
  <si>
    <t>15Cu Mi BP, Wall elbow  - 90 Long</t>
  </si>
  <si>
    <t>15Cu Mi BP, Wall elbow  - 120+ Long</t>
  </si>
  <si>
    <t>15mm CU Crimp Repair Coupling</t>
  </si>
  <si>
    <t>15mm CU Crimp Coupling</t>
  </si>
  <si>
    <t>15mm CU Crimp Cap</t>
  </si>
  <si>
    <t>15Cu x W69/Barrell Barrell Union CU Crimp</t>
  </si>
  <si>
    <t>50mm Ball Valve Fi</t>
  </si>
  <si>
    <t>40mm Ball Valve Fi</t>
  </si>
  <si>
    <t>32mm Ball Valve Fi</t>
  </si>
  <si>
    <t>25mm Ball Valve Fi</t>
  </si>
  <si>
    <t>20mm Ball Valve Fi</t>
  </si>
  <si>
    <t>15mm Ball Valve Fi</t>
  </si>
  <si>
    <t>50mm Mi BRS Nipple</t>
  </si>
  <si>
    <t>50mm Fi BRS Socket</t>
  </si>
  <si>
    <t>50mm Mi BRS Union</t>
  </si>
  <si>
    <t>50mm Fi BRS Union</t>
  </si>
  <si>
    <t>50mm BRS Plug</t>
  </si>
  <si>
    <t>50mm BRS Cap</t>
  </si>
  <si>
    <t>40mm Mi BRS Nipple</t>
  </si>
  <si>
    <t>40mm Fi BRS Socket</t>
  </si>
  <si>
    <t>40mm Mi BRS Union</t>
  </si>
  <si>
    <t>40mm Fi BRS Union</t>
  </si>
  <si>
    <t>40mm BRS Plug</t>
  </si>
  <si>
    <t>40mm BRS Cap</t>
  </si>
  <si>
    <t>32mm Mi BRS Nipple</t>
  </si>
  <si>
    <t>32mm Fi BRS Socket</t>
  </si>
  <si>
    <t>32mm Mi BRS Union</t>
  </si>
  <si>
    <t>32mm Fi BRS Union</t>
  </si>
  <si>
    <t>32mm BRS Plug</t>
  </si>
  <si>
    <t>32mm BRS Cap</t>
  </si>
  <si>
    <t>25mm Mi BRS Nipple</t>
  </si>
  <si>
    <t>25mm Fi BRS Socket</t>
  </si>
  <si>
    <t>25mm Mi BRS Union</t>
  </si>
  <si>
    <t>25mm Fi BRS Union</t>
  </si>
  <si>
    <t>25mm BRS Plug</t>
  </si>
  <si>
    <t>25mm BRS Cap</t>
  </si>
  <si>
    <t>20mm pex Pipe - Black</t>
  </si>
  <si>
    <t>20mm pex Pipe - Red</t>
  </si>
  <si>
    <t>15mm Pex pipe - Black</t>
  </si>
  <si>
    <t>15mm Pex pipe - Red</t>
  </si>
  <si>
    <t>20 pex Elbow</t>
  </si>
  <si>
    <t>20 Pex TEE</t>
  </si>
  <si>
    <t>20x15 Pex TEE</t>
  </si>
  <si>
    <t>20 PEX Mi Adapter</t>
  </si>
  <si>
    <t>20 PEX Fi Adapter</t>
  </si>
  <si>
    <t>20x15 Pex Reducer</t>
  </si>
  <si>
    <t>PEX - 32 Cu Crimp Adapter</t>
  </si>
  <si>
    <t>PEX - 25 Cu Crimp Adapter</t>
  </si>
  <si>
    <t>20 PEXxCU Crimp conversion coupling</t>
  </si>
  <si>
    <t>20 PEX Straight coupling</t>
  </si>
  <si>
    <t>15 Pex Elbow</t>
  </si>
  <si>
    <t>15 Pex TEE</t>
  </si>
  <si>
    <t>15 PEXMi Adapter</t>
  </si>
  <si>
    <t>15 PEX Fi Adapter</t>
  </si>
  <si>
    <t>15 PEX Fi BP, wall elbow</t>
  </si>
  <si>
    <t>15 PEX Mi BP, Wall elbow  - 90 Long</t>
  </si>
  <si>
    <t>15 PEX Mi BP, Wall elbow  - 120+ Long</t>
  </si>
  <si>
    <t>15 PEXxCU Crimp conversion coupling</t>
  </si>
  <si>
    <t>15 PEX Straight coupling</t>
  </si>
  <si>
    <t>Hose Taps Complete</t>
  </si>
  <si>
    <t xml:space="preserve">100 FL DICL SLUICE VALVE </t>
  </si>
  <si>
    <t xml:space="preserve"> 125PE*4" (100mm) - MaxiStub W/Stainless Steel Backing Ring</t>
  </si>
  <si>
    <t>100mm PE*DI Gasket Kit Complete  Parts &amp; Labour</t>
  </si>
  <si>
    <t>125mm PE x 100mm GALV ADAPTER - Acutech Brand</t>
  </si>
  <si>
    <t>RPZD  32mm</t>
  </si>
  <si>
    <t>RPZD  20mm</t>
  </si>
  <si>
    <t>RPZD 100mm</t>
  </si>
  <si>
    <t>Office - Water &amp; Rough IN</t>
  </si>
  <si>
    <t>Ofice - NOGINS &amp; Fixings</t>
  </si>
  <si>
    <t>Safety shr fittings</t>
  </si>
  <si>
    <t>In Grnd Fittings misc</t>
  </si>
  <si>
    <t>Abv Grnd Fittings misc</t>
  </si>
  <si>
    <t>HWU quickie kit</t>
  </si>
  <si>
    <t>TMV</t>
  </si>
  <si>
    <t xml:space="preserve">20mm Isolavtive valve </t>
  </si>
  <si>
    <t>450 SQ PIT</t>
  </si>
  <si>
    <t>Dock Office Water Mat</t>
  </si>
  <si>
    <t xml:space="preserve">25mm RPZD </t>
  </si>
  <si>
    <t xml:space="preserve">misc. </t>
  </si>
  <si>
    <t>150mm isolation valve in valve pit (connect to authority watermain )</t>
  </si>
  <si>
    <t xml:space="preserve">25mm DCW Isolation vlave in valve pit with path box cover </t>
  </si>
  <si>
    <t xml:space="preserve">32 domestic watre meter assembly </t>
  </si>
  <si>
    <t xml:space="preserve">	25mm water meter in tamper steel cage with isolative valves in both side </t>
  </si>
  <si>
    <t>TMV in Box</t>
  </si>
  <si>
    <t xml:space="preserve">100 mm Water meter </t>
  </si>
  <si>
    <t xml:space="preserve">63 Valve in Pit </t>
  </si>
  <si>
    <t xml:space="preserve">32 valve in pit </t>
  </si>
  <si>
    <t xml:space="preserve">50mm control valve </t>
  </si>
  <si>
    <t xml:space="preserve">TLV under basin </t>
  </si>
  <si>
    <t xml:space="preserve">AUTOMATIC TRAP PRIMER </t>
  </si>
  <si>
    <t xml:space="preserve">SEWER DRAINAGE - </t>
  </si>
  <si>
    <t xml:space="preserve">PIPE DWV PVC S/WELD  150MM - In Grnd </t>
  </si>
  <si>
    <t>PIPE DWV SN8 PVC S/WELD  100MM</t>
  </si>
  <si>
    <t xml:space="preserve">150MM * 45D PVC JUNCTION </t>
  </si>
  <si>
    <t xml:space="preserve">100MM * 45D PVC JUNCTION </t>
  </si>
  <si>
    <t xml:space="preserve">150MM X 100MM 45D PVC JUNCTION </t>
  </si>
  <si>
    <t xml:space="preserve">100*50 PVC DWV JUNCTION </t>
  </si>
  <si>
    <t xml:space="preserve">100MM * 65 PVC PVC JUNCTION </t>
  </si>
  <si>
    <t xml:space="preserve">150MM X 45 Deg Bend </t>
  </si>
  <si>
    <t xml:space="preserve">150MM X 90 Deg Bend </t>
  </si>
  <si>
    <t>100MM X 90Deg Bend</t>
  </si>
  <si>
    <t>100MM X 45Deg Bend</t>
  </si>
  <si>
    <t>DWV PIPE REDUCER 150X100mm</t>
  </si>
  <si>
    <t>DWV PIPE REDUCER 100 X 65mm</t>
  </si>
  <si>
    <t>DWV PIPE REDUCER 100 X 50mm</t>
  </si>
  <si>
    <t xml:space="preserve">PIPE DWV PVC S/WELD  100MM - In Grnd </t>
  </si>
  <si>
    <t xml:space="preserve">PIPE DWV PVC S/WELD  65MM - In Grnd </t>
  </si>
  <si>
    <t xml:space="preserve">63 HDPE PN12.5 SDR11 - BLACK or CREAM - In Grnd </t>
  </si>
  <si>
    <t>PIPE DWV PVC S/WELD  50mm</t>
  </si>
  <si>
    <t>PIPE DWV PVC S/WELD  40mm</t>
  </si>
  <si>
    <t>DWV BEND 65X 90 DEG</t>
  </si>
  <si>
    <t>DWV BEND 40 X 85 DEG</t>
  </si>
  <si>
    <t>DWV BEND 50 X 45 DEG</t>
  </si>
  <si>
    <t xml:space="preserve">DWV BEND 50 X85 DEG </t>
  </si>
  <si>
    <t>50mm Condensate INSULATION</t>
  </si>
  <si>
    <t>100mm Condensate INSULATION</t>
  </si>
  <si>
    <t>150mm - Gas Tight H/D Cast Iron Clearout (Peepeye)</t>
  </si>
  <si>
    <t>ADOPTED qty per QUANTITY_RECONCILIATION TPS_PAM - 100mm CO adopted 7 (7 'CO' annotations vs 6 counted; H002 n.15 adopt higher)</t>
  </si>
  <si>
    <t>150mm Clear Out Cover - L/D - Brass</t>
  </si>
  <si>
    <t>ADOPTED qty per QUANTITY_RECONCILIATION TPS_PAM - CO covers follow CO count 7</t>
  </si>
  <si>
    <t>100mm - Gas Tight H/D Cast Iron Clearout (Peepeye)</t>
  </si>
  <si>
    <t>100mm Clear Out Cover - L/D - Brass</t>
  </si>
  <si>
    <t xml:space="preserve">100 mm Inspection Opening </t>
  </si>
  <si>
    <t>100mm Trapped point - 100mm Gully Trap</t>
  </si>
  <si>
    <t>FWG - 100mm Gully Trap</t>
  </si>
  <si>
    <t>FWG - 100mm 4-way Riser</t>
  </si>
  <si>
    <t>FWG - Grate - Tile Insert 100*100 Chrome Plated</t>
  </si>
  <si>
    <t>In-Wall TD &amp; View Panel - SS</t>
  </si>
  <si>
    <t>100mm PVC 10mm nut hanging clip</t>
  </si>
  <si>
    <t>50mm PVC 10mm nut hanging clip</t>
  </si>
  <si>
    <t>Glue - Blue - 4Ltr</t>
  </si>
  <si>
    <t>Primer - Red - 4Ltr</t>
  </si>
  <si>
    <t>Detectable SEWER Marker Tape - 250m</t>
  </si>
  <si>
    <t xml:space="preserve">100mm AbleFlex Roll </t>
  </si>
  <si>
    <t>Concrete Mix bag</t>
  </si>
  <si>
    <t>External Sewer Mains fitting</t>
  </si>
  <si>
    <t>Vents Complete</t>
  </si>
  <si>
    <t>Office Drainage mat</t>
  </si>
  <si>
    <t>Dock Office Drainage Mat</t>
  </si>
  <si>
    <t xml:space="preserve">Overflow Gully </t>
  </si>
  <si>
    <t>COS</t>
  </si>
  <si>
    <t>Articulation/expansion joint hardware - H1 'P' adder (PAM)</t>
  </si>
  <si>
    <t>NewItems #12 allowance ~7 joints @ ~$100 - pending Storm Plastics RFQ; as NBC basis</t>
  </si>
  <si>
    <t>SIVEL EXPANSION JOINT</t>
  </si>
  <si>
    <t>FWG</t>
  </si>
  <si>
    <t>ADOPTED qty per QUANTITY_RECONCILIATION TPS_PAM - FWG 4 drawn on H-PAM-100 (adopt higher)</t>
  </si>
  <si>
    <t>Fire Collars &amp; Misc</t>
  </si>
  <si>
    <t xml:space="preserve">plaster /slip trap </t>
  </si>
  <si>
    <t xml:space="preserve">Vent </t>
  </si>
  <si>
    <t>DWV PVC PIPE 65MM SN 6</t>
  </si>
  <si>
    <t>ADOPTED qty per QUANTITY_RECONCILIATION TPS_PAM - 65 vent horizontal 1.93 m (vertical riser added below)</t>
  </si>
  <si>
    <t xml:space="preserve">DWV BEND 65X90 DEG </t>
  </si>
  <si>
    <t xml:space="preserve">DWV BEND  65 X 45 DEG </t>
  </si>
  <si>
    <t>Vertical vent riser O65 VP to above roof - height + flashing allowance</t>
  </si>
  <si>
    <t>NewItems #8 allowance - single riser, height from section at Phase 6</t>
  </si>
  <si>
    <t>STORMWATER DRAINAGE</t>
  </si>
  <si>
    <t>Roof-DP in-ground connection stub (allow 2 m O100 DWV + bend + coupling)</t>
  </si>
  <si>
    <t>ADOPTED 4 EA (NewItems #6); PAM sheets show NO 'connect to civil' note - connection point undefined, RFI CL C8; civil beyond is TCS</t>
  </si>
  <si>
    <t>PIPE 600MM - RIBBED</t>
  </si>
  <si>
    <t>PIPE 450MM - RIBBED</t>
  </si>
  <si>
    <t xml:space="preserve">PIPE 375MM - RIBBED BLACK MAX </t>
  </si>
  <si>
    <t xml:space="preserve">PIPE 300MM - RIBBED BLACK MAX </t>
  </si>
  <si>
    <t>PIPE DWV SN8 PVC S/WELD  375MM</t>
  </si>
  <si>
    <t>PIPE DWV SN8 PVC S/WELD  300MM</t>
  </si>
  <si>
    <t>PIPE DWV SN4 PVC S/WELD  300MM</t>
  </si>
  <si>
    <t>PIPE SW H/D PVC S/WELD  300MM</t>
  </si>
  <si>
    <t>PIPE DWV SN8 PVC S/WELD  225MM</t>
  </si>
  <si>
    <t>PIPE DWV SN4 PVC S/WELD  225MM</t>
  </si>
  <si>
    <t>PIPE SW H/D PVC S/WELD  225MM</t>
  </si>
  <si>
    <t>PIPE DWV SN8 PVC S/WELD  150MM</t>
  </si>
  <si>
    <t>PIPE DWV SN4 PVC S/WELD  150MM</t>
  </si>
  <si>
    <t>PIPE DWV SN8 PVC S/WELD  150MM - Suspended</t>
  </si>
  <si>
    <t>PIPE DWV SN4 PVC S/WELD  100MM</t>
  </si>
  <si>
    <t>PIPE DWV SN8 PVC S/WELD  50MM</t>
  </si>
  <si>
    <t>DWV Grade Option</t>
  </si>
  <si>
    <t>600*225 Ribbed Saddle</t>
  </si>
  <si>
    <t>600*45Deg RIBBED Bend</t>
  </si>
  <si>
    <t>600*450 Ribbed Reducer</t>
  </si>
  <si>
    <t>450*375 Ribbed*PVC Reducer</t>
  </si>
  <si>
    <t>450 45 Deg ribbed Bend</t>
  </si>
  <si>
    <t>450 * 225 Ribbed Saddle</t>
  </si>
  <si>
    <t>375mm X 45Deg Junction</t>
  </si>
  <si>
    <t>375X300X45D PVC JUNCTION</t>
  </si>
  <si>
    <t>375X225X45D PVC JUNCTION</t>
  </si>
  <si>
    <t>375MM X 300MM Reducer</t>
  </si>
  <si>
    <t>375MM X 225MM Reducer</t>
  </si>
  <si>
    <t>375MM X 90Deg Bend</t>
  </si>
  <si>
    <t>375MM X 45Deg Bend</t>
  </si>
  <si>
    <t>300MM * 45D PVC JUNCTION</t>
  </si>
  <si>
    <t>300X225X45D PVC JUNCTION</t>
  </si>
  <si>
    <t>300MM X 225MM Reducer</t>
  </si>
  <si>
    <t>300MM X 90Deg Bend</t>
  </si>
  <si>
    <t>300MM X 45Deg Bend</t>
  </si>
  <si>
    <t>300MM X 150 Junction</t>
  </si>
  <si>
    <t>225MM * 45D PVC JUNCTION</t>
  </si>
  <si>
    <t>225X150X45D PVC JUNCTION</t>
  </si>
  <si>
    <t>225MM X 90Deg Bend</t>
  </si>
  <si>
    <t>225MM X 45Deg Bend</t>
  </si>
  <si>
    <t>225MM X 150MM Reducer</t>
  </si>
  <si>
    <t>150 PVC DWV 45Deg Junct</t>
  </si>
  <si>
    <t>150MM X 90Deg Bend</t>
  </si>
  <si>
    <t>150MM X 45Deg Bend</t>
  </si>
  <si>
    <t>150X100X45D PVC JUNCTION</t>
  </si>
  <si>
    <t>PVC PIPE REDUCER 150X 100 mm</t>
  </si>
  <si>
    <t>100X50 X45D PVC JUNCTION</t>
  </si>
  <si>
    <t>PVC PIPE REDUCER 100X 50 mm</t>
  </si>
  <si>
    <t>50 PVC X 45D PVC JUNCTION</t>
  </si>
  <si>
    <t>50MM X 90Deg  PVC Bend</t>
  </si>
  <si>
    <t>50MM X 45Deg  PVC Bend</t>
  </si>
  <si>
    <t>150mm PVC 10mm nut hanging clip</t>
  </si>
  <si>
    <t>SW_RRJ (RIBBED) Fittings</t>
  </si>
  <si>
    <t>375MM X 45Deg  Bend</t>
  </si>
  <si>
    <t>DN 375 X DN150 45 DEG BLACKMAX REDUCING JUNCTION (PVC FAB)</t>
  </si>
  <si>
    <t>DN375 x dn225 BlackMax® Reducing Adaptor FF RRJ x DWV SWJ (PVC Fab)</t>
  </si>
  <si>
    <t>DN 300 X DN150 45 DEG BLACKMAX REDUCING JUNCTION (PVC FAB)</t>
  </si>
  <si>
    <t xml:space="preserve">DN300 BLACK MAX 45 DEG BEND </t>
  </si>
  <si>
    <t>DN300 x dn225 BlackMax® Reducing Adaptor FF RRJ x DWV SWJ (PVC Fab)</t>
  </si>
  <si>
    <t xml:space="preserve">150mm Cap </t>
  </si>
  <si>
    <t xml:space="preserve">	150mm expansion coupler</t>
  </si>
  <si>
    <t xml:space="preserve">	450X450 GRATED SW GULLY</t>
  </si>
  <si>
    <t>FITOFF</t>
  </si>
  <si>
    <t>Fit-Off consumable material - per adopted fixture (allow $30/EA x 15)</t>
  </si>
  <si>
    <t>-</t>
  </si>
  <si>
    <t>Fit-off consumable basis: 15 adopted PAM fixtures x $30/EA</t>
  </si>
  <si>
    <t>Fit-Off Material; Ground &amp; First Floor -</t>
  </si>
  <si>
    <t>Seismic restraint hardware - AS1170.4 EDC 2 (PAM minor - HWU strap + hanger braces)</t>
  </si>
  <si>
    <t>Gap #3 allowance; install within rough-in/fit-off days; layout drafting only (CL C7)</t>
  </si>
  <si>
    <t>HWU mounting - 316 SS plinth/stand + fixings per H-PAM-301 detail (1x Rheem 50L)</t>
  </si>
  <si>
    <t>RULE 4 GAP CLOSED: as NBC - safe tray priced at W26, seismic strap in r853, plinth/stand priced nowhere. Estimator basis as NBC. Install labour already in T4-06 - materials only here.</t>
  </si>
  <si>
    <t>SUB TOTALS</t>
  </si>
  <si>
    <t>Contingency</t>
  </si>
  <si>
    <t>Deliveries</t>
  </si>
  <si>
    <t>TOTALS</t>
  </si>
  <si>
    <t>Excavation/Quarry/Misc/ Takeoff.</t>
  </si>
  <si>
    <t>Qty</t>
  </si>
  <si>
    <t>Unit</t>
  </si>
  <si>
    <t>Avrg Trench = .900D*.450W</t>
  </si>
  <si>
    <t>L/M Of Asphalt Reinstate</t>
  </si>
  <si>
    <t>M2 Of Asphalt Reinstate</t>
  </si>
  <si>
    <t>L/M Of CBR Reinstate</t>
  </si>
  <si>
    <t>L/M of Inground Pipe (Average Depth)</t>
  </si>
  <si>
    <t>L/M of Inground Pipe (Deeper Than Average Depth)</t>
  </si>
  <si>
    <t>Avergage of trtenches 'Shared'…. Shared trench Factor</t>
  </si>
  <si>
    <t>SEWER / SW / TW - InGrnd</t>
  </si>
  <si>
    <t>WAT / FIRE - InGrnd</t>
  </si>
  <si>
    <t>SPK - InGrnd</t>
  </si>
  <si>
    <t>D</t>
  </si>
  <si>
    <t>W</t>
  </si>
  <si>
    <t>L</t>
  </si>
  <si>
    <t>Spoil/Compact Factor;</t>
  </si>
  <si>
    <t>Shared Trench Factor</t>
  </si>
  <si>
    <t>Total m3 - EXCAVATED</t>
  </si>
  <si>
    <t>Total M3 - Bed, Pipe, Cover reduction</t>
  </si>
  <si>
    <t>Total M3 - Backfill Req (Less Bed&amp;Pipe)</t>
  </si>
  <si>
    <t>Total M3 - Spoil - REMOVE</t>
  </si>
  <si>
    <t>TCS Load - Haulage &amp; dump rate only</t>
  </si>
  <si>
    <t>L/M of Bed, Pipe, Cover material reduction (Average Depth)</t>
  </si>
  <si>
    <t>L/M of Bed, Pipe, Cover material reduction (Deeper Than Average Depth)</t>
  </si>
  <si>
    <t>L/M of BACKFILL required (Average Depth)</t>
  </si>
  <si>
    <t>L/M of BACKFILL required (Deeper Than Average Depth)</t>
  </si>
  <si>
    <t>QTY</t>
  </si>
  <si>
    <t>Rate</t>
  </si>
  <si>
    <t>Total</t>
  </si>
  <si>
    <t>Thrust Block Concrete</t>
  </si>
  <si>
    <t>m3/TB</t>
  </si>
  <si>
    <t>Total m3</t>
  </si>
  <si>
    <t>Total Cost</t>
  </si>
  <si>
    <t>Quarry &amp; Concrete Product</t>
  </si>
  <si>
    <t>Unit/LM</t>
  </si>
  <si>
    <t>Rate/LM</t>
  </si>
  <si>
    <t>Total Req.</t>
  </si>
  <si>
    <t>TOTAL</t>
  </si>
  <si>
    <t>Drainage Use</t>
  </si>
  <si>
    <t>Fire/WAT Use</t>
  </si>
  <si>
    <t>SPK Use</t>
  </si>
  <si>
    <t>5-7mm Stone</t>
  </si>
  <si>
    <t>Ton</t>
  </si>
  <si>
    <t>m3</t>
  </si>
  <si>
    <t>10-12mm Stone</t>
  </si>
  <si>
    <t>80-110mm Stone</t>
  </si>
  <si>
    <t>Medium River / Bed Sand</t>
  </si>
  <si>
    <t>CBR15 Road Base</t>
  </si>
  <si>
    <t>CBR45</t>
  </si>
  <si>
    <t>LEANMIX</t>
  </si>
  <si>
    <t>TCS</t>
  </si>
  <si>
    <t>Q2</t>
  </si>
  <si>
    <t>T</t>
  </si>
  <si>
    <t>LEANMIX_20mm-12:1</t>
  </si>
  <si>
    <t>M3</t>
  </si>
  <si>
    <t>Concrete_25/20/80</t>
  </si>
  <si>
    <t xml:space="preserve"> </t>
  </si>
  <si>
    <t xml:space="preserve">SUMMARY </t>
  </si>
  <si>
    <t>BIG TICKET ITEMS</t>
  </si>
  <si>
    <t xml:space="preserve">JOB DESCRIPTION: </t>
  </si>
  <si>
    <t>ROK Sports Precinct</t>
  </si>
  <si>
    <t xml:space="preserve">DATE: </t>
  </si>
  <si>
    <t>26/07/2026</t>
  </si>
  <si>
    <t xml:space="preserve">Club house (NBC ) </t>
  </si>
  <si>
    <t>SITE ADDRESS:</t>
  </si>
  <si>
    <t>554-700 Yaamba Rd, Norman Gardens QLD 4701</t>
  </si>
  <si>
    <t>TPS-TEN16699-V2</t>
  </si>
  <si>
    <t>Cost</t>
  </si>
  <si>
    <t>(Cost + O/H) + Profit</t>
  </si>
  <si>
    <t>1500 Liters Git Viking Panel TIm in Ground ( grease trap )</t>
  </si>
  <si>
    <t>Hot Water Pump set to suit Rheem Hot Water Unit</t>
  </si>
  <si>
    <t>Rheem HWU</t>
  </si>
  <si>
    <t>Purchase Cost Total</t>
  </si>
  <si>
    <t xml:space="preserve">Safe Tray </t>
  </si>
  <si>
    <t>TPS Markup</t>
  </si>
  <si>
    <t xml:space="preserve">Qty </t>
  </si>
  <si>
    <t>N16 rewired = S16+W17+Z17+AC17 - NBC Rheem HWU block was orphaned (never reached summary)</t>
  </si>
  <si>
    <t xml:space="preserve">Freight </t>
  </si>
  <si>
    <t>CLUBHOUSE</t>
  </si>
  <si>
    <t>Installation_MH</t>
  </si>
  <si>
    <t>RULE 4: token $250 set to $0 26/07/26 - installation labour is priced in Phase 7 activity T1-08: NBC trade waste 110 HDPE + Geberit 50 + 1500L Viking GIT install (8 crew-days, Crew 1; rate basis explicitly includes 'GIT excavation/set'; plant 3-5T exc 4d + crane truck 1d). Commissioning in T5-02. Retaining the token would DOUBLE-COUNT. Supply, freight, safe tray and mounting are priced separately - see EQUIPMENT_TEST_TPS.md.</t>
  </si>
  <si>
    <t>RULE 4: token $200 set to $0 26/07/26 - installation labour is priced in Phase 7 activity T4-03: 2x Rheem 315L HWU + HW circulating pump + flow/return loop (3 crew-days, Crew 4). Commissioning in T5-06. Retaining the token would DOUBLE-COUNT. Supply, freight, safe tray and mounting are priced separately - see EQUIPMENT_TEST_TPS.md.</t>
  </si>
  <si>
    <t>RULE 4: token $600 set to $0 26/07/26 - installation labour is priced in Phase 7 activity T4-03: 2x Rheem 315L HWU + HW circulating pump + flow/return loop (3 crew-days, Crew 4; crane truck 0.5d for HWU delivery/set). Commissioning in T5-06 ('HWU'). Retaining the token would DOUBLE-COUNT. Supply, freight, safe tray and mounting are priced separately - see EQUIPMENT_TEST_TPS.md.</t>
  </si>
  <si>
    <t>HWU qty 2 adopted (QUANTITY_RECONCILIATION TPS_NBC - take-off double-count removed; 2 drawn H-NBC-200/202)</t>
  </si>
  <si>
    <t>Public Amenities Block</t>
  </si>
  <si>
    <t>PUBLIC AMENITIES</t>
  </si>
  <si>
    <t>PAM HWU is Rheem 50L 613/050 (H-PAM-200) - rate corrected from $3,438.29 (315L model) to $2,016.08 (Reece Q-459014431)</t>
  </si>
  <si>
    <t>SITEWORKS</t>
  </si>
  <si>
    <t>RULE 4: token $200 set to $0 26/07/26 - installation labour is priced in Phase 7 activity T4-06: PAM Rheem 50L HWU + TMV + O32 check-meter assembly (1 crew-day, Crew 4). Commissioning in T5-06. Retaining the token would DOUBLE-COUNT. Supply, freight, safe tray and mounting are priced separately - see EQUIPMENT_TEST_TPS.md.</t>
  </si>
  <si>
    <t>ACCOMMODATION - FIFO Option A (apartments + LH nightly)</t>
  </si>
  <si>
    <t>Phase 7 Accommodation TPS: 14 apt-months x $4,606.06 (crew of 3/apt) + LH 225 nights x $103.2468 = $87,715 (Option A recommended). Option B all-individual = 1,275 nights x $103.2468 = $131,640 - premium $43,925 not taken. No sharing with TCS (SS5.2).</t>
  </si>
  <si>
    <t>FLIGHTS - FIFO roster (return every 2nd w/e)</t>
  </si>
  <si>
    <t>51 person-months (Phase 7) x 2 returns/person-month x 2 legs x $220/leg = $44,880 - assumption stated (Misc Rates flight basis)</t>
  </si>
  <si>
    <t>Sewer pump station EXCLUDED - installed by Council per Addendum 2 (10 Jul 2026); interfaces per interface ledger L6; add-price held in EBC register (APS 14065 basis) - see EBC_Alternates. Prior orphaned block W37 $468,000 -&gt; W43 $545,700 removed (fed no roll-up; never in N64).</t>
  </si>
  <si>
    <t>Prelim</t>
  </si>
  <si>
    <t>of total cost</t>
  </si>
  <si>
    <t>O/H</t>
  </si>
  <si>
    <t>Sub Total</t>
  </si>
  <si>
    <t>total cost + Prelim + O/H</t>
  </si>
  <si>
    <t>Gross Profit</t>
  </si>
  <si>
    <t>of total cost (SS5.4 re-base 26/07/26; was =R45*Q47 -&gt; effective 45.73%)</t>
  </si>
  <si>
    <t>Total Markup</t>
  </si>
  <si>
    <t>Net Profit Incl Equip</t>
  </si>
  <si>
    <t>TOTAL - TPS BASE SELL ex GST (excl PC Sums)</t>
  </si>
  <si>
    <t>GST rows removed - ALL PRICING EX GST per SS5.4</t>
  </si>
  <si>
    <t>.</t>
  </si>
  <si>
    <t>PC SUMS - separate identified lines (ex GST)</t>
  </si>
  <si>
    <t>Fixtures PC build (ex GST)</t>
  </si>
  <si>
    <t>PC-1A Fixtures supply - Tradelink 1066143 adjusted + 15%</t>
  </si>
  <si>
    <t>Quote validity 13/08/26 vs 2027 start - escalation/validity qualification carried; Phase 4 line-by-line reconciliation mandatory</t>
  </si>
  <si>
    <t>Tradelink 1066143 quote total</t>
  </si>
  <si>
    <t>PC-1A Drinking fountains - 2x CF400 chilled (NBC) + 15%</t>
  </si>
  <si>
    <t>Profit</t>
  </si>
  <si>
    <t>less 4x CF400 chilled fountains (moved to DF PC lines)</t>
  </si>
  <si>
    <t>PC-1A Provisional connection fees - as directed, NO markup</t>
  </si>
  <si>
    <t>1A 5.0 / 1B 4.6: $20,000 actual-cost reimbursement carried in BOTH stages exactly as directed (SS5.4) - no markup</t>
  </si>
  <si>
    <t>less 5x Billi Quadra 4180 - SUPPLIED BY RCC per FF&amp;E VOL25 (install labour retained in base)</t>
  </si>
  <si>
    <t>PC-1B Fixtures supply - PAM adopted-count extension + 15%</t>
  </si>
  <si>
    <t>Grand Total</t>
  </si>
  <si>
    <t>plus NBC adopted-count extension allowance</t>
  </si>
  <si>
    <t>PC-1B Drinking fountains - 2x CF400 non-chilled (PAM, benchmark) + 15%</t>
  </si>
  <si>
    <t>plus PAM adopted-count extension allowance (PAM set never counted: 8 s/s WC + cisterns, trough, CSK, taps, 2 TR)</t>
  </si>
  <si>
    <t>PC-1B Water bubbler stations - 4x site DF (H003, benchmark) + 15%</t>
  </si>
  <si>
    <t>Adjusted PC base (1A+1B)</t>
  </si>
  <si>
    <t>PC-1B Provisional connection fees - as directed, NO markup</t>
  </si>
  <si>
    <t>Extension deltas are stated allowances: quote quantities unfinalised; only 25 of ~108 adopted fixtures were counted when quote was assembled (Fixtures sheet). Where adopted counts exceed known quote lines they extend at quote-rate family; delta = +$25,000 total. Phase 4 reconciliation governs before award.</t>
  </si>
  <si>
    <t>PC SUMS TOTAL ex GST</t>
  </si>
  <si>
    <t>Non-chilled CF400 benchmark rate (chilled $11,050 less ~35% chiller premium; Gap #6 pending re-quote)</t>
  </si>
  <si>
    <t>STAGE SPLIT (SCOPE_MATRIX: mains-through-1B in 1A; PAM/bubblers/1B connections in 1B)</t>
  </si>
  <si>
    <t>1A base sell: NBC + Siteworks + accom/flights share (146/166 crew-days)</t>
  </si>
  <si>
    <t>1A PC sums</t>
  </si>
  <si>
    <t>STAGE 1A TOTAL ex GST</t>
  </si>
  <si>
    <t>1B base sell: PAM sheet (incl 1B site branches T2-09) + accom/flights share (20/166)</t>
  </si>
  <si>
    <t>1B PC sums</t>
  </si>
  <si>
    <t>STAGE 1B TOTAL ex GST</t>
  </si>
  <si>
    <t>GRAND TOTAL ex GST (1A + 1B incl PC sums)</t>
  </si>
  <si>
    <t>Tie check (N64 + N78 - N87) = 0</t>
  </si>
  <si>
    <t>Source</t>
  </si>
  <si>
    <t>A</t>
  </si>
  <si>
    <t>PRELIMINARIES</t>
  </si>
  <si>
    <t>SUMMARY (Not added in prelim$)</t>
  </si>
  <si>
    <t>TOTAL Days Mobilized On Site</t>
  </si>
  <si>
    <t>Re-based from Phase 7 TPS_Programme (link [1] severed): 197 work days across 3 discrete site windows; 10 months elapsed less inter-window demob = 285 calendar days on site</t>
  </si>
  <si>
    <t>frozen from [1] CQU ROK_PROGRAM - MASTER.V1 (SharePoint) - link severed 26/07/26; re-based from Phase 7 TPS_Programme</t>
  </si>
  <si>
    <t>Months Mobilized</t>
  </si>
  <si>
    <t>Work Weeks' Mobilized On Site</t>
  </si>
  <si>
    <t>Work Days</t>
  </si>
  <si>
    <t>197 work days = Phase 7 programme finish (T5-07 as-cons)</t>
  </si>
  <si>
    <t>Breakdown as per program</t>
  </si>
  <si>
    <t>Total Labour</t>
  </si>
  <si>
    <t>Total as per stage boq</t>
  </si>
  <si>
    <t>Total Part A Labour</t>
  </si>
  <si>
    <t>Total Stage 1 Labour</t>
  </si>
  <si>
    <t>Total Stage 2 Labour</t>
  </si>
  <si>
    <t>Total Stage 3 Labour</t>
  </si>
  <si>
    <t>Total Stage 4 Labour</t>
  </si>
  <si>
    <t>Difference</t>
  </si>
  <si>
    <t>REQ</t>
  </si>
  <si>
    <t>Cost ex GST</t>
  </si>
  <si>
    <t>Total ex GST</t>
  </si>
  <si>
    <t>Contingencies; Wet Weather ?</t>
  </si>
  <si>
    <t>Superviser; Return Trip, 2 day stay - Inclusive</t>
  </si>
  <si>
    <t>MEMO ONLY - 140 LH supervision days (1,400 hr) are priced IN the three work-area labour blocks per Phase 7 (Siteworks 489.2 + NBC 742.1 + PAM 168.5 = 1,399.8 hr). Not repeated here - double-count control.</t>
  </si>
  <si>
    <t>Management Labour</t>
  </si>
  <si>
    <t>Included within stages?</t>
  </si>
  <si>
    <t>MH / DQ</t>
  </si>
  <si>
    <t>Refer Program for approx attendance on site. Technically covered in overheads. E/O for meals etc?</t>
  </si>
  <si>
    <t>MH / DQ - FLIGHTS</t>
  </si>
  <si>
    <t>ACCOMODATION (Refer Program)</t>
  </si>
  <si>
    <t>Per Month - Full Project (6 Persons)</t>
  </si>
  <si>
    <t>Month</t>
  </si>
  <si>
    <t>** 1 x 4Bed House (@650/Wk) fully kitted, +Consumable, +Cleaner etc</t>
  </si>
  <si>
    <t>MEMO - accommodation Option A (14 apt-months + LH 225 nights = $87,715) carried as a cost row on 'TCS $ Sched' R32; not repeated here</t>
  </si>
  <si>
    <t>Individual Night Stay - Private Room/Suite</t>
  </si>
  <si>
    <t>Avrg Nightly Book (LONG STAY)</t>
  </si>
  <si>
    <t>Per Night - Extra-Over, Per Person.</t>
  </si>
  <si>
    <t>TOTAL ACCOM ALLOWANCE</t>
  </si>
  <si>
    <t>Equipment, Hire, Subbies</t>
  </si>
  <si>
    <t>Vehicle - UTE - SUPERVISER</t>
  </si>
  <si>
    <t>Supervisor ute - 140 LH days on site @ $90/d</t>
  </si>
  <si>
    <t>Vehicle - UTE - TRADESMAN</t>
  </si>
  <si>
    <t>One crew ute per crew-day - 166 base crew-days @ $60/d (Phase 7 roll-up)</t>
  </si>
  <si>
    <t>Vehicle - UTE - TRADESMAN / TA</t>
  </si>
  <si>
    <t>nil - second crew ute is inside the $60/d crew allowance above</t>
  </si>
  <si>
    <t>Site Vehicle - Ute/Buggy</t>
  </si>
  <si>
    <t>Genset hire + fuel - TPS compound (no site power, ITT S17.3)</t>
  </si>
  <si>
    <t>Allowance $45/d single-phase genset + fuel, full 285-day site duration</t>
  </si>
  <si>
    <t>Temporary potable water storage pods + site distribution (no site water, ITT S17.3)</t>
  </si>
  <si>
    <t>2 pods over ~10 months + fittings/stands. Test/flush water PURCHASE is priced separately on Siteworks r148 - no overlap</t>
  </si>
  <si>
    <t>Portable toilet - full site duration (TPS own; no shared compound - interface L5)</t>
  </si>
  <si>
    <t>BUY</t>
  </si>
  <si>
    <t>20 ft container - purchase, TPS site store</t>
  </si>
  <si>
    <t>Skip Bin</t>
  </si>
  <si>
    <t>Changeover</t>
  </si>
  <si>
    <t>Skip changeovers = months mobilised</t>
  </si>
  <si>
    <t>Three-mobilisation allowance - plant float (3 discrete site windows per Phase 7 programme)</t>
  </si>
  <si>
    <t>mob</t>
  </si>
  <si>
    <t>3 mob x 2 loads x 4 hr x $180/hr ex-ROK transport (Equip&amp;HIRE D66). Crew remobilisation LABOUR is Phase 7 T1-12, priced in Siteworks - no overlap</t>
  </si>
  <si>
    <t>Misc.</t>
  </si>
  <si>
    <t>INSURANCE</t>
  </si>
  <si>
    <t>Project-specific insurances (contract works + project PL/PI excess) - allowance; review against corporate cover before close</t>
  </si>
  <si>
    <t xml:space="preserve">Total TCS Prelims </t>
  </si>
  <si>
    <t>CROSS-CHECK: 5.5% prelims markup allowance ('TCS $ Sched' R42)</t>
  </si>
  <si>
    <t>Variance $ (bottom-up F89 less 5.5% allowance)</t>
  </si>
  <si>
    <t>Variance % of the 5.5% allowance</t>
  </si>
  <si>
    <t>OverHeads</t>
  </si>
  <si>
    <t>Bottom-up prelims are the DIRECT establishment / temp-services / vehicle / mobilisation costs TPS must carry standalone (SS5.2 - no shared compound). Where bottom-up exceeds the 5.5% margin allowance the difference is a real exposure: lift the prelims % or carry the delta as a priced line before close.</t>
  </si>
  <si>
    <t>Percentage across Project COST</t>
  </si>
  <si>
    <t>TriCore Overheads - COMPLETE…PER MONTH</t>
  </si>
  <si>
    <t>9.4 months mobilised x $40,000/month TriCore corporate overhead (full corporate rate)</t>
  </si>
  <si>
    <t>less share attributable to concurrent TriCore projects (TPS carries 45% of corporate O/H over this window)</t>
  </si>
  <si>
    <t>STATED ASSUMPTION: charging 100% of corporate overhead to one project would over-recover. A 45% allocation is adopted for a project of this duration and value against expected concurrent workload - Director to confirm before close.</t>
  </si>
  <si>
    <t>Total TCS O/H</t>
  </si>
  <si>
    <t>CROSS-CHECK: 18% O/H markup allowance ('TCS $ Sched' R43)</t>
  </si>
  <si>
    <t>Variance $ (bottom-up F96 less 18% allowance)</t>
  </si>
  <si>
    <t>Variance % of the 18% allowance</t>
  </si>
  <si>
    <t>COMBINED bottom-up prelims + O/H</t>
  </si>
  <si>
    <t>COMBINED 5.5% + 18% margin allowance</t>
  </si>
  <si>
    <t>Combined variance $ / %</t>
  </si>
  <si>
    <t>Phase 7 crew-days: T1-07 14 + T1-08 8 + T1-10 4 (DP stubs NBC+PAM)</t>
  </si>
  <si>
    <t>Phase 7 crew-days: T3-01 6 + T3-02 5 + T3-04 3</t>
  </si>
  <si>
    <t>Phase 7 crew-days: T4-01 12 + T4-02 3 + T4-03 3 + T4-04 1 + T4-07 2</t>
  </si>
  <si>
    <t>Phase 7 crew-days: T5-01 13 + T5-02 3 + T5-04a 1 + T5-05 3 + T5-06 4 + T5-07 3</t>
  </si>
  <si>
    <t>Phase 7 LH supervision - NBC activities 742.1 hr</t>
  </si>
  <si>
    <t>Phase 7 plant: T1-07 10 + T1-10 4</t>
  </si>
  <si>
    <t>Phase 7 plant: T1-08 4 + T1-07 combo 4 (combo classed as 3-5T)</t>
  </si>
  <si>
    <t>Phase 7 plant: T1-07 10</t>
  </si>
  <si>
    <t>Phase 7: 13 d (T3-01 4 + T3-04 3 + T4-01 4 + T4-07 2); rate $150/wk (Civ Equip_HIRE weekly)/5 = $30/d - confirm Phase 6</t>
  </si>
  <si>
    <t>PE butt welder + EF processor - ALLOWANCE (not in hire registers)</t>
  </si>
  <si>
    <t>Phase 7: T1-08 trade waste 6 d</t>
  </si>
  <si>
    <t>Crane truck / HIAB - GIT set + HWU delivery (allowance)</t>
  </si>
  <si>
    <t>Phase 7: T1-08 1 d + T4-03 0.5 d @ ~$180/hr</t>
  </si>
  <si>
    <t>Hydro/commissioning test gear (subbie rate $450/d)</t>
  </si>
  <si>
    <t>T5-06 commissioning</t>
  </si>
  <si>
    <t>Provision of Form 72 - buildings</t>
  </si>
  <si>
    <t>T5-06</t>
  </si>
  <si>
    <t>Consumables &amp; small tools - NBC crews (allowance)</t>
  </si>
  <si>
    <t xml:space="preserve">*HIDDEN - Calc in below </t>
  </si>
  <si>
    <t>Bedding import = helper I971 (auto from adopted pipe lengths)</t>
  </si>
  <si>
    <t>Spoil haulage &amp; dump (take-off helper M971 @ $15/m3)</t>
  </si>
  <si>
    <t>75 HDPE PN16 SDR11 - REDLINE</t>
  </si>
  <si>
    <t>180*32 EF Reducer</t>
  </si>
  <si>
    <t>75PE 50 CU TRANSITION</t>
  </si>
  <si>
    <t xml:space="preserve">32 PE 25 CU TRANSITION </t>
  </si>
  <si>
    <t>FB fire blanket 1.2x1.8 (kitchen)</t>
  </si>
  <si>
    <t>Matrix 4.11-d: FHR x1 + FB x1 priced; FE x8 = EBC (CL B8)</t>
  </si>
  <si>
    <t>AS1851 12-month fire services maintenance &amp; tagging (FHR/FB/booster/hydrant) incl FIFO attendance share</t>
  </si>
  <si>
    <t>VOL38 12-month maintenance obligation - allowance incl 6-monthly service visits piggybacked on attendance</t>
  </si>
  <si>
    <t xml:space="preserve">50mm Cu Tube Type B </t>
  </si>
  <si>
    <t>Elbow 90 Deg 50mm Water Kembla Kempress</t>
  </si>
  <si>
    <t>Equal Tee 50mm Water Kembla Kempress</t>
  </si>
  <si>
    <t xml:space="preserve">Reducer 50mm 25mm Water CU </t>
  </si>
  <si>
    <t xml:space="preserve">25mm Cu Tube Type B </t>
  </si>
  <si>
    <t>90 HDPE PN16 SDR11 - BLUELINE</t>
  </si>
  <si>
    <t>ADOPTED qty per QUANTITY_RECONCILIATION TPS_NBC</t>
  </si>
  <si>
    <t xml:space="preserve">HDPE 75mm X 90 D ELBOW </t>
  </si>
  <si>
    <t xml:space="preserve">90mm PE X 80mm Copper Transition </t>
  </si>
  <si>
    <t xml:space="preserve">80 CU Above Grnd </t>
  </si>
  <si>
    <t xml:space="preserve">65 CU Above Grnd </t>
  </si>
  <si>
    <t>ADOPTED 17.86 m; RE-RATED 316SS press-fit 35mm - WS2 conforming base (&gt;DN22); copper alternate in EBC_Alternates (Opens #17)</t>
  </si>
  <si>
    <t>316SS press: 32mm x20mm reducing tee</t>
  </si>
  <si>
    <t>ADOPTED 112.72 m; RE-RATED 316SS press-fit 28mm - WS2 conforming base (&gt;DN22)</t>
  </si>
  <si>
    <t>ADOPTED qty per QUANTITY_RECONCILIATION TPS_NBC - 20 Cu 19.88 m (&lt;=DN22 - retained copper; PEX conforms WS2)</t>
  </si>
  <si>
    <t>Kembla copper  WATER ELBOW         90DEG X 80MM (EA)</t>
  </si>
  <si>
    <t>Kembla copper  WATER ELBOW         90DEG X 65MM (EA)</t>
  </si>
  <si>
    <t>Kembla copper  WATER ELBOW         90DEG X 50MM (EA)</t>
  </si>
  <si>
    <t>316SS press: 40mm Poly to 32mm Copper B Press Adapter</t>
  </si>
  <si>
    <t xml:space="preserve">80mm x 65mm Cu Reducer </t>
  </si>
  <si>
    <t xml:space="preserve">65mm Cu Crimp Tee </t>
  </si>
  <si>
    <t>65mmX 50 Cu WAT Crimp Reducer</t>
  </si>
  <si>
    <t>65mmX 32 Cu WAT Crimp Reducer</t>
  </si>
  <si>
    <t>65 mmX 20 Cu WAT Crimp Reducer</t>
  </si>
  <si>
    <t xml:space="preserve">20mm pex Pipe - Red </t>
  </si>
  <si>
    <t>PEX - 20 Cu Crimp Adapter</t>
  </si>
  <si>
    <t>ADOPTED qty per QUANTITY_RECONCILIATION TPS_NBC - hose taps 5 (drawn-but-uncounted symbol NBC-201; H002 n.15 adopt higher)</t>
  </si>
  <si>
    <t>ADOPTED qty per QUANTITY_RECONCILIATION TPS_NBC - 20mm RPZD 4 (~4 positions NBC-202, adopt higher)</t>
  </si>
  <si>
    <t xml:space="preserve">20mm check valve </t>
  </si>
  <si>
    <t xml:space="preserve">25mm Isolavtive valve </t>
  </si>
  <si>
    <t xml:space="preserve">32mm Isolavtive valve </t>
  </si>
  <si>
    <t xml:space="preserve">50mm Isolavtive valve </t>
  </si>
  <si>
    <t>Basket trap (water charge / self-priming) - water layer</t>
  </si>
  <si>
    <t>ADOPTED 2 (TPS_NBC water layer) - distinct from sewer basket traps, do not merge</t>
  </si>
  <si>
    <t xml:space="preserve">100*40 PVC DWV JUNCTION </t>
  </si>
  <si>
    <t>DWV PIPE REDUCER 100 X 40mm</t>
  </si>
  <si>
    <t xml:space="preserve">65MM * 45D PVC JUNCTION </t>
  </si>
  <si>
    <t xml:space="preserve">50MM * 45D PVC JUNCTION </t>
  </si>
  <si>
    <t>DWV BEND 65X 45 DEG</t>
  </si>
  <si>
    <t>DWV BEND 40 X 45 DEG</t>
  </si>
  <si>
    <t>Articulation/expansion joint hardware - H1 'P' reactive site adder (slab entries, risers, &lt;=6 m DP spacing)</t>
  </si>
  <si>
    <t>NewItems #12 allowance ~25 joints @ ~$100 avg (H-NBC-300 det.1) - pending Storm Plastics RFQ (Gap #4); labour in T5-05</t>
  </si>
  <si>
    <t xml:space="preserve">Basket trap </t>
  </si>
  <si>
    <t xml:space="preserve"> Basket Arrestors for Floor Drains</t>
  </si>
  <si>
    <t>Vertical vent risers x13 (O50-O100, terminate 300 mm above roof) - height + flashing allowance</t>
  </si>
  <si>
    <t>NewItems #7 allowance - ~4 m/riser + roof-colour flashing per SD8; heights from sections at Phase 6</t>
  </si>
  <si>
    <t>ADOPTED qty per QUANTITY_RECONCILIATION TPS_NBC (vent horizontal plan only - 13 vertical risers added below)</t>
  </si>
  <si>
    <t xml:space="preserve">	110 HDPE </t>
  </si>
  <si>
    <t>MERGED into TW package (Opens #25): 1.98 m vent-layer stub counted once in r813 54.78 m</t>
  </si>
  <si>
    <t xml:space="preserve">	110 HDPE 90 Deg Bend ( TRADE WASTE )</t>
  </si>
  <si>
    <t>MERGED into TW 90-bend count r814 (Opens #25)</t>
  </si>
  <si>
    <t xml:space="preserve">	110 HDPE X 45 DEG (TRADE WASTE )</t>
  </si>
  <si>
    <t>MERGED into TW 45-bend count r815 (Opens #25)</t>
  </si>
  <si>
    <t>Trench Drain ( spec in drawing )</t>
  </si>
  <si>
    <t xml:space="preserve">Trade Waste </t>
  </si>
  <si>
    <t xml:space="preserve">	110 HDPE (TRADE WASTE DRAIN )</t>
  </si>
  <si>
    <t>ADOPTED qty per QUANTITY_RECONCILIATION TPS_NBC - 52.80 TW layer + 1.98 vent-layer stub merged, counted once</t>
  </si>
  <si>
    <t>ADOPTED qty per QUANTITY_RECONCILIATION TPS_NBC - TW 90 bends 8 (7 + 1 vent-layer)</t>
  </si>
  <si>
    <t>ADOPTED qty per QUANTITY_RECONCILIATION TPS_NBC - TW 45 bends 24 (23 + 1 vent-layer)</t>
  </si>
  <si>
    <t xml:space="preserve">	JUNCTION 110 HDPE X 45 DEG</t>
  </si>
  <si>
    <t xml:space="preserve">	JUNCTION 110 HDPE X 50 HDPE 45 DEG</t>
  </si>
  <si>
    <t>100 HDPE (TRADE WASTE DRAIN )</t>
  </si>
  <si>
    <t>JUNCTION 100 HDPE X 45 DEG</t>
  </si>
  <si>
    <t>110 HDPE  X 100 HDPE REDUCER</t>
  </si>
  <si>
    <t>110 HDPE  X 50 HDPE REDUCER</t>
  </si>
  <si>
    <t>100 HDPE 90 Deg Bend ( TRADE WASTE )</t>
  </si>
  <si>
    <t xml:space="preserve">	100 HDPE X 45 DEG (TRADE WASTE )</t>
  </si>
  <si>
    <t xml:space="preserve">	65 HDPE (TRADE WASTE DRAIN )</t>
  </si>
  <si>
    <t xml:space="preserve">	65 HDPE X 45 DEG (TRADE WASTE )</t>
  </si>
  <si>
    <t xml:space="preserve">	65 HDPE X 90 DEG (TRADE WASTE )</t>
  </si>
  <si>
    <t xml:space="preserve">	50 HDPE (TRADE WASTE DRAIN )</t>
  </si>
  <si>
    <t xml:space="preserve">	50 HDPE X 90 DEG (TRADE WASTE )</t>
  </si>
  <si>
    <t>ADOPTED qty per QUANTITY_RECONCILIATION TPS_NBC - Geberit bend 50x88.5 = 9</t>
  </si>
  <si>
    <t xml:space="preserve">	50 HDPE X 45 DEG (TRADE WASTE )</t>
  </si>
  <si>
    <t xml:space="preserve">	BUCKEY TRAP /SILT TRAP</t>
  </si>
  <si>
    <t xml:space="preserve">IOS TRADE WASTE </t>
  </si>
  <si>
    <t xml:space="preserve">in wall tundish </t>
  </si>
  <si>
    <t>tundish</t>
  </si>
  <si>
    <t>50mm rpzd</t>
  </si>
  <si>
    <t>ADOPTED qty per QUANTITY_RECONCILIATION TPS_NBC - 50mm RPZD 2 (verify vs NBC-202 positions, Opens #15)</t>
  </si>
  <si>
    <t xml:space="preserve">100mm check valve </t>
  </si>
  <si>
    <t>Geberit 4 Way Riser 110x56</t>
  </si>
  <si>
    <t>Geberit Exp Socket 110</t>
  </si>
  <si>
    <t>Geberit Adj DT Trap Bottom Hdpe 110mm</t>
  </si>
  <si>
    <t>Roof-DP in-ground connection stub to 'CONNECT TO CIVIL' (allow 2 m O100 DWV + bend + coupling)</t>
  </si>
  <si>
    <t>ADOPTED 19 EA (NewItems #5; count RFI Opens #23). Stub ends at CONNECT TO CIVIL - civil beyond is TCS (L2); expansion provision &lt;=6 m spacing</t>
  </si>
  <si>
    <t xml:space="preserve">SWGP 1 300 x300 x450 </t>
  </si>
  <si>
    <t xml:space="preserve">SWGP 2 600x600 x600 </t>
  </si>
  <si>
    <t>SWGP 4  450x450x600</t>
  </si>
  <si>
    <t>Fit-Off consumable material - per adopted fixture (allow $30/EA x 93)</t>
  </si>
  <si>
    <t>Fit-off consumable basis re-based: 93 adopted fixtures x $30/EA allowance (was $1,800 lump)</t>
  </si>
  <si>
    <t>stray rate cleared (was 1801 with no qty)</t>
  </si>
  <si>
    <t>Seismic restraint hardware - AS1170.4 EDC 2, subsoil Ce (channel/brace/strap kits)</t>
  </si>
  <si>
    <t>Gap #3 allowance (~2.5% rough-in material) - RFQ nVent/Unistrut/Hilti pending; install labour T3-04/T4-07; layout drafting only (CL C7)</t>
  </si>
  <si>
    <t>HWU mounting - 316 SS plinth/stand + fixings per H-NBC-301 detail (2x Rheem 315L)</t>
  </si>
  <si>
    <t>RULE 4 GAP CLOSED: H-NBC-301 install detail calls up safe tray + SS plinth + seismic strap. Safe tray is priced in the big-ticket block (AC12 $52.80/unit); seismic strap is in the seismic hardware allowance (r932) with labour at T4-07; the PLINTH/STAND was priced nowhere. Estimator basis: fabricated 316 SS plinth ~$220 + dynabolt/Unistrut fixings ~$40. Install labour already in T4-03 - materials only here.</t>
  </si>
  <si>
    <t>Phase 7 Crew 1 site: T1-01..T1-05 + T1-11 + T1-12 = 23 crew-days (T1-06 rising main EBC excluded)</t>
  </si>
  <si>
    <t>Phase 7 Crew 2 site: T2-01..T2-08 + T2-10 = 35 crew-days</t>
  </si>
  <si>
    <t>Phase 7 LH supervision - site activities 489.2 hr (of 1,400 hr / 140 d total)</t>
  </si>
  <si>
    <t>Hydro-ex 3000L: T1-04 1 d + T2-02 1 d = 20 hr wet @ $190</t>
  </si>
  <si>
    <t>Water truck: T1-11 1 d + T2-10 2 d = 30 hr wet @ $110 (test/flush cartage)</t>
  </si>
  <si>
    <t>Phase 7 plant: 1.8T: T2-06 2</t>
  </si>
  <si>
    <t>Phase 7 plant: 3-5T: T1-03 6 + T1-04 3 + T1-05 2</t>
  </si>
  <si>
    <t>Phase 7 plant: 8T: T2-02 3 + T2-03 2 + T2-08 1</t>
  </si>
  <si>
    <t>Phase 7 plant: 13-16T: T2-01 5 + T2-04 6 + T2-07 5</t>
  </si>
  <si>
    <t>Phase 7 plant: &lt;6T tipper - Phase 7 roll-up 18 d</t>
  </si>
  <si>
    <t>Phase 7 plant: Wacker - site share of Phase 7 roll-up 28 d</t>
  </si>
  <si>
    <t>Phase 7 plant: Trench roller: T1-03 6 + T2-01 5 + T2-04 6 + T2-07 5</t>
  </si>
  <si>
    <t>Phase 7 plant: Vac trailer: T1-02 1 d</t>
  </si>
  <si>
    <t>PE butt welder + EF processor - ALLOWANCE (not in hire registers - quote at Phase 6)</t>
  </si>
  <si>
    <t>Phase 7: O200 main 5 d + CW spine 6 d + fire main 5 d</t>
  </si>
  <si>
    <t>T5-07 as-cons/ADAC surveyor attendance 2 d x 8 h @ $180/hr</t>
  </si>
  <si>
    <t>T1-02 services locator 1 d x 10 h @ $130/hr (live O300 main)</t>
  </si>
  <si>
    <t>CCTV of TPS in-ground drainage - independent approved firm, Superintendent present (VOL38 3.56)</t>
  </si>
  <si>
    <t>Allowance ~385 m @ ~$10/m + establishment + reporting + attendance; each entity its own assets (L15)</t>
  </si>
  <si>
    <t>Temporary potable water purchase - testing/flushing/disinfection (carted, no site water ITT S17.3)</t>
  </si>
  <si>
    <t>Allowance; cartage priced at water-truck row (30 hr)</t>
  </si>
  <si>
    <t>Boost/fire test $3,560 (Misc Subbie Rates) - booster commissioning; existing label row</t>
  </si>
  <si>
    <t>3 site systems full hydro test per T2-10 @ $1,945</t>
  </si>
  <si>
    <t>Form 72 provision - site</t>
  </si>
  <si>
    <t>Crane truck / HIAB - booster set + deliveries (allowance)</t>
  </si>
  <si>
    <t>Phase 7 allowance ~$180/hr - not in hire registers</t>
  </si>
  <si>
    <t>Long-lead equipment storage &amp; double-handling allowance (booster, 316SS, HWUs, Stoddart specials)</t>
  </si>
  <si>
    <t>RULE 4 GAP CLOSED - 'storage' is a separate Rule 4 determination and was priced nowhere. Long leads per Phase 7: 316SS press 10-14 wks, booster + cabinet 10-12 wks, Rheem 4-6 wks, Stoddart s/s fixtures + in-wall cisterns 8-12 wks. Supplier storage charges bite after 30 days (Humes Service Fees basis). Estimator allowance. NOT a duplicate of the 20 ft site container (Prelim &amp; OH B80), which is the on-site store - this covers off-site holding and the extra handling movement.</t>
  </si>
  <si>
    <t>Bedding/pipe-surround import = helper I902 (bed/pipe/cover m3, auto from adopted pipe lengths)</t>
  </si>
  <si>
    <t>Spoil haulage &amp; dump (take-off helper M902 @ $15/m3)</t>
  </si>
  <si>
    <t>Auto from helper block (excavated less backfill re-use)</t>
  </si>
  <si>
    <t>Consumables &amp; small tools - site crews (allowance)</t>
  </si>
  <si>
    <t>Phase 7 consumables flag - site activities</t>
  </si>
  <si>
    <t>ADOPTED qty per QUANTITY_RECONCILIATION TPS_Site (vector-verified H003) - fire main 217.73 m</t>
  </si>
  <si>
    <t xml:space="preserve">100mm Cu Copper Pipe </t>
  </si>
  <si>
    <t>O200 ID HDPE PE100 SDR11 DN250 potable main (BASE OFFER per SS5.5)</t>
  </si>
  <si>
    <t>ADOPTED 134.63 m (vector-verified). RE-RATED: base offer O200 ID HDPE PE100 SDR11 DN250 per locked SS5.5 / VOL38 s10.1 equivalence (Opens #12)</t>
  </si>
  <si>
    <t>BENCHMARK-DERIVED PENDING RFQ (Gap #5): Reece Q-459014437 (NAS, Jul-26) PE100 PN16 125 @ $186.65/6m = $31.1083/m x (250/125)^2 weight ratio = $124.4333/m; x1.38 PE escalation-to-2027 applied once via $M$16 (source pre-escalation per KeyRates). Copper build-up (134.63 m @ $2,015/6m Tradelink 6595064) retained as ALTERNATE - see EBC_Alternates; copper tapping-cluster fittings remain in base per adopted counts.</t>
  </si>
  <si>
    <t>200mm copper tee</t>
  </si>
  <si>
    <t>200mm copper 90 deg bend</t>
  </si>
  <si>
    <t>200mm copper connection point</t>
  </si>
  <si>
    <t>ADOPTED qty per QUANTITY_RECONCILIATION TPS_Site (vector-verified H003) - CW spine 236.88 m</t>
  </si>
  <si>
    <t>ADOPTED qty per QUANTITY_RECONCILIATION TPS_Site (vector-verified H003) - 32 PE 37.26 m (O25-&gt;32 convention, Opens #11)</t>
  </si>
  <si>
    <t>ADOPTED qty per QUANTITY_RECONCILIATION TPS_Site (vector-verified H003) - 25 PE 74.25 m (O20-&gt;25 convention - no O20 item exists)</t>
  </si>
  <si>
    <t>125mm x 25mm reducing Tee</t>
  </si>
  <si>
    <t>32 Cu Above Grnd</t>
  </si>
  <si>
    <t>32mm x25mm reducing tee</t>
  </si>
  <si>
    <t>25 Cu Above Grnd</t>
  </si>
  <si>
    <t>B-PRESS WATER EQUAL TEE  32MM (EA)</t>
  </si>
  <si>
    <t>B-PRESS WATER EQUAL TEE  25MM (EA)</t>
  </si>
  <si>
    <t>Kembla copper  WATER ELBOW         90DEG X 32MM (EA)</t>
  </si>
  <si>
    <t xml:space="preserve">Kembla copper  WATER ELBOW        90DEG X 25MM </t>
  </si>
  <si>
    <t>200mm x 8 Inch Full Faced Stub &amp; Stainless Backing Ring AS4087</t>
  </si>
  <si>
    <t>200 SS Gasket Kit EPDM DI-DI</t>
  </si>
  <si>
    <t>TMV1  AQUABLEND 1000
(ATM710</t>
  </si>
  <si>
    <t>TMV 2   AQUABLEND 1000
(ATMS710H-350)</t>
  </si>
  <si>
    <t>100mm fire water meter assembly and 100mm cold water water assembly</t>
  </si>
  <si>
    <t>ADOPTED 1 EA - legend groups BOTH assemblies as one item; price as two assemblies under one item (Denis carried 0.5)</t>
  </si>
  <si>
    <t>32 mm water cap</t>
  </si>
  <si>
    <t>25mm water cap</t>
  </si>
  <si>
    <t>ADOPTED qty per QUANTITY_RECONCILIATION TPS_Site (vector-verified H003) - 150 DWV authority leg 29.29 m</t>
  </si>
  <si>
    <t>ADOPTED qty per QUANTITY_RECONCILIATION TPS_Site (vector-verified H003) - 100 DWV gravity sewer 178.24 m</t>
  </si>
  <si>
    <t>Tundish with HT</t>
  </si>
  <si>
    <t xml:space="preserve">Tundish </t>
  </si>
  <si>
    <t>FWG-130x130 STAINLESS STEEL GRATE WITH 80Ø VERTICAL OUTLET. SPS MODEL Q130/80SR</t>
  </si>
  <si>
    <t>FWG/BT - 200x200 PUSH IN BASKET TRAP WITH 316 STAINLESS STEEL GRATE CLASS 'C' SPS MODEL
Q200 SR6-BT WITH FIXED SECONDARY STRAINER</t>
  </si>
  <si>
    <t xml:space="preserve">Material for 150mm sewer property connection </t>
  </si>
  <si>
    <t xml:space="preserve">sewer maintenance shaft </t>
  </si>
  <si>
    <t>Geberit Hdpe Pipe 110mm</t>
  </si>
  <si>
    <t>ADOPTED qty per QUANTITY_RECONCILIATION TPS_Site (vector-verified H003) - 110 HDPE trade waste 16.28 m</t>
  </si>
  <si>
    <t>ADOPTED qty per QUANTITY_RECONCILIATION TPS_Site (vector-verified H003) - 225 DWV storm connection stubs 6.91 m (stubs only - runs are TCS line 81, interface L2)</t>
  </si>
  <si>
    <t>BASED ON:</t>
  </si>
  <si>
    <t>Work ROSTER Example #3 - 6-Day Week, 10Hr Days, Stay @ Rocky for W/E, Return Every 2nd W/E. (FLY)</t>
  </si>
  <si>
    <t>frozen from [2] CQU ROK_Staff Costing.V1_Steph (2024 FIFO build) - link severed 26/07/26; re-based x1.08 below</t>
  </si>
  <si>
    <t>Working Days/Month</t>
  </si>
  <si>
    <t>No-Work Days/Month</t>
  </si>
  <si>
    <t>Avrg Hours / Month</t>
  </si>
  <si>
    <t>STAFF</t>
  </si>
  <si>
    <t>TRADESMAN_LEADING HAND</t>
  </si>
  <si>
    <t>** for Roster Examples # 3</t>
  </si>
  <si>
    <t>MONTH</t>
  </si>
  <si>
    <t>LH monthly: $25,854 (frozen [2]) x 1.08 ROK uplift = $27,922.32 literal; hr/day/week formula-derived (/210, /21, /4) -&gt; $132.9634/hr</t>
  </si>
  <si>
    <t>QTY Staff in Crew</t>
  </si>
  <si>
    <t>TRADESMAN_PLUMBER_OPERATOR</t>
  </si>
  <si>
    <t>Trades monthly: $19,764.4593 (frozen [2]) x 1.08 = $21,345.6160 literal -&gt; $101.6458/hr</t>
  </si>
  <si>
    <t>T/A &amp; Apprentice</t>
  </si>
  <si>
    <t>T/A monthly: $16,129.3667 (frozen [2]) x 1.08 = $17,419.7160 literal -&gt; $82.9510/hr</t>
  </si>
  <si>
    <t>Crew #1 - InGround Drainage</t>
  </si>
  <si>
    <t>Crew #2 - InGround Water/Fire</t>
  </si>
  <si>
    <t>Crew #3 - Above Ground Drainage</t>
  </si>
  <si>
    <t>Crew #4 - Above Ground WATER/FIRE</t>
  </si>
  <si>
    <t>Crew #5 - Above Ground FitOff / Misc</t>
  </si>
  <si>
    <t>Crew #6 - DEMO</t>
  </si>
  <si>
    <t>`</t>
  </si>
  <si>
    <t>FULL team, FULL Duration, as per Program</t>
  </si>
  <si>
    <t>ACCOMODATION</t>
  </si>
  <si>
    <t>Total EX GST</t>
  </si>
  <si>
    <t>*Changed to ex GST</t>
  </si>
  <si>
    <t>NIGHT</t>
  </si>
  <si>
    <t>Individual - PER PERSON</t>
  </si>
  <si>
    <t>FIRE SERVICES - IN GROUND</t>
  </si>
  <si>
    <t>COMPLETED don’t edit</t>
  </si>
  <si>
    <t>frozen from [3] 240614 Pipe &amp; Fittings Price Comparison (Jun-2024 cache) - link severed 26/07/26; &gt;=2yr old at 2027 start - Phase 5 re-source pending</t>
  </si>
  <si>
    <t>PE Pipe Scraper/Peeler - 125-250mmPE.Please detail Spec</t>
  </si>
  <si>
    <t>PE Butt Welder. Automatic. 125-250mmPE. Please detail Spec</t>
  </si>
  <si>
    <t>Quarry / Gravels / Landscape</t>
  </si>
  <si>
    <t>Bedding / Fill Sand</t>
  </si>
  <si>
    <t>frozen from [4] 240614 Suppliers Subbies Price Comparison (Jun-2024 cache) - link severed 26/07/26; Phase 5 re-source pending</t>
  </si>
  <si>
    <t>CBR 45/2.5 Roadbase</t>
  </si>
  <si>
    <t>Turf Underlay/Topsoil</t>
  </si>
  <si>
    <t>Standard Garden Woodchip</t>
  </si>
  <si>
    <t>Turf - Standard Couch or Similar</t>
  </si>
  <si>
    <t>Slab (.5m2)</t>
  </si>
  <si>
    <t>Concrete Product</t>
  </si>
  <si>
    <t>Cement Stabalized Sand (3-5%)</t>
  </si>
  <si>
    <t>Exposed Agg Concrete - Standard/Cheapest Exposed Agg Stone</t>
  </si>
  <si>
    <t>N25 20mm 80 Slump Concrete</t>
  </si>
  <si>
    <t>Asphalt</t>
  </si>
  <si>
    <t>50mm Thick Roadway</t>
  </si>
  <si>
    <t>Avrg Trench = .900D*.500W</t>
  </si>
  <si>
    <t>L/M of Inground Pipe</t>
  </si>
  <si>
    <t>L/M of Tunnel Bore</t>
  </si>
  <si>
    <t>Spoil Removal</t>
  </si>
  <si>
    <t>Spoil Factor;</t>
  </si>
  <si>
    <t>Average Trench Dimensions</t>
  </si>
  <si>
    <t>Bollard Concrete</t>
  </si>
  <si>
    <t>m3/B</t>
  </si>
  <si>
    <t>Set</t>
  </si>
  <si>
    <t>Fill</t>
  </si>
  <si>
    <t>Base Slab Concrete</t>
  </si>
  <si>
    <t>m3/Base</t>
  </si>
  <si>
    <t>Above Grnd Pole-Bracket Concrete</t>
  </si>
  <si>
    <t>TCS PROJECT USE</t>
  </si>
  <si>
    <t>DESCRIPTION</t>
  </si>
  <si>
    <t>WEEKLY (5 day)</t>
  </si>
  <si>
    <t>DENIS - Cells highlighted GREEN are complete (By Me).</t>
  </si>
  <si>
    <t>Hr Rate</t>
  </si>
  <si>
    <t xml:space="preserve"> Ripper 3.5-4T</t>
  </si>
  <si>
    <t xml:space="preserve">     5t Excavator</t>
  </si>
  <si>
    <t>SURVEYOR</t>
  </si>
  <si>
    <t>Hr Rate?</t>
  </si>
  <si>
    <t>Site Field Surveyor for all works preformed</t>
  </si>
  <si>
    <t>SERVICES LOCATOR</t>
  </si>
  <si>
    <t xml:space="preserve">Standard Rate (includes wand, GPR) </t>
  </si>
  <si>
    <t>CONCRETE CUTTER</t>
  </si>
  <si>
    <t>Lm Rate</t>
  </si>
  <si>
    <t>Asphalt Cutting</t>
  </si>
  <si>
    <t>Concrete Cutting</t>
  </si>
  <si>
    <t>Site Establishment Fee (2 per stage)</t>
  </si>
  <si>
    <t>CONCRETING SERVICES</t>
  </si>
  <si>
    <t>Road/Drveway Reinstate; 1mW x 150 Thck, N25/20/80, Incl Reinforcement</t>
  </si>
  <si>
    <t>Kerb &amp; Channel - 1m Wide</t>
  </si>
  <si>
    <t>Footpath - 1.5mW, N25/20/80, Incl Reinforcement</t>
  </si>
  <si>
    <t>Footpath - 1.5mW, EXPOSED AGG, N25/20/80, Incl Reinforcement</t>
  </si>
  <si>
    <t>ASPHALT SERVICES</t>
  </si>
  <si>
    <t xml:space="preserve">50mm Thck - Trench Reinstatement Through Road/Driveway </t>
  </si>
  <si>
    <t xml:space="preserve">50mm Thck - 1.5-2m Wide Footpath reinstatements </t>
  </si>
  <si>
    <t>Establishment Fee (1 per stage)</t>
  </si>
  <si>
    <t>SOIL TESTING &amp; GEO</t>
  </si>
  <si>
    <t>Compaction Testing</t>
  </si>
  <si>
    <t>Site Establishment (3 per stage)</t>
  </si>
  <si>
    <t>FIRE TESTING / CERTIFICATION</t>
  </si>
  <si>
    <t>Sprinkler Fitter</t>
  </si>
  <si>
    <t>Sprinkler Apprentice</t>
  </si>
  <si>
    <t>Hydrostatic Test Equip</t>
  </si>
  <si>
    <t>Booster Pump Appliance</t>
  </si>
  <si>
    <t>FULL Boost Test - Per Test (8.5Hr - 2 x fitter, 1 x apprentice, 1 day Pump)</t>
  </si>
  <si>
    <t>Misc. Project Rates (ROCHAMPTON) - Master</t>
  </si>
  <si>
    <t>All EX GST</t>
  </si>
  <si>
    <t>Flight Costs; Qantas, 1-Way, No Check in Luggage</t>
  </si>
  <si>
    <t>Ea.</t>
  </si>
  <si>
    <t>Average $220 Incl GST per flight</t>
  </si>
  <si>
    <t>Hire Car; Budget, Airport Pick/Drop, NOT UTE, No Fuel</t>
  </si>
  <si>
    <t>Transport (TCS Cost); Airport-Site/Accom, Cab/Staff Pickup</t>
  </si>
  <si>
    <t>Avg</t>
  </si>
  <si>
    <t>HD</t>
  </si>
  <si>
    <t>TCS Fuel; $/Km</t>
  </si>
  <si>
    <t>Km</t>
  </si>
  <si>
    <t>TCS Vehicle Running Costs; $/Km ($3,800/Yr, 35,000Kms/Yr)</t>
  </si>
  <si>
    <t>Bris -&gt; Rok - Courier - UTE</t>
  </si>
  <si>
    <t>Bris -&gt; Rok - Courier - Std Truck</t>
  </si>
  <si>
    <t>Bris -&gt; Rok - Courier - Flat Bed (Container/Machine)</t>
  </si>
  <si>
    <t>INCLUDING GST (UNLESS NOTED OTHERWISE)</t>
  </si>
  <si>
    <t>TCS Accomodation Rates &amp; Costs</t>
  </si>
  <si>
    <t xml:space="preserve">Hotel / Motel </t>
  </si>
  <si>
    <t>Sngl Night</t>
  </si>
  <si>
    <t>Qtr</t>
  </si>
  <si>
    <t>1 x Unit, 1 x Room</t>
  </si>
  <si>
    <t>Motel Unit</t>
  </si>
  <si>
    <t>Private Unit</t>
  </si>
  <si>
    <t>Hidden</t>
  </si>
  <si>
    <t>No. of persons stayng;</t>
  </si>
  <si>
    <t>Furnished</t>
  </si>
  <si>
    <t>YES</t>
  </si>
  <si>
    <t>*Serviced</t>
  </si>
  <si>
    <t>Individual/Private BATHROOM</t>
  </si>
  <si>
    <t>Individual/Private KITCHEN (Cooking) Faciliities Available - Microwave min.</t>
  </si>
  <si>
    <t>Individual/Private LAUNDRY Facilities Available</t>
  </si>
  <si>
    <t>Individual/Private LOUNGE ROOM Facilities Available</t>
  </si>
  <si>
    <t xml:space="preserve">Total Booking Cost </t>
  </si>
  <si>
    <t>TCS Housing Consumables; …..</t>
  </si>
  <si>
    <t>TCS Laundry Allowance..?</t>
  </si>
  <si>
    <t>TCS Additional Meals Allowance (If no cooking Facilities?)</t>
  </si>
  <si>
    <t>TCS Furnishings?</t>
  </si>
  <si>
    <t>TCS Cleaning/Servincing Allowance?</t>
  </si>
  <si>
    <t>Total TCS Cost</t>
  </si>
  <si>
    <t>Total Cost Per Person</t>
  </si>
  <si>
    <t>Share Rooms</t>
  </si>
  <si>
    <t>NO</t>
  </si>
  <si>
    <t>Share with Unit</t>
  </si>
  <si>
    <t>1 x Unit, 2 x Room</t>
  </si>
  <si>
    <t>Share House'</t>
  </si>
  <si>
    <t>Full Apartment / Cabin / Villa (Tourist/Caravan Park)</t>
  </si>
  <si>
    <t>*CABIN</t>
  </si>
  <si>
    <t>** Pool, BBQ, Games etc etc?</t>
  </si>
  <si>
    <t>*UNIT/VILLA</t>
  </si>
  <si>
    <t>1 x Unit, 3 x Room</t>
  </si>
  <si>
    <t>Full Apartment / TownHouse (Private/AirBnB)</t>
  </si>
  <si>
    <t>T'House</t>
  </si>
  <si>
    <t>Fortnightly</t>
  </si>
  <si>
    <t>2 of</t>
  </si>
  <si>
    <t>Full Apartment / TownHouse / Unit - VIA AGENT</t>
  </si>
  <si>
    <t>House</t>
  </si>
  <si>
    <t>TCS Cost - Labour to set up, Fitout etc?</t>
  </si>
  <si>
    <t>1 x Unit, 4 x Room</t>
  </si>
  <si>
    <t>OPTION AVERAGES - Per Person, Per MONTH (No Project Roster Imapct)</t>
  </si>
  <si>
    <t>Single Hotel/Motel, Single Room - NO SHARE</t>
  </si>
  <si>
    <t>Single Hotel/Motel, Individual Rooms - SHARE HOUSE</t>
  </si>
  <si>
    <t>Single Hotel/Motel, ANY ROOM - SHARE ROOM</t>
  </si>
  <si>
    <t>Cabin/Flat/Unit_Tourist Park Type, Single Room - NO SHARE</t>
  </si>
  <si>
    <t>Cabin/Flat/Unit_Tourist Park Type, Individual Rooms - SHARE HOUSE</t>
  </si>
  <si>
    <t>Cabin/Flat/Unit_Tourist Park Type, ANY ROOM - SHARE ROOM</t>
  </si>
  <si>
    <t>Unit / T'House / House_Serviced / Air BnB, Individual Rooms - SHARE HOUSE</t>
  </si>
  <si>
    <t>Unit / T'House / House_Private / TCS Rental, Individual Rooms - SHARE HOUSE</t>
  </si>
  <si>
    <t>(Add 2.5 days for non-work days spent in accom)</t>
  </si>
  <si>
    <t>OPTION AVERAGES - Per Person, Per NIGHT (As Per Project Roster)</t>
  </si>
  <si>
    <t>Single Hotel/Motel, Private Unit - NO SHARE</t>
  </si>
  <si>
    <t>Nightly Book</t>
  </si>
  <si>
    <t>Cabin/Flat/Unit_Tourist Park Type, Private Unit - NO SHARE</t>
  </si>
  <si>
    <t>Long-stay Book</t>
  </si>
  <si>
    <t>Roster Averages</t>
  </si>
  <si>
    <t>TCS Cost Per Person - Private Unit - NO SHARE - Nightly Booking (average allowance)</t>
  </si>
  <si>
    <t>TCS Cost Per Person - Individual Room - SHARE HOUSE - Nightly Booking (average allowance)</t>
  </si>
  <si>
    <t>TPS - EBC REGISTER &amp; ALTERNATES - TEN16699 (all ex GST)</t>
  </si>
  <si>
    <t>NOTHING on this sheet feeds the base roll-up on 'TCS $ Sched'. Every figure is either an EXCLUDED-BUT-COSTED add-price held ready for reinstatement, or a labelled ALTERNATE to a base-offer item. The markup factor is referenced live from 'TCS $ Sched' Q51 (41.5% = 5.5% prelims + 18% O/H + 18% profit, each applied to total cost per SS5.4).</t>
  </si>
  <si>
    <t>SECTION A - EXCLUDED-BUT-COSTED (EBC) add-prices - formula-ready for reinstatement</t>
  </si>
  <si>
    <t>EBC-1  Sewer rising main O100/DN110, pumpwell to discharge - 110 m (SCOPE_MATRIX 2.1-x2; NewItems #1; RFI CL C4 discharge undefined)</t>
  </si>
  <si>
    <t>PE100 DN110 PN16 pressure pipe - benchmark (Reece Q-459014437 PE100 125 @ $31.1083/m x (110/125)^2 weight ratio x 1.38 escalation)</t>
  </si>
  <si>
    <t>EF couplers / fittings allowance (15% of pipe value)</t>
  </si>
  <si>
    <t>Labour - Crew 1 in-ground, 2 crew-days (Phase 7 T1-06)</t>
  </si>
  <si>
    <t>day</t>
  </si>
  <si>
    <t>Plant - 5T excavator 2 d + butt welder 2 d @ $350/d allowance</t>
  </si>
  <si>
    <t>EBC-1 cost subtotal</t>
  </si>
  <si>
    <t>EBC-1 ADD-PRICE (cost x 1.415)</t>
  </si>
  <si>
    <t>Wording control: the exclusion must be worded so the builder cannot deem the rising main included inside 2.1-b gravity sewer. Ownership is ambiguous once Council installs the station (interface L6) - the reinstatement price is HELD, not offered.</t>
  </si>
  <si>
    <t>EBC-2  Trade waste application (grease arrestor) - excluded per locked SS5.3 / cross-cutting X3; add-price held (CL A2)</t>
  </si>
  <si>
    <t>Trade waste application / consultant fee allowance</t>
  </si>
  <si>
    <t>Attendance + documentation - 0.5 crew-day</t>
  </si>
  <si>
    <t>EBC-2 cost subtotal</t>
  </si>
  <si>
    <t>EBC-2 ADD-PRICE (cost x 1.415)</t>
  </si>
  <si>
    <t>H002 n.25 makes the trade waste application TPS's; VOL 21 never mentions trade waste despite the canteen. Excluded per locked decision + RFI. The arrestor HARDWARE is priced in the NBC base (1500 L Viking GIT; size conflict 1500/2000/550-5000 L per CL B6).</t>
  </si>
  <si>
    <t>EBC-3  Fire extinguisher SUPPLY - NBC x8 + PAM x1 (drawn with no trade allocation - CL B8; matrix 4.11-d / 3.11-d)</t>
  </si>
  <si>
    <t>FE 2.5 kg ABE + bracket + location sign</t>
  </si>
  <si>
    <t>Install / mount labour - 0.25 crew-day</t>
  </si>
  <si>
    <t>EBC-3 cost subtotal</t>
  </si>
  <si>
    <t>EBC-3 ADD-PRICE (cost x 1.415)</t>
  </si>
  <si>
    <t>VOL38 s14.1 says the plumber prices extinguishers; the drawing note says the builder generally provides them. Carried EBC + RFI so the position is stated either way. AS1851 12-month maintenance of the fire services IS priced in the NBC base (r309).</t>
  </si>
  <si>
    <t>EBC-4  Sewer pump station - EXCLUDED, NO PRICE CARRIED (Addendum 2, 10 Jul 2026: 'Sewage Pump Station will be getting installed by Council')</t>
  </si>
  <si>
    <t>Interface per ledger L6: TPS carries the gravity sewer to and terminating at the station's inlet DICL pipe piece ('LIMIT OF Q-MAX WORKS'). Station supply, installation, excavation and slab by Council/others; electrical supply, controls and commissioning cabling by the electrical trade; the rising main is EBC-1 above. TPS states this interface list verbatim in its submission so 'pump station excluded' cannot be read as excluding the connecting works.</t>
  </si>
  <si>
    <t>Add-price EVIDENCE held (not offered): APS Quote 14065 as-specified QMax Fortis 3200 O x 6700 deep = $468,000 supply + install + commissioning - the basis to quote from if an add-price is requested (no validity stated - flag). Cross-references for the same station: Tradelink 1066334 pack ~$416,000 (incl. $115,000 M&amp;E install labour) and Reece Q-459014431 $523,170.73 S+I. Spread of $107k across the three offers.</t>
  </si>
  <si>
    <t>REMOVED FROM THE MODEL 26/07/26: the prior workbook carried an orphaned block W37 $468,000 -&gt; W43 = 468,000 x 1.15 + $2,500 freight + $5,000 install = $545,700 'sell'. That block fed NO roll-up cell - it was never inside the old $273,056.54 sub-total, so its deletion moves no headline number. D6 FLAG: any prior quote circulated off the old N68 grand total never included the pump station.</t>
  </si>
  <si>
    <t>SECTION B - ALTERNATES (clearly labelled; EXCLUDED from the base roll-up)</t>
  </si>
  <si>
    <t>ALT-1  O200 buried main - COPPER Type B alternate. BASE OFFER = HDPE PE100 SDR11 DN250 (locked SS5.5: no buried copper alternate is OFFERED)</t>
  </si>
  <si>
    <t>Kembla copper Type B DN200 - Tradelink 6595064, $2,015 per 6 m length (Jul-26; escalation not embedded)</t>
  </si>
  <si>
    <t>Base HDPE line as carried in the model ('Siteworks ' F349)</t>
  </si>
  <si>
    <t>Material delta if copper were adopted (alternate less base)</t>
  </si>
  <si>
    <t>Sell delta if adopted (delta x 1.18 site contingency x 1.415 markup)</t>
  </si>
  <si>
    <t>The copper build-up is retained here as a cost record only. The base offer sits inside the spec's own equivalence table (VOL38 s10.1, Cromford PN16 250 = O200 ID) so it is a CONFORMING offer, not a departure. The copper tapping-cluster FITTINGS (tees, bends, full-faced stubs, gasket kits, sluice valves) remain in the base at adopted counts - only the 134.63 m pipe run changes material.</t>
  </si>
  <si>
    <t>ALT-2  Building water &gt;DN22 - COPPER alternate. BASE = 316 SS press-fit per WS2 (priced both ways per locked SS5.5 / CL C9)</t>
  </si>
  <si>
    <t>NBC copper Type B 32 mm (CQU 1057751 curve basis)</t>
  </si>
  <si>
    <t>NBC copper Type B 25 mm</t>
  </si>
  <si>
    <t>PAM copper Type B 32 mm</t>
  </si>
  <si>
    <t>PAM copper Type B 25 mm</t>
  </si>
  <si>
    <t>Copper pipe alternate - total</t>
  </si>
  <si>
    <t>316 SS press-fit pipe as carried in the base (NBC F420+F423, PAM F405+F407)</t>
  </si>
  <si>
    <t>Base SS press FITTINGS total (these carry a +50% benchmark uplift over copper press)</t>
  </si>
  <si>
    <t>Copper fitting reversion (base/1.5 less base = -base/3)</t>
  </si>
  <si>
    <t>Material delta if copper adopted (copper pipe less SS pipe plus fitting reversion)</t>
  </si>
  <si>
    <t>Sell delta if adopted (delta x 1.12 NBC contingency x 1.415 markup)</t>
  </si>
  <si>
    <t>Gap #2: Tradelink refused a 316 SS press-fit rate; Reece Q-459014431 priced 22/28/35 mm only - which covers every size needed here (NBC/PAM carry nothing above 35 mm), so the PIPE rate is a project quote, not a benchmark. The FITTING rates are benchmark-derived at copper press x1.5 (SS press fittings run 1.4-1.6x copper on supplier curves) and are tagged PENDING RFQ on every affected row. 316 SS long-lead 10-14 weeks is flagged in the programme.</t>
  </si>
  <si>
    <t>SUMMARY - held add-prices (EBC) and alternate deltas are STATED in the submission but are NOT in the tendered sum. Base-offer positions: O200 main = HDPE PE100 SDR11 DN250; building water &gt;DN22 = 316 SS press-fit; &lt;=DN22 = PEX / copper per WS2.</t>
  </si>
  <si>
    <t>TOTAL EBC add-prices held (EBC-1 + EBC-2 + EBC-3)</t>
  </si>
  <si>
    <t>TPS (Hydraulic) - Paynters Schedule 3 price extract - TEN16699 - ALL EX GST</t>
  </si>
  <si>
    <t>Maps the TPS cost model to the exact Schedule 3 line structure (schedule3_transcript.md / 01_SCOPE_MATRIX). Physical lump-sum lines are carried inside the stage lump sums; PC Sums, provisional fees and schedule-of-rates lines are separately identified as the schedule requires. Every Schedule 3 line allocated to TPS appears exactly once.</t>
  </si>
  <si>
    <t>Stage</t>
  </si>
  <si>
    <t>Sch ref</t>
  </si>
  <si>
    <t>Schedule 3 line</t>
  </si>
  <si>
    <t>TPS treatment</t>
  </si>
  <si>
    <t>Amount ex GST</t>
  </si>
  <si>
    <t>Basis / qualification</t>
  </si>
  <si>
    <t>1A</t>
  </si>
  <si>
    <t>1.1-1.7</t>
  </si>
  <si>
    <t>Preliminaries &amp; Documentation (TPS share of the Split lines)</t>
  </si>
  <si>
    <t>In 1A lump sum</t>
  </si>
  <si>
    <t>Own establishment/TC/ESC/plans/set-out/QC+ADAC/PM per SS5.2 - priced via Phase 7 activities T1-01, T1-02, T5-07 plus the Prelim &amp; OH tab; no shared compound (L5)</t>
  </si>
  <si>
    <t>2.1-b</t>
  </si>
  <si>
    <t>Sewerage mains (incl. mains through 1B land serving 1A)</t>
  </si>
  <si>
    <t>Gravity sewer 207.53 m (29.29 O150 + 178.24 O100) + SMS x2 + O150 property connection. Terminates at the Council station inlet DICL piece (L6). FRW lodgement = Principal Contractor (X2)</t>
  </si>
  <si>
    <t>2.1-x1</t>
  </si>
  <si>
    <t>-- Sewer pump station</t>
  </si>
  <si>
    <t>EXCLUDED (Addendum 2)</t>
  </si>
  <si>
    <t>Council-installed; interface list stated verbatim (L6); add-price evidence held on EBC_Alternates EBC-4 (APS 14065 basis)</t>
  </si>
  <si>
    <t>2.1-x2</t>
  </si>
  <si>
    <t>-- Sewer rising main O100/DN110</t>
  </si>
  <si>
    <t>EBC - add-price held</t>
  </si>
  <si>
    <t>110 m allowance, formula-ready reinstatement; RFI CL C4 (discharge location undefined); wording prevents it being deemed inside 2.1-b</t>
  </si>
  <si>
    <t>2.1-c</t>
  </si>
  <si>
    <t>Water mains - O200 tapping to meter slab (mains through 1B)</t>
  </si>
  <si>
    <t>BASE = O200 ID HDPE PE100 SDR11 DN250 per locked SS5.5 (VOL38 s10.1 equivalence); rate benchmark-derived PENDING RFQ (Gap #5). Copper alternate ALT-1. H002 n.26 diameter blank - RFI CL C3</t>
  </si>
  <si>
    <t>2.2-b</t>
  </si>
  <si>
    <t>Temporary site services (TPS own, in full)</t>
  </si>
  <si>
    <t>Own toilets/wash/genset/potable water storage + distribution (ITT S17.3 - no site power or water). Priced bottom-up on the Prelim &amp; OH tab</t>
  </si>
  <si>
    <t>2.4-b</t>
  </si>
  <si>
    <t>Hydraulic services - site reticulation within 1A</t>
  </si>
  <si>
    <t>125 PE CW spine 236.88 m + 6 take-off sets + 32/25 branches 111.51 m + capped future services + irrigation take-off capped at the E-type flange (L13)</t>
  </si>
  <si>
    <t>2.4-c</t>
  </si>
  <si>
    <t>Fire services - site</t>
  </si>
  <si>
    <t>125 HDPE REDLINE 217.73 m + H-pattern booster + cabinet + 100 dual pillar hydrant. Extent qualified (CL C1/F3); AS2419.1 coverage + missing H004 = RFI</t>
  </si>
  <si>
    <t>3.5</t>
  </si>
  <si>
    <t>Hydraulic - grated trench drains and pits</t>
  </si>
  <si>
    <t>EXCLUDED - TCS scope</t>
  </si>
  <si>
    <t>Locked SS5.1: priced by TCS despite the 'Hydraulic' heading (drawn on the civil sheets). TPS expressly excludes and cross-refers the TCS tender (L1)</t>
  </si>
  <si>
    <t>4.3</t>
  </si>
  <si>
    <t>-- Roofing / roof plumbing / gutters / downpipes</t>
  </si>
  <si>
    <t>EXCLUDED (SS5.3)</t>
  </si>
  <si>
    <t>TPS scope starts at the DP 'CONNECT TO CIVIL' point in ground; the roofer owns everything above (L14). DP stub count adopted 19 EA, RFI on count (Opens #23)</t>
  </si>
  <si>
    <t>4.11-c</t>
  </si>
  <si>
    <t>NBC hydraulic services</t>
  </si>
  <si>
    <t>Sanitary 268.4 m + trade waste 54.78 m + 1500 L GIT (size RFI CL B6) + water (316 SS press-fit &gt;DN22 conforming, PEX &lt;=DN22; copper ALT-2) + 2x Rheem 315L HWU + RPZD/backflow + articulation + seismic (install + layout only, CL C7) + DP stubs to CONNECT TO CIVIL only (L2)</t>
  </si>
  <si>
    <t>4.11-d</t>
  </si>
  <si>
    <t>NBC fire compliance</t>
  </si>
  <si>
    <t>FHR x1 + FB x1 + AS1851 12-month maintenance &amp; tagging. FE x8 supply = EBC-3 + RFI (CL B8)</t>
  </si>
  <si>
    <t>4.12-c</t>
  </si>
  <si>
    <t>NBC plumbing fixtures - SUPPLY</t>
  </si>
  <si>
    <t>PC SUM</t>
  </si>
  <si>
    <t>Tradelink 1066143 adjusted for adopted counts + 15% (build-up on 'TCS $ Sched' R70:S78). Install labour is in Base. Validity 13/08/26 vs 2027 start + header defects qualified (CL F4)</t>
  </si>
  <si>
    <t>4.12-e</t>
  </si>
  <si>
    <t>NBC drinking fountain (chilled)</t>
  </si>
  <si>
    <t>PC SUM (calculated)</t>
  </si>
  <si>
    <t>2x CF400 chilled @ $11,050 + 15%; chilled/non-chilled same-SKU RFI (CL C10); signage explicitly extra on the quote. Rough-in connections in Base</t>
  </si>
  <si>
    <t>5.0</t>
  </si>
  <si>
    <t>Provisional - plumbing, water &amp; sewer connection fees</t>
  </si>
  <si>
    <t>PROVISIONAL as directed</t>
  </si>
  <si>
    <t>$20,000 actual-cost reimbursement carried exactly as directed, NO markup (SS5.4). Schedule entry mechanics RFI (CL A3)</t>
  </si>
  <si>
    <t>7.0-a</t>
  </si>
  <si>
    <t>Rock removal rate - TPS trenches AND pits, soft AND hard</t>
  </si>
  <si>
    <t>SCHEDULE OF RATES</t>
  </si>
  <si>
    <t>see build-up below</t>
  </si>
  <si>
    <t>Four rates tendered per H002 n.24. Extra-over, payable on Superintendent written direction (ITT s18.2). TPS rates apply only to water/sewer/fire excavations - no overlap with TCS. Three-regime inconsistency RFI'd (CL B5/A5)</t>
  </si>
  <si>
    <t>7.0-b</t>
  </si>
  <si>
    <t>Unsuitable ground removal &amp; reinstatement rate</t>
  </si>
  <si>
    <t>Extra-over, Superintendent written direction only (ITT s18.1); same own-excavations boundary</t>
  </si>
  <si>
    <t>STAGE 1A TOTAL ex GST (lump sum + PC sums + provisional)</t>
  </si>
  <si>
    <t>1A base sell + 1A PC sums. Section 6.0 (electrical) is Not Ours; 1A 2.3 / 2.5 drainage is TCS</t>
  </si>
  <si>
    <t>1B</t>
  </si>
  <si>
    <t>Preliminaries &amp; Documentation (TPS share)</t>
  </si>
  <si>
    <t>In 1B lump sum</t>
  </si>
  <si>
    <t>Standalone-viable 1B per SS5.2 - no reliance on any 1A establishment</t>
  </si>
  <si>
    <t>2.1-a</t>
  </si>
  <si>
    <t>Temporary site services (TPS own)</t>
  </si>
  <si>
    <t>As 1A 2.2-b, sized for a standalone 1B award</t>
  </si>
  <si>
    <t>Hydraulic services - 1B's own connections and reticulation</t>
  </si>
  <si>
    <t>Branch take-offs from the 1A-priced mains; the branch fitting/valve IS the line (L9). PAM O25/O32 entries, O100 PAM sewer leg, bubbler/DF supplies + wastes, hose taps (Phase 7 T2-09, 4 crew-days carried on the PAM sheet)</t>
  </si>
  <si>
    <t>2.2-c</t>
  </si>
  <si>
    <t>Fire services - 1B extent</t>
  </si>
  <si>
    <t>Same extent-verification qualification as 1A 2.4-c (CL C1)</t>
  </si>
  <si>
    <t>3.11-c</t>
  </si>
  <si>
    <t>PAM hydraulic services</t>
  </si>
  <si>
    <t>Sanitary 68.09 m @1:60 + ORG + FWG x4 + Rheem 50L HWU + TMV in SS lockable cabinet + O32 check-meter (no PRV vs NBC 500 kPa - RFI CL C8) + 316 SS/PEX water + articulation + seismic. DP stubs only - PAM sheets carry NO 'connect to civil' note (RFI)</t>
  </si>
  <si>
    <t>3.11-d</t>
  </si>
  <si>
    <t>PAM fire compliance</t>
  </si>
  <si>
    <t>FE x1 supply = EBC-3 + RFI (CL B8)</t>
  </si>
  <si>
    <t>3.12-a</t>
  </si>
  <si>
    <t>PAM plumbing fixtures - SUPPLY</t>
  </si>
  <si>
    <t>PAM extension of the Tradelink 1066143 basis + 15%. The PAM fixture set was never counted by the take-off - adopted counts (8 s/s WC + in-wall cisterns, 1800 trough, PWD basin, CSK, timed taps, 2x TR) extended at the quote-rate family; delta stated</t>
  </si>
  <si>
    <t>3.12-b</t>
  </si>
  <si>
    <t>PAM drinking fountain (non-chilled)</t>
  </si>
  <si>
    <t>2x CF400 non-chilled benchmark $7,200 ea + 15% - the non-chilled variant is unpriced by anyone (Gap #6), re-quote pending; same SKU RFI (CL C10)</t>
  </si>
  <si>
    <t>4.5-c</t>
  </si>
  <si>
    <t>Water bubbler stations (recreational park)</t>
  </si>
  <si>
    <t>4x site DF/BT positions per H003 at the same benchmark + 15%; unit type undefined in the legend (RFI CL C10). Supply/waste connections priced in 1B 2.2-b Base; slabs/surrounds by others</t>
  </si>
  <si>
    <t>4.6</t>
  </si>
  <si>
    <t>Provisional - connection fees</t>
  </si>
  <si>
    <t>$20,000 as directed, no markup - mirror of 1A 5.0. Carried in BOTH stages per the schedule and SS5.4</t>
  </si>
  <si>
    <t>5.0-a</t>
  </si>
  <si>
    <t>Identical rates and regime to 1A 7.0-a</t>
  </si>
  <si>
    <t>5.0-b</t>
  </si>
  <si>
    <t>Identical to 1A 7.0-b</t>
  </si>
  <si>
    <t>2.3 / 4.x</t>
  </si>
  <si>
    <t>Stormwater drainage, landscaping, play equipment, park furniture</t>
  </si>
  <si>
    <t>Not Ours / TCS</t>
  </si>
  <si>
    <t>1B 2.3-a stormwater = TCS; landscape/irrigation/play/furniture = other trades. Listed so no 1B line is silent</t>
  </si>
  <si>
    <t>STAGE 1B TOTAL ex GST (lump sum + PC sums + provisional)</t>
  </si>
  <si>
    <t>1B base sell + 1B PC sums</t>
  </si>
  <si>
    <t>TPS GRAND TOTAL ex GST (1A + 1B)</t>
  </si>
  <si>
    <t>Tie check on 'TCS $ Sched' N88 must read 0</t>
  </si>
  <si>
    <t>SCHEDULE-OF-RATES BUILD-UP (1A 7.0 / 1B 5.0) - extra-over rates, TPS excavations only</t>
  </si>
  <si>
    <t>Extra-over $/m3 = (crew day rate + plant day rate) x (1/rock production - 1/normal production) + disposal or import premium. The crew rate is the re-based FIFO Crew 1 day rate; plant is 8T excavator + breaker. Productions are estimator judgement for Rockhampton siltstone/sandstone per geotech NQL2024-0320 s5.3.3 refusal depths.</t>
  </si>
  <si>
    <t>Rate line</t>
  </si>
  <si>
    <t>Rock prod (m3/d)</t>
  </si>
  <si>
    <t>Normal prod (m3/d)</t>
  </si>
  <si>
    <t>Crew+plant $/day</t>
  </si>
  <si>
    <t>Disposal/import $/m3</t>
  </si>
  <si>
    <t>TENDERED RATE $/m3</t>
  </si>
  <si>
    <t>Soft rock - TRENCH (extra over)</t>
  </si>
  <si>
    <t>Hard rock - TRENCH (extra over)</t>
  </si>
  <si>
    <t>Soft rock - PIT / structure (extra over)</t>
  </si>
  <si>
    <t>Hard rock - PIT / structure (extra over)</t>
  </si>
  <si>
    <t>Unsuitable ground - removal &amp; reinstatement (extra over)</t>
  </si>
  <si>
    <t>Disposal $15/m3 (helper haulage rate) + imported select fill at the bedding-sand rate; compaction sits inside the crew production</t>
  </si>
  <si>
    <t>Rock 'reasonably anticipated' extent: the rates apply BELOW the bore-log rock horizons in NQL2024-0320; rock encountered above those horizons is deemed included. Three inconsistent regimes exist (ITT s18.2 written direction vs H002 n.24 four-way schedule vs VOL38 s7.7 deemed-included) - the priced regime is stated and the inconsistency RFI'd (CL B5/A5) so H002 n.15 cannot bite.</t>
  </si>
  <si>
    <t>Exclusions &amp; qualifications carried per 01_SCOPE_MATRIX: roofing/DPs above ground (4.3 / 3.3), landscape irrigation (demarcation = the capped E-type flange, L13), plumbing approval lodgement (X2 - RRC plumbing applications; the FRW Private Works lodgement is Principal Contractor as written in ITT s16), trade waste application (X3 = EBC-2), shop drawings (X1 - EBC in the tender control register), court trench drains (TCS, L1), sewer pump station (Addendum 2, L6), design liability (construct-only; seismic = layout drafting only, CL C7).</t>
  </si>
  <si>
    <t>DERIVED 27 Jul 2026 on the NBC basis (Director decision: compaction testing included). NBC carries 15 tests against its own adopted trench length 387.68 m ('ClubHouse (NBC )'!C955) = 1 test per 25.8 m. That frequency is corroborated by VOL 38 spec cl 3.62 (compaction schedule), which mandates 1 test per 25 m in vehicular locations / 1 per 50 m elsewhere, 2 per layer at pits. Quantity is a live formula = this sheet's own trench metres x NBC tests / NBC trench metres, rounded up. Rate unchanged (Misc Subbie Rates_Master D72, $115/ea). PAM adopted trench length 71.36 m (C876) -&gt; 71.36 x 15/387.68 = 2.76 -&gt; 3 tests.</t>
  </si>
  <si>
    <t>DERIVED SEPARATELY 27 Jul 2026 - establishment is a per-VISIT mobilisation charge, it does NOT scale with metres. Basis = NBC's own batching ratio: 15 tests over 4 establishments = 3.75 tests presented per lab visit. Quantity = this sheet's test count / 3.75, rounded up. Cross-check: the same result is obtained from NBC's visit density (387.68 m / 4 visits = 1 visit per 96.9 m of trench). Consistent with the programme's mobilisation logic (PROGRAMME_LABOUR_PLANT TPS_Activities T1-12: separate mobilisations assumed for site mains / rough-in / fit-off). Rate unchanged (Misc Subbie Rates_Master D73, $90/ea). PAM 3 tests / 3.75 = 0.80 -&gt; 1 establishment visit.</t>
  </si>
  <si>
    <t>DERIVED 27 Jul 2026 on the NBC basis (Director decision: compaction testing included). NBC carries 15 tests against its own adopted trench length 387.68 m ('ClubHouse (NBC )'!C955) = 1 test per 25.8 m. That frequency is corroborated by VOL 38 spec cl 3.62 (compaction schedule), which mandates 1 test per 25 m in vehicular locations / 1 per 50 m elsewhere, 2 per layer at pits. Quantity is a live formula = this sheet's own trench metres x NBC tests / NBC trench metres, rounded up. Rate unchanged (Misc Subbie Rates_Master D72, $115/ea). Siteworks adopted trench length 924.56 m (C886) -&gt; 924.56 x 15/387.68 = 35.77 -&gt; 36 tests. Siteworks holds the longest runs in the package (O200 main, 236.88 m CW spine, 217.73 m fire main, 207.53 m gravity sewer) so its count correctly exceeds NBC's 15.</t>
  </si>
  <si>
    <t>DERIVED SEPARATELY 27 Jul 2026 - establishment is a per-VISIT mobilisation charge, it does NOT scale with metres. Basis = NBC's own batching ratio: 15 tests over 4 establishments = 3.75 tests presented per lab visit. Quantity = this sheet's test count / 3.75, rounded up. Cross-check: the same result is obtained from NBC's visit density (387.68 m / 4 visits = 1 visit per 96.9 m of trench). Consistent with the programme's mobilisation logic (PROGRAMME_LABOUR_PLANT TPS_Activities T1-12: separate mobilisations assumed for site mains / rough-in / fit-off). Rate unchanged (Misc Subbie Rates_Master D73, $90/ea). Siteworks 36 tests / 3.75 = 9.60 -&gt; 10 establishment visits.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</si>
</sst>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&quot;$&quot;#,##0.00"/>
    <numFmt numFmtId="165" formatCode="&quot;$&quot;#,##0"/>
    <numFmt numFmtId="166" formatCode="_(&quot;$&quot;* #,##0.00_);_(&quot;$&quot;* \(#,##0.00\);_(&quot;$&quot;* &quot;-&quot;??_);_(@_)"/>
    <numFmt numFmtId="167" formatCode="_-&quot;$&quot;* #,##0_-;\-&quot;$&quot;* #,##0_-;_-&quot;$&quot;* &quot;-&quot;??_-;_-@_-"/>
    <numFmt numFmtId="168" formatCode="0.0%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  <font>
      <b/>
      <u val="singleAccounting"/>
      <sz val="8"/>
      <name val="Arial"/>
      <family val="2"/>
    </font>
    <font>
      <b/>
      <u/>
      <sz val="11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8"/>
      <color theme="5"/>
      <name val="Arial"/>
      <family val="2"/>
    </font>
    <font>
      <b/>
      <u/>
      <sz val="8"/>
      <color rgb="FFFF0000"/>
      <name val="Arial"/>
      <family val="2"/>
    </font>
    <font>
      <sz val="8"/>
      <color theme="9"/>
      <name val="Arial"/>
      <family val="2"/>
    </font>
    <font>
      <sz val="8"/>
      <color rgb="FFFF0000"/>
      <name val="Arial"/>
      <family val="2"/>
    </font>
    <font>
      <i/>
      <sz val="8"/>
      <color theme="5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b/>
      <sz val="10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  <font>
      <b/>
      <sz val="12"/>
      <color theme="5"/>
      <name val="Century Gothic"/>
      <family val="2"/>
    </font>
    <font>
      <i/>
      <sz val="8"/>
      <color rgb="FF0070C0"/>
      <name val="Arial"/>
      <family val="2"/>
    </font>
    <font>
      <sz val="9"/>
      <color theme="5"/>
      <name val="Calibri"/>
      <family val="2"/>
      <scheme val="minor"/>
    </font>
    <font>
      <b/>
      <sz val="9"/>
      <color theme="5"/>
      <name val="Century Gothic"/>
      <family val="2"/>
    </font>
    <font>
      <b/>
      <strike/>
      <sz val="8"/>
      <name val="Arial"/>
      <family val="2"/>
    </font>
    <font>
      <b/>
      <strike/>
      <sz val="8"/>
      <color rgb="FFFF0000"/>
      <name val="Arial"/>
      <family val="2"/>
    </font>
    <font>
      <b/>
      <sz val="14"/>
      <name val="Arial"/>
      <family val="2"/>
    </font>
    <font>
      <b/>
      <sz val="8"/>
      <color theme="9"/>
      <name val="Arial"/>
      <family val="2"/>
    </font>
    <font>
      <b/>
      <sz val="12"/>
      <name val="Arial"/>
      <family val="2"/>
    </font>
    <font>
      <b/>
      <u/>
      <sz val="8"/>
      <color theme="5"/>
      <name val="Arial"/>
      <family val="2"/>
    </font>
    <font>
      <sz val="18"/>
      <name val="Arial"/>
      <family val="2"/>
    </font>
    <font>
      <sz val="9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sz val="8"/>
      <color theme="0"/>
      <name val="Arial"/>
      <family val="2"/>
    </font>
    <font>
      <sz val="11"/>
      <color rgb="FF000000"/>
      <name val="Segoe UI"/>
      <family val="2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trike/>
      <sz val="8"/>
      <name val="Arial"/>
      <family val="2"/>
    </font>
    <font>
      <sz val="12"/>
      <color theme="0"/>
      <name val="Arial"/>
      <family val="2"/>
    </font>
    <font>
      <i/>
      <sz val="8"/>
      <color rgb="FF0070C0"/>
      <name val="Arial"/>
    </font>
    <font>
      <b/>
      <sz val="10"/>
      <name val="Arial"/>
    </font>
    <font>
      <b/>
      <sz val="12"/>
      <name val="Arial"/>
    </font>
    <font>
      <i/>
      <sz val="8"/>
      <color rgb="FF0070C0"/>
      <name val="Arial"/>
    </font>
  </fonts>
  <fills count="3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44" fontId="31" fillId="0" borderId="0"/>
    <xf numFmtId="0" fontId="31" fillId="0" borderId="0"/>
    <xf numFmtId="9" fontId="8" fillId="0" borderId="0"/>
    <xf numFmtId="44" fontId="31" fillId="0" borderId="0"/>
    <xf numFmtId="9" fontId="31" fillId="0" borderId="0"/>
    <xf numFmtId="0" fontId="8" fillId="0" borderId="0"/>
    <xf numFmtId="0" fontId="8" fillId="0" borderId="0"/>
    <xf numFmtId="9" fontId="31" fillId="0" borderId="0"/>
    <xf numFmtId="0" fontId="8" fillId="0" borderId="0"/>
    <xf numFmtId="166" fontId="8" fillId="0" borderId="0"/>
    <xf numFmtId="9" fontId="8" fillId="0" borderId="0"/>
    <xf numFmtId="0" fontId="8" fillId="0" borderId="0"/>
    <xf numFmtId="0" fontId="8" fillId="0" borderId="0"/>
    <xf numFmtId="44" fontId="8" fillId="0" borderId="0"/>
    <xf numFmtId="44" fontId="8" fillId="0" borderId="0"/>
  </cellStyleXfs>
  <cellXfs count="520">
    <xf numFmtId="0" fontId="0" fillId="0" borderId="0" xfId="0"/>
    <xf numFmtId="0" fontId="9" fillId="0" borderId="0" xfId="0" applyFont="1"/>
    <xf numFmtId="164" fontId="9" fillId="0" borderId="0" xfId="0" applyNumberFormat="1" applyFont="1"/>
    <xf numFmtId="165" fontId="10" fillId="0" borderId="0" xfId="0" applyNumberFormat="1" applyFont="1" applyAlignment="1">
      <alignment horizontal="right" vertical="top"/>
    </xf>
    <xf numFmtId="165" fontId="9" fillId="0" borderId="0" xfId="0" applyNumberFormat="1" applyFont="1" applyAlignment="1">
      <alignment horizontal="right" vertical="top"/>
    </xf>
    <xf numFmtId="0" fontId="9" fillId="0" borderId="0" xfId="0" applyFont="1" applyAlignment="1">
      <alignment vertical="top"/>
    </xf>
    <xf numFmtId="0" fontId="11" fillId="0" borderId="0" xfId="0" applyFont="1" applyAlignment="1">
      <alignment horizontal="center"/>
    </xf>
    <xf numFmtId="14" fontId="9" fillId="0" borderId="0" xfId="0" applyNumberFormat="1" applyFont="1" applyAlignment="1">
      <alignment horizontal="right" vertical="top"/>
    </xf>
    <xf numFmtId="164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right"/>
    </xf>
    <xf numFmtId="164" fontId="9" fillId="0" borderId="0" xfId="0" applyNumberFormat="1" applyFont="1" applyAlignment="1">
      <alignment horizontal="center"/>
    </xf>
    <xf numFmtId="0" fontId="9" fillId="2" borderId="0" xfId="0" applyFont="1" applyFill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horizontal="center"/>
    </xf>
    <xf numFmtId="164" fontId="9" fillId="0" borderId="0" xfId="1" applyNumberFormat="1" applyFont="1" applyAlignment="1">
      <alignment horizontal="right"/>
    </xf>
    <xf numFmtId="0" fontId="9" fillId="0" borderId="0" xfId="0" applyFont="1" applyAlignment="1">
      <alignment vertical="center"/>
    </xf>
    <xf numFmtId="0" fontId="14" fillId="0" borderId="0" xfId="0" applyFont="1"/>
    <xf numFmtId="164" fontId="9" fillId="0" borderId="0" xfId="0" applyNumberFormat="1" applyFont="1" applyAlignment="1">
      <alignment horizontal="right"/>
    </xf>
    <xf numFmtId="0" fontId="15" fillId="0" borderId="0" xfId="0" applyFont="1"/>
    <xf numFmtId="164" fontId="10" fillId="0" borderId="0" xfId="0" applyNumberFormat="1" applyFont="1" applyAlignment="1">
      <alignment horizontal="right"/>
    </xf>
    <xf numFmtId="44" fontId="9" fillId="0" borderId="0" xfId="1" applyFont="1"/>
    <xf numFmtId="44" fontId="9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right"/>
    </xf>
    <xf numFmtId="164" fontId="11" fillId="0" borderId="0" xfId="0" applyNumberFormat="1" applyFont="1" applyAlignment="1">
      <alignment horizontal="right"/>
    </xf>
    <xf numFmtId="0" fontId="16" fillId="0" borderId="3" xfId="0" applyFont="1" applyBorder="1" applyAlignment="1">
      <alignment horizontal="center"/>
    </xf>
    <xf numFmtId="44" fontId="9" fillId="0" borderId="3" xfId="1" applyFont="1" applyBorder="1"/>
    <xf numFmtId="44" fontId="9" fillId="0" borderId="5" xfId="1" applyFont="1" applyBorder="1"/>
    <xf numFmtId="44" fontId="9" fillId="0" borderId="1" xfId="0" applyNumberFormat="1" applyFont="1" applyBorder="1"/>
    <xf numFmtId="2" fontId="9" fillId="0" borderId="0" xfId="3" applyNumberFormat="1" applyFont="1" applyAlignment="1">
      <alignment horizontal="right"/>
    </xf>
    <xf numFmtId="2" fontId="10" fillId="0" borderId="0" xfId="3" applyNumberFormat="1" applyFont="1" applyAlignment="1">
      <alignment horizontal="right"/>
    </xf>
    <xf numFmtId="44" fontId="10" fillId="0" borderId="0" xfId="0" applyNumberFormat="1" applyFont="1"/>
    <xf numFmtId="2" fontId="9" fillId="0" borderId="0" xfId="0" applyNumberFormat="1" applyFont="1"/>
    <xf numFmtId="44" fontId="18" fillId="0" borderId="0" xfId="0" applyNumberFormat="1" applyFont="1"/>
    <xf numFmtId="164" fontId="17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44" fontId="9" fillId="4" borderId="3" xfId="1" applyFont="1" applyFill="1" applyBorder="1"/>
    <xf numFmtId="0" fontId="9" fillId="0" borderId="0" xfId="0" applyFont="1" applyAlignment="1">
      <alignment horizontal="center"/>
    </xf>
    <xf numFmtId="0" fontId="9" fillId="0" borderId="0" xfId="2" applyFont="1"/>
    <xf numFmtId="0" fontId="10" fillId="0" borderId="0" xfId="2" applyFont="1"/>
    <xf numFmtId="0" fontId="9" fillId="0" borderId="0" xfId="2" applyFont="1" applyAlignment="1">
      <alignment horizontal="center"/>
    </xf>
    <xf numFmtId="44" fontId="9" fillId="0" borderId="0" xfId="4" applyFont="1"/>
    <xf numFmtId="0" fontId="10" fillId="0" borderId="0" xfId="2" applyFont="1" applyAlignment="1">
      <alignment horizontal="center"/>
    </xf>
    <xf numFmtId="0" fontId="19" fillId="0" borderId="0" xfId="2" applyFont="1"/>
    <xf numFmtId="44" fontId="10" fillId="0" borderId="0" xfId="4" applyFont="1" applyAlignment="1">
      <alignment horizontal="center"/>
    </xf>
    <xf numFmtId="0" fontId="10" fillId="5" borderId="12" xfId="2" applyFont="1" applyFill="1" applyBorder="1"/>
    <xf numFmtId="44" fontId="9" fillId="0" borderId="0" xfId="2" applyNumberFormat="1" applyFont="1"/>
    <xf numFmtId="0" fontId="10" fillId="2" borderId="15" xfId="2" applyFont="1" applyFill="1" applyBorder="1"/>
    <xf numFmtId="44" fontId="9" fillId="0" borderId="0" xfId="4" applyFont="1" applyAlignment="1">
      <alignment horizontal="center"/>
    </xf>
    <xf numFmtId="44" fontId="9" fillId="0" borderId="10" xfId="4" applyFont="1" applyBorder="1"/>
    <xf numFmtId="0" fontId="9" fillId="0" borderId="7" xfId="2" applyFont="1" applyBorder="1" applyAlignment="1">
      <alignment horizontal="center"/>
    </xf>
    <xf numFmtId="10" fontId="9" fillId="0" borderId="0" xfId="5" applyNumberFormat="1" applyFont="1"/>
    <xf numFmtId="10" fontId="9" fillId="0" borderId="0" xfId="4" applyNumberFormat="1" applyFont="1"/>
    <xf numFmtId="0" fontId="9" fillId="0" borderId="0" xfId="2" quotePrefix="1" applyFont="1"/>
    <xf numFmtId="0" fontId="9" fillId="3" borderId="0" xfId="2" applyFont="1" applyFill="1"/>
    <xf numFmtId="44" fontId="9" fillId="4" borderId="3" xfId="1" applyFont="1" applyFill="1" applyBorder="1" applyAlignment="1">
      <alignment vertical="center"/>
    </xf>
    <xf numFmtId="44" fontId="9" fillId="0" borderId="0" xfId="0" applyNumberFormat="1" applyFont="1" applyAlignment="1">
      <alignment vertical="center"/>
    </xf>
    <xf numFmtId="0" fontId="9" fillId="5" borderId="4" xfId="0" applyFont="1" applyFill="1" applyBorder="1"/>
    <xf numFmtId="44" fontId="9" fillId="3" borderId="3" xfId="1" applyFont="1" applyFill="1" applyBorder="1"/>
    <xf numFmtId="44" fontId="9" fillId="5" borderId="11" xfId="1" applyFont="1" applyFill="1" applyBorder="1" applyAlignment="1">
      <alignment horizontal="left"/>
    </xf>
    <xf numFmtId="0" fontId="13" fillId="0" borderId="0" xfId="0" applyFont="1"/>
    <xf numFmtId="0" fontId="20" fillId="0" borderId="0" xfId="0" applyFont="1" applyAlignment="1">
      <alignment horizontal="center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3" fillId="2" borderId="0" xfId="0" applyFont="1" applyFill="1"/>
    <xf numFmtId="0" fontId="13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21" fillId="0" borderId="0" xfId="0" applyFont="1"/>
    <xf numFmtId="0" fontId="12" fillId="0" borderId="0" xfId="0" applyFont="1"/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44" fontId="13" fillId="0" borderId="0" xfId="1" applyFont="1" applyAlignment="1">
      <alignment horizontal="right" vertical="center"/>
    </xf>
    <xf numFmtId="164" fontId="12" fillId="0" borderId="0" xfId="0" applyNumberFormat="1" applyFont="1"/>
    <xf numFmtId="164" fontId="22" fillId="0" borderId="1" xfId="0" applyNumberFormat="1" applyFont="1" applyBorder="1" applyAlignment="1">
      <alignment horizontal="right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164" fontId="20" fillId="0" borderId="2" xfId="0" applyNumberFormat="1" applyFont="1" applyBorder="1" applyAlignment="1">
      <alignment horizontal="right"/>
    </xf>
    <xf numFmtId="164" fontId="9" fillId="0" borderId="0" xfId="2" applyNumberFormat="1" applyFont="1" applyAlignment="1">
      <alignment horizontal="center" vertical="center"/>
    </xf>
    <xf numFmtId="164" fontId="9" fillId="0" borderId="0" xfId="2" applyNumberFormat="1" applyFont="1"/>
    <xf numFmtId="0" fontId="10" fillId="0" borderId="13" xfId="2" applyFont="1" applyBorder="1" applyAlignment="1">
      <alignment horizontal="center" vertical="center"/>
    </xf>
    <xf numFmtId="0" fontId="10" fillId="4" borderId="15" xfId="2" applyFont="1" applyFill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9" fillId="0" borderId="4" xfId="2" applyFont="1" applyBorder="1"/>
    <xf numFmtId="164" fontId="9" fillId="0" borderId="0" xfId="1" applyNumberFormat="1" applyFont="1" applyAlignment="1">
      <alignment horizontal="center" vertical="center"/>
    </xf>
    <xf numFmtId="164" fontId="10" fillId="0" borderId="0" xfId="1" applyNumberFormat="1" applyFont="1" applyAlignment="1">
      <alignment horizontal="center" vertical="center"/>
    </xf>
    <xf numFmtId="164" fontId="9" fillId="0" borderId="3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right"/>
    </xf>
    <xf numFmtId="164" fontId="9" fillId="0" borderId="10" xfId="1" applyNumberFormat="1" applyFont="1" applyBorder="1" applyAlignment="1">
      <alignment horizontal="center" vertical="center"/>
    </xf>
    <xf numFmtId="164" fontId="10" fillId="0" borderId="10" xfId="1" applyNumberFormat="1" applyFont="1" applyBorder="1" applyAlignment="1">
      <alignment horizontal="center" vertical="center"/>
    </xf>
    <xf numFmtId="164" fontId="9" fillId="0" borderId="11" xfId="2" applyNumberFormat="1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4" xfId="2" applyFont="1" applyBorder="1"/>
    <xf numFmtId="2" fontId="9" fillId="0" borderId="0" xfId="1" applyNumberFormat="1" applyFont="1" applyAlignment="1">
      <alignment horizontal="center" vertical="center"/>
    </xf>
    <xf numFmtId="164" fontId="10" fillId="0" borderId="17" xfId="1" applyNumberFormat="1" applyFont="1" applyBorder="1" applyAlignment="1">
      <alignment horizontal="center" vertical="center"/>
    </xf>
    <xf numFmtId="0" fontId="9" fillId="0" borderId="0" xfId="2" applyFont="1" applyAlignment="1">
      <alignment wrapText="1"/>
    </xf>
    <xf numFmtId="164" fontId="10" fillId="0" borderId="3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0" fontId="10" fillId="2" borderId="4" xfId="2" applyFont="1" applyFill="1" applyBorder="1" applyAlignment="1">
      <alignment horizontal="right"/>
    </xf>
    <xf numFmtId="164" fontId="10" fillId="2" borderId="3" xfId="2" applyNumberFormat="1" applyFont="1" applyFill="1" applyBorder="1" applyAlignment="1">
      <alignment horizontal="center" vertical="center"/>
    </xf>
    <xf numFmtId="164" fontId="10" fillId="3" borderId="3" xfId="2" applyNumberFormat="1" applyFont="1" applyFill="1" applyBorder="1" applyAlignment="1">
      <alignment horizontal="center" vertical="center"/>
    </xf>
    <xf numFmtId="164" fontId="25" fillId="0" borderId="0" xfId="1" applyNumberFormat="1" applyFont="1" applyAlignment="1">
      <alignment horizontal="center" vertical="center"/>
    </xf>
    <xf numFmtId="164" fontId="10" fillId="0" borderId="18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left"/>
    </xf>
    <xf numFmtId="0" fontId="10" fillId="5" borderId="4" xfId="2" applyFont="1" applyFill="1" applyBorder="1" applyAlignment="1">
      <alignment horizontal="right"/>
    </xf>
    <xf numFmtId="0" fontId="10" fillId="5" borderId="6" xfId="2" applyFont="1" applyFill="1" applyBorder="1" applyAlignment="1">
      <alignment horizontal="right"/>
    </xf>
    <xf numFmtId="0" fontId="10" fillId="3" borderId="0" xfId="2" applyFont="1" applyFill="1" applyAlignment="1">
      <alignment horizontal="center" vertical="center"/>
    </xf>
    <xf numFmtId="0" fontId="9" fillId="0" borderId="9" xfId="2" applyFont="1" applyBorder="1"/>
    <xf numFmtId="164" fontId="26" fillId="0" borderId="0" xfId="1" applyNumberFormat="1" applyFont="1" applyAlignment="1">
      <alignment horizontal="center" vertical="center"/>
    </xf>
    <xf numFmtId="0" fontId="27" fillId="0" borderId="4" xfId="2" applyFont="1" applyBorder="1"/>
    <xf numFmtId="0" fontId="9" fillId="0" borderId="9" xfId="2" applyFont="1" applyBorder="1" applyAlignment="1">
      <alignment horizontal="right"/>
    </xf>
    <xf numFmtId="0" fontId="6" fillId="0" borderId="0" xfId="7" applyFont="1"/>
    <xf numFmtId="0" fontId="6" fillId="2" borderId="13" xfId="7" applyFont="1" applyFill="1" applyBorder="1"/>
    <xf numFmtId="0" fontId="6" fillId="2" borderId="14" xfId="7" applyFont="1" applyFill="1" applyBorder="1"/>
    <xf numFmtId="0" fontId="30" fillId="9" borderId="0" xfId="7" applyFont="1" applyFill="1"/>
    <xf numFmtId="164" fontId="6" fillId="0" borderId="0" xfId="7" applyNumberFormat="1" applyFont="1" applyAlignment="1">
      <alignment horizontal="center"/>
    </xf>
    <xf numFmtId="164" fontId="6" fillId="0" borderId="0" xfId="7" applyNumberFormat="1" applyFont="1" applyAlignment="1">
      <alignment horizontal="center" vertical="center"/>
    </xf>
    <xf numFmtId="0" fontId="29" fillId="0" borderId="0" xfId="7" applyFont="1" applyAlignment="1">
      <alignment horizontal="right"/>
    </xf>
    <xf numFmtId="0" fontId="10" fillId="0" borderId="16" xfId="2" applyFont="1" applyBorder="1"/>
    <xf numFmtId="0" fontId="10" fillId="0" borderId="17" xfId="2" applyFont="1" applyBorder="1" applyAlignment="1">
      <alignment horizontal="right"/>
    </xf>
    <xf numFmtId="0" fontId="10" fillId="0" borderId="17" xfId="2" applyFont="1" applyBorder="1"/>
    <xf numFmtId="0" fontId="10" fillId="2" borderId="0" xfId="2" applyFont="1" applyFill="1" applyAlignment="1">
      <alignment horizontal="right"/>
    </xf>
    <xf numFmtId="164" fontId="10" fillId="0" borderId="0" xfId="2" applyNumberFormat="1" applyFont="1" applyAlignment="1">
      <alignment horizontal="center" vertical="center"/>
    </xf>
    <xf numFmtId="0" fontId="10" fillId="0" borderId="10" xfId="2" applyFont="1" applyBorder="1"/>
    <xf numFmtId="0" fontId="9" fillId="6" borderId="0" xfId="2" applyFont="1" applyFill="1" applyAlignment="1">
      <alignment horizontal="center"/>
    </xf>
    <xf numFmtId="44" fontId="10" fillId="6" borderId="0" xfId="4" applyFont="1" applyFill="1"/>
    <xf numFmtId="164" fontId="9" fillId="3" borderId="0" xfId="2" applyNumberFormat="1" applyFont="1" applyFill="1"/>
    <xf numFmtId="0" fontId="9" fillId="6" borderId="7" xfId="2" applyFont="1" applyFill="1" applyBorder="1" applyAlignment="1">
      <alignment horizontal="center"/>
    </xf>
    <xf numFmtId="0" fontId="9" fillId="6" borderId="9" xfId="2" applyFont="1" applyFill="1" applyBorder="1" applyAlignment="1">
      <alignment horizontal="center"/>
    </xf>
    <xf numFmtId="0" fontId="9" fillId="6" borderId="10" xfId="2" applyFont="1" applyFill="1" applyBorder="1" applyAlignment="1">
      <alignment horizontal="center"/>
    </xf>
    <xf numFmtId="0" fontId="9" fillId="6" borderId="4" xfId="2" applyFont="1" applyFill="1" applyBorder="1" applyAlignment="1">
      <alignment horizontal="center"/>
    </xf>
    <xf numFmtId="44" fontId="10" fillId="6" borderId="7" xfId="4" applyFont="1" applyFill="1" applyBorder="1"/>
    <xf numFmtId="44" fontId="10" fillId="6" borderId="10" xfId="4" applyFont="1" applyFill="1" applyBorder="1"/>
    <xf numFmtId="44" fontId="9" fillId="6" borderId="8" xfId="4" applyFont="1" applyFill="1" applyBorder="1"/>
    <xf numFmtId="44" fontId="9" fillId="6" borderId="3" xfId="4" applyFont="1" applyFill="1" applyBorder="1"/>
    <xf numFmtId="44" fontId="10" fillId="0" borderId="0" xfId="4" applyFont="1"/>
    <xf numFmtId="0" fontId="10" fillId="10" borderId="0" xfId="2" applyFont="1" applyFill="1"/>
    <xf numFmtId="0" fontId="9" fillId="10" borderId="0" xfId="2" applyFont="1" applyFill="1" applyAlignment="1">
      <alignment horizontal="center"/>
    </xf>
    <xf numFmtId="44" fontId="10" fillId="10" borderId="0" xfId="4" applyFont="1" applyFill="1"/>
    <xf numFmtId="44" fontId="9" fillId="10" borderId="0" xfId="4" applyFont="1" applyFill="1"/>
    <xf numFmtId="0" fontId="9" fillId="0" borderId="0" xfId="2" applyFont="1" applyAlignment="1">
      <alignment horizontal="right"/>
    </xf>
    <xf numFmtId="0" fontId="24" fillId="3" borderId="6" xfId="2" applyFont="1" applyFill="1" applyBorder="1"/>
    <xf numFmtId="0" fontId="10" fillId="0" borderId="8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10" fillId="0" borderId="9" xfId="2" applyFont="1" applyBorder="1" applyAlignment="1">
      <alignment horizontal="right"/>
    </xf>
    <xf numFmtId="0" fontId="10" fillId="11" borderId="12" xfId="2" applyFont="1" applyFill="1" applyBorder="1"/>
    <xf numFmtId="164" fontId="10" fillId="0" borderId="11" xfId="2" applyNumberFormat="1" applyFont="1" applyBorder="1" applyAlignment="1">
      <alignment horizontal="center" vertical="center"/>
    </xf>
    <xf numFmtId="0" fontId="10" fillId="0" borderId="10" xfId="2" applyFont="1" applyBorder="1" applyAlignment="1">
      <alignment horizontal="right"/>
    </xf>
    <xf numFmtId="0" fontId="10" fillId="0" borderId="4" xfId="2" applyFont="1" applyBorder="1" applyAlignment="1">
      <alignment wrapText="1"/>
    </xf>
    <xf numFmtId="2" fontId="10" fillId="0" borderId="3" xfId="2" applyNumberFormat="1" applyFont="1" applyBorder="1" applyAlignment="1">
      <alignment horizontal="center"/>
    </xf>
    <xf numFmtId="0" fontId="10" fillId="0" borderId="0" xfId="2" applyFont="1" applyAlignment="1">
      <alignment horizontal="right"/>
    </xf>
    <xf numFmtId="0" fontId="10" fillId="0" borderId="6" xfId="2" applyFont="1" applyBorder="1" applyAlignment="1">
      <alignment horizontal="center"/>
    </xf>
    <xf numFmtId="44" fontId="10" fillId="0" borderId="7" xfId="4" applyFont="1" applyBorder="1" applyAlignment="1">
      <alignment horizontal="center"/>
    </xf>
    <xf numFmtId="44" fontId="10" fillId="0" borderId="8" xfId="4" applyFont="1" applyBorder="1" applyAlignment="1">
      <alignment horizontal="center"/>
    </xf>
    <xf numFmtId="44" fontId="10" fillId="0" borderId="3" xfId="4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44" fontId="10" fillId="0" borderId="10" xfId="4" applyFont="1" applyBorder="1" applyAlignment="1">
      <alignment horizontal="center"/>
    </xf>
    <xf numFmtId="44" fontId="10" fillId="0" borderId="11" xfId="4" applyFont="1" applyBorder="1" applyAlignment="1">
      <alignment horizontal="center"/>
    </xf>
    <xf numFmtId="0" fontId="17" fillId="9" borderId="21" xfId="2" applyFont="1" applyFill="1" applyBorder="1"/>
    <xf numFmtId="0" fontId="10" fillId="0" borderId="20" xfId="2" applyFont="1" applyBorder="1"/>
    <xf numFmtId="44" fontId="9" fillId="0" borderId="8" xfId="4" applyFont="1" applyBorder="1"/>
    <xf numFmtId="0" fontId="9" fillId="0" borderId="10" xfId="2" applyFont="1" applyBorder="1" applyAlignment="1">
      <alignment horizontal="center"/>
    </xf>
    <xf numFmtId="44" fontId="9" fillId="0" borderId="11" xfId="4" applyFont="1" applyBorder="1"/>
    <xf numFmtId="0" fontId="9" fillId="4" borderId="10" xfId="2" applyFont="1" applyFill="1" applyBorder="1" applyAlignment="1">
      <alignment horizontal="center"/>
    </xf>
    <xf numFmtId="0" fontId="29" fillId="3" borderId="12" xfId="7" applyFont="1" applyFill="1" applyBorder="1"/>
    <xf numFmtId="0" fontId="5" fillId="0" borderId="0" xfId="9" applyFont="1"/>
    <xf numFmtId="0" fontId="32" fillId="0" borderId="22" xfId="9" applyFont="1" applyBorder="1" applyAlignment="1">
      <alignment horizontal="center" vertical="center" wrapText="1"/>
    </xf>
    <xf numFmtId="166" fontId="32" fillId="2" borderId="22" xfId="10" applyFont="1" applyFill="1" applyBorder="1" applyAlignment="1">
      <alignment horizontal="center" vertical="center"/>
    </xf>
    <xf numFmtId="0" fontId="32" fillId="13" borderId="22" xfId="9" applyFont="1" applyFill="1" applyBorder="1" applyAlignment="1">
      <alignment horizontal="center" vertical="center" wrapText="1"/>
    </xf>
    <xf numFmtId="167" fontId="32" fillId="14" borderId="22" xfId="10" applyNumberFormat="1" applyFont="1" applyFill="1" applyBorder="1" applyAlignment="1">
      <alignment horizontal="center" vertical="center" wrapText="1"/>
    </xf>
    <xf numFmtId="0" fontId="34" fillId="0" borderId="23" xfId="9" applyFont="1" applyBorder="1" applyAlignment="1">
      <alignment horizontal="center"/>
    </xf>
    <xf numFmtId="167" fontId="36" fillId="2" borderId="22" xfId="10" applyNumberFormat="1" applyFont="1" applyFill="1" applyBorder="1" applyAlignment="1">
      <alignment horizontal="center" vertical="center"/>
    </xf>
    <xf numFmtId="167" fontId="36" fillId="2" borderId="22" xfId="10" applyNumberFormat="1" applyFont="1" applyFill="1" applyBorder="1" applyAlignment="1">
      <alignment horizontal="left" vertical="center"/>
    </xf>
    <xf numFmtId="9" fontId="35" fillId="2" borderId="22" xfId="11" applyFont="1" applyFill="1" applyBorder="1" applyAlignment="1">
      <alignment horizontal="center" vertical="center"/>
    </xf>
    <xf numFmtId="0" fontId="34" fillId="6" borderId="23" xfId="9" applyFont="1" applyFill="1" applyBorder="1" applyAlignment="1">
      <alignment horizontal="center"/>
    </xf>
    <xf numFmtId="2" fontId="5" fillId="6" borderId="22" xfId="9" applyNumberFormat="1" applyFont="1" applyFill="1" applyBorder="1"/>
    <xf numFmtId="9" fontId="35" fillId="6" borderId="22" xfId="11" applyFont="1" applyFill="1" applyBorder="1" applyAlignment="1">
      <alignment horizontal="center" vertical="center"/>
    </xf>
    <xf numFmtId="0" fontId="32" fillId="14" borderId="22" xfId="10" applyNumberFormat="1" applyFont="1" applyFill="1" applyBorder="1" applyAlignment="1">
      <alignment horizontal="center" vertical="center" wrapText="1"/>
    </xf>
    <xf numFmtId="2" fontId="33" fillId="14" borderId="22" xfId="10" applyNumberFormat="1" applyFont="1" applyFill="1" applyBorder="1" applyAlignment="1">
      <alignment horizontal="center" vertical="center" wrapText="1"/>
    </xf>
    <xf numFmtId="167" fontId="32" fillId="2" borderId="22" xfId="10" applyNumberFormat="1" applyFont="1" applyFill="1" applyBorder="1" applyAlignment="1">
      <alignment horizontal="center" vertical="center" wrapText="1"/>
    </xf>
    <xf numFmtId="9" fontId="9" fillId="0" borderId="0" xfId="8" applyFont="1" applyAlignment="1">
      <alignment horizontal="center"/>
    </xf>
    <xf numFmtId="166" fontId="9" fillId="0" borderId="0" xfId="2" applyNumberFormat="1" applyFont="1"/>
    <xf numFmtId="0" fontId="23" fillId="0" borderId="0" xfId="2" applyFont="1"/>
    <xf numFmtId="0" fontId="29" fillId="0" borderId="0" xfId="7" applyFont="1"/>
    <xf numFmtId="0" fontId="29" fillId="0" borderId="0" xfId="7" applyFont="1" applyAlignment="1">
      <alignment horizontal="center"/>
    </xf>
    <xf numFmtId="164" fontId="29" fillId="0" borderId="0" xfId="7" applyNumberFormat="1" applyFont="1" applyAlignment="1">
      <alignment horizontal="center" vertical="center"/>
    </xf>
    <xf numFmtId="164" fontId="6" fillId="0" borderId="0" xfId="7" applyNumberFormat="1" applyFont="1"/>
    <xf numFmtId="0" fontId="6" fillId="0" borderId="0" xfId="7" applyFont="1" applyAlignment="1">
      <alignment horizontal="center"/>
    </xf>
    <xf numFmtId="2" fontId="6" fillId="0" borderId="0" xfId="7" applyNumberFormat="1" applyFont="1" applyAlignment="1">
      <alignment horizontal="center" vertical="center"/>
    </xf>
    <xf numFmtId="2" fontId="29" fillId="0" borderId="0" xfId="7" applyNumberFormat="1" applyFont="1" applyAlignment="1">
      <alignment horizontal="center" vertical="center"/>
    </xf>
    <xf numFmtId="164" fontId="29" fillId="0" borderId="0" xfId="7" applyNumberFormat="1" applyFont="1" applyAlignment="1">
      <alignment horizontal="center"/>
    </xf>
    <xf numFmtId="0" fontId="9" fillId="0" borderId="0" xfId="2" applyFont="1" applyAlignment="1">
      <alignment horizontal="left"/>
    </xf>
    <xf numFmtId="166" fontId="37" fillId="5" borderId="22" xfId="10" applyFont="1" applyFill="1" applyBorder="1" applyAlignment="1">
      <alignment vertical="center"/>
    </xf>
    <xf numFmtId="166" fontId="39" fillId="0" borderId="22" xfId="9" applyNumberFormat="1" applyFont="1" applyBorder="1" applyAlignment="1">
      <alignment horizontal="center"/>
    </xf>
    <xf numFmtId="166" fontId="39" fillId="6" borderId="22" xfId="9" applyNumberFormat="1" applyFont="1" applyFill="1" applyBorder="1" applyAlignment="1">
      <alignment horizontal="center"/>
    </xf>
    <xf numFmtId="0" fontId="40" fillId="6" borderId="22" xfId="11" applyNumberFormat="1" applyFont="1" applyFill="1" applyBorder="1" applyAlignment="1">
      <alignment horizontal="center" vertical="center"/>
    </xf>
    <xf numFmtId="164" fontId="41" fillId="0" borderId="3" xfId="2" applyNumberFormat="1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23" fillId="0" borderId="0" xfId="2" applyFont="1" applyAlignment="1">
      <alignment horizontal="center" vertical="center"/>
    </xf>
    <xf numFmtId="44" fontId="9" fillId="0" borderId="3" xfId="4" applyFont="1" applyBorder="1"/>
    <xf numFmtId="0" fontId="10" fillId="15" borderId="20" xfId="2" applyFont="1" applyFill="1" applyBorder="1"/>
    <xf numFmtId="0" fontId="26" fillId="0" borderId="0" xfId="2" applyFont="1" applyAlignment="1">
      <alignment horizontal="center"/>
    </xf>
    <xf numFmtId="164" fontId="6" fillId="3" borderId="0" xfId="7" applyNumberFormat="1" applyFont="1" applyFill="1" applyAlignment="1">
      <alignment horizontal="center" vertical="center"/>
    </xf>
    <xf numFmtId="0" fontId="10" fillId="5" borderId="0" xfId="2" applyFont="1" applyFill="1" applyAlignment="1">
      <alignment horizontal="right"/>
    </xf>
    <xf numFmtId="44" fontId="10" fillId="5" borderId="0" xfId="2" applyNumberFormat="1" applyFont="1" applyFill="1"/>
    <xf numFmtId="0" fontId="10" fillId="3" borderId="0" xfId="2" applyFont="1" applyFill="1"/>
    <xf numFmtId="166" fontId="9" fillId="0" borderId="0" xfId="0" applyNumberFormat="1" applyFont="1"/>
    <xf numFmtId="44" fontId="9" fillId="0" borderId="0" xfId="1" applyFont="1" applyAlignment="1">
      <alignment horizontal="left"/>
    </xf>
    <xf numFmtId="44" fontId="10" fillId="3" borderId="0" xfId="1" applyFont="1" applyFill="1" applyAlignment="1">
      <alignment horizontal="right"/>
    </xf>
    <xf numFmtId="164" fontId="10" fillId="3" borderId="0" xfId="0" applyNumberFormat="1" applyFont="1" applyFill="1" applyAlignment="1">
      <alignment horizontal="right"/>
    </xf>
    <xf numFmtId="44" fontId="17" fillId="3" borderId="7" xfId="4" applyFont="1" applyFill="1" applyBorder="1"/>
    <xf numFmtId="0" fontId="17" fillId="0" borderId="0" xfId="2" applyFont="1" applyAlignment="1">
      <alignment horizontal="center"/>
    </xf>
    <xf numFmtId="0" fontId="45" fillId="4" borderId="15" xfId="2" applyFont="1" applyFill="1" applyBorder="1"/>
    <xf numFmtId="0" fontId="6" fillId="0" borderId="4" xfId="7" applyFont="1" applyBorder="1"/>
    <xf numFmtId="0" fontId="6" fillId="0" borderId="7" xfId="7" applyFont="1" applyBorder="1"/>
    <xf numFmtId="0" fontId="45" fillId="0" borderId="10" xfId="2" applyFont="1" applyBorder="1"/>
    <xf numFmtId="0" fontId="45" fillId="0" borderId="0" xfId="2" applyFont="1"/>
    <xf numFmtId="44" fontId="9" fillId="3" borderId="0" xfId="4" applyFont="1" applyFill="1"/>
    <xf numFmtId="0" fontId="9" fillId="3" borderId="0" xfId="2" applyFont="1" applyFill="1" applyAlignment="1">
      <alignment horizontal="center"/>
    </xf>
    <xf numFmtId="0" fontId="6" fillId="19" borderId="0" xfId="7" applyFont="1" applyFill="1"/>
    <xf numFmtId="164" fontId="6" fillId="19" borderId="0" xfId="7" applyNumberFormat="1" applyFont="1" applyFill="1" applyAlignment="1">
      <alignment horizontal="center" vertical="center"/>
    </xf>
    <xf numFmtId="164" fontId="6" fillId="19" borderId="0" xfId="7" applyNumberFormat="1" applyFont="1" applyFill="1" applyAlignment="1">
      <alignment horizontal="center"/>
    </xf>
    <xf numFmtId="168" fontId="9" fillId="0" borderId="0" xfId="8" applyNumberFormat="1" applyFont="1"/>
    <xf numFmtId="166" fontId="10" fillId="0" borderId="0" xfId="2" applyNumberFormat="1" applyFont="1"/>
    <xf numFmtId="0" fontId="46" fillId="0" borderId="0" xfId="0" applyFont="1" applyAlignment="1">
      <alignment horizontal="center"/>
    </xf>
    <xf numFmtId="164" fontId="24" fillId="0" borderId="0" xfId="1" applyNumberFormat="1" applyFont="1"/>
    <xf numFmtId="0" fontId="9" fillId="0" borderId="0" xfId="0" applyFont="1" applyAlignment="1">
      <alignment horizontal="center" vertical="center"/>
    </xf>
    <xf numFmtId="164" fontId="9" fillId="0" borderId="0" xfId="1" applyNumberFormat="1" applyFont="1" applyAlignment="1">
      <alignment horizontal="center"/>
    </xf>
    <xf numFmtId="44" fontId="40" fillId="12" borderId="22" xfId="11" applyNumberFormat="1" applyFont="1" applyFill="1" applyBorder="1" applyAlignment="1">
      <alignment horizontal="center" vertical="center"/>
    </xf>
    <xf numFmtId="2" fontId="26" fillId="3" borderId="0" xfId="8" applyNumberFormat="1" applyFont="1" applyFill="1"/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0" fillId="0" borderId="4" xfId="2" applyFont="1" applyBorder="1" applyAlignment="1">
      <alignment horizontal="right"/>
    </xf>
    <xf numFmtId="0" fontId="4" fillId="0" borderId="0" xfId="13" applyFont="1" applyAlignment="1">
      <alignment horizontal="center" vertical="center"/>
    </xf>
    <xf numFmtId="0" fontId="4" fillId="0" borderId="0" xfId="13" applyFont="1"/>
    <xf numFmtId="44" fontId="10" fillId="3" borderId="0" xfId="4" applyFont="1" applyFill="1"/>
    <xf numFmtId="0" fontId="4" fillId="0" borderId="0" xfId="13" applyFont="1" applyAlignment="1">
      <alignment horizontal="center"/>
    </xf>
    <xf numFmtId="0" fontId="30" fillId="21" borderId="0" xfId="13" applyFont="1" applyFill="1"/>
    <xf numFmtId="0" fontId="4" fillId="21" borderId="0" xfId="13" applyFont="1" applyFill="1" applyAlignment="1">
      <alignment horizontal="center" vertical="center"/>
    </xf>
    <xf numFmtId="0" fontId="4" fillId="21" borderId="0" xfId="13" applyFont="1" applyFill="1" applyAlignment="1">
      <alignment horizontal="center"/>
    </xf>
    <xf numFmtId="2" fontId="4" fillId="0" borderId="0" xfId="13" applyNumberFormat="1" applyFont="1" applyAlignment="1">
      <alignment horizontal="center" vertical="center"/>
    </xf>
    <xf numFmtId="0" fontId="30" fillId="22" borderId="0" xfId="13" applyFont="1" applyFill="1"/>
    <xf numFmtId="0" fontId="29" fillId="22" borderId="0" xfId="13" applyFont="1" applyFill="1" applyAlignment="1">
      <alignment horizontal="center"/>
    </xf>
    <xf numFmtId="164" fontId="29" fillId="22" borderId="0" xfId="7" applyNumberFormat="1" applyFont="1" applyFill="1" applyAlignment="1">
      <alignment horizontal="center" vertical="center"/>
    </xf>
    <xf numFmtId="0" fontId="29" fillId="22" borderId="0" xfId="13" applyFont="1" applyFill="1" applyAlignment="1">
      <alignment horizontal="center" vertical="center"/>
    </xf>
    <xf numFmtId="2" fontId="4" fillId="0" borderId="0" xfId="13" applyNumberFormat="1" applyFont="1" applyAlignment="1">
      <alignment horizontal="center"/>
    </xf>
    <xf numFmtId="0" fontId="28" fillId="0" borderId="0" xfId="7" applyFont="1"/>
    <xf numFmtId="2" fontId="5" fillId="0" borderId="22" xfId="9" applyNumberFormat="1" applyFont="1" applyBorder="1" applyAlignment="1">
      <alignment horizontal="center"/>
    </xf>
    <xf numFmtId="2" fontId="5" fillId="6" borderId="22" xfId="9" applyNumberFormat="1" applyFont="1" applyFill="1" applyBorder="1" applyAlignment="1">
      <alignment horizontal="center"/>
    </xf>
    <xf numFmtId="0" fontId="32" fillId="3" borderId="22" xfId="9" applyFont="1" applyFill="1" applyBorder="1" applyAlignment="1">
      <alignment horizontal="center" vertical="center" wrapText="1"/>
    </xf>
    <xf numFmtId="164" fontId="22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0" fontId="45" fillId="20" borderId="0" xfId="2" applyFont="1" applyFill="1" applyAlignment="1">
      <alignment horizontal="center"/>
    </xf>
    <xf numFmtId="0" fontId="41" fillId="5" borderId="4" xfId="2" applyFont="1" applyFill="1" applyBorder="1" applyAlignment="1">
      <alignment horizontal="right"/>
    </xf>
    <xf numFmtId="0" fontId="41" fillId="3" borderId="0" xfId="2" applyFont="1" applyFill="1" applyAlignment="1">
      <alignment horizontal="center" vertical="center"/>
    </xf>
    <xf numFmtId="0" fontId="42" fillId="0" borderId="0" xfId="2" applyFont="1" applyAlignment="1">
      <alignment horizontal="center" vertical="center"/>
    </xf>
    <xf numFmtId="0" fontId="41" fillId="0" borderId="7" xfId="2" applyFont="1" applyBorder="1" applyAlignment="1">
      <alignment horizontal="center" vertical="center"/>
    </xf>
    <xf numFmtId="0" fontId="41" fillId="0" borderId="3" xfId="2" applyFont="1" applyBorder="1" applyAlignment="1">
      <alignment horizontal="center" vertical="center"/>
    </xf>
    <xf numFmtId="0" fontId="41" fillId="5" borderId="6" xfId="2" applyFont="1" applyFill="1" applyBorder="1" applyAlignment="1">
      <alignment horizontal="right"/>
    </xf>
    <xf numFmtId="0" fontId="41" fillId="0" borderId="8" xfId="2" applyFont="1" applyBorder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41" fillId="0" borderId="0" xfId="2" applyFont="1" applyAlignment="1">
      <alignment horizontal="center"/>
    </xf>
    <xf numFmtId="44" fontId="10" fillId="0" borderId="7" xfId="4" applyFont="1" applyBorder="1"/>
    <xf numFmtId="44" fontId="10" fillId="0" borderId="10" xfId="4" applyFont="1" applyBorder="1"/>
    <xf numFmtId="0" fontId="34" fillId="0" borderId="0" xfId="9" applyFont="1" applyAlignment="1">
      <alignment horizontal="center"/>
    </xf>
    <xf numFmtId="166" fontId="48" fillId="17" borderId="22" xfId="9" applyNumberFormat="1" applyFont="1" applyFill="1" applyBorder="1" applyAlignment="1">
      <alignment horizontal="center"/>
    </xf>
    <xf numFmtId="0" fontId="34" fillId="5" borderId="23" xfId="9" applyFont="1" applyFill="1" applyBorder="1" applyAlignment="1">
      <alignment horizontal="center"/>
    </xf>
    <xf numFmtId="0" fontId="34" fillId="24" borderId="23" xfId="9" applyFont="1" applyFill="1" applyBorder="1" applyAlignment="1">
      <alignment horizontal="center"/>
    </xf>
    <xf numFmtId="0" fontId="34" fillId="24" borderId="0" xfId="9" applyFont="1" applyFill="1" applyAlignment="1">
      <alignment horizontal="center"/>
    </xf>
    <xf numFmtId="164" fontId="6" fillId="23" borderId="0" xfId="7" applyNumberFormat="1" applyFont="1" applyFill="1" applyAlignment="1">
      <alignment horizontal="center" vertical="center"/>
    </xf>
    <xf numFmtId="0" fontId="10" fillId="25" borderId="0" xfId="2" applyFont="1" applyFill="1"/>
    <xf numFmtId="44" fontId="35" fillId="12" borderId="22" xfId="11" applyNumberFormat="1" applyFont="1" applyFill="1" applyBorder="1" applyAlignment="1">
      <alignment horizontal="center" vertical="center"/>
    </xf>
    <xf numFmtId="0" fontId="48" fillId="0" borderId="0" xfId="0" applyFont="1"/>
    <xf numFmtId="0" fontId="48" fillId="9" borderId="0" xfId="0" applyFont="1" applyFill="1"/>
    <xf numFmtId="0" fontId="34" fillId="0" borderId="0" xfId="0" applyFont="1" applyAlignment="1">
      <alignment horizontal="center"/>
    </xf>
    <xf numFmtId="0" fontId="34" fillId="0" borderId="19" xfId="0" applyFont="1" applyBorder="1" applyAlignment="1">
      <alignment horizontal="center"/>
    </xf>
    <xf numFmtId="0" fontId="34" fillId="0" borderId="26" xfId="9" applyFont="1" applyBorder="1" applyAlignment="1">
      <alignment horizontal="center"/>
    </xf>
    <xf numFmtId="0" fontId="5" fillId="16" borderId="0" xfId="9" applyFont="1" applyFill="1"/>
    <xf numFmtId="0" fontId="0" fillId="0" borderId="0" xfId="0" applyAlignment="1">
      <alignment horizontal="center" vertical="center"/>
    </xf>
    <xf numFmtId="0" fontId="0" fillId="26" borderId="0" xfId="0" applyFill="1"/>
    <xf numFmtId="44" fontId="0" fillId="0" borderId="0" xfId="1" applyFont="1" applyAlignment="1">
      <alignment horizontal="center" vertical="center"/>
    </xf>
    <xf numFmtId="164" fontId="6" fillId="24" borderId="0" xfId="7" applyNumberFormat="1" applyFont="1" applyFill="1" applyAlignment="1">
      <alignment horizontal="center" vertical="center"/>
    </xf>
    <xf numFmtId="167" fontId="32" fillId="0" borderId="26" xfId="10" applyNumberFormat="1" applyFont="1" applyBorder="1" applyAlignment="1">
      <alignment horizontal="center" vertical="center" wrapText="1"/>
    </xf>
    <xf numFmtId="167" fontId="32" fillId="0" borderId="0" xfId="10" applyNumberFormat="1" applyFont="1" applyAlignment="1">
      <alignment horizontal="center" vertical="center" wrapText="1"/>
    </xf>
    <xf numFmtId="0" fontId="50" fillId="0" borderId="0" xfId="13" applyFont="1"/>
    <xf numFmtId="0" fontId="51" fillId="22" borderId="0" xfId="13" applyFont="1" applyFill="1"/>
    <xf numFmtId="0" fontId="0" fillId="0" borderId="0" xfId="0" applyAlignment="1">
      <alignment horizontal="center"/>
    </xf>
    <xf numFmtId="0" fontId="45" fillId="4" borderId="21" xfId="2" applyFont="1" applyFill="1" applyBorder="1"/>
    <xf numFmtId="44" fontId="10" fillId="0" borderId="0" xfId="4" applyFont="1" applyAlignment="1">
      <alignment horizontal="right"/>
    </xf>
    <xf numFmtId="44" fontId="9" fillId="0" borderId="0" xfId="4" applyFont="1" applyAlignment="1">
      <alignment horizontal="right"/>
    </xf>
    <xf numFmtId="10" fontId="9" fillId="0" borderId="0" xfId="8" applyNumberFormat="1" applyFont="1"/>
    <xf numFmtId="44" fontId="17" fillId="0" borderId="0" xfId="4" applyFont="1" applyAlignment="1">
      <alignment horizontal="center"/>
    </xf>
    <xf numFmtId="44" fontId="17" fillId="0" borderId="0" xfId="4" applyFont="1" applyAlignment="1">
      <alignment horizontal="left"/>
    </xf>
    <xf numFmtId="10" fontId="26" fillId="0" borderId="0" xfId="2" applyNumberFormat="1" applyFont="1" applyAlignment="1">
      <alignment horizontal="center"/>
    </xf>
    <xf numFmtId="44" fontId="49" fillId="16" borderId="0" xfId="4" applyFont="1" applyFill="1"/>
    <xf numFmtId="168" fontId="9" fillId="3" borderId="0" xfId="8" applyNumberFormat="1" applyFont="1" applyFill="1"/>
    <xf numFmtId="168" fontId="9" fillId="3" borderId="0" xfId="8" applyNumberFormat="1" applyFont="1" applyFill="1" applyAlignment="1">
      <alignment horizontal="right"/>
    </xf>
    <xf numFmtId="2" fontId="9" fillId="0" borderId="0" xfId="2" applyNumberFormat="1" applyFont="1"/>
    <xf numFmtId="164" fontId="49" fillId="18" borderId="0" xfId="1" applyNumberFormat="1" applyFont="1" applyFill="1" applyAlignment="1">
      <alignment horizontal="center" vertical="center"/>
    </xf>
    <xf numFmtId="44" fontId="9" fillId="0" borderId="0" xfId="1" applyFont="1" applyAlignment="1">
      <alignment horizontal="center"/>
    </xf>
    <xf numFmtId="44" fontId="9" fillId="0" borderId="0" xfId="8" applyNumberFormat="1" applyFont="1" applyAlignment="1">
      <alignment horizontal="center"/>
    </xf>
    <xf numFmtId="10" fontId="9" fillId="0" borderId="0" xfId="8" applyNumberFormat="1" applyFont="1" applyAlignment="1">
      <alignment horizontal="left" indent="1"/>
    </xf>
    <xf numFmtId="0" fontId="12" fillId="0" borderId="0" xfId="0" applyFont="1" applyAlignment="1">
      <alignment horizontal="left" vertical="center"/>
    </xf>
    <xf numFmtId="0" fontId="7" fillId="0" borderId="0" xfId="6" applyFont="1"/>
    <xf numFmtId="0" fontId="30" fillId="3" borderId="0" xfId="6" applyFont="1" applyFill="1"/>
    <xf numFmtId="164" fontId="7" fillId="0" borderId="0" xfId="6" applyNumberFormat="1" applyFont="1"/>
    <xf numFmtId="0" fontId="30" fillId="9" borderId="0" xfId="6" applyFont="1" applyFill="1"/>
    <xf numFmtId="0" fontId="7" fillId="0" borderId="0" xfId="6" applyFont="1" applyAlignment="1">
      <alignment horizontal="center"/>
    </xf>
    <xf numFmtId="44" fontId="13" fillId="0" borderId="0" xfId="1" applyFont="1"/>
    <xf numFmtId="0" fontId="0" fillId="4" borderId="0" xfId="0" applyFill="1"/>
    <xf numFmtId="0" fontId="53" fillId="27" borderId="0" xfId="0" applyFont="1" applyFill="1" applyAlignment="1">
      <alignment vertical="center"/>
    </xf>
    <xf numFmtId="0" fontId="51" fillId="3" borderId="0" xfId="13" applyFont="1" applyFill="1"/>
    <xf numFmtId="2" fontId="9" fillId="0" borderId="0" xfId="2" applyNumberFormat="1" applyFont="1" applyAlignment="1">
      <alignment horizontal="center"/>
    </xf>
    <xf numFmtId="164" fontId="7" fillId="4" borderId="0" xfId="6" applyNumberFormat="1" applyFont="1" applyFill="1"/>
    <xf numFmtId="0" fontId="7" fillId="2" borderId="0" xfId="6" applyFont="1" applyFill="1"/>
    <xf numFmtId="0" fontId="6" fillId="0" borderId="0" xfId="7" applyFont="1" applyAlignment="1">
      <alignment horizontal="right"/>
    </xf>
    <xf numFmtId="2" fontId="6" fillId="30" borderId="0" xfId="7" applyNumberFormat="1" applyFont="1" applyFill="1" applyAlignment="1">
      <alignment horizontal="center"/>
    </xf>
    <xf numFmtId="0" fontId="6" fillId="30" borderId="0" xfId="7" applyFont="1" applyFill="1" applyAlignment="1">
      <alignment horizontal="center"/>
    </xf>
    <xf numFmtId="0" fontId="6" fillId="3" borderId="0" xfId="7" applyFont="1" applyFill="1" applyAlignment="1">
      <alignment horizontal="center"/>
    </xf>
    <xf numFmtId="0" fontId="6" fillId="0" borderId="0" xfId="7" applyFont="1" applyAlignment="1">
      <alignment vertical="center"/>
    </xf>
    <xf numFmtId="0" fontId="29" fillId="0" borderId="0" xfId="7" applyFont="1" applyAlignment="1">
      <alignment horizontal="right" vertical="center"/>
    </xf>
    <xf numFmtId="0" fontId="6" fillId="0" borderId="0" xfId="7" applyFont="1" applyAlignment="1">
      <alignment horizontal="center" vertical="center"/>
    </xf>
    <xf numFmtId="164" fontId="29" fillId="0" borderId="0" xfId="7" applyNumberFormat="1" applyFont="1" applyAlignment="1">
      <alignment horizontal="center" vertical="center" wrapText="1"/>
    </xf>
    <xf numFmtId="0" fontId="29" fillId="0" borderId="0" xfId="7" applyFont="1" applyAlignment="1">
      <alignment horizontal="center" vertical="center" wrapText="1"/>
    </xf>
    <xf numFmtId="2" fontId="6" fillId="3" borderId="0" xfId="7" applyNumberFormat="1" applyFont="1" applyFill="1" applyAlignment="1">
      <alignment horizontal="center"/>
    </xf>
    <xf numFmtId="2" fontId="6" fillId="11" borderId="0" xfId="7" applyNumberFormat="1" applyFont="1" applyFill="1" applyAlignment="1">
      <alignment horizontal="center"/>
    </xf>
    <xf numFmtId="2" fontId="6" fillId="0" borderId="0" xfId="7" applyNumberFormat="1" applyFont="1"/>
    <xf numFmtId="2" fontId="6" fillId="0" borderId="0" xfId="7" applyNumberFormat="1" applyFont="1" applyAlignment="1">
      <alignment horizontal="center"/>
    </xf>
    <xf numFmtId="2" fontId="54" fillId="11" borderId="0" xfId="7" applyNumberFormat="1" applyFont="1" applyFill="1" applyAlignment="1">
      <alignment horizontal="center"/>
    </xf>
    <xf numFmtId="0" fontId="29" fillId="0" borderId="0" xfId="7" applyFont="1" applyAlignment="1">
      <alignment horizontal="center" vertical="center"/>
    </xf>
    <xf numFmtId="2" fontId="30" fillId="0" borderId="15" xfId="7" applyNumberFormat="1" applyFont="1" applyBorder="1" applyAlignment="1">
      <alignment horizontal="center"/>
    </xf>
    <xf numFmtId="2" fontId="55" fillId="0" borderId="15" xfId="7" applyNumberFormat="1" applyFont="1" applyBorder="1" applyAlignment="1">
      <alignment horizontal="center"/>
    </xf>
    <xf numFmtId="164" fontId="6" fillId="3" borderId="0" xfId="7" applyNumberFormat="1" applyFont="1" applyFill="1" applyAlignment="1">
      <alignment horizontal="center"/>
    </xf>
    <xf numFmtId="164" fontId="29" fillId="0" borderId="0" xfId="7" applyNumberFormat="1" applyFont="1" applyAlignment="1">
      <alignment horizontal="right"/>
    </xf>
    <xf numFmtId="0" fontId="6" fillId="19" borderId="0" xfId="7" applyFont="1" applyFill="1" applyAlignment="1">
      <alignment horizontal="right"/>
    </xf>
    <xf numFmtId="0" fontId="7" fillId="0" borderId="0" xfId="6" applyFont="1" applyAlignment="1">
      <alignment horizontal="center" vertical="center"/>
    </xf>
    <xf numFmtId="0" fontId="30" fillId="9" borderId="0" xfId="7" applyFont="1" applyFill="1" applyAlignment="1">
      <alignment horizontal="center" vertical="center"/>
    </xf>
    <xf numFmtId="0" fontId="29" fillId="0" borderId="15" xfId="6" applyFont="1" applyBorder="1" applyAlignment="1">
      <alignment horizontal="center" vertical="center"/>
    </xf>
    <xf numFmtId="0" fontId="6" fillId="3" borderId="0" xfId="7" applyFont="1" applyFill="1"/>
    <xf numFmtId="0" fontId="6" fillId="9" borderId="0" xfId="7" applyFont="1" applyFill="1" applyAlignment="1">
      <alignment horizontal="center"/>
    </xf>
    <xf numFmtId="164" fontId="6" fillId="9" borderId="0" xfId="7" applyNumberFormat="1" applyFont="1" applyFill="1" applyAlignment="1">
      <alignment horizontal="center" vertical="center"/>
    </xf>
    <xf numFmtId="0" fontId="6" fillId="11" borderId="0" xfId="7" applyFont="1" applyFill="1"/>
    <xf numFmtId="2" fontId="7" fillId="0" borderId="0" xfId="6" applyNumberFormat="1" applyFont="1"/>
    <xf numFmtId="164" fontId="29" fillId="0" borderId="15" xfId="7" applyNumberFormat="1" applyFont="1" applyBorder="1"/>
    <xf numFmtId="0" fontId="6" fillId="0" borderId="20" xfId="7" applyFont="1" applyBorder="1"/>
    <xf numFmtId="164" fontId="6" fillId="0" borderId="20" xfId="7" applyNumberFormat="1" applyFont="1" applyBorder="1"/>
    <xf numFmtId="164" fontId="6" fillId="0" borderId="27" xfId="7" applyNumberFormat="1" applyFont="1" applyBorder="1"/>
    <xf numFmtId="164" fontId="6" fillId="0" borderId="10" xfId="7" applyNumberFormat="1" applyFont="1" applyBorder="1" applyAlignment="1">
      <alignment horizontal="center" vertical="center"/>
    </xf>
    <xf numFmtId="0" fontId="6" fillId="9" borderId="0" xfId="7" applyFont="1" applyFill="1"/>
    <xf numFmtId="0" fontId="6" fillId="9" borderId="3" xfId="7" applyFont="1" applyFill="1" applyBorder="1"/>
    <xf numFmtId="164" fontId="6" fillId="9" borderId="20" xfId="7" applyNumberFormat="1" applyFont="1" applyFill="1" applyBorder="1" applyAlignment="1">
      <alignment horizontal="center" vertical="center"/>
    </xf>
    <xf numFmtId="164" fontId="6" fillId="9" borderId="21" xfId="7" applyNumberFormat="1" applyFont="1" applyFill="1" applyBorder="1" applyAlignment="1">
      <alignment horizontal="center" vertical="center"/>
    </xf>
    <xf numFmtId="0" fontId="30" fillId="9" borderId="10" xfId="7" applyFont="1" applyFill="1" applyBorder="1"/>
    <xf numFmtId="0" fontId="6" fillId="9" borderId="10" xfId="7" applyFont="1" applyFill="1" applyBorder="1" applyAlignment="1">
      <alignment horizontal="center"/>
    </xf>
    <xf numFmtId="0" fontId="6" fillId="9" borderId="11" xfId="7" applyFont="1" applyFill="1" applyBorder="1" applyAlignment="1">
      <alignment horizontal="center"/>
    </xf>
    <xf numFmtId="164" fontId="6" fillId="9" borderId="27" xfId="7" applyNumberFormat="1" applyFont="1" applyFill="1" applyBorder="1" applyAlignment="1">
      <alignment horizontal="center" vertical="center"/>
    </xf>
    <xf numFmtId="164" fontId="6" fillId="0" borderId="4" xfId="7" applyNumberFormat="1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164" fontId="6" fillId="16" borderId="20" xfId="7" applyNumberFormat="1" applyFont="1" applyFill="1" applyBorder="1" applyAlignment="1">
      <alignment horizontal="center" vertical="center"/>
    </xf>
    <xf numFmtId="164" fontId="6" fillId="0" borderId="8" xfId="7" applyNumberFormat="1" applyFont="1" applyBorder="1" applyAlignment="1">
      <alignment horizontal="center" vertical="center"/>
    </xf>
    <xf numFmtId="164" fontId="6" fillId="0" borderId="3" xfId="7" applyNumberFormat="1" applyFont="1" applyBorder="1" applyAlignment="1">
      <alignment horizontal="center" vertical="center"/>
    </xf>
    <xf numFmtId="164" fontId="6" fillId="0" borderId="20" xfId="7" applyNumberFormat="1" applyFont="1" applyBorder="1" applyAlignment="1">
      <alignment horizontal="center" vertical="center"/>
    </xf>
    <xf numFmtId="164" fontId="6" fillId="3" borderId="20" xfId="7" applyNumberFormat="1" applyFont="1" applyFill="1" applyBorder="1" applyAlignment="1">
      <alignment horizontal="center" vertical="center"/>
    </xf>
    <xf numFmtId="164" fontId="6" fillId="0" borderId="27" xfId="7" applyNumberFormat="1" applyFont="1" applyBorder="1" applyAlignment="1">
      <alignment horizontal="center" vertical="center"/>
    </xf>
    <xf numFmtId="44" fontId="9" fillId="0" borderId="0" xfId="1" applyFont="1" applyAlignment="1">
      <alignment horizontal="right"/>
    </xf>
    <xf numFmtId="0" fontId="41" fillId="2" borderId="15" xfId="2" applyFont="1" applyFill="1" applyBorder="1"/>
    <xf numFmtId="0" fontId="56" fillId="0" borderId="0" xfId="2" applyFont="1" applyAlignment="1">
      <alignment horizontal="center"/>
    </xf>
    <xf numFmtId="44" fontId="56" fillId="0" borderId="0" xfId="4" applyFont="1"/>
    <xf numFmtId="0" fontId="41" fillId="25" borderId="0" xfId="2" applyFont="1" applyFill="1"/>
    <xf numFmtId="0" fontId="56" fillId="0" borderId="0" xfId="2" applyFont="1"/>
    <xf numFmtId="2" fontId="56" fillId="0" borderId="0" xfId="2" applyNumberFormat="1" applyFont="1" applyAlignment="1">
      <alignment horizontal="center"/>
    </xf>
    <xf numFmtId="44" fontId="9" fillId="0" borderId="0" xfId="4" applyFont="1" applyAlignment="1">
      <alignment horizontal="right" indent="1"/>
    </xf>
    <xf numFmtId="2" fontId="9" fillId="0" borderId="0" xfId="4" applyNumberFormat="1" applyFont="1" applyAlignment="1">
      <alignment horizontal="center"/>
    </xf>
    <xf numFmtId="44" fontId="9" fillId="16" borderId="0" xfId="4" applyFont="1" applyFill="1" applyAlignment="1">
      <alignment horizontal="center"/>
    </xf>
    <xf numFmtId="0" fontId="9" fillId="0" borderId="7" xfId="0" applyFont="1" applyBorder="1"/>
    <xf numFmtId="0" fontId="11" fillId="5" borderId="4" xfId="0" applyFont="1" applyFill="1" applyBorder="1" applyAlignment="1">
      <alignment horizontal="right"/>
    </xf>
    <xf numFmtId="0" fontId="9" fillId="28" borderId="0" xfId="2" applyFont="1" applyFill="1" applyAlignment="1">
      <alignment horizontal="center"/>
    </xf>
    <xf numFmtId="164" fontId="7" fillId="28" borderId="0" xfId="6" applyNumberFormat="1" applyFont="1" applyFill="1"/>
    <xf numFmtId="44" fontId="9" fillId="28" borderId="0" xfId="4" applyFont="1" applyFill="1"/>
    <xf numFmtId="2" fontId="9" fillId="3" borderId="3" xfId="1" applyNumberFormat="1" applyFont="1" applyFill="1" applyBorder="1"/>
    <xf numFmtId="2" fontId="9" fillId="0" borderId="0" xfId="1" applyNumberFormat="1" applyFont="1"/>
    <xf numFmtId="0" fontId="0" fillId="0" borderId="0" xfId="0" applyAlignment="1">
      <alignment wrapText="1"/>
    </xf>
    <xf numFmtId="0" fontId="7" fillId="28" borderId="0" xfId="6" applyFont="1" applyFill="1"/>
    <xf numFmtId="0" fontId="3" fillId="0" borderId="0" xfId="6" applyFont="1" applyAlignment="1">
      <alignment horizontal="center"/>
    </xf>
    <xf numFmtId="0" fontId="3" fillId="0" borderId="0" xfId="6" applyFont="1"/>
    <xf numFmtId="0" fontId="3" fillId="28" borderId="0" xfId="6" applyFont="1" applyFill="1"/>
    <xf numFmtId="0" fontId="9" fillId="28" borderId="0" xfId="2" applyFont="1" applyFill="1"/>
    <xf numFmtId="0" fontId="3" fillId="0" borderId="0" xfId="6" applyFont="1" applyAlignment="1">
      <alignment wrapText="1"/>
    </xf>
    <xf numFmtId="0" fontId="3" fillId="29" borderId="0" xfId="6" applyFont="1" applyFill="1"/>
    <xf numFmtId="0" fontId="3" fillId="0" borderId="0" xfId="7" applyFont="1" applyAlignment="1">
      <alignment horizontal="right"/>
    </xf>
    <xf numFmtId="2" fontId="3" fillId="30" borderId="0" xfId="7" applyNumberFormat="1" applyFont="1" applyFill="1" applyAlignment="1">
      <alignment horizontal="center"/>
    </xf>
    <xf numFmtId="9" fontId="3" fillId="0" borderId="0" xfId="5" applyFont="1" applyAlignment="1">
      <alignment horizontal="center"/>
    </xf>
    <xf numFmtId="164" fontId="3" fillId="0" borderId="0" xfId="7" applyNumberFormat="1" applyFont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2" fontId="3" fillId="3" borderId="0" xfId="5" applyNumberFormat="1" applyFont="1" applyFill="1" applyAlignment="1">
      <alignment horizontal="center" vertical="center"/>
    </xf>
    <xf numFmtId="2" fontId="3" fillId="0" borderId="0" xfId="5" applyNumberFormat="1" applyFont="1" applyAlignment="1">
      <alignment horizontal="center" vertical="center"/>
    </xf>
    <xf numFmtId="0" fontId="3" fillId="0" borderId="0" xfId="6" applyFont="1" applyAlignment="1">
      <alignment horizontal="center" vertical="center" wrapText="1"/>
    </xf>
    <xf numFmtId="0" fontId="3" fillId="0" borderId="0" xfId="6" applyFont="1" applyAlignment="1">
      <alignment horizontal="center" vertical="center"/>
    </xf>
    <xf numFmtId="164" fontId="3" fillId="0" borderId="0" xfId="7" applyNumberFormat="1" applyFont="1" applyAlignment="1">
      <alignment horizontal="center" vertical="center"/>
    </xf>
    <xf numFmtId="164" fontId="3" fillId="24" borderId="0" xfId="7" applyNumberFormat="1" applyFont="1" applyFill="1" applyAlignment="1">
      <alignment horizontal="center" vertical="center"/>
    </xf>
    <xf numFmtId="0" fontId="3" fillId="0" borderId="0" xfId="7" applyFont="1" applyAlignment="1">
      <alignment horizontal="center"/>
    </xf>
    <xf numFmtId="0" fontId="3" fillId="0" borderId="0" xfId="13" applyFont="1" applyAlignment="1">
      <alignment horizontal="center" vertical="center"/>
    </xf>
    <xf numFmtId="2" fontId="3" fillId="0" borderId="0" xfId="8" applyNumberFormat="1" applyFont="1" applyAlignment="1">
      <alignment horizontal="center" vertical="center"/>
    </xf>
    <xf numFmtId="0" fontId="3" fillId="19" borderId="0" xfId="7" applyFont="1" applyFill="1" applyAlignment="1">
      <alignment horizontal="right"/>
    </xf>
    <xf numFmtId="0" fontId="3" fillId="0" borderId="0" xfId="7" applyFont="1"/>
    <xf numFmtId="0" fontId="3" fillId="3" borderId="0" xfId="7" applyFont="1" applyFill="1" applyAlignment="1">
      <alignment horizontal="center"/>
    </xf>
    <xf numFmtId="44" fontId="3" fillId="0" borderId="0" xfId="1" applyFont="1"/>
    <xf numFmtId="2" fontId="3" fillId="0" borderId="22" xfId="9" applyNumberFormat="1" applyFont="1" applyBorder="1" applyAlignment="1">
      <alignment horizontal="center"/>
    </xf>
    <xf numFmtId="0" fontId="9" fillId="4" borderId="0" xfId="2" applyFont="1" applyFill="1" applyAlignment="1">
      <alignment horizontal="center"/>
    </xf>
    <xf numFmtId="0" fontId="10" fillId="9" borderId="21" xfId="2" applyFont="1" applyFill="1" applyBorder="1"/>
    <xf numFmtId="44" fontId="13" fillId="0" borderId="0" xfId="1" applyFont="1" applyAlignment="1">
      <alignment horizontal="left" vertical="center" indent="1"/>
    </xf>
    <xf numFmtId="44" fontId="12" fillId="0" borderId="0" xfId="0" applyNumberFormat="1" applyFont="1"/>
    <xf numFmtId="0" fontId="12" fillId="0" borderId="0" xfId="0" applyFont="1" applyAlignment="1">
      <alignment vertical="center"/>
    </xf>
    <xf numFmtId="0" fontId="11" fillId="0" borderId="0" xfId="0" applyFont="1" applyAlignment="1">
      <alignment horizontal="right"/>
    </xf>
    <xf numFmtId="0" fontId="2" fillId="0" borderId="0" xfId="6" applyFont="1"/>
    <xf numFmtId="0" fontId="2" fillId="0" borderId="0" xfId="6" applyFont="1" applyAlignment="1">
      <alignment wrapText="1"/>
    </xf>
    <xf numFmtId="0" fontId="2" fillId="0" borderId="0" xfId="6" applyFont="1" applyAlignment="1">
      <alignment horizontal="center"/>
    </xf>
    <xf numFmtId="0" fontId="2" fillId="28" borderId="0" xfId="6" applyFont="1" applyFill="1" applyAlignment="1">
      <alignment wrapText="1"/>
    </xf>
    <xf numFmtId="0" fontId="2" fillId="28" borderId="0" xfId="6" applyFont="1" applyFill="1" applyAlignment="1">
      <alignment horizontal="center"/>
    </xf>
    <xf numFmtId="0" fontId="13" fillId="0" borderId="0" xfId="0" applyFont="1" applyAlignment="1">
      <alignment horizontal="center"/>
    </xf>
    <xf numFmtId="0" fontId="2" fillId="28" borderId="0" xfId="6" applyFont="1" applyFill="1"/>
    <xf numFmtId="0" fontId="7" fillId="28" borderId="0" xfId="6" applyFont="1" applyFill="1" applyAlignment="1">
      <alignment horizontal="center"/>
    </xf>
    <xf numFmtId="44" fontId="9" fillId="0" borderId="11" xfId="1" applyFont="1" applyBorder="1" applyAlignment="1">
      <alignment horizontal="left"/>
    </xf>
    <xf numFmtId="0" fontId="1" fillId="0" borderId="0" xfId="6" applyFont="1" applyAlignment="1">
      <alignment horizontal="center"/>
    </xf>
    <xf numFmtId="0" fontId="1" fillId="0" borderId="0" xfId="6" applyFont="1"/>
    <xf numFmtId="0" fontId="1" fillId="0" borderId="0" xfId="6" applyFont="1" applyAlignment="1">
      <alignment wrapText="1"/>
    </xf>
    <xf numFmtId="0" fontId="1" fillId="28" borderId="0" xfId="6" applyFont="1" applyFill="1"/>
    <xf numFmtId="0" fontId="10" fillId="28" borderId="0" xfId="2" applyFont="1" applyFill="1" applyAlignment="1">
      <alignment horizontal="center"/>
    </xf>
    <xf numFmtId="0" fontId="0" fillId="28" borderId="0" xfId="0" applyFill="1"/>
    <xf numFmtId="0" fontId="1" fillId="28" borderId="0" xfId="6" applyFont="1" applyFill="1" applyAlignment="1">
      <alignment horizontal="center"/>
    </xf>
    <xf numFmtId="0" fontId="0" fillId="28" borderId="0" xfId="0" applyFill="1" applyAlignment="1">
      <alignment horizontal="center"/>
    </xf>
    <xf numFmtId="0" fontId="1" fillId="28" borderId="0" xfId="6" applyFont="1" applyFill="1" applyAlignment="1">
      <alignment wrapText="1"/>
    </xf>
    <xf numFmtId="44" fontId="9" fillId="28" borderId="0" xfId="4" applyFont="1" applyFill="1" applyAlignment="1">
      <alignment horizontal="right" indent="1"/>
    </xf>
    <xf numFmtId="44" fontId="10" fillId="0" borderId="0" xfId="1" applyFont="1" applyAlignment="1">
      <alignment horizontal="right"/>
    </xf>
    <xf numFmtId="9" fontId="9" fillId="0" borderId="0" xfId="5" applyFont="1" applyAlignment="1">
      <alignment horizontal="center"/>
    </xf>
    <xf numFmtId="2" fontId="9" fillId="0" borderId="0" xfId="3" applyNumberFormat="1" applyFont="1" applyAlignment="1">
      <alignment horizontal="center"/>
    </xf>
    <xf numFmtId="2" fontId="10" fillId="0" borderId="0" xfId="3" applyNumberFormat="1" applyFont="1" applyAlignment="1">
      <alignment horizontal="center"/>
    </xf>
    <xf numFmtId="0" fontId="10" fillId="5" borderId="0" xfId="0" applyFont="1" applyFill="1" applyAlignment="1">
      <alignment horizontal="right"/>
    </xf>
    <xf numFmtId="9" fontId="10" fillId="5" borderId="0" xfId="5" applyFont="1" applyFill="1" applyAlignment="1">
      <alignment horizontal="center"/>
    </xf>
    <xf numFmtId="44" fontId="10" fillId="5" borderId="0" xfId="0" applyNumberFormat="1" applyFont="1" applyFill="1"/>
    <xf numFmtId="0" fontId="11" fillId="0" borderId="0" xfId="0" applyFont="1"/>
    <xf numFmtId="9" fontId="11" fillId="0" borderId="0" xfId="5" applyFont="1" applyAlignment="1">
      <alignment horizontal="center"/>
    </xf>
    <xf numFmtId="0" fontId="11" fillId="31" borderId="0" xfId="0" applyFont="1" applyFill="1"/>
    <xf numFmtId="9" fontId="11" fillId="31" borderId="0" xfId="5" applyFont="1" applyFill="1" applyAlignment="1">
      <alignment horizontal="center"/>
    </xf>
    <xf numFmtId="44" fontId="10" fillId="3" borderId="0" xfId="0" applyNumberFormat="1" applyFont="1" applyFill="1"/>
    <xf numFmtId="0" fontId="13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10" fillId="0" borderId="0" xfId="2" applyFont="1" applyAlignment="1">
      <alignment vertical="top" wrapText="1"/>
    </xf>
    <xf numFmtId="0" fontId="16" fillId="0" borderId="0" xfId="0" applyFont="1" applyAlignment="1">
      <alignment horizontal="center"/>
    </xf>
    <xf numFmtId="0" fontId="9" fillId="17" borderId="0" xfId="0" applyFont="1" applyFill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5" borderId="21" xfId="0" applyFont="1" applyFill="1" applyBorder="1" applyAlignment="1">
      <alignment horizontal="center" wrapText="1"/>
    </xf>
    <xf numFmtId="0" fontId="16" fillId="5" borderId="21" xfId="0" applyFont="1" applyFill="1" applyBorder="1" applyAlignment="1">
      <alignment horizontal="center"/>
    </xf>
    <xf numFmtId="0" fontId="58" fillId="0" borderId="0" xfId="0" applyFont="1" applyAlignment="1">
      <alignment horizontal="left" vertical="top" wrapText="1"/>
    </xf>
    <xf numFmtId="0" fontId="58" fillId="0" borderId="0" xfId="0" applyFont="1"/>
    <xf numFmtId="0" fontId="58" fillId="17" borderId="0" xfId="0" applyFont="1" applyFill="1" applyAlignment="1">
      <alignment horizontal="center"/>
    </xf>
    <xf numFmtId="0" fontId="59" fillId="0" borderId="0" xfId="0" applyFont="1" applyAlignment="1">
      <alignment horizontal="right"/>
    </xf>
    <xf numFmtId="0" fontId="58" fillId="0" borderId="0" xfId="0" applyFont="1" applyAlignment="1">
      <alignment horizontal="right"/>
    </xf>
    <xf numFmtId="0" fontId="59" fillId="0" borderId="0" xfId="0" applyFont="1" applyAlignment="1">
      <alignment horizontal="left" vertical="center"/>
    </xf>
    <xf numFmtId="4" fontId="13" fillId="0" borderId="0" xfId="0" applyNumberFormat="1" applyFont="1" applyAlignment="1">
      <alignment vertical="center"/>
    </xf>
    <xf numFmtId="4" fontId="9" fillId="0" borderId="0" xfId="0" applyNumberFormat="1" applyFont="1"/>
    <xf numFmtId="4" fontId="13" fillId="0" borderId="0" xfId="1" applyNumberFormat="1" applyFont="1" applyAlignment="1">
      <alignment horizontal="right" vertical="center"/>
    </xf>
    <xf numFmtId="4" fontId="9" fillId="0" borderId="0" xfId="0" applyNumberFormat="1" applyFont="1" applyAlignment="1">
      <alignment horizontal="center"/>
    </xf>
    <xf numFmtId="4" fontId="46" fillId="0" borderId="0" xfId="0" applyNumberFormat="1" applyFont="1" applyAlignment="1">
      <alignment horizontal="center"/>
    </xf>
    <xf numFmtId="164" fontId="59" fillId="0" borderId="0" xfId="0" applyNumberFormat="1" applyFont="1" applyAlignment="1">
      <alignment horizontal="center" vertical="center"/>
    </xf>
    <xf numFmtId="4" fontId="59" fillId="0" borderId="0" xfId="0" applyNumberFormat="1" applyFont="1"/>
    <xf numFmtId="4" fontId="12" fillId="0" borderId="0" xfId="0" applyNumberFormat="1" applyFont="1" applyAlignment="1">
      <alignment horizontal="right"/>
    </xf>
    <xf numFmtId="4" fontId="59" fillId="0" borderId="0" xfId="0" applyNumberFormat="1" applyFont="1" applyAlignment="1">
      <alignment horizontal="right"/>
    </xf>
    <xf numFmtId="164" fontId="59" fillId="0" borderId="0" xfId="0" applyNumberFormat="1" applyFont="1"/>
    <xf numFmtId="4" fontId="0" fillId="0" borderId="0" xfId="0" applyNumberFormat="1"/>
    <xf numFmtId="0" fontId="59" fillId="0" borderId="0" xfId="0" applyFont="1"/>
    <xf numFmtId="44" fontId="58" fillId="0" borderId="0" xfId="1" applyFont="1"/>
    <xf numFmtId="44" fontId="58" fillId="0" borderId="0" xfId="4" applyFont="1"/>
    <xf numFmtId="0" fontId="58" fillId="0" borderId="0" xfId="2" applyFont="1"/>
    <xf numFmtId="168" fontId="0" fillId="0" borderId="0" xfId="0" applyNumberFormat="1"/>
    <xf numFmtId="9" fontId="58" fillId="0" borderId="0" xfId="8" applyFont="1" applyAlignment="1">
      <alignment horizontal="center"/>
    </xf>
    <xf numFmtId="0" fontId="59" fillId="0" borderId="0" xfId="2" applyFont="1"/>
    <xf numFmtId="0" fontId="60" fillId="0" borderId="0" xfId="0" applyFont="1"/>
    <xf numFmtId="0" fontId="0" fillId="0" borderId="0" xfId="0" applyAlignment="1">
      <alignment vertical="top" wrapText="1"/>
    </xf>
    <xf numFmtId="0" fontId="59" fillId="0" borderId="0" xfId="0" applyFont="1" applyAlignment="1">
      <alignment vertical="top" wrapText="1"/>
    </xf>
    <xf numFmtId="0" fontId="61" fillId="5" borderId="4" xfId="0" applyFont="1" applyFill="1" applyBorder="1"/>
    <xf numFmtId="0" fontId="61" fillId="0" borderId="0" xfId="0" applyFont="1"/>
    <xf numFmtId="0" fontId="49" fillId="16" borderId="0" xfId="2" applyFont="1" applyFill="1" applyAlignment="1">
      <alignment horizontal="center"/>
    </xf>
    <xf numFmtId="0" fontId="9" fillId="0" borderId="0" xfId="2" applyFont="1" applyAlignment="1">
      <alignment horizontal="center"/>
    </xf>
    <xf numFmtId="0" fontId="45" fillId="28" borderId="0" xfId="2" applyFont="1" applyFill="1" applyAlignment="1">
      <alignment horizontal="right" vertical="center" indent="1"/>
    </xf>
    <xf numFmtId="44" fontId="9" fillId="0" borderId="0" xfId="4" applyFont="1"/>
    <xf numFmtId="0" fontId="45" fillId="20" borderId="0" xfId="2" applyFont="1" applyFill="1" applyAlignment="1">
      <alignment horizontal="left"/>
    </xf>
    <xf numFmtId="0" fontId="52" fillId="0" borderId="0" xfId="2" applyFont="1" applyAlignment="1">
      <alignment horizontal="center"/>
    </xf>
    <xf numFmtId="0" fontId="10" fillId="8" borderId="0" xfId="2" applyFont="1" applyFill="1" applyAlignment="1">
      <alignment horizontal="center"/>
    </xf>
    <xf numFmtId="0" fontId="9" fillId="0" borderId="0" xfId="2" applyFont="1"/>
    <xf numFmtId="0" fontId="16" fillId="0" borderId="0" xfId="0" applyFont="1" applyAlignment="1">
      <alignment horizontal="center"/>
    </xf>
    <xf numFmtId="0" fontId="9" fillId="0" borderId="0" xfId="0" applyFont="1"/>
    <xf numFmtId="0" fontId="57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3" fillId="0" borderId="0" xfId="0" applyFont="1"/>
    <xf numFmtId="164" fontId="9" fillId="0" borderId="0" xfId="0" applyNumberFormat="1" applyFont="1"/>
    <xf numFmtId="0" fontId="11" fillId="2" borderId="0" xfId="0" applyFont="1" applyFill="1" applyAlignment="1">
      <alignment horizontal="center"/>
    </xf>
    <xf numFmtId="0" fontId="12" fillId="7" borderId="15" xfId="2" applyFont="1" applyFill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17" fillId="0" borderId="0" xfId="2" applyFont="1" applyAlignment="1">
      <alignment horizontal="center"/>
    </xf>
    <xf numFmtId="0" fontId="43" fillId="7" borderId="15" xfId="2" applyFont="1" applyFill="1" applyBorder="1" applyAlignment="1">
      <alignment horizontal="left"/>
    </xf>
    <xf numFmtId="0" fontId="3" fillId="16" borderId="25" xfId="9" applyFont="1" applyFill="1" applyBorder="1" applyAlignment="1">
      <alignment horizontal="center" vertical="center" wrapText="1"/>
    </xf>
    <xf numFmtId="0" fontId="0" fillId="0" borderId="25" xfId="0" applyBorder="1"/>
    <xf numFmtId="166" fontId="37" fillId="5" borderId="22" xfId="10" applyFont="1" applyFill="1" applyBorder="1" applyAlignment="1">
      <alignment horizontal="center" vertical="center"/>
    </xf>
    <xf numFmtId="0" fontId="0" fillId="0" borderId="19" xfId="0" applyBorder="1"/>
    <xf numFmtId="0" fontId="0" fillId="0" borderId="24" xfId="0" applyBorder="1"/>
    <xf numFmtId="0" fontId="12" fillId="7" borderId="12" xfId="2" applyFont="1" applyFill="1" applyBorder="1" applyAlignment="1">
      <alignment horizontal="left"/>
    </xf>
    <xf numFmtId="0" fontId="47" fillId="17" borderId="0" xfId="2" applyFont="1" applyFill="1" applyAlignment="1">
      <alignment horizontal="center" vertical="center"/>
    </xf>
    <xf numFmtId="0" fontId="10" fillId="0" borderId="4" xfId="2" applyFont="1" applyBorder="1" applyAlignment="1">
      <alignment horizontal="right"/>
    </xf>
    <xf numFmtId="0" fontId="11" fillId="3" borderId="0" xfId="2" applyFont="1" applyFill="1" applyAlignment="1">
      <alignment horizontal="center"/>
    </xf>
    <xf numFmtId="0" fontId="10" fillId="9" borderId="15" xfId="2" applyFont="1" applyFill="1" applyBorder="1" applyAlignment="1">
      <alignment horizontal="right"/>
    </xf>
    <xf numFmtId="0" fontId="41" fillId="0" borderId="4" xfId="2" applyFont="1" applyBorder="1" applyAlignment="1">
      <alignment horizontal="right"/>
    </xf>
    <xf numFmtId="0" fontId="10" fillId="9" borderId="15" xfId="2" applyFont="1" applyFill="1" applyBorder="1" applyAlignment="1">
      <alignment horizontal="center"/>
    </xf>
    <xf numFmtId="0" fontId="38" fillId="0" borderId="20" xfId="2" applyFont="1" applyBorder="1" applyAlignment="1">
      <alignment horizontal="center"/>
    </xf>
    <xf numFmtId="0" fontId="0" fillId="0" borderId="3" xfId="0" applyBorder="1"/>
  </cellXfs>
  <cellStyles count="16">
    <cellStyle name="Currency" xfId="1" builtinId="4"/>
    <cellStyle name="Currency 2" xfId="10" xr:uid="{00000000-0005-0000-0000-00000A000000}"/>
    <cellStyle name="Currency 2 2" xfId="4" xr:uid="{00000000-0005-0000-0000-000004000000}"/>
    <cellStyle name="Currency 3" xfId="14" xr:uid="{00000000-0005-0000-0000-00000E000000}"/>
    <cellStyle name="Currency 4" xfId="15" xr:uid="{00000000-0005-0000-0000-00000F000000}"/>
    <cellStyle name="Normal" xfId="0" builtinId="0"/>
    <cellStyle name="Normal 2" xfId="6" xr:uid="{00000000-0005-0000-0000-000006000000}"/>
    <cellStyle name="Normal 3" xfId="2" xr:uid="{00000000-0005-0000-0000-000002000000}"/>
    <cellStyle name="Normal 4" xfId="7" xr:uid="{00000000-0005-0000-0000-000007000000}"/>
    <cellStyle name="Normal 5" xfId="9" xr:uid="{00000000-0005-0000-0000-000009000000}"/>
    <cellStyle name="Normal 6" xfId="12" xr:uid="{00000000-0005-0000-0000-00000C000000}"/>
    <cellStyle name="Normal 7" xfId="13" xr:uid="{00000000-0005-0000-0000-00000D000000}"/>
    <cellStyle name="Percent" xfId="8" builtinId="5"/>
    <cellStyle name="Percent 2" xfId="3" xr:uid="{00000000-0005-0000-0000-000003000000}"/>
    <cellStyle name="Percent 3" xfId="5" xr:uid="{00000000-0005-0000-0000-000005000000}"/>
    <cellStyle name="Percent 4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702945</xdr:colOff>
      <xdr:row>0</xdr:row>
      <xdr:rowOff>57150</xdr:rowOff>
    </xdr:from>
    <xdr:to>
      <xdr:col>11</xdr:col>
      <xdr:colOff>1890707</xdr:colOff>
      <xdr:row>4</xdr:row>
      <xdr:rowOff>153891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60545" y="57150"/>
          <a:ext cx="1148301" cy="117306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D140"/>
  <sheetViews>
    <sheetView showGridLines="0" topLeftCell="A10" zoomScale="84" zoomScaleNormal="120" workbookViewId="0">
      <selection activeCell="P36" sqref="P36"/>
    </sheetView>
  </sheetViews>
  <sheetFormatPr defaultColWidth="9.21875" defaultRowHeight="13.2" x14ac:dyDescent="0.25"/>
  <cols>
    <col min="1" max="1" width="8.77734375" style="1" customWidth="1"/>
    <col min="2" max="2" width="7.77734375" style="60" customWidth="1"/>
    <col min="3" max="3" width="1.44140625" style="60" customWidth="1"/>
    <col min="4" max="4" width="3" style="60" bestFit="1" customWidth="1"/>
    <col min="5" max="5" width="1.21875" style="1" customWidth="1"/>
    <col min="6" max="6" width="2.21875" style="1" customWidth="1"/>
    <col min="7" max="7" width="1.21875" style="1" customWidth="1"/>
    <col min="8" max="8" width="3.21875" style="1" customWidth="1"/>
    <col min="9" max="9" width="6.77734375" style="1" customWidth="1"/>
    <col min="10" max="10" width="9.77734375" style="1" customWidth="1"/>
    <col min="11" max="11" width="9.21875" style="1" customWidth="1"/>
    <col min="12" max="12" width="48.21875" style="1" customWidth="1"/>
    <col min="13" max="13" width="22.21875" style="2" customWidth="1"/>
    <col min="14" max="14" width="21.21875" style="1" customWidth="1"/>
    <col min="15" max="15" width="22" style="1" customWidth="1"/>
    <col min="16" max="16" width="16.21875" style="1" customWidth="1"/>
    <col min="17" max="17" width="11.44140625" style="1" customWidth="1"/>
    <col min="18" max="18" width="15.5546875" style="1" customWidth="1"/>
    <col min="19" max="19" width="12.44140625" style="1" customWidth="1"/>
    <col min="20" max="20" width="9.21875" style="1" customWidth="1"/>
    <col min="21" max="21" width="20.77734375" style="1" customWidth="1"/>
    <col min="22" max="22" width="14.44140625" style="1" customWidth="1"/>
    <col min="23" max="23" width="36.77734375" style="1" customWidth="1"/>
    <col min="24" max="24" width="9.77734375" style="1" customWidth="1"/>
    <col min="25" max="25" width="20.5546875" style="1" customWidth="1"/>
    <col min="26" max="26" width="19" style="1" customWidth="1"/>
    <col min="27" max="27" width="9.21875" style="1" customWidth="1"/>
    <col min="28" max="28" width="15.77734375" style="1" customWidth="1"/>
    <col min="29" max="29" width="39.44140625" style="1" customWidth="1"/>
    <col min="30" max="31" width="9.21875" style="1" customWidth="1"/>
    <col min="32" max="16384" width="9.21875" style="1"/>
  </cols>
  <sheetData>
    <row r="1" spans="1:30" ht="11.25" customHeight="1" x14ac:dyDescent="0.25">
      <c r="N1" s="3" t="s">
        <v>831</v>
      </c>
    </row>
    <row r="2" spans="1:30" ht="24" customHeight="1" x14ac:dyDescent="0.25">
      <c r="N2" s="4" t="s">
        <v>831</v>
      </c>
    </row>
    <row r="3" spans="1:30" ht="38.25" customHeight="1" x14ac:dyDescent="0.2">
      <c r="B3" s="497" t="s">
        <v>831</v>
      </c>
      <c r="C3" s="498"/>
      <c r="D3" s="498"/>
      <c r="E3" s="494"/>
      <c r="F3" s="494"/>
      <c r="G3" s="494"/>
      <c r="H3" s="494"/>
      <c r="I3" s="494"/>
      <c r="J3" s="494"/>
      <c r="K3" s="494"/>
      <c r="L3" s="494"/>
      <c r="M3" s="499"/>
      <c r="N3" s="494"/>
    </row>
    <row r="4" spans="1:30" ht="10.199999999999999" customHeight="1" x14ac:dyDescent="0.2">
      <c r="B4" s="498"/>
      <c r="C4" s="498"/>
      <c r="D4" s="498"/>
      <c r="E4" s="494"/>
      <c r="F4" s="494"/>
      <c r="G4" s="494"/>
      <c r="H4" s="494"/>
      <c r="I4" s="494"/>
      <c r="J4" s="494"/>
      <c r="K4" s="494"/>
      <c r="L4" s="494"/>
      <c r="M4" s="499"/>
      <c r="N4" s="494"/>
    </row>
    <row r="6" spans="1:30" ht="10.199999999999999" customHeight="1" x14ac:dyDescent="0.25">
      <c r="B6" s="500" t="s">
        <v>832</v>
      </c>
      <c r="C6" s="498"/>
      <c r="D6" s="498"/>
      <c r="E6" s="494"/>
      <c r="F6" s="494"/>
      <c r="G6" s="494"/>
      <c r="H6" s="494"/>
      <c r="I6" s="494"/>
      <c r="J6" s="494"/>
      <c r="K6" s="494"/>
      <c r="L6" s="494"/>
      <c r="M6" s="499"/>
      <c r="N6" s="494"/>
      <c r="O6" s="37"/>
      <c r="V6" s="495" t="s">
        <v>833</v>
      </c>
      <c r="W6" s="494"/>
      <c r="X6" s="494"/>
      <c r="Y6" s="494"/>
      <c r="Z6" s="494"/>
      <c r="AA6" s="494"/>
      <c r="AB6" s="494"/>
      <c r="AC6" s="494"/>
      <c r="AD6" s="494"/>
    </row>
    <row r="7" spans="1:30" ht="13.05" customHeight="1" x14ac:dyDescent="0.25">
      <c r="B7" s="61"/>
      <c r="C7" s="61"/>
      <c r="D7" s="61"/>
      <c r="E7" s="6"/>
      <c r="F7" s="6"/>
      <c r="G7" s="6"/>
      <c r="H7" s="6"/>
      <c r="I7" s="6"/>
      <c r="J7" s="6"/>
      <c r="K7" s="6"/>
      <c r="L7" s="6"/>
      <c r="M7" s="6"/>
      <c r="N7" s="6"/>
      <c r="O7" s="37"/>
      <c r="P7" s="37"/>
      <c r="V7" s="494"/>
      <c r="W7" s="494"/>
      <c r="X7" s="494"/>
      <c r="Y7" s="494"/>
      <c r="Z7" s="494"/>
      <c r="AA7" s="494"/>
      <c r="AB7" s="494"/>
      <c r="AC7" s="494"/>
      <c r="AD7" s="494"/>
    </row>
    <row r="8" spans="1:30" ht="31.5" customHeight="1" x14ac:dyDescent="0.2">
      <c r="B8" s="62" t="s">
        <v>834</v>
      </c>
      <c r="C8" s="63"/>
      <c r="D8" s="63"/>
      <c r="E8" s="5"/>
      <c r="F8" s="5"/>
      <c r="G8" s="5"/>
      <c r="H8" s="5"/>
      <c r="I8" s="449" t="s">
        <v>835</v>
      </c>
      <c r="N8" s="7" t="s">
        <v>836</v>
      </c>
      <c r="O8" s="37" t="s">
        <v>837</v>
      </c>
      <c r="P8" s="37"/>
      <c r="V8" s="452" t="s">
        <v>838</v>
      </c>
    </row>
    <row r="9" spans="1:30" ht="12.6" customHeight="1" thickBot="1" x14ac:dyDescent="0.25">
      <c r="B9" s="62" t="s">
        <v>839</v>
      </c>
      <c r="C9" s="63"/>
      <c r="D9" s="63"/>
      <c r="E9" s="5"/>
      <c r="F9" s="5"/>
      <c r="G9" s="5"/>
      <c r="H9" s="5"/>
      <c r="I9" s="450" t="s">
        <v>840</v>
      </c>
      <c r="M9" s="8"/>
      <c r="N9" s="9" t="s">
        <v>841</v>
      </c>
      <c r="O9" s="37"/>
      <c r="P9" s="37"/>
    </row>
    <row r="10" spans="1:30" ht="40.5" customHeight="1" x14ac:dyDescent="0.25">
      <c r="N10" s="10"/>
      <c r="R10" s="25" t="s">
        <v>842</v>
      </c>
      <c r="S10" s="453" t="s">
        <v>843</v>
      </c>
      <c r="V10" s="454" t="s">
        <v>844</v>
      </c>
      <c r="Y10" s="455" t="s">
        <v>845</v>
      </c>
      <c r="AB10" s="455" t="s">
        <v>846</v>
      </c>
    </row>
    <row r="11" spans="1:30" x14ac:dyDescent="0.25">
      <c r="B11" s="64"/>
      <c r="C11" s="64"/>
      <c r="D11" s="64"/>
      <c r="E11" s="11"/>
      <c r="F11" s="11"/>
      <c r="G11" s="11"/>
      <c r="H11" s="11"/>
      <c r="I11" s="11"/>
      <c r="J11" s="11"/>
      <c r="K11" s="11"/>
      <c r="L11" s="11"/>
      <c r="M11" s="12"/>
      <c r="N11" s="13" t="s">
        <v>773</v>
      </c>
      <c r="R11" s="26"/>
      <c r="V11" s="57" t="s">
        <v>847</v>
      </c>
      <c r="W11" s="58">
        <f>6110+2413.28</f>
        <v>8523.2800000000007</v>
      </c>
      <c r="Y11" s="57" t="s">
        <v>847</v>
      </c>
      <c r="Z11" s="58">
        <v>6775.83</v>
      </c>
      <c r="AB11" s="57" t="s">
        <v>847</v>
      </c>
      <c r="AC11" s="58">
        <v>3438.29</v>
      </c>
    </row>
    <row r="12" spans="1:30" x14ac:dyDescent="0.25">
      <c r="B12" s="65"/>
      <c r="N12" s="14"/>
      <c r="P12" s="9"/>
      <c r="Q12" s="9"/>
      <c r="R12" s="9"/>
      <c r="S12" s="9"/>
      <c r="V12" s="57"/>
      <c r="W12" s="58"/>
      <c r="Y12" s="57"/>
      <c r="Z12" s="58"/>
      <c r="AB12" s="57" t="s">
        <v>848</v>
      </c>
      <c r="AC12" s="58">
        <v>52.8</v>
      </c>
    </row>
    <row r="13" spans="1:30" s="15" customFormat="1" x14ac:dyDescent="0.25">
      <c r="A13" s="1"/>
      <c r="B13" s="65"/>
      <c r="C13" s="60"/>
      <c r="D13" s="60"/>
      <c r="E13" s="1"/>
      <c r="F13" s="1"/>
      <c r="G13" s="1"/>
      <c r="H13" s="1"/>
      <c r="I13" s="16"/>
      <c r="J13" s="1"/>
      <c r="K13" s="1"/>
      <c r="L13" s="1"/>
      <c r="M13" s="2"/>
      <c r="O13" s="2"/>
      <c r="P13" s="9"/>
      <c r="Q13" s="9"/>
      <c r="R13" s="26"/>
      <c r="S13" s="21"/>
      <c r="T13" s="1"/>
      <c r="U13" s="1"/>
      <c r="V13" s="57" t="s">
        <v>849</v>
      </c>
      <c r="W13" s="58">
        <v>1.1499999999999999</v>
      </c>
      <c r="Y13" s="57" t="s">
        <v>849</v>
      </c>
      <c r="Z13" s="58">
        <v>1.1499999999999999</v>
      </c>
      <c r="AB13" s="57" t="s">
        <v>849</v>
      </c>
      <c r="AC13" s="58">
        <v>1.1499999999999999</v>
      </c>
    </row>
    <row r="14" spans="1:30" ht="13.05" customHeight="1" x14ac:dyDescent="0.25">
      <c r="B14" s="66"/>
      <c r="C14" s="67"/>
      <c r="D14" s="67"/>
      <c r="E14" s="67"/>
      <c r="F14" s="67"/>
      <c r="G14" s="67"/>
      <c r="H14" s="71"/>
      <c r="N14" s="74"/>
      <c r="O14" s="15"/>
      <c r="P14" s="9"/>
      <c r="Q14" s="9"/>
      <c r="R14" s="26"/>
      <c r="S14" s="21"/>
      <c r="V14" s="57" t="s">
        <v>850</v>
      </c>
      <c r="W14" s="382">
        <v>1</v>
      </c>
      <c r="Y14" s="57" t="s">
        <v>850</v>
      </c>
      <c r="Z14" s="382">
        <v>1</v>
      </c>
      <c r="AB14" s="57" t="s">
        <v>850</v>
      </c>
      <c r="AC14" s="382">
        <v>2</v>
      </c>
    </row>
    <row r="15" spans="1:30" ht="150" customHeight="1" x14ac:dyDescent="0.25">
      <c r="B15" s="68"/>
      <c r="C15" s="67"/>
      <c r="D15" s="67"/>
      <c r="E15" s="67"/>
      <c r="F15" s="67"/>
      <c r="G15" s="67"/>
      <c r="H15" s="233"/>
      <c r="I15" s="456" t="s">
        <v>851</v>
      </c>
      <c r="N15" s="74"/>
      <c r="O15" s="15"/>
      <c r="P15" s="9"/>
      <c r="Q15" s="9"/>
      <c r="R15" s="26"/>
      <c r="S15" s="21"/>
      <c r="V15" s="57" t="s">
        <v>852</v>
      </c>
      <c r="W15" s="382">
        <v>250</v>
      </c>
      <c r="Y15" s="57" t="s">
        <v>852</v>
      </c>
      <c r="Z15" s="58">
        <v>150</v>
      </c>
      <c r="AB15" s="57" t="s">
        <v>852</v>
      </c>
      <c r="AC15" s="58">
        <v>300</v>
      </c>
    </row>
    <row r="16" spans="1:30" ht="39" customHeight="1" x14ac:dyDescent="0.25">
      <c r="B16" s="68"/>
      <c r="C16" s="68"/>
      <c r="D16" s="68"/>
      <c r="E16" s="72"/>
      <c r="F16" s="72"/>
      <c r="G16" s="72"/>
      <c r="H16" s="72"/>
      <c r="I16" s="71" t="s">
        <v>853</v>
      </c>
      <c r="N16" s="414">
        <f>S16+W17+Z17+AC17</f>
        <v>692573.53977020178</v>
      </c>
      <c r="O16" s="35"/>
      <c r="P16" s="9"/>
      <c r="Q16" s="9"/>
      <c r="R16" s="55">
        <f>'ClubHouse (NBC )'!F943</f>
        <v>470848.09630402952</v>
      </c>
      <c r="S16" s="56">
        <f>((R16/$R$39)*($R$49-$R$39))+R16</f>
        <v>666250.05627020181</v>
      </c>
      <c r="V16" s="483" t="s">
        <v>854</v>
      </c>
      <c r="W16" s="58">
        <v>0</v>
      </c>
      <c r="X16" s="484" t="s">
        <v>855</v>
      </c>
      <c r="Y16" s="483" t="s">
        <v>854</v>
      </c>
      <c r="Z16" s="58">
        <v>0</v>
      </c>
      <c r="AA16" s="484" t="s">
        <v>856</v>
      </c>
      <c r="AB16" s="483" t="s">
        <v>854</v>
      </c>
      <c r="AC16" s="58">
        <v>0</v>
      </c>
      <c r="AD16" s="484" t="s">
        <v>857</v>
      </c>
    </row>
    <row r="17" spans="1:29" ht="13.8" customHeight="1" thickBot="1" x14ac:dyDescent="0.3">
      <c r="B17" s="68"/>
      <c r="C17" s="68"/>
      <c r="D17" s="68"/>
      <c r="E17" s="72"/>
      <c r="F17" s="72"/>
      <c r="G17" s="72"/>
      <c r="H17" s="72"/>
      <c r="I17" s="71"/>
      <c r="J17" s="234"/>
      <c r="K17" s="305"/>
      <c r="L17" s="305"/>
      <c r="M17" s="413"/>
      <c r="N17" s="414"/>
      <c r="O17" s="35"/>
      <c r="P17" s="9"/>
      <c r="Q17" s="9"/>
      <c r="R17" s="55"/>
      <c r="S17" s="56"/>
      <c r="V17" s="378" t="s">
        <v>812</v>
      </c>
      <c r="W17" s="425">
        <f>W11*W13*W14+W15+W16</f>
        <v>10051.772000000001</v>
      </c>
      <c r="Y17" s="378" t="s">
        <v>812</v>
      </c>
      <c r="Z17" s="59">
        <f>Z11*Z13*Z14+Z15+Z16</f>
        <v>7942.2044999999989</v>
      </c>
      <c r="AB17" s="378" t="s">
        <v>812</v>
      </c>
      <c r="AC17" s="59">
        <f>(AC11+AC12)*AC13*AC14+AC15+AC16</f>
        <v>8329.5069999999996</v>
      </c>
    </row>
    <row r="18" spans="1:29" ht="13.05" customHeight="1" x14ac:dyDescent="0.25">
      <c r="B18" s="68"/>
      <c r="C18" s="68"/>
      <c r="D18" s="68"/>
      <c r="E18" s="72"/>
      <c r="F18" s="72"/>
      <c r="G18" s="72"/>
      <c r="H18" s="72"/>
      <c r="I18" s="71"/>
      <c r="J18" s="234"/>
      <c r="K18" s="305"/>
      <c r="L18" s="305"/>
      <c r="M18" s="413"/>
      <c r="N18" s="414"/>
      <c r="O18" s="35"/>
      <c r="P18" s="9"/>
      <c r="Q18" s="9"/>
      <c r="R18" s="55"/>
      <c r="S18" s="56"/>
      <c r="Y18" s="377"/>
      <c r="Z18" s="210"/>
      <c r="AB18" s="457" t="s">
        <v>858</v>
      </c>
    </row>
    <row r="19" spans="1:29" ht="13.05" customHeight="1" x14ac:dyDescent="0.25">
      <c r="B19" s="68"/>
      <c r="C19" s="68"/>
      <c r="D19" s="68"/>
      <c r="E19" s="72"/>
      <c r="F19" s="72"/>
      <c r="G19" s="72"/>
      <c r="H19" s="72"/>
      <c r="I19" s="71"/>
      <c r="J19" s="234"/>
      <c r="K19" s="305"/>
      <c r="L19" s="305"/>
      <c r="M19" s="413"/>
      <c r="N19" s="414"/>
      <c r="O19" s="35"/>
      <c r="P19" s="9"/>
      <c r="Q19" s="9"/>
      <c r="R19" s="55"/>
      <c r="S19" s="56"/>
      <c r="V19" s="451"/>
      <c r="Z19" s="210"/>
    </row>
    <row r="20" spans="1:29" ht="13.05" customHeight="1" x14ac:dyDescent="0.25">
      <c r="B20" s="68"/>
      <c r="C20" s="68"/>
      <c r="D20" s="68"/>
      <c r="E20" s="72"/>
      <c r="F20" s="72"/>
      <c r="G20" s="72"/>
      <c r="H20" s="72"/>
      <c r="I20" s="71"/>
      <c r="J20" s="305"/>
      <c r="K20" s="305"/>
      <c r="L20" s="305"/>
      <c r="M20" s="305"/>
      <c r="N20" s="414"/>
      <c r="O20" s="35"/>
      <c r="P20" s="9"/>
      <c r="Q20" s="9"/>
      <c r="R20" s="55"/>
      <c r="S20" s="56"/>
      <c r="W20" s="20"/>
      <c r="Y20" s="451"/>
      <c r="AB20" s="451"/>
    </row>
    <row r="21" spans="1:29" ht="13.05" customHeight="1" x14ac:dyDescent="0.25">
      <c r="B21" s="66"/>
      <c r="C21" s="67"/>
      <c r="D21" s="67"/>
      <c r="E21" s="67"/>
      <c r="F21" s="67"/>
      <c r="G21" s="67"/>
      <c r="H21" s="71"/>
      <c r="N21" s="74"/>
      <c r="O21" s="15"/>
      <c r="P21" s="9"/>
      <c r="Q21" s="9"/>
      <c r="R21" s="26"/>
      <c r="S21" s="21"/>
      <c r="V21" s="452" t="s">
        <v>859</v>
      </c>
      <c r="Z21" s="20"/>
      <c r="AC21" s="20"/>
    </row>
    <row r="22" spans="1:29" s="15" customFormat="1" ht="13.05" customHeight="1" x14ac:dyDescent="0.25">
      <c r="A22" s="1"/>
      <c r="B22" s="68"/>
      <c r="C22" s="67"/>
      <c r="D22" s="67"/>
      <c r="E22" s="67"/>
      <c r="F22" s="67"/>
      <c r="G22" s="67"/>
      <c r="H22" s="233"/>
      <c r="I22" s="448"/>
      <c r="N22" s="74"/>
      <c r="P22" s="9"/>
      <c r="Q22" s="9"/>
      <c r="R22" s="26"/>
      <c r="S22" s="21"/>
      <c r="T22" s="1"/>
      <c r="U22" s="1"/>
      <c r="V22" s="1"/>
      <c r="W22" s="20"/>
      <c r="Y22" s="1"/>
      <c r="Z22" s="20"/>
      <c r="AB22" s="1"/>
      <c r="AC22" s="20"/>
    </row>
    <row r="23" spans="1:29" ht="13.8" customHeight="1" thickBot="1" x14ac:dyDescent="0.3">
      <c r="B23" s="68"/>
      <c r="C23" s="68"/>
      <c r="D23" s="68"/>
      <c r="E23" s="72"/>
      <c r="F23" s="72"/>
      <c r="G23" s="72"/>
      <c r="H23" s="72"/>
      <c r="I23" s="71" t="s">
        <v>860</v>
      </c>
      <c r="N23" s="414">
        <f>S23+W31</f>
        <v>157680.56434489798</v>
      </c>
      <c r="O23" s="35"/>
      <c r="P23" s="9"/>
      <c r="Q23" s="9"/>
      <c r="R23" s="55">
        <f>'Public Amenities (PAM)'!F864</f>
        <v>109647.59883031658</v>
      </c>
      <c r="S23" s="56">
        <f>((R23/$R$39)*($R$49-$R$39))+R23</f>
        <v>155151.35234489798</v>
      </c>
      <c r="U23" s="293"/>
      <c r="W23" s="383"/>
      <c r="Z23" s="20"/>
      <c r="AC23" s="20"/>
    </row>
    <row r="24" spans="1:29" ht="13.05" customHeight="1" x14ac:dyDescent="0.25">
      <c r="B24" s="68"/>
      <c r="C24" s="68"/>
      <c r="D24" s="68"/>
      <c r="E24" s="72"/>
      <c r="F24" s="72"/>
      <c r="G24" s="72"/>
      <c r="H24" s="72"/>
      <c r="I24" s="71"/>
      <c r="J24" s="234"/>
      <c r="K24" s="305"/>
      <c r="L24" s="305"/>
      <c r="M24" s="413"/>
      <c r="N24" s="414"/>
      <c r="O24" s="35"/>
      <c r="P24" s="9"/>
      <c r="Q24" s="9"/>
      <c r="R24" s="55"/>
      <c r="S24" s="56"/>
      <c r="V24" s="455" t="s">
        <v>846</v>
      </c>
      <c r="X24" s="457" t="s">
        <v>861</v>
      </c>
      <c r="Z24" s="383"/>
      <c r="AC24" s="383"/>
    </row>
    <row r="25" spans="1:29" ht="13.05" customHeight="1" x14ac:dyDescent="0.25">
      <c r="B25" s="68"/>
      <c r="C25" s="68"/>
      <c r="D25" s="68"/>
      <c r="E25" s="72"/>
      <c r="F25" s="72"/>
      <c r="G25" s="72"/>
      <c r="H25" s="72"/>
      <c r="I25" s="71"/>
      <c r="J25" s="234"/>
      <c r="K25" s="305"/>
      <c r="L25" s="305"/>
      <c r="M25" s="413"/>
      <c r="N25" s="414"/>
      <c r="O25" s="35"/>
      <c r="P25" s="9"/>
      <c r="Q25" s="9"/>
      <c r="R25" s="55"/>
      <c r="S25" s="56"/>
      <c r="V25" s="57" t="s">
        <v>847</v>
      </c>
      <c r="W25" s="58">
        <v>2016.08</v>
      </c>
      <c r="Z25" s="383"/>
      <c r="AC25" s="383"/>
    </row>
    <row r="26" spans="1:29" s="15" customFormat="1" ht="13.05" customHeight="1" x14ac:dyDescent="0.2">
      <c r="B26" s="68"/>
      <c r="C26" s="68"/>
      <c r="D26" s="68"/>
      <c r="E26" s="67"/>
      <c r="F26" s="67"/>
      <c r="G26" s="67"/>
      <c r="H26" s="67"/>
      <c r="I26" s="233"/>
      <c r="J26" s="234"/>
      <c r="K26" s="234"/>
      <c r="L26" s="234"/>
      <c r="M26" s="234"/>
      <c r="N26" s="415"/>
      <c r="O26" s="35"/>
      <c r="P26" s="9"/>
      <c r="Q26" s="9"/>
      <c r="R26" s="36"/>
      <c r="S26" s="21"/>
      <c r="T26" s="1"/>
      <c r="U26" s="1"/>
      <c r="V26" s="57" t="s">
        <v>848</v>
      </c>
      <c r="W26" s="58">
        <v>52.8</v>
      </c>
      <c r="X26" s="56"/>
      <c r="Y26" s="1"/>
      <c r="Z26" s="20"/>
      <c r="AB26" s="1"/>
      <c r="AC26" s="20"/>
    </row>
    <row r="27" spans="1:29" s="15" customFormat="1" ht="13.2" customHeight="1" x14ac:dyDescent="0.25">
      <c r="A27" s="1"/>
      <c r="B27" s="66"/>
      <c r="C27" s="67"/>
      <c r="D27" s="67"/>
      <c r="E27" s="67"/>
      <c r="F27" s="67"/>
      <c r="G27" s="67"/>
      <c r="H27" s="71"/>
      <c r="N27" s="74"/>
      <c r="P27" s="9"/>
      <c r="Q27" s="9"/>
      <c r="R27" s="26"/>
      <c r="S27" s="21"/>
      <c r="T27" s="1"/>
      <c r="U27" s="1"/>
      <c r="V27" s="57" t="s">
        <v>849</v>
      </c>
      <c r="W27" s="58">
        <v>1.1499999999999999</v>
      </c>
      <c r="Y27" s="416"/>
      <c r="Z27" s="210"/>
      <c r="AB27" s="416"/>
      <c r="AC27" s="210"/>
    </row>
    <row r="28" spans="1:29" s="15" customFormat="1" ht="13.05" customHeight="1" x14ac:dyDescent="0.25">
      <c r="A28" s="1"/>
      <c r="B28" s="68"/>
      <c r="C28" s="67"/>
      <c r="D28" s="67"/>
      <c r="E28" s="67"/>
      <c r="F28" s="67"/>
      <c r="G28" s="67"/>
      <c r="H28" s="233"/>
      <c r="I28" s="448"/>
      <c r="N28" s="74"/>
      <c r="P28" s="9"/>
      <c r="Q28" s="9"/>
      <c r="R28" s="26"/>
      <c r="S28" s="21"/>
      <c r="T28" s="1"/>
      <c r="U28" s="1"/>
      <c r="V28" s="57" t="s">
        <v>850</v>
      </c>
      <c r="W28" s="382">
        <v>1</v>
      </c>
      <c r="Y28" s="1"/>
      <c r="Z28" s="1"/>
    </row>
    <row r="29" spans="1:29" s="15" customFormat="1" ht="25.95" customHeight="1" x14ac:dyDescent="0.25">
      <c r="A29" s="1"/>
      <c r="B29" s="68"/>
      <c r="C29" s="68"/>
      <c r="D29" s="68"/>
      <c r="E29" s="72"/>
      <c r="F29" s="72"/>
      <c r="G29" s="72"/>
      <c r="H29" s="72"/>
      <c r="I29" s="71" t="s">
        <v>862</v>
      </c>
      <c r="N29" s="414">
        <f>S29</f>
        <v>641445.3993212966</v>
      </c>
      <c r="O29" s="35"/>
      <c r="P29" s="9"/>
      <c r="Q29" s="9"/>
      <c r="R29" s="55">
        <f>'Siteworks '!F874</f>
        <v>453318.30340727675</v>
      </c>
      <c r="S29" s="56">
        <f>((R29/$R$39)*($R$49-$R$39))+R29</f>
        <v>641445.3993212966</v>
      </c>
      <c r="T29" s="1"/>
      <c r="U29" s="1"/>
      <c r="V29" s="57" t="s">
        <v>852</v>
      </c>
      <c r="W29" s="58">
        <v>150</v>
      </c>
      <c r="Y29" s="1"/>
      <c r="Z29" s="1"/>
    </row>
    <row r="30" spans="1:29" s="15" customFormat="1" ht="13.05" customHeight="1" x14ac:dyDescent="0.25">
      <c r="A30" s="1"/>
      <c r="B30" s="68"/>
      <c r="C30" s="68"/>
      <c r="D30" s="68"/>
      <c r="E30" s="72"/>
      <c r="F30" s="72"/>
      <c r="G30" s="72"/>
      <c r="H30" s="72"/>
      <c r="I30" s="71"/>
      <c r="J30" s="234"/>
      <c r="K30" s="305"/>
      <c r="L30" s="305"/>
      <c r="M30" s="413"/>
      <c r="N30" s="414"/>
      <c r="O30" s="35"/>
      <c r="P30" s="9"/>
      <c r="Q30" s="9"/>
      <c r="R30" s="55"/>
      <c r="S30" s="56"/>
      <c r="T30" s="1"/>
      <c r="U30" s="1"/>
      <c r="V30" s="483" t="s">
        <v>854</v>
      </c>
      <c r="W30" s="58">
        <v>0</v>
      </c>
      <c r="X30" s="484" t="s">
        <v>863</v>
      </c>
      <c r="Y30" s="451"/>
      <c r="AB30" s="451"/>
    </row>
    <row r="31" spans="1:29" s="15" customFormat="1" ht="13.8" customHeight="1" thickBot="1" x14ac:dyDescent="0.3">
      <c r="A31" s="1"/>
      <c r="B31" s="68"/>
      <c r="C31" s="68"/>
      <c r="D31" s="68"/>
      <c r="E31" s="72"/>
      <c r="F31" s="72"/>
      <c r="G31" s="72"/>
      <c r="H31" s="72"/>
      <c r="I31" s="71"/>
      <c r="J31" s="234"/>
      <c r="K31" s="305"/>
      <c r="L31" s="305"/>
      <c r="M31" s="413"/>
      <c r="N31" s="414"/>
      <c r="O31" s="35"/>
      <c r="P31" s="9"/>
      <c r="Q31" s="9"/>
      <c r="R31" s="55"/>
      <c r="S31" s="56"/>
      <c r="T31" s="1"/>
      <c r="U31" s="1"/>
      <c r="V31" s="378" t="s">
        <v>812</v>
      </c>
      <c r="W31" s="59">
        <f>(W25+W26)*W27*W28+W29+W30</f>
        <v>2529.212</v>
      </c>
      <c r="Y31" s="1"/>
      <c r="Z31" s="20"/>
      <c r="AB31" s="1"/>
      <c r="AC31" s="20"/>
    </row>
    <row r="32" spans="1:29" s="15" customFormat="1" ht="124.95" customHeight="1" x14ac:dyDescent="0.2">
      <c r="B32" s="68"/>
      <c r="C32" s="68"/>
      <c r="D32" s="68"/>
      <c r="E32" s="67"/>
      <c r="F32" s="67"/>
      <c r="G32" s="67"/>
      <c r="H32" s="67"/>
      <c r="I32" s="233" t="s">
        <v>864</v>
      </c>
      <c r="J32" s="234"/>
      <c r="K32" s="234"/>
      <c r="L32" s="234"/>
      <c r="M32" s="234"/>
      <c r="N32" s="415">
        <f>S32</f>
        <v>124117.24567099568</v>
      </c>
      <c r="O32" s="35"/>
      <c r="P32" s="9"/>
      <c r="Q32" s="9"/>
      <c r="R32" s="55">
        <f>14*'LabourProject Rates_Master'!E103+225*'LabourProject Rates_Master'!E109</f>
        <v>87715.367965367972</v>
      </c>
      <c r="S32" s="56">
        <f>((R32/$R$39)*($R$49-$R$39))+R32</f>
        <v>124117.24567099568</v>
      </c>
      <c r="T32" s="457" t="s">
        <v>865</v>
      </c>
      <c r="U32" s="1"/>
      <c r="V32" s="1"/>
      <c r="W32" s="20"/>
      <c r="Y32" s="1"/>
      <c r="Z32" s="20"/>
      <c r="AB32" s="1"/>
      <c r="AC32" s="20"/>
    </row>
    <row r="33" spans="1:29" s="15" customFormat="1" ht="13.05" customHeight="1" x14ac:dyDescent="0.25">
      <c r="A33" s="1"/>
      <c r="B33" s="66"/>
      <c r="C33" s="67"/>
      <c r="D33" s="67"/>
      <c r="E33" s="67"/>
      <c r="F33" s="67"/>
      <c r="G33" s="67"/>
      <c r="H33" s="71"/>
      <c r="I33" t="s">
        <v>866</v>
      </c>
      <c r="N33" s="74">
        <f>S33</f>
        <v>63505.200000000004</v>
      </c>
      <c r="P33" s="9"/>
      <c r="Q33" s="9"/>
      <c r="R33" s="26">
        <f>51*2*2*220</f>
        <v>44880</v>
      </c>
      <c r="S33" s="21">
        <f>((R33/$R$39)*($R$49-$R$39))+R33</f>
        <v>63505.200000000004</v>
      </c>
      <c r="T33" s="457" t="s">
        <v>867</v>
      </c>
      <c r="U33" s="1"/>
      <c r="V33" s="1"/>
      <c r="W33" s="20"/>
      <c r="Y33" s="1"/>
      <c r="Z33" s="20"/>
      <c r="AB33" s="1"/>
      <c r="AC33" s="20"/>
    </row>
    <row r="34" spans="1:29" s="15" customFormat="1" ht="13.05" customHeight="1" x14ac:dyDescent="0.25">
      <c r="A34" s="1"/>
      <c r="B34" s="68"/>
      <c r="C34" s="67"/>
      <c r="D34" s="67"/>
      <c r="E34" s="67"/>
      <c r="F34" s="67"/>
      <c r="G34" s="67"/>
      <c r="H34" s="233"/>
      <c r="I34" s="448"/>
      <c r="N34" s="74"/>
      <c r="P34" s="9"/>
      <c r="Q34" s="9"/>
      <c r="R34" s="26"/>
      <c r="S34" s="21"/>
      <c r="T34" s="1"/>
      <c r="U34" s="1"/>
      <c r="V34" s="458" t="s">
        <v>868</v>
      </c>
      <c r="Y34" s="1"/>
      <c r="Z34" s="383"/>
      <c r="AB34" s="1"/>
      <c r="AC34" s="383"/>
    </row>
    <row r="35" spans="1:29" s="15" customFormat="1" ht="13.8" customHeight="1" thickBot="1" x14ac:dyDescent="0.3">
      <c r="A35" s="1"/>
      <c r="B35" s="68"/>
      <c r="C35" s="68"/>
      <c r="D35" s="68"/>
      <c r="E35" s="72"/>
      <c r="F35" s="72"/>
      <c r="G35" s="72"/>
      <c r="H35" s="72"/>
      <c r="I35" s="71"/>
      <c r="N35" s="414"/>
      <c r="O35" s="35"/>
      <c r="P35" s="9"/>
      <c r="Q35" s="9"/>
      <c r="R35" s="26"/>
      <c r="S35" s="21"/>
      <c r="T35" s="1"/>
      <c r="U35" s="1"/>
      <c r="V35" s="1"/>
      <c r="W35" s="20"/>
      <c r="Y35" s="1"/>
      <c r="Z35" s="20"/>
      <c r="AB35" s="1"/>
      <c r="AC35" s="20"/>
    </row>
    <row r="36" spans="1:29" s="15" customFormat="1" ht="18" customHeight="1" x14ac:dyDescent="0.25">
      <c r="A36" s="1"/>
      <c r="B36" s="68"/>
      <c r="C36" s="68"/>
      <c r="D36" s="68"/>
      <c r="E36" s="72"/>
      <c r="F36" s="72"/>
      <c r="G36" s="72"/>
      <c r="H36" s="72"/>
      <c r="I36" s="71"/>
      <c r="J36" s="234"/>
      <c r="K36" s="305"/>
      <c r="L36" s="305"/>
      <c r="M36" s="413"/>
      <c r="N36" s="414"/>
      <c r="O36" s="35"/>
      <c r="P36" s="9"/>
      <c r="Q36" s="9"/>
      <c r="R36" s="26"/>
      <c r="S36" s="21"/>
      <c r="T36" s="1"/>
      <c r="U36" s="1"/>
      <c r="V36" s="454"/>
      <c r="Y36" s="416"/>
      <c r="Z36" s="210"/>
      <c r="AB36" s="416"/>
      <c r="AC36" s="210"/>
    </row>
    <row r="37" spans="1:29" s="15" customFormat="1" ht="19.5" customHeight="1" x14ac:dyDescent="0.25">
      <c r="A37" s="1"/>
      <c r="B37" s="68"/>
      <c r="C37" s="68"/>
      <c r="D37" s="68"/>
      <c r="E37" s="72"/>
      <c r="F37" s="72"/>
      <c r="G37" s="72"/>
      <c r="H37" s="72"/>
      <c r="I37" s="71"/>
      <c r="J37" s="234"/>
      <c r="K37" s="305"/>
      <c r="L37" s="305"/>
      <c r="M37" s="413"/>
      <c r="N37" s="414"/>
      <c r="O37" s="35"/>
      <c r="P37" s="9"/>
      <c r="Q37" s="9"/>
      <c r="R37" s="26"/>
      <c r="S37" s="21"/>
      <c r="T37" s="1"/>
      <c r="U37" s="1"/>
      <c r="V37" s="57"/>
      <c r="W37" s="58"/>
    </row>
    <row r="38" spans="1:29" s="15" customFormat="1" ht="13.05" customHeight="1" x14ac:dyDescent="0.2">
      <c r="B38" s="68"/>
      <c r="C38" s="68"/>
      <c r="D38" s="68"/>
      <c r="E38" s="67"/>
      <c r="F38" s="67"/>
      <c r="G38" s="67"/>
      <c r="H38" s="67"/>
      <c r="I38" s="233"/>
      <c r="J38" s="234"/>
      <c r="K38" s="234"/>
      <c r="L38" s="234"/>
      <c r="M38" s="234"/>
      <c r="N38" s="415"/>
      <c r="O38" s="35"/>
      <c r="P38" s="9"/>
      <c r="Q38" s="9"/>
      <c r="R38" s="26"/>
      <c r="S38" s="21"/>
      <c r="T38" s="1"/>
      <c r="U38" s="1"/>
      <c r="V38" s="57"/>
      <c r="W38" s="58"/>
      <c r="Y38" s="451"/>
      <c r="AB38" s="451"/>
    </row>
    <row r="39" spans="1:29" s="15" customFormat="1" ht="13.8" customHeight="1" thickBot="1" x14ac:dyDescent="0.3">
      <c r="A39" s="1"/>
      <c r="B39" s="66"/>
      <c r="C39" s="67"/>
      <c r="D39" s="67"/>
      <c r="E39" s="67"/>
      <c r="F39" s="67"/>
      <c r="G39" s="67"/>
      <c r="H39" s="71"/>
      <c r="N39" s="74"/>
      <c r="P39" s="9"/>
      <c r="Q39" s="9"/>
      <c r="R39" s="27">
        <f>SUM(R13:R38)</f>
        <v>1166409.366506991</v>
      </c>
      <c r="S39" s="28"/>
      <c r="T39" s="1"/>
      <c r="U39" s="1"/>
      <c r="V39" s="57"/>
      <c r="W39" s="58"/>
      <c r="Y39" s="1"/>
      <c r="Z39" s="20"/>
      <c r="AB39" s="1"/>
      <c r="AC39" s="20"/>
    </row>
    <row r="40" spans="1:29" s="15" customFormat="1" ht="13.8" customHeight="1" thickTop="1" x14ac:dyDescent="0.25">
      <c r="A40" s="1"/>
      <c r="B40" s="68"/>
      <c r="C40" s="67"/>
      <c r="D40" s="67"/>
      <c r="E40" s="67"/>
      <c r="F40" s="67"/>
      <c r="G40" s="67"/>
      <c r="H40" s="233"/>
      <c r="I40" s="448"/>
      <c r="N40" s="74"/>
      <c r="P40" s="9"/>
      <c r="Q40" s="9"/>
      <c r="R40" s="20"/>
      <c r="S40" s="1"/>
      <c r="T40" s="1"/>
      <c r="U40" s="1"/>
      <c r="V40" s="57"/>
      <c r="W40" s="382"/>
      <c r="Y40" s="1"/>
      <c r="Z40" s="20"/>
      <c r="AB40" s="1"/>
      <c r="AC40" s="20"/>
    </row>
    <row r="41" spans="1:29" s="15" customFormat="1" ht="13.05" customHeight="1" x14ac:dyDescent="0.25">
      <c r="A41" s="1"/>
      <c r="B41" s="68"/>
      <c r="C41" s="68"/>
      <c r="D41" s="68"/>
      <c r="E41" s="72"/>
      <c r="F41" s="72"/>
      <c r="G41" s="72"/>
      <c r="H41" s="72"/>
      <c r="I41" s="71"/>
      <c r="N41" s="414"/>
      <c r="O41" s="35"/>
      <c r="P41" s="9"/>
      <c r="Q41" s="9"/>
      <c r="R41" s="34"/>
      <c r="S41" s="34"/>
      <c r="T41" s="1"/>
      <c r="U41" s="1"/>
      <c r="V41" s="57"/>
      <c r="W41" s="382"/>
      <c r="Y41" s="1"/>
      <c r="Z41" s="20"/>
      <c r="AB41" s="1"/>
      <c r="AC41" s="20"/>
    </row>
    <row r="42" spans="1:29" s="15" customFormat="1" ht="13.05" customHeight="1" x14ac:dyDescent="0.25">
      <c r="A42" s="1"/>
      <c r="B42" s="68"/>
      <c r="C42" s="68"/>
      <c r="D42" s="68"/>
      <c r="E42" s="72"/>
      <c r="F42" s="72"/>
      <c r="G42" s="72"/>
      <c r="H42" s="72"/>
      <c r="I42" s="71"/>
      <c r="J42" s="234"/>
      <c r="K42" s="305"/>
      <c r="L42" s="305"/>
      <c r="M42" s="413"/>
      <c r="N42" s="414"/>
      <c r="O42" s="35"/>
      <c r="P42" s="436" t="s">
        <v>869</v>
      </c>
      <c r="Q42" s="437">
        <v>5.5E-2</v>
      </c>
      <c r="R42" s="21">
        <f>R39*Q42</f>
        <v>64152.515157884503</v>
      </c>
      <c r="S42" s="21" t="s">
        <v>870</v>
      </c>
      <c r="T42" s="1"/>
      <c r="U42" s="1"/>
      <c r="V42" s="57"/>
      <c r="W42" s="58"/>
      <c r="Y42" s="1"/>
      <c r="Z42" s="383"/>
      <c r="AB42" s="1"/>
      <c r="AC42" s="383"/>
    </row>
    <row r="43" spans="1:29" s="15" customFormat="1" ht="13.8" customHeight="1" thickBot="1" x14ac:dyDescent="0.3">
      <c r="A43" s="1"/>
      <c r="B43" s="68"/>
      <c r="C43" s="68"/>
      <c r="D43" s="68"/>
      <c r="E43" s="72"/>
      <c r="F43" s="72"/>
      <c r="G43" s="72"/>
      <c r="H43" s="72"/>
      <c r="I43" s="71"/>
      <c r="J43" s="234"/>
      <c r="K43" s="305"/>
      <c r="L43" s="305"/>
      <c r="M43" s="413"/>
      <c r="N43" s="414"/>
      <c r="O43" s="35"/>
      <c r="P43" s="19" t="s">
        <v>871</v>
      </c>
      <c r="Q43" s="437">
        <v>0.18</v>
      </c>
      <c r="R43" s="21">
        <f>R39*Q43</f>
        <v>209953.68597125835</v>
      </c>
      <c r="S43" s="21" t="s">
        <v>870</v>
      </c>
      <c r="T43" s="1"/>
      <c r="U43" s="1"/>
      <c r="V43" s="378"/>
      <c r="W43" s="425"/>
      <c r="Y43" s="1"/>
      <c r="Z43" s="20"/>
      <c r="AB43" s="1"/>
      <c r="AC43" s="20"/>
    </row>
    <row r="44" spans="1:29" s="15" customFormat="1" ht="13.05" customHeight="1" x14ac:dyDescent="0.2">
      <c r="B44" s="68"/>
      <c r="C44" s="68"/>
      <c r="D44" s="68"/>
      <c r="E44" s="67"/>
      <c r="F44" s="67"/>
      <c r="G44" s="67"/>
      <c r="H44" s="67"/>
      <c r="I44" s="233"/>
      <c r="J44" s="234"/>
      <c r="K44" s="234"/>
      <c r="L44" s="234"/>
      <c r="M44" s="234"/>
      <c r="N44" s="415"/>
      <c r="O44" s="35"/>
      <c r="P44" s="23"/>
      <c r="Q44" s="438"/>
      <c r="R44" s="21"/>
      <c r="S44" s="21"/>
      <c r="T44" s="1"/>
      <c r="U44" s="1"/>
      <c r="V44" s="416"/>
      <c r="W44" s="210"/>
      <c r="Y44" s="416"/>
      <c r="Z44" s="210"/>
      <c r="AB44" s="416"/>
      <c r="AC44" s="210"/>
    </row>
    <row r="45" spans="1:29" s="15" customFormat="1" ht="13.05" customHeight="1" x14ac:dyDescent="0.25">
      <c r="B45" s="66"/>
      <c r="C45" s="67"/>
      <c r="D45" s="67"/>
      <c r="E45" s="67"/>
      <c r="F45" s="67"/>
      <c r="G45" s="67"/>
      <c r="H45" s="71"/>
      <c r="N45" s="74"/>
      <c r="P45" s="30" t="s">
        <v>872</v>
      </c>
      <c r="Q45" s="439"/>
      <c r="R45" s="31">
        <f>SUM(R39:R44)</f>
        <v>1440515.5676361339</v>
      </c>
      <c r="S45" s="21" t="s">
        <v>873</v>
      </c>
      <c r="T45" s="1"/>
      <c r="U45" s="1"/>
    </row>
    <row r="46" spans="1:29" s="15" customFormat="1" ht="13.05" customHeight="1" x14ac:dyDescent="0.25">
      <c r="B46" s="68"/>
      <c r="C46" s="67"/>
      <c r="D46" s="67"/>
      <c r="E46" s="67"/>
      <c r="F46" s="67"/>
      <c r="G46" s="67"/>
      <c r="H46" s="233"/>
      <c r="I46" s="448"/>
      <c r="N46" s="74"/>
      <c r="P46" s="9"/>
      <c r="Q46" s="9"/>
      <c r="R46" s="31"/>
      <c r="S46" s="21"/>
      <c r="T46" s="1"/>
      <c r="U46" s="1"/>
    </row>
    <row r="47" spans="1:29" s="15" customFormat="1" ht="13.05" customHeight="1" x14ac:dyDescent="0.25">
      <c r="B47" s="68"/>
      <c r="C47" s="68"/>
      <c r="D47" s="68"/>
      <c r="E47" s="72"/>
      <c r="F47" s="72"/>
      <c r="G47" s="72"/>
      <c r="H47" s="72"/>
      <c r="I47" s="71"/>
      <c r="N47" s="414"/>
      <c r="O47" s="35"/>
      <c r="P47" s="440" t="s">
        <v>874</v>
      </c>
      <c r="Q47" s="441">
        <v>0.18</v>
      </c>
      <c r="R47" s="442">
        <f>R39*Q47</f>
        <v>209953.68597125835</v>
      </c>
      <c r="S47" s="21" t="s">
        <v>875</v>
      </c>
      <c r="T47" s="1"/>
      <c r="U47" s="1"/>
    </row>
    <row r="48" spans="1:29" s="15" customFormat="1" ht="13.05" customHeight="1" x14ac:dyDescent="0.25">
      <c r="A48" s="1"/>
      <c r="B48" s="68"/>
      <c r="C48" s="68"/>
      <c r="D48" s="68"/>
      <c r="E48" s="72"/>
      <c r="F48" s="72"/>
      <c r="G48" s="72"/>
      <c r="H48" s="72"/>
      <c r="I48" s="71"/>
      <c r="J48" s="234"/>
      <c r="K48" s="305"/>
      <c r="L48" s="305"/>
      <c r="M48" s="413"/>
      <c r="N48" s="414"/>
      <c r="O48" s="35"/>
      <c r="P48" s="9"/>
      <c r="Q48" s="9"/>
      <c r="R48" s="1"/>
      <c r="S48" s="1"/>
      <c r="T48" s="1"/>
      <c r="U48" s="1"/>
      <c r="V48" s="451"/>
    </row>
    <row r="49" spans="1:23" s="15" customFormat="1" ht="14.4" customHeight="1" x14ac:dyDescent="0.35">
      <c r="A49" s="1"/>
      <c r="B49" s="68"/>
      <c r="C49" s="68"/>
      <c r="D49" s="68"/>
      <c r="E49" s="72"/>
      <c r="F49" s="72"/>
      <c r="G49" s="72"/>
      <c r="H49" s="72"/>
      <c r="I49" s="71"/>
      <c r="J49" s="234"/>
      <c r="K49" s="305"/>
      <c r="L49" s="305"/>
      <c r="M49" s="413"/>
      <c r="N49" s="414"/>
      <c r="O49" s="35"/>
      <c r="P49" s="9"/>
      <c r="Q49" s="9"/>
      <c r="R49" s="33">
        <f>SUM(R45:R47)</f>
        <v>1650469.2536073923</v>
      </c>
      <c r="S49" s="1"/>
      <c r="T49" s="1"/>
      <c r="U49" s="1"/>
      <c r="V49" s="1"/>
      <c r="W49" s="20"/>
    </row>
    <row r="50" spans="1:23" s="15" customFormat="1" ht="13.05" customHeight="1" x14ac:dyDescent="0.2">
      <c r="B50" s="68"/>
      <c r="C50" s="68"/>
      <c r="D50" s="68"/>
      <c r="E50" s="67"/>
      <c r="F50" s="67"/>
      <c r="G50" s="67"/>
      <c r="H50" s="67"/>
      <c r="I50" s="233"/>
      <c r="J50" s="234"/>
      <c r="K50" s="234"/>
      <c r="L50" s="234"/>
      <c r="M50" s="234"/>
      <c r="N50" s="415"/>
      <c r="O50" s="35"/>
      <c r="P50" s="9"/>
      <c r="Q50" s="9"/>
      <c r="R50" s="1"/>
      <c r="S50" s="1"/>
      <c r="T50" s="1"/>
      <c r="U50" s="1"/>
      <c r="V50" s="1"/>
      <c r="W50" s="20"/>
    </row>
    <row r="51" spans="1:23" s="15" customFormat="1" ht="13.05" customHeight="1" x14ac:dyDescent="0.25">
      <c r="B51" s="66"/>
      <c r="C51" s="67"/>
      <c r="D51" s="67"/>
      <c r="E51" s="67"/>
      <c r="F51" s="67"/>
      <c r="G51" s="67"/>
      <c r="H51" s="71"/>
      <c r="N51" s="74"/>
      <c r="P51" s="443" t="s">
        <v>876</v>
      </c>
      <c r="Q51" s="444">
        <f>SUM(Q42:Q50)</f>
        <v>0.41499999999999998</v>
      </c>
      <c r="R51" s="1"/>
      <c r="S51" s="1"/>
      <c r="T51" s="1"/>
      <c r="U51" s="1"/>
      <c r="V51" s="1"/>
      <c r="W51" s="20"/>
    </row>
    <row r="52" spans="1:23" s="15" customFormat="1" ht="13.05" customHeight="1" x14ac:dyDescent="0.25">
      <c r="B52" s="68"/>
      <c r="C52" s="67"/>
      <c r="D52" s="67"/>
      <c r="E52" s="67"/>
      <c r="F52" s="67"/>
      <c r="G52" s="67"/>
      <c r="H52" s="233"/>
      <c r="I52" s="448"/>
      <c r="N52" s="74"/>
      <c r="P52" s="443"/>
      <c r="Q52" s="444"/>
      <c r="R52" s="1"/>
      <c r="S52" s="1"/>
      <c r="T52" s="1"/>
      <c r="U52" s="1"/>
      <c r="V52" s="1"/>
      <c r="W52" s="383"/>
    </row>
    <row r="53" spans="1:23" s="15" customFormat="1" ht="13.05" customHeight="1" x14ac:dyDescent="0.25">
      <c r="B53" s="68"/>
      <c r="C53" s="68"/>
      <c r="D53" s="68"/>
      <c r="E53" s="72"/>
      <c r="F53" s="72"/>
      <c r="G53" s="72"/>
      <c r="H53" s="72"/>
      <c r="I53" s="71"/>
      <c r="N53" s="414"/>
      <c r="O53" s="35"/>
      <c r="P53" s="445" t="s">
        <v>877</v>
      </c>
      <c r="Q53" s="446"/>
      <c r="R53" s="447">
        <f>R48</f>
        <v>0</v>
      </c>
      <c r="S53" s="1"/>
      <c r="T53" s="1"/>
      <c r="U53" s="1"/>
      <c r="V53" s="1"/>
      <c r="W53" s="20"/>
    </row>
    <row r="54" spans="1:23" s="15" customFormat="1" ht="13.05" customHeight="1" x14ac:dyDescent="0.25">
      <c r="A54" s="1"/>
      <c r="B54" s="68"/>
      <c r="C54" s="68"/>
      <c r="D54" s="68"/>
      <c r="E54" s="72"/>
      <c r="F54" s="72"/>
      <c r="G54" s="72"/>
      <c r="H54" s="72"/>
      <c r="I54" s="71"/>
      <c r="J54" s="234"/>
      <c r="K54" s="305"/>
      <c r="L54" s="305"/>
      <c r="M54" s="413"/>
      <c r="N54" s="414"/>
      <c r="O54" s="35"/>
      <c r="P54" s="9"/>
      <c r="Q54" s="9"/>
      <c r="R54" s="1"/>
      <c r="S54" s="1"/>
      <c r="T54" s="1"/>
      <c r="U54" s="1"/>
      <c r="V54" s="416"/>
      <c r="W54" s="210"/>
    </row>
    <row r="55" spans="1:23" s="15" customFormat="1" ht="13.05" customHeight="1" x14ac:dyDescent="0.25">
      <c r="A55" s="1"/>
      <c r="B55" s="68"/>
      <c r="C55" s="68"/>
      <c r="D55" s="68"/>
      <c r="E55" s="72"/>
      <c r="F55" s="72"/>
      <c r="G55" s="72"/>
      <c r="H55" s="72"/>
      <c r="I55" s="71"/>
      <c r="J55" s="234"/>
      <c r="K55" s="305"/>
      <c r="L55" s="305"/>
      <c r="M55" s="413"/>
      <c r="N55" s="414"/>
      <c r="O55" s="35"/>
      <c r="P55" s="9"/>
      <c r="Q55" s="9"/>
      <c r="R55" s="1"/>
      <c r="S55" s="1"/>
      <c r="T55" s="1"/>
      <c r="U55" s="1"/>
    </row>
    <row r="56" spans="1:23" s="15" customFormat="1" ht="13.05" customHeight="1" x14ac:dyDescent="0.2">
      <c r="B56" s="68"/>
      <c r="C56" s="68"/>
      <c r="D56" s="68"/>
      <c r="E56" s="67"/>
      <c r="F56" s="67"/>
      <c r="G56" s="67"/>
      <c r="H56" s="67"/>
      <c r="I56" s="233"/>
      <c r="J56" s="234"/>
      <c r="K56" s="234"/>
      <c r="L56" s="234"/>
      <c r="M56" s="234"/>
      <c r="N56" s="415"/>
      <c r="O56" s="35"/>
      <c r="P56" s="9"/>
      <c r="Q56" s="9"/>
      <c r="R56" s="1"/>
      <c r="S56" s="1"/>
      <c r="T56" s="1"/>
      <c r="U56" s="1"/>
    </row>
    <row r="57" spans="1:23" s="15" customFormat="1" ht="13.05" customHeight="1" x14ac:dyDescent="0.25">
      <c r="B57" s="66"/>
      <c r="C57" s="67"/>
      <c r="D57" s="67"/>
      <c r="E57" s="67"/>
      <c r="F57" s="67"/>
      <c r="G57" s="67"/>
      <c r="H57" s="71"/>
      <c r="N57" s="74"/>
      <c r="P57" s="9"/>
      <c r="Q57" s="9"/>
      <c r="R57" s="1"/>
      <c r="S57" s="1"/>
      <c r="T57" s="1"/>
      <c r="U57" s="1"/>
      <c r="V57" s="229"/>
    </row>
    <row r="58" spans="1:23" s="15" customFormat="1" ht="13.05" customHeight="1" x14ac:dyDescent="0.25">
      <c r="B58" s="68"/>
      <c r="C58" s="67"/>
      <c r="D58" s="67"/>
      <c r="E58" s="67"/>
      <c r="F58" s="67"/>
      <c r="G58" s="67"/>
      <c r="H58" s="233"/>
      <c r="I58" s="448"/>
      <c r="N58" s="74"/>
      <c r="P58" s="9"/>
      <c r="Q58" s="9"/>
      <c r="R58" s="1"/>
      <c r="S58" s="1"/>
      <c r="T58" s="1"/>
      <c r="U58" s="1"/>
    </row>
    <row r="59" spans="1:23" s="15" customFormat="1" ht="13.05" customHeight="1" x14ac:dyDescent="0.25">
      <c r="B59" s="68"/>
      <c r="C59" s="68"/>
      <c r="D59" s="68"/>
      <c r="E59" s="72"/>
      <c r="F59" s="72"/>
      <c r="G59" s="72"/>
      <c r="H59" s="72"/>
      <c r="I59" s="71"/>
      <c r="N59" s="414"/>
      <c r="O59" s="35"/>
      <c r="P59" s="9"/>
      <c r="Q59" s="9"/>
      <c r="R59" s="1"/>
      <c r="S59" s="1"/>
      <c r="T59" s="1"/>
      <c r="U59" s="1"/>
      <c r="V59" s="451"/>
    </row>
    <row r="60" spans="1:23" s="15" customFormat="1" ht="13.05" customHeight="1" x14ac:dyDescent="0.25">
      <c r="A60" s="1"/>
      <c r="B60" s="68"/>
      <c r="C60" s="68"/>
      <c r="D60" s="68"/>
      <c r="E60" s="72"/>
      <c r="F60" s="72"/>
      <c r="G60" s="72"/>
      <c r="H60" s="72"/>
      <c r="I60" s="71"/>
      <c r="J60" s="234"/>
      <c r="K60" s="305"/>
      <c r="L60" s="305"/>
      <c r="M60" s="413"/>
      <c r="N60" s="414"/>
      <c r="O60" s="35"/>
      <c r="P60" s="9"/>
      <c r="Q60" s="9"/>
      <c r="R60" s="1"/>
      <c r="S60" s="1"/>
      <c r="T60" s="1"/>
      <c r="U60" s="1"/>
      <c r="V60" s="1"/>
      <c r="W60" s="20"/>
    </row>
    <row r="61" spans="1:23" s="15" customFormat="1" ht="13.05" customHeight="1" x14ac:dyDescent="0.25">
      <c r="A61" s="1"/>
      <c r="B61" s="68"/>
      <c r="C61" s="68"/>
      <c r="D61" s="68"/>
      <c r="E61" s="72"/>
      <c r="F61" s="72"/>
      <c r="G61" s="72"/>
      <c r="H61" s="72"/>
      <c r="I61" s="71"/>
      <c r="J61" s="234"/>
      <c r="K61" s="305"/>
      <c r="L61" s="305"/>
      <c r="M61" s="413"/>
      <c r="N61" s="414"/>
      <c r="O61" s="35"/>
      <c r="P61" s="9"/>
      <c r="Q61" s="9"/>
      <c r="R61" s="1"/>
      <c r="S61" s="1"/>
      <c r="T61" s="1"/>
      <c r="U61" s="1"/>
      <c r="V61" s="1"/>
      <c r="W61" s="20"/>
    </row>
    <row r="62" spans="1:23" s="15" customFormat="1" x14ac:dyDescent="0.2">
      <c r="B62" s="68"/>
      <c r="C62" s="68"/>
      <c r="D62" s="68"/>
      <c r="E62" s="67"/>
      <c r="F62" s="67"/>
      <c r="G62" s="67"/>
      <c r="H62" s="67"/>
      <c r="I62" s="233"/>
      <c r="J62" s="234"/>
      <c r="K62" s="234"/>
      <c r="L62" s="234"/>
      <c r="M62" s="234"/>
      <c r="N62" s="67"/>
      <c r="O62" s="35"/>
      <c r="P62" s="9"/>
      <c r="Q62" s="9"/>
      <c r="R62" s="1"/>
      <c r="S62" s="1"/>
      <c r="T62" s="1"/>
      <c r="U62" s="1"/>
      <c r="V62" s="1"/>
      <c r="W62" s="20"/>
    </row>
    <row r="63" spans="1:23" s="15" customFormat="1" x14ac:dyDescent="0.2">
      <c r="B63" s="68"/>
      <c r="C63" s="68"/>
      <c r="D63" s="68"/>
      <c r="E63" s="67"/>
      <c r="F63" s="67"/>
      <c r="G63" s="67"/>
      <c r="H63" s="67"/>
      <c r="I63" s="233"/>
      <c r="J63" s="234"/>
      <c r="K63" s="234"/>
      <c r="L63" s="234"/>
      <c r="M63" s="234"/>
      <c r="N63" s="67"/>
      <c r="O63" s="35"/>
      <c r="P63" s="9"/>
      <c r="Q63" s="9"/>
      <c r="R63" s="1"/>
      <c r="S63" s="1"/>
      <c r="T63" s="1"/>
      <c r="U63" s="1"/>
      <c r="V63" s="1"/>
      <c r="W63" s="383"/>
    </row>
    <row r="64" spans="1:23" s="15" customFormat="1" ht="13.8" customHeight="1" thickBot="1" x14ac:dyDescent="0.3">
      <c r="B64" s="68"/>
      <c r="C64" s="67"/>
      <c r="D64" s="68"/>
      <c r="E64" s="67"/>
      <c r="F64" s="67"/>
      <c r="G64" s="67"/>
      <c r="H64" s="67"/>
      <c r="I64" s="71"/>
      <c r="J64" s="234"/>
      <c r="K64" s="234"/>
      <c r="L64" s="234"/>
      <c r="M64" s="459" t="s">
        <v>878</v>
      </c>
      <c r="N64" s="75">
        <f>SUM(N16:N63)</f>
        <v>1679321.949107392</v>
      </c>
      <c r="O64" s="35"/>
      <c r="P64" s="9"/>
      <c r="Q64" s="9"/>
      <c r="R64" s="1"/>
      <c r="S64" s="1"/>
      <c r="T64" s="1"/>
      <c r="U64" s="293"/>
      <c r="V64" s="1"/>
      <c r="W64" s="20"/>
    </row>
    <row r="65" spans="1:29" s="15" customFormat="1" ht="13.8" customHeight="1" thickTop="1" x14ac:dyDescent="0.25">
      <c r="B65" s="68"/>
      <c r="C65" s="67"/>
      <c r="D65" s="68"/>
      <c r="E65" s="67"/>
      <c r="F65" s="67"/>
      <c r="G65" s="67"/>
      <c r="H65" s="67"/>
      <c r="I65" s="71"/>
      <c r="J65" s="234"/>
      <c r="K65" s="234"/>
      <c r="L65" s="234"/>
      <c r="M65" s="65"/>
      <c r="N65" s="76"/>
      <c r="O65" s="35"/>
      <c r="P65" s="9"/>
      <c r="Q65" s="9"/>
      <c r="R65" s="1"/>
      <c r="S65" s="1"/>
      <c r="T65" s="1"/>
      <c r="U65" s="1"/>
      <c r="V65" s="416"/>
      <c r="W65" s="210"/>
    </row>
    <row r="66" spans="1:29" s="15" customFormat="1" ht="13.05" customHeight="1" x14ac:dyDescent="0.25">
      <c r="B66" s="68"/>
      <c r="C66" s="67"/>
      <c r="D66" s="68"/>
      <c r="E66" s="67"/>
      <c r="F66" s="67"/>
      <c r="G66" s="67"/>
      <c r="H66" s="67"/>
      <c r="I66" s="71"/>
      <c r="J66" s="234"/>
      <c r="K66" s="234"/>
      <c r="L66" s="234"/>
      <c r="M66" s="460" t="s">
        <v>879</v>
      </c>
      <c r="N66" s="76"/>
      <c r="O66" s="35"/>
      <c r="P66" s="9"/>
      <c r="Q66" s="9"/>
      <c r="R66" s="1"/>
      <c r="S66" s="1"/>
      <c r="T66" s="1"/>
      <c r="U66" s="1"/>
    </row>
    <row r="67" spans="1:29" s="15" customFormat="1" ht="13.05" customHeight="1" x14ac:dyDescent="0.25">
      <c r="B67" s="68"/>
      <c r="C67" s="67"/>
      <c r="D67" s="68"/>
      <c r="E67" s="67"/>
      <c r="F67" s="67"/>
      <c r="G67" s="67"/>
      <c r="H67" s="67"/>
      <c r="I67" s="71"/>
      <c r="J67" s="234"/>
      <c r="K67" s="234"/>
      <c r="L67" s="234"/>
      <c r="M67" s="65"/>
      <c r="N67" s="76"/>
      <c r="O67" s="35"/>
      <c r="P67" s="211" t="s">
        <v>869</v>
      </c>
      <c r="Q67" s="298">
        <f>R42/R39</f>
        <v>5.5E-2</v>
      </c>
      <c r="R67" s="1"/>
      <c r="S67" s="1"/>
      <c r="T67" s="1"/>
      <c r="U67" s="1"/>
    </row>
    <row r="68" spans="1:29" s="15" customFormat="1" ht="13.8" customHeight="1" thickBot="1" x14ac:dyDescent="0.3">
      <c r="B68" s="68"/>
      <c r="C68" s="67"/>
      <c r="D68" s="68"/>
      <c r="E68" s="67"/>
      <c r="F68" s="67"/>
      <c r="G68" s="67"/>
      <c r="H68" s="67"/>
      <c r="I68" s="71"/>
      <c r="J68" s="234"/>
      <c r="K68" s="234"/>
      <c r="L68" s="234"/>
      <c r="M68" s="77"/>
      <c r="N68" s="78"/>
      <c r="O68" s="35"/>
      <c r="P68" s="212" t="s">
        <v>871</v>
      </c>
      <c r="Q68" s="299">
        <f>R43/R39</f>
        <v>0.18</v>
      </c>
      <c r="R68" s="1"/>
      <c r="S68" s="1"/>
      <c r="T68" s="1"/>
      <c r="U68" s="209"/>
      <c r="V68" s="229"/>
    </row>
    <row r="69" spans="1:29" s="15" customFormat="1" ht="13.8" customHeight="1" thickTop="1" x14ac:dyDescent="0.2">
      <c r="B69" s="68"/>
      <c r="C69" s="67"/>
      <c r="D69" s="68"/>
      <c r="E69" s="67"/>
      <c r="F69" s="67"/>
      <c r="G69" s="67"/>
      <c r="H69" s="67"/>
      <c r="I69" s="71"/>
      <c r="J69" s="234"/>
      <c r="K69" s="234"/>
      <c r="L69" s="234"/>
      <c r="M69" s="234"/>
      <c r="N69" s="67"/>
      <c r="O69" s="35"/>
      <c r="P69" s="23"/>
      <c r="Q69" s="29" t="s">
        <v>880</v>
      </c>
      <c r="R69" s="1"/>
      <c r="S69" s="1"/>
      <c r="T69" s="1"/>
      <c r="U69" s="1"/>
    </row>
    <row r="70" spans="1:29" s="15" customFormat="1" ht="13.05" customHeight="1" x14ac:dyDescent="0.2">
      <c r="B70" s="68"/>
      <c r="C70" s="67"/>
      <c r="D70" s="68"/>
      <c r="E70" s="67"/>
      <c r="F70" s="67"/>
      <c r="G70" s="67"/>
      <c r="H70" s="67"/>
      <c r="I70" s="71"/>
      <c r="J70" s="234"/>
      <c r="K70" s="234"/>
      <c r="L70" s="234"/>
      <c r="M70" s="461" t="s">
        <v>881</v>
      </c>
      <c r="N70" s="67"/>
      <c r="O70" s="35"/>
      <c r="P70" s="30" t="s">
        <v>872</v>
      </c>
      <c r="Q70" s="30"/>
      <c r="R70" s="1" t="s">
        <v>882</v>
      </c>
      <c r="S70" s="1"/>
      <c r="T70" s="1"/>
      <c r="U70" s="1"/>
    </row>
    <row r="71" spans="1:29" s="15" customFormat="1" ht="13.05" customHeight="1" x14ac:dyDescent="0.2">
      <c r="B71" s="68"/>
      <c r="C71" s="67"/>
      <c r="D71" s="68"/>
      <c r="E71" s="67"/>
      <c r="F71" s="67"/>
      <c r="G71" s="67"/>
      <c r="H71" s="67"/>
      <c r="I71" s="71"/>
      <c r="J71" s="234"/>
      <c r="K71" s="234"/>
      <c r="L71" s="234"/>
      <c r="M71" s="234" t="s">
        <v>883</v>
      </c>
      <c r="N71" s="462">
        <f>(S71+S72+S73+S74)*1.15</f>
        <v>207268.83549999999</v>
      </c>
      <c r="O71" s="457" t="s">
        <v>884</v>
      </c>
      <c r="P71" s="23"/>
      <c r="Q71" s="30"/>
      <c r="R71" s="1" t="s">
        <v>885</v>
      </c>
      <c r="S71" s="463">
        <v>252694.77</v>
      </c>
      <c r="T71" s="1"/>
      <c r="U71" s="1"/>
      <c r="V71" s="451"/>
      <c r="Y71" s="451"/>
      <c r="AB71" s="451"/>
    </row>
    <row r="72" spans="1:29" s="15" customFormat="1" x14ac:dyDescent="0.2">
      <c r="A72" s="1"/>
      <c r="B72" s="68"/>
      <c r="C72" s="68"/>
      <c r="D72" s="68"/>
      <c r="E72" s="72"/>
      <c r="F72" s="72"/>
      <c r="G72" s="72"/>
      <c r="H72" s="72"/>
      <c r="I72" s="233"/>
      <c r="J72" s="234"/>
      <c r="K72" s="234"/>
      <c r="L72" s="234"/>
      <c r="M72" s="73" t="s">
        <v>886</v>
      </c>
      <c r="N72" s="464">
        <f>2*11050*1.15</f>
        <v>25414.999999999996</v>
      </c>
      <c r="O72" s="1"/>
      <c r="P72" s="23" t="s">
        <v>887</v>
      </c>
      <c r="Q72" s="225">
        <v>0.18</v>
      </c>
      <c r="R72" s="1" t="s">
        <v>888</v>
      </c>
      <c r="S72" s="463">
        <v>-44200</v>
      </c>
      <c r="T72" s="1"/>
      <c r="U72" s="1"/>
      <c r="V72" s="1"/>
      <c r="W72" s="20"/>
      <c r="Y72" s="1"/>
      <c r="Z72" s="20"/>
      <c r="AB72" s="1"/>
      <c r="AC72" s="20"/>
    </row>
    <row r="73" spans="1:29" s="15" customFormat="1" x14ac:dyDescent="0.2">
      <c r="A73" s="1"/>
      <c r="B73" s="68"/>
      <c r="C73" s="68"/>
      <c r="D73" s="68"/>
      <c r="E73" s="72"/>
      <c r="F73" s="72"/>
      <c r="G73" s="72"/>
      <c r="H73" s="72"/>
      <c r="I73" s="233"/>
      <c r="J73" s="234"/>
      <c r="K73" s="234"/>
      <c r="L73" s="234"/>
      <c r="M73" s="73" t="s">
        <v>889</v>
      </c>
      <c r="N73" s="463">
        <v>20000</v>
      </c>
      <c r="O73" s="457" t="s">
        <v>890</v>
      </c>
      <c r="P73" s="22" t="s">
        <v>876</v>
      </c>
      <c r="Q73" s="304">
        <f>SUM(Q67:Q72)</f>
        <v>0.41499999999999998</v>
      </c>
      <c r="R73" s="1" t="s">
        <v>891</v>
      </c>
      <c r="S73" s="463">
        <v>-38261</v>
      </c>
      <c r="T73" s="1"/>
      <c r="U73" s="1"/>
      <c r="V73" s="1"/>
      <c r="W73" s="20"/>
      <c r="Y73" s="1"/>
      <c r="Z73" s="20"/>
      <c r="AB73" s="1"/>
      <c r="AC73" s="20"/>
    </row>
    <row r="74" spans="1:29" s="15" customFormat="1" x14ac:dyDescent="0.25">
      <c r="A74" s="1"/>
      <c r="B74" s="65"/>
      <c r="C74" s="60"/>
      <c r="D74" s="60"/>
      <c r="E74" s="1"/>
      <c r="F74" s="1"/>
      <c r="G74" s="1"/>
      <c r="H74" s="1"/>
      <c r="I74" s="1"/>
      <c r="J74" s="1"/>
      <c r="K74" s="1"/>
      <c r="L74" s="1"/>
      <c r="M74" s="17" t="s">
        <v>892</v>
      </c>
      <c r="N74" s="464">
        <f>S75*1.15</f>
        <v>17250</v>
      </c>
      <c r="O74" s="19"/>
      <c r="P74" s="23" t="s">
        <v>893</v>
      </c>
      <c r="Q74" s="32"/>
      <c r="R74" s="1" t="s">
        <v>894</v>
      </c>
      <c r="S74" s="463">
        <v>10000</v>
      </c>
      <c r="T74" s="1"/>
      <c r="U74" s="1"/>
      <c r="V74" s="1"/>
      <c r="W74" s="20"/>
      <c r="Y74" s="1"/>
      <c r="Z74" s="20"/>
      <c r="AB74" s="1"/>
      <c r="AC74" s="20"/>
    </row>
    <row r="75" spans="1:29" s="15" customFormat="1" ht="13.05" customHeight="1" x14ac:dyDescent="0.25">
      <c r="A75" s="1"/>
      <c r="B75" s="60"/>
      <c r="C75" s="69"/>
      <c r="D75" s="69"/>
      <c r="E75" s="18"/>
      <c r="F75" s="18"/>
      <c r="G75" s="18"/>
      <c r="H75" s="18"/>
      <c r="I75" s="18"/>
      <c r="J75" s="18"/>
      <c r="K75" s="18"/>
      <c r="L75" s="1"/>
      <c r="M75" s="1" t="s">
        <v>895</v>
      </c>
      <c r="N75" s="465">
        <f>2*S78*1.15</f>
        <v>16560</v>
      </c>
      <c r="O75" s="20"/>
      <c r="P75" s="1"/>
      <c r="Q75" s="1"/>
      <c r="R75" s="1" t="s">
        <v>896</v>
      </c>
      <c r="S75" s="463">
        <v>15000</v>
      </c>
      <c r="T75" s="1"/>
      <c r="U75" s="1"/>
      <c r="V75" s="1"/>
      <c r="W75" s="383"/>
      <c r="Y75" s="1"/>
      <c r="Z75" s="383"/>
      <c r="AB75" s="1"/>
      <c r="AC75" s="383"/>
    </row>
    <row r="76" spans="1:29" s="15" customFormat="1" x14ac:dyDescent="0.25">
      <c r="A76" s="1"/>
      <c r="B76" s="60"/>
      <c r="C76" s="60"/>
      <c r="D76" s="60"/>
      <c r="E76" s="1"/>
      <c r="F76" s="1"/>
      <c r="G76" s="1"/>
      <c r="H76" s="1"/>
      <c r="I76" s="229"/>
      <c r="J76" s="1"/>
      <c r="K76" s="1"/>
      <c r="L76" s="227"/>
      <c r="M76" s="1" t="s">
        <v>897</v>
      </c>
      <c r="N76" s="463">
        <f>4*S78*1.15</f>
        <v>33120</v>
      </c>
      <c r="O76" s="19"/>
      <c r="P76" s="9"/>
      <c r="Q76" s="9"/>
      <c r="R76" s="1" t="s">
        <v>898</v>
      </c>
      <c r="S76" s="463">
        <f>SUM(S71:S75)</f>
        <v>195233.77</v>
      </c>
      <c r="T76" s="1"/>
      <c r="U76" s="1"/>
      <c r="V76" s="1"/>
      <c r="W76" s="20"/>
      <c r="Y76" s="1"/>
      <c r="Z76" s="20"/>
      <c r="AB76" s="1"/>
      <c r="AC76" s="20"/>
    </row>
    <row r="77" spans="1:29" s="15" customFormat="1" x14ac:dyDescent="0.25">
      <c r="A77" s="1"/>
      <c r="B77" s="60"/>
      <c r="C77" s="60"/>
      <c r="D77" s="60"/>
      <c r="E77" s="1"/>
      <c r="F77" s="1"/>
      <c r="G77" s="1"/>
      <c r="H77" s="1"/>
      <c r="I77" s="1"/>
      <c r="J77" s="1"/>
      <c r="K77" s="1"/>
      <c r="L77" s="1"/>
      <c r="M77" s="1" t="s">
        <v>899</v>
      </c>
      <c r="N77" s="466">
        <v>20000</v>
      </c>
      <c r="O77" s="20"/>
      <c r="P77" s="9"/>
      <c r="Q77" s="9"/>
      <c r="R77" s="457" t="s">
        <v>900</v>
      </c>
      <c r="S77" s="1"/>
      <c r="T77" s="1"/>
      <c r="U77" s="1"/>
      <c r="V77" s="416"/>
      <c r="W77" s="210"/>
      <c r="Y77" s="416"/>
      <c r="Z77" s="210"/>
      <c r="AB77" s="416"/>
      <c r="AC77" s="210"/>
    </row>
    <row r="78" spans="1:29" s="15" customFormat="1" ht="13.05" customHeight="1" x14ac:dyDescent="0.25">
      <c r="A78" s="1"/>
      <c r="B78" s="60"/>
      <c r="C78" s="60"/>
      <c r="D78" s="60"/>
      <c r="E78" s="1"/>
      <c r="F78" s="1"/>
      <c r="G78" s="1"/>
      <c r="H78" s="1"/>
      <c r="I78" s="228"/>
      <c r="J78" s="2"/>
      <c r="K78" s="1"/>
      <c r="L78" s="253"/>
      <c r="M78" s="467" t="s">
        <v>901</v>
      </c>
      <c r="N78" s="468">
        <f>SUM(N71:N77)</f>
        <v>339613.83549999999</v>
      </c>
      <c r="O78" s="24"/>
      <c r="P78" s="9"/>
      <c r="Q78" s="9"/>
      <c r="R78" s="1" t="s">
        <v>902</v>
      </c>
      <c r="S78" s="463">
        <v>7200</v>
      </c>
      <c r="T78" s="1"/>
      <c r="U78" s="1"/>
    </row>
    <row r="79" spans="1:29" s="15" customFormat="1" ht="13.05" customHeight="1" x14ac:dyDescent="0.25">
      <c r="A79" s="1"/>
      <c r="B79" s="60"/>
      <c r="C79" s="70"/>
      <c r="D79" s="70"/>
      <c r="E79" s="22"/>
      <c r="F79" s="22"/>
      <c r="G79" s="22"/>
      <c r="H79" s="22"/>
      <c r="I79" s="22"/>
      <c r="J79" s="22"/>
      <c r="K79" s="22"/>
      <c r="L79" s="76"/>
      <c r="M79" s="65"/>
      <c r="N79" s="253"/>
      <c r="O79" s="1"/>
      <c r="P79" s="9"/>
      <c r="Q79" s="9"/>
      <c r="R79" s="1"/>
      <c r="S79" s="1"/>
      <c r="T79" s="1"/>
      <c r="U79" s="1"/>
    </row>
    <row r="80" spans="1:29" s="15" customFormat="1" ht="13.05" customHeight="1" x14ac:dyDescent="0.25">
      <c r="A80" s="1"/>
      <c r="B80" s="60"/>
      <c r="C80" s="60"/>
      <c r="D80" s="60"/>
      <c r="E80" s="1"/>
      <c r="F80" s="1"/>
      <c r="G80" s="1"/>
      <c r="H80" s="1"/>
      <c r="I80" s="1"/>
      <c r="J80" s="1"/>
      <c r="K80" s="1"/>
      <c r="L80" s="76"/>
      <c r="M80" s="459" t="s">
        <v>903</v>
      </c>
      <c r="N80" s="76"/>
      <c r="O80" s="1"/>
      <c r="P80" s="1"/>
      <c r="Q80" s="1"/>
      <c r="R80" s="1"/>
      <c r="S80" s="1"/>
      <c r="T80" s="1"/>
      <c r="U80" s="1"/>
      <c r="V80" s="229"/>
      <c r="X80" s="1"/>
      <c r="Y80" s="1"/>
      <c r="Z80" s="1"/>
      <c r="AA80" s="1"/>
      <c r="AB80" s="1"/>
      <c r="AC80" s="1"/>
    </row>
    <row r="81" spans="1:29" s="15" customFormat="1" ht="13.05" customHeight="1" x14ac:dyDescent="0.25">
      <c r="A81" s="1"/>
      <c r="B81" s="60"/>
      <c r="C81" s="60"/>
      <c r="D81" s="60"/>
      <c r="E81" s="1"/>
      <c r="F81" s="1"/>
      <c r="G81" s="1"/>
      <c r="H81" s="1"/>
      <c r="I81" s="1"/>
      <c r="J81" s="1"/>
      <c r="K81" s="1"/>
      <c r="L81" s="76"/>
      <c r="M81" s="65" t="s">
        <v>904</v>
      </c>
      <c r="N81" s="469">
        <f>N16+N29+(N32+N33)*146/166</f>
        <v>1499036.2708262296</v>
      </c>
      <c r="O81" s="1"/>
      <c r="P81" s="19"/>
      <c r="Q81" s="19"/>
      <c r="R81" s="1"/>
      <c r="S81" s="1"/>
      <c r="T81" s="1"/>
      <c r="U81" s="1"/>
      <c r="V81" s="1"/>
      <c r="W81" s="20"/>
      <c r="X81" s="1"/>
      <c r="Y81" s="1"/>
      <c r="Z81" s="1"/>
      <c r="AA81" s="1"/>
      <c r="AB81" s="1"/>
      <c r="AC81" s="1"/>
    </row>
    <row r="82" spans="1:29" s="15" customFormat="1" ht="13.05" customHeight="1" x14ac:dyDescent="0.25">
      <c r="A82" s="1"/>
      <c r="B82" s="60"/>
      <c r="C82" s="60"/>
      <c r="D82" s="60"/>
      <c r="E82" s="1"/>
      <c r="F82" s="1"/>
      <c r="G82" s="1"/>
      <c r="H82" s="1"/>
      <c r="I82" s="1"/>
      <c r="J82" s="1"/>
      <c r="K82" s="1"/>
      <c r="L82" s="254"/>
      <c r="M82" s="77" t="s">
        <v>905</v>
      </c>
      <c r="N82" s="469">
        <f>N71+N72+N73</f>
        <v>252683.83549999999</v>
      </c>
      <c r="O82" s="1"/>
      <c r="P82" s="20"/>
      <c r="Q82" s="20"/>
      <c r="R82" s="1"/>
      <c r="S82" s="1"/>
      <c r="T82" s="1"/>
      <c r="U82" s="1"/>
      <c r="V82" s="451"/>
      <c r="X82" s="1"/>
      <c r="Y82" s="451"/>
      <c r="AA82" s="1"/>
      <c r="AB82" s="451"/>
    </row>
    <row r="83" spans="1:29" s="15" customFormat="1" ht="10.199999999999999" customHeight="1" x14ac:dyDescent="0.25">
      <c r="A83" s="1"/>
      <c r="B83" s="60"/>
      <c r="C83" s="60"/>
      <c r="D83" s="60"/>
      <c r="E83" s="1"/>
      <c r="F83" s="1"/>
      <c r="G83" s="1"/>
      <c r="H83" s="1"/>
      <c r="I83" s="1"/>
      <c r="J83" s="1"/>
      <c r="K83" s="1"/>
      <c r="L83" s="1"/>
      <c r="M83" s="461" t="s">
        <v>906</v>
      </c>
      <c r="N83" s="470">
        <f>N81+N82</f>
        <v>1751720.1063262296</v>
      </c>
      <c r="O83" s="1"/>
      <c r="P83" s="34"/>
      <c r="Q83" s="34"/>
      <c r="R83" s="1"/>
      <c r="S83" s="1"/>
      <c r="T83" s="1"/>
      <c r="U83" s="1"/>
      <c r="V83" s="1"/>
      <c r="W83" s="20"/>
      <c r="X83" s="1"/>
      <c r="Y83" s="1"/>
      <c r="Z83" s="20"/>
      <c r="AA83" s="1"/>
      <c r="AB83" s="1"/>
      <c r="AC83" s="20"/>
    </row>
    <row r="84" spans="1:29" s="15" customFormat="1" ht="10.199999999999999" customHeight="1" x14ac:dyDescent="0.25">
      <c r="A84" s="1"/>
      <c r="B84" s="60"/>
      <c r="C84" s="60"/>
      <c r="D84" s="60"/>
      <c r="E84" s="1"/>
      <c r="F84" s="1"/>
      <c r="G84" s="1"/>
      <c r="H84" s="1"/>
      <c r="I84" s="1"/>
      <c r="J84" s="1"/>
      <c r="K84" s="1"/>
      <c r="L84" s="1"/>
      <c r="M84" s="2" t="s">
        <v>907</v>
      </c>
      <c r="N84" s="463">
        <f>N23+(N32+N33)*20/166</f>
        <v>180285.67828116252</v>
      </c>
      <c r="O84" s="1"/>
      <c r="P84" s="1"/>
      <c r="Q84" s="1"/>
      <c r="R84" s="1"/>
      <c r="S84" s="1"/>
      <c r="T84" s="1"/>
      <c r="U84" s="1"/>
      <c r="V84" s="1"/>
      <c r="W84" s="20"/>
      <c r="X84" s="1"/>
      <c r="Y84" s="1"/>
      <c r="Z84" s="20"/>
      <c r="AA84" s="1"/>
      <c r="AB84" s="1"/>
      <c r="AC84" s="20"/>
    </row>
    <row r="85" spans="1:29" s="15" customFormat="1" x14ac:dyDescent="0.25">
      <c r="A85" s="1"/>
      <c r="B85" s="60"/>
      <c r="C85" s="60"/>
      <c r="D85" s="60"/>
      <c r="E85" s="1"/>
      <c r="F85" s="1"/>
      <c r="G85" s="1"/>
      <c r="H85" s="1"/>
      <c r="I85" s="1"/>
      <c r="J85" s="1"/>
      <c r="K85" s="1"/>
      <c r="L85" s="1"/>
      <c r="M85" s="230" t="s">
        <v>908</v>
      </c>
      <c r="N85" s="463">
        <f>SUM(N74:N77)</f>
        <v>86930</v>
      </c>
      <c r="O85" s="1"/>
      <c r="P85" s="1"/>
      <c r="Q85" s="1"/>
      <c r="R85" s="1"/>
      <c r="S85" s="1"/>
      <c r="T85" s="1"/>
      <c r="U85" s="1"/>
      <c r="V85" s="1"/>
      <c r="W85" s="20"/>
      <c r="X85" s="1"/>
      <c r="Y85" s="1"/>
      <c r="Z85" s="20"/>
      <c r="AA85" s="1"/>
      <c r="AB85" s="1"/>
      <c r="AC85" s="20"/>
    </row>
    <row r="86" spans="1:29" s="15" customFormat="1" ht="13.05" customHeight="1" x14ac:dyDescent="0.25">
      <c r="A86" s="1"/>
      <c r="B86" s="60"/>
      <c r="C86" s="60"/>
      <c r="D86" s="60"/>
      <c r="E86" s="1"/>
      <c r="F86" s="1"/>
      <c r="G86" s="1"/>
      <c r="H86" s="1"/>
      <c r="I86" s="1"/>
      <c r="J86" s="1"/>
      <c r="K86" s="1"/>
      <c r="L86" s="1"/>
      <c r="M86" s="471" t="s">
        <v>909</v>
      </c>
      <c r="N86" s="468">
        <f>N84+N85</f>
        <v>267215.67828116252</v>
      </c>
      <c r="O86" s="1"/>
      <c r="P86" s="1"/>
      <c r="Q86" s="1"/>
      <c r="R86" s="1"/>
      <c r="S86" s="1"/>
      <c r="T86" s="1"/>
      <c r="U86" s="1"/>
      <c r="V86" s="1"/>
      <c r="W86" s="383"/>
      <c r="X86" s="1"/>
      <c r="Y86" s="1"/>
      <c r="Z86" s="383"/>
      <c r="AA86" s="1"/>
      <c r="AB86" s="1"/>
      <c r="AC86" s="383"/>
    </row>
    <row r="87" spans="1:29" s="15" customFormat="1" ht="13.05" customHeight="1" x14ac:dyDescent="0.25">
      <c r="A87" s="1"/>
      <c r="B87" s="60"/>
      <c r="C87" s="60"/>
      <c r="D87" s="60"/>
      <c r="E87" s="1"/>
      <c r="F87" s="1"/>
      <c r="G87" s="1"/>
      <c r="H87" s="1"/>
      <c r="I87" s="1"/>
      <c r="J87" s="1"/>
      <c r="K87" s="1"/>
      <c r="L87" s="1"/>
      <c r="M87" s="471" t="s">
        <v>910</v>
      </c>
      <c r="N87" s="468">
        <f>N83+N86</f>
        <v>2018935.7846073923</v>
      </c>
      <c r="O87" s="1"/>
      <c r="P87" s="1"/>
      <c r="Q87" s="1"/>
      <c r="R87" s="1"/>
      <c r="S87" s="1"/>
      <c r="T87" s="1"/>
      <c r="U87" s="1"/>
      <c r="V87" s="1"/>
      <c r="W87" s="20"/>
      <c r="X87" s="1"/>
      <c r="Y87" s="1"/>
      <c r="Z87" s="20"/>
      <c r="AA87" s="1"/>
      <c r="AB87" s="1"/>
      <c r="AC87" s="20"/>
    </row>
    <row r="88" spans="1:29" x14ac:dyDescent="0.25">
      <c r="M88" t="s">
        <v>911</v>
      </c>
      <c r="N88" s="472">
        <f>N64+N78-N87</f>
        <v>0</v>
      </c>
      <c r="V88" s="416"/>
      <c r="W88" s="210"/>
      <c r="Y88" s="416"/>
      <c r="Z88" s="210"/>
      <c r="AB88" s="416"/>
      <c r="AC88" s="210"/>
    </row>
    <row r="89" spans="1:29" x14ac:dyDescent="0.25">
      <c r="Y89" s="15"/>
      <c r="Z89" s="15"/>
    </row>
    <row r="90" spans="1:29" x14ac:dyDescent="0.25">
      <c r="V90" s="15"/>
      <c r="W90" s="15"/>
      <c r="Y90" s="15"/>
      <c r="Z90" s="15"/>
    </row>
    <row r="91" spans="1:29" s="15" customFormat="1" x14ac:dyDescent="0.25">
      <c r="A91" s="1"/>
      <c r="B91" s="60"/>
      <c r="C91" s="60"/>
      <c r="D91" s="60"/>
      <c r="E91" s="1"/>
      <c r="F91" s="1"/>
      <c r="G91" s="1"/>
      <c r="H91" s="1"/>
      <c r="I91" s="1"/>
      <c r="J91" s="1"/>
      <c r="K91" s="1"/>
      <c r="L91" s="1"/>
      <c r="M91" s="2"/>
      <c r="N91" s="1"/>
      <c r="O91" s="1"/>
      <c r="P91" s="1"/>
      <c r="Q91" s="1"/>
      <c r="R91" s="1"/>
      <c r="S91" s="1"/>
      <c r="T91" s="1"/>
      <c r="U91" s="1"/>
      <c r="V91" s="229"/>
      <c r="AB91" s="1"/>
      <c r="AC91" s="1"/>
    </row>
    <row r="92" spans="1:29" s="15" customFormat="1" ht="13.2" customHeight="1" x14ac:dyDescent="0.25">
      <c r="A92" s="1"/>
      <c r="B92" s="60"/>
      <c r="C92" s="60"/>
      <c r="D92" s="60"/>
      <c r="E92" s="1"/>
      <c r="F92" s="1"/>
      <c r="G92" s="1"/>
      <c r="H92" s="1"/>
      <c r="I92" s="1"/>
      <c r="J92" s="1"/>
      <c r="K92" s="1"/>
      <c r="L92" s="1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9" x14ac:dyDescent="0.25">
      <c r="V93" s="493"/>
      <c r="W93" s="494"/>
      <c r="AB93" s="15"/>
      <c r="AC93" s="15"/>
    </row>
    <row r="94" spans="1:29" x14ac:dyDescent="0.25">
      <c r="W94" s="20"/>
    </row>
    <row r="95" spans="1:29" x14ac:dyDescent="0.25">
      <c r="W95" s="20"/>
    </row>
    <row r="96" spans="1:29" x14ac:dyDescent="0.25">
      <c r="W96" s="20"/>
      <c r="Y96" s="493"/>
      <c r="Z96" s="494"/>
      <c r="AB96" s="493"/>
      <c r="AC96" s="494"/>
    </row>
    <row r="97" spans="22:29" x14ac:dyDescent="0.25">
      <c r="W97" s="383"/>
      <c r="Z97" s="20"/>
      <c r="AC97" s="20"/>
    </row>
    <row r="98" spans="22:29" x14ac:dyDescent="0.25">
      <c r="W98" s="20"/>
      <c r="Z98" s="20"/>
      <c r="AC98" s="20"/>
    </row>
    <row r="99" spans="22:29" x14ac:dyDescent="0.25">
      <c r="V99" s="416"/>
      <c r="W99" s="210"/>
      <c r="Z99" s="20"/>
      <c r="AC99" s="20"/>
    </row>
    <row r="100" spans="22:29" x14ac:dyDescent="0.25">
      <c r="W100" s="383"/>
      <c r="Z100" s="383"/>
      <c r="AC100" s="383"/>
    </row>
    <row r="101" spans="22:29" x14ac:dyDescent="0.25">
      <c r="W101" s="20"/>
      <c r="Z101" s="20"/>
      <c r="AC101" s="20"/>
    </row>
    <row r="102" spans="22:29" x14ac:dyDescent="0.25">
      <c r="V102" s="496"/>
      <c r="W102" s="494"/>
      <c r="Y102" s="416"/>
      <c r="Z102" s="210"/>
      <c r="AB102" s="416"/>
      <c r="AC102" s="210"/>
    </row>
    <row r="104" spans="22:29" x14ac:dyDescent="0.25">
      <c r="V104" s="493"/>
      <c r="W104" s="494"/>
      <c r="Y104" s="493"/>
      <c r="Z104" s="494"/>
      <c r="AB104" s="493"/>
      <c r="AC104" s="494"/>
    </row>
    <row r="105" spans="22:29" x14ac:dyDescent="0.25">
      <c r="W105" s="20"/>
      <c r="Z105" s="20"/>
      <c r="AC105" s="20"/>
    </row>
    <row r="106" spans="22:29" x14ac:dyDescent="0.25">
      <c r="W106" s="20"/>
      <c r="Z106" s="20"/>
      <c r="AC106" s="20"/>
    </row>
    <row r="107" spans="22:29" x14ac:dyDescent="0.25">
      <c r="W107" s="20"/>
      <c r="Z107" s="20"/>
      <c r="AC107" s="20"/>
    </row>
    <row r="108" spans="22:29" x14ac:dyDescent="0.25">
      <c r="W108" s="383"/>
      <c r="Z108" s="383"/>
      <c r="AC108" s="383"/>
    </row>
    <row r="109" spans="22:29" x14ac:dyDescent="0.25">
      <c r="W109" s="20"/>
      <c r="Z109" s="20"/>
      <c r="AC109" s="20"/>
    </row>
    <row r="110" spans="22:29" x14ac:dyDescent="0.25">
      <c r="V110" s="416"/>
      <c r="W110" s="210"/>
      <c r="Y110" s="416"/>
      <c r="Z110" s="210"/>
      <c r="AB110" s="416"/>
      <c r="AC110" s="210"/>
    </row>
    <row r="114" spans="22:29" x14ac:dyDescent="0.25">
      <c r="V114" s="493"/>
      <c r="W114" s="494"/>
      <c r="Y114" s="493"/>
      <c r="Z114" s="494"/>
    </row>
    <row r="115" spans="22:29" x14ac:dyDescent="0.25">
      <c r="W115" s="20"/>
      <c r="Z115" s="20"/>
    </row>
    <row r="116" spans="22:29" x14ac:dyDescent="0.25">
      <c r="W116" s="20"/>
      <c r="Z116" s="20"/>
    </row>
    <row r="117" spans="22:29" x14ac:dyDescent="0.25">
      <c r="W117" s="20"/>
      <c r="Z117" s="20"/>
    </row>
    <row r="118" spans="22:29" x14ac:dyDescent="0.25">
      <c r="W118" s="383"/>
      <c r="Z118" s="383"/>
    </row>
    <row r="119" spans="22:29" x14ac:dyDescent="0.25">
      <c r="W119" s="20"/>
      <c r="Z119" s="20"/>
    </row>
    <row r="120" spans="22:29" x14ac:dyDescent="0.25">
      <c r="V120" s="416"/>
      <c r="W120" s="210"/>
      <c r="Y120" s="416"/>
      <c r="Z120" s="210"/>
    </row>
    <row r="123" spans="22:29" x14ac:dyDescent="0.25">
      <c r="V123" s="496"/>
      <c r="W123" s="494"/>
    </row>
    <row r="125" spans="22:29" x14ac:dyDescent="0.25">
      <c r="V125" s="493"/>
      <c r="W125" s="494"/>
      <c r="Y125" s="493"/>
      <c r="Z125" s="494"/>
      <c r="AB125" s="493"/>
      <c r="AC125" s="494"/>
    </row>
    <row r="126" spans="22:29" x14ac:dyDescent="0.25">
      <c r="W126" s="20"/>
      <c r="Z126" s="20"/>
      <c r="AC126" s="20"/>
    </row>
    <row r="127" spans="22:29" x14ac:dyDescent="0.25">
      <c r="W127" s="20"/>
      <c r="Z127" s="20"/>
      <c r="AC127" s="20"/>
    </row>
    <row r="128" spans="22:29" x14ac:dyDescent="0.25">
      <c r="W128" s="20"/>
      <c r="Z128" s="20"/>
      <c r="AC128" s="20"/>
    </row>
    <row r="129" spans="22:29" x14ac:dyDescent="0.25">
      <c r="W129" s="383"/>
      <c r="Z129" s="383"/>
      <c r="AC129" s="383"/>
    </row>
    <row r="130" spans="22:29" x14ac:dyDescent="0.25">
      <c r="W130" s="20"/>
      <c r="Z130" s="20"/>
      <c r="AC130" s="20"/>
    </row>
    <row r="131" spans="22:29" x14ac:dyDescent="0.25">
      <c r="V131" s="416"/>
      <c r="W131" s="210"/>
      <c r="Y131" s="416"/>
      <c r="Z131" s="210"/>
      <c r="AB131" s="416"/>
      <c r="AC131" s="210"/>
    </row>
    <row r="134" spans="22:29" x14ac:dyDescent="0.25">
      <c r="V134" s="493"/>
      <c r="W134" s="494"/>
      <c r="X134" s="15"/>
      <c r="Y134" s="493"/>
      <c r="Z134" s="494"/>
    </row>
    <row r="135" spans="22:29" x14ac:dyDescent="0.25">
      <c r="W135" s="20"/>
      <c r="X135" s="15"/>
      <c r="Z135" s="20"/>
    </row>
    <row r="136" spans="22:29" x14ac:dyDescent="0.25">
      <c r="W136" s="20"/>
      <c r="X136" s="15"/>
      <c r="Z136" s="20"/>
    </row>
    <row r="137" spans="22:29" x14ac:dyDescent="0.25">
      <c r="W137" s="20"/>
      <c r="X137" s="15"/>
      <c r="Z137" s="20"/>
    </row>
    <row r="138" spans="22:29" x14ac:dyDescent="0.25">
      <c r="W138" s="383"/>
      <c r="X138" s="15"/>
      <c r="Z138" s="383"/>
    </row>
    <row r="139" spans="22:29" x14ac:dyDescent="0.25">
      <c r="W139" s="20"/>
      <c r="X139" s="15"/>
      <c r="Z139" s="20"/>
    </row>
    <row r="140" spans="22:29" x14ac:dyDescent="0.25">
      <c r="V140" s="416"/>
      <c r="W140" s="210"/>
      <c r="X140" s="15"/>
      <c r="Y140" s="416"/>
      <c r="Z140" s="210"/>
    </row>
  </sheetData>
  <mergeCells count="18">
    <mergeCell ref="B3:N4"/>
    <mergeCell ref="B6:N6"/>
    <mergeCell ref="V114:W114"/>
    <mergeCell ref="V104:W104"/>
    <mergeCell ref="Y96:Z96"/>
    <mergeCell ref="V102:W102"/>
    <mergeCell ref="Y104:Z104"/>
    <mergeCell ref="Y134:Z134"/>
    <mergeCell ref="V134:W134"/>
    <mergeCell ref="V6:AD7"/>
    <mergeCell ref="AB104:AC104"/>
    <mergeCell ref="V93:W93"/>
    <mergeCell ref="AB96:AC96"/>
    <mergeCell ref="Y114:Z114"/>
    <mergeCell ref="V123:W123"/>
    <mergeCell ref="Y125:Z125"/>
    <mergeCell ref="V125:W125"/>
    <mergeCell ref="AB125:AC125"/>
  </mergeCells>
  <pageMargins left="0.7" right="0.7" top="0.75" bottom="0.75" header="0.3" footer="0.3"/>
  <pageSetup paperSize="9" scale="81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L102"/>
  <sheetViews>
    <sheetView topLeftCell="A82" zoomScale="110" zoomScaleNormal="110" workbookViewId="0">
      <selection activeCell="H79" sqref="H79"/>
    </sheetView>
  </sheetViews>
  <sheetFormatPr defaultColWidth="9.21875" defaultRowHeight="10.199999999999999" x14ac:dyDescent="0.2"/>
  <cols>
    <col min="1" max="1" width="8.21875" style="38" customWidth="1"/>
    <col min="2" max="2" width="79" style="38" customWidth="1"/>
    <col min="3" max="3" width="11.44140625" style="40" customWidth="1"/>
    <col min="4" max="4" width="10.44140625" style="40" customWidth="1"/>
    <col min="5" max="5" width="13.21875" style="41" customWidth="1"/>
    <col min="6" max="6" width="14.21875" style="41" customWidth="1"/>
    <col min="7" max="7" width="15.21875" style="38" customWidth="1"/>
    <col min="8" max="8" width="18.21875" style="40" customWidth="1"/>
    <col min="9" max="9" width="20.5546875" style="38" customWidth="1"/>
    <col min="10" max="10" width="14.77734375" style="38" customWidth="1"/>
    <col min="11" max="11" width="12.77734375" style="38" customWidth="1"/>
    <col min="12" max="256" width="9.21875" style="38" customWidth="1"/>
    <col min="257" max="257" width="8.21875" style="38" customWidth="1"/>
    <col min="258" max="258" width="70.44140625" style="38" bestFit="1" customWidth="1"/>
    <col min="259" max="259" width="11.44140625" style="38" customWidth="1"/>
    <col min="260" max="260" width="10.44140625" style="38" customWidth="1"/>
    <col min="261" max="261" width="13.21875" style="38" customWidth="1"/>
    <col min="262" max="262" width="14.21875" style="38" customWidth="1"/>
    <col min="263" max="263" width="12.21875" style="38" customWidth="1"/>
    <col min="264" max="512" width="9.21875" style="38" customWidth="1"/>
    <col min="513" max="513" width="8.21875" style="38" customWidth="1"/>
    <col min="514" max="514" width="70.44140625" style="38" bestFit="1" customWidth="1"/>
    <col min="515" max="515" width="11.44140625" style="38" customWidth="1"/>
    <col min="516" max="516" width="10.44140625" style="38" customWidth="1"/>
    <col min="517" max="517" width="13.21875" style="38" customWidth="1"/>
    <col min="518" max="518" width="14.21875" style="38" customWidth="1"/>
    <col min="519" max="519" width="12.21875" style="38" customWidth="1"/>
    <col min="520" max="768" width="9.21875" style="38" customWidth="1"/>
    <col min="769" max="769" width="8.21875" style="38" customWidth="1"/>
    <col min="770" max="770" width="70.44140625" style="38" bestFit="1" customWidth="1"/>
    <col min="771" max="771" width="11.44140625" style="38" customWidth="1"/>
    <col min="772" max="772" width="10.44140625" style="38" customWidth="1"/>
    <col min="773" max="773" width="13.21875" style="38" customWidth="1"/>
    <col min="774" max="774" width="14.21875" style="38" customWidth="1"/>
    <col min="775" max="775" width="12.21875" style="38" customWidth="1"/>
    <col min="776" max="1024" width="9.21875" style="38" customWidth="1"/>
    <col min="1025" max="1025" width="8.21875" style="38" customWidth="1"/>
    <col min="1026" max="1026" width="70.44140625" style="38" bestFit="1" customWidth="1"/>
    <col min="1027" max="1027" width="11.44140625" style="38" customWidth="1"/>
    <col min="1028" max="1028" width="10.44140625" style="38" customWidth="1"/>
    <col min="1029" max="1029" width="13.21875" style="38" customWidth="1"/>
    <col min="1030" max="1030" width="14.21875" style="38" customWidth="1"/>
    <col min="1031" max="1031" width="12.21875" style="38" customWidth="1"/>
    <col min="1032" max="1280" width="9.21875" style="38" customWidth="1"/>
    <col min="1281" max="1281" width="8.21875" style="38" customWidth="1"/>
    <col min="1282" max="1282" width="70.44140625" style="38" bestFit="1" customWidth="1"/>
    <col min="1283" max="1283" width="11.44140625" style="38" customWidth="1"/>
    <col min="1284" max="1284" width="10.44140625" style="38" customWidth="1"/>
    <col min="1285" max="1285" width="13.21875" style="38" customWidth="1"/>
    <col min="1286" max="1286" width="14.21875" style="38" customWidth="1"/>
    <col min="1287" max="1287" width="12.21875" style="38" customWidth="1"/>
    <col min="1288" max="1536" width="9.21875" style="38" customWidth="1"/>
    <col min="1537" max="1537" width="8.21875" style="38" customWidth="1"/>
    <col min="1538" max="1538" width="70.44140625" style="38" bestFit="1" customWidth="1"/>
    <col min="1539" max="1539" width="11.44140625" style="38" customWidth="1"/>
    <col min="1540" max="1540" width="10.44140625" style="38" customWidth="1"/>
    <col min="1541" max="1541" width="13.21875" style="38" customWidth="1"/>
    <col min="1542" max="1542" width="14.21875" style="38" customWidth="1"/>
    <col min="1543" max="1543" width="12.21875" style="38" customWidth="1"/>
    <col min="1544" max="1792" width="9.21875" style="38" customWidth="1"/>
    <col min="1793" max="1793" width="8.21875" style="38" customWidth="1"/>
    <col min="1794" max="1794" width="70.44140625" style="38" bestFit="1" customWidth="1"/>
    <col min="1795" max="1795" width="11.44140625" style="38" customWidth="1"/>
    <col min="1796" max="1796" width="10.44140625" style="38" customWidth="1"/>
    <col min="1797" max="1797" width="13.21875" style="38" customWidth="1"/>
    <col min="1798" max="1798" width="14.21875" style="38" customWidth="1"/>
    <col min="1799" max="1799" width="12.21875" style="38" customWidth="1"/>
    <col min="1800" max="2048" width="9.21875" style="38" customWidth="1"/>
    <col min="2049" max="2049" width="8.21875" style="38" customWidth="1"/>
    <col min="2050" max="2050" width="70.44140625" style="38" bestFit="1" customWidth="1"/>
    <col min="2051" max="2051" width="11.44140625" style="38" customWidth="1"/>
    <col min="2052" max="2052" width="10.44140625" style="38" customWidth="1"/>
    <col min="2053" max="2053" width="13.21875" style="38" customWidth="1"/>
    <col min="2054" max="2054" width="14.21875" style="38" customWidth="1"/>
    <col min="2055" max="2055" width="12.21875" style="38" customWidth="1"/>
    <col min="2056" max="2304" width="9.21875" style="38" customWidth="1"/>
    <col min="2305" max="2305" width="8.21875" style="38" customWidth="1"/>
    <col min="2306" max="2306" width="70.44140625" style="38" bestFit="1" customWidth="1"/>
    <col min="2307" max="2307" width="11.44140625" style="38" customWidth="1"/>
    <col min="2308" max="2308" width="10.44140625" style="38" customWidth="1"/>
    <col min="2309" max="2309" width="13.21875" style="38" customWidth="1"/>
    <col min="2310" max="2310" width="14.21875" style="38" customWidth="1"/>
    <col min="2311" max="2311" width="12.21875" style="38" customWidth="1"/>
    <col min="2312" max="2560" width="9.21875" style="38" customWidth="1"/>
    <col min="2561" max="2561" width="8.21875" style="38" customWidth="1"/>
    <col min="2562" max="2562" width="70.44140625" style="38" bestFit="1" customWidth="1"/>
    <col min="2563" max="2563" width="11.44140625" style="38" customWidth="1"/>
    <col min="2564" max="2564" width="10.44140625" style="38" customWidth="1"/>
    <col min="2565" max="2565" width="13.21875" style="38" customWidth="1"/>
    <col min="2566" max="2566" width="14.21875" style="38" customWidth="1"/>
    <col min="2567" max="2567" width="12.21875" style="38" customWidth="1"/>
    <col min="2568" max="2816" width="9.21875" style="38" customWidth="1"/>
    <col min="2817" max="2817" width="8.21875" style="38" customWidth="1"/>
    <col min="2818" max="2818" width="70.44140625" style="38" bestFit="1" customWidth="1"/>
    <col min="2819" max="2819" width="11.44140625" style="38" customWidth="1"/>
    <col min="2820" max="2820" width="10.44140625" style="38" customWidth="1"/>
    <col min="2821" max="2821" width="13.21875" style="38" customWidth="1"/>
    <col min="2822" max="2822" width="14.21875" style="38" customWidth="1"/>
    <col min="2823" max="2823" width="12.21875" style="38" customWidth="1"/>
    <col min="2824" max="3072" width="9.21875" style="38" customWidth="1"/>
    <col min="3073" max="3073" width="8.21875" style="38" customWidth="1"/>
    <col min="3074" max="3074" width="70.44140625" style="38" bestFit="1" customWidth="1"/>
    <col min="3075" max="3075" width="11.44140625" style="38" customWidth="1"/>
    <col min="3076" max="3076" width="10.44140625" style="38" customWidth="1"/>
    <col min="3077" max="3077" width="13.21875" style="38" customWidth="1"/>
    <col min="3078" max="3078" width="14.21875" style="38" customWidth="1"/>
    <col min="3079" max="3079" width="12.21875" style="38" customWidth="1"/>
    <col min="3080" max="3328" width="9.21875" style="38" customWidth="1"/>
    <col min="3329" max="3329" width="8.21875" style="38" customWidth="1"/>
    <col min="3330" max="3330" width="70.44140625" style="38" bestFit="1" customWidth="1"/>
    <col min="3331" max="3331" width="11.44140625" style="38" customWidth="1"/>
    <col min="3332" max="3332" width="10.44140625" style="38" customWidth="1"/>
    <col min="3333" max="3333" width="13.21875" style="38" customWidth="1"/>
    <col min="3334" max="3334" width="14.21875" style="38" customWidth="1"/>
    <col min="3335" max="3335" width="12.21875" style="38" customWidth="1"/>
    <col min="3336" max="3584" width="9.21875" style="38" customWidth="1"/>
    <col min="3585" max="3585" width="8.21875" style="38" customWidth="1"/>
    <col min="3586" max="3586" width="70.44140625" style="38" bestFit="1" customWidth="1"/>
    <col min="3587" max="3587" width="11.44140625" style="38" customWidth="1"/>
    <col min="3588" max="3588" width="10.44140625" style="38" customWidth="1"/>
    <col min="3589" max="3589" width="13.21875" style="38" customWidth="1"/>
    <col min="3590" max="3590" width="14.21875" style="38" customWidth="1"/>
    <col min="3591" max="3591" width="12.21875" style="38" customWidth="1"/>
    <col min="3592" max="3840" width="9.21875" style="38" customWidth="1"/>
    <col min="3841" max="3841" width="8.21875" style="38" customWidth="1"/>
    <col min="3842" max="3842" width="70.44140625" style="38" bestFit="1" customWidth="1"/>
    <col min="3843" max="3843" width="11.44140625" style="38" customWidth="1"/>
    <col min="3844" max="3844" width="10.44140625" style="38" customWidth="1"/>
    <col min="3845" max="3845" width="13.21875" style="38" customWidth="1"/>
    <col min="3846" max="3846" width="14.21875" style="38" customWidth="1"/>
    <col min="3847" max="3847" width="12.21875" style="38" customWidth="1"/>
    <col min="3848" max="4096" width="9.21875" style="38" customWidth="1"/>
    <col min="4097" max="4097" width="8.21875" style="38" customWidth="1"/>
    <col min="4098" max="4098" width="70.44140625" style="38" bestFit="1" customWidth="1"/>
    <col min="4099" max="4099" width="11.44140625" style="38" customWidth="1"/>
    <col min="4100" max="4100" width="10.44140625" style="38" customWidth="1"/>
    <col min="4101" max="4101" width="13.21875" style="38" customWidth="1"/>
    <col min="4102" max="4102" width="14.21875" style="38" customWidth="1"/>
    <col min="4103" max="4103" width="12.21875" style="38" customWidth="1"/>
    <col min="4104" max="4352" width="9.21875" style="38" customWidth="1"/>
    <col min="4353" max="4353" width="8.21875" style="38" customWidth="1"/>
    <col min="4354" max="4354" width="70.44140625" style="38" bestFit="1" customWidth="1"/>
    <col min="4355" max="4355" width="11.44140625" style="38" customWidth="1"/>
    <col min="4356" max="4356" width="10.44140625" style="38" customWidth="1"/>
    <col min="4357" max="4357" width="13.21875" style="38" customWidth="1"/>
    <col min="4358" max="4358" width="14.21875" style="38" customWidth="1"/>
    <col min="4359" max="4359" width="12.21875" style="38" customWidth="1"/>
    <col min="4360" max="4608" width="9.21875" style="38" customWidth="1"/>
    <col min="4609" max="4609" width="8.21875" style="38" customWidth="1"/>
    <col min="4610" max="4610" width="70.44140625" style="38" bestFit="1" customWidth="1"/>
    <col min="4611" max="4611" width="11.44140625" style="38" customWidth="1"/>
    <col min="4612" max="4612" width="10.44140625" style="38" customWidth="1"/>
    <col min="4613" max="4613" width="13.21875" style="38" customWidth="1"/>
    <col min="4614" max="4614" width="14.21875" style="38" customWidth="1"/>
    <col min="4615" max="4615" width="12.21875" style="38" customWidth="1"/>
    <col min="4616" max="4864" width="9.21875" style="38" customWidth="1"/>
    <col min="4865" max="4865" width="8.21875" style="38" customWidth="1"/>
    <col min="4866" max="4866" width="70.44140625" style="38" bestFit="1" customWidth="1"/>
    <col min="4867" max="4867" width="11.44140625" style="38" customWidth="1"/>
    <col min="4868" max="4868" width="10.44140625" style="38" customWidth="1"/>
    <col min="4869" max="4869" width="13.21875" style="38" customWidth="1"/>
    <col min="4870" max="4870" width="14.21875" style="38" customWidth="1"/>
    <col min="4871" max="4871" width="12.21875" style="38" customWidth="1"/>
    <col min="4872" max="5120" width="9.21875" style="38" customWidth="1"/>
    <col min="5121" max="5121" width="8.21875" style="38" customWidth="1"/>
    <col min="5122" max="5122" width="70.44140625" style="38" bestFit="1" customWidth="1"/>
    <col min="5123" max="5123" width="11.44140625" style="38" customWidth="1"/>
    <col min="5124" max="5124" width="10.44140625" style="38" customWidth="1"/>
    <col min="5125" max="5125" width="13.21875" style="38" customWidth="1"/>
    <col min="5126" max="5126" width="14.21875" style="38" customWidth="1"/>
    <col min="5127" max="5127" width="12.21875" style="38" customWidth="1"/>
    <col min="5128" max="5376" width="9.21875" style="38" customWidth="1"/>
    <col min="5377" max="5377" width="8.21875" style="38" customWidth="1"/>
    <col min="5378" max="5378" width="70.44140625" style="38" bestFit="1" customWidth="1"/>
    <col min="5379" max="5379" width="11.44140625" style="38" customWidth="1"/>
    <col min="5380" max="5380" width="10.44140625" style="38" customWidth="1"/>
    <col min="5381" max="5381" width="13.21875" style="38" customWidth="1"/>
    <col min="5382" max="5382" width="14.21875" style="38" customWidth="1"/>
    <col min="5383" max="5383" width="12.21875" style="38" customWidth="1"/>
    <col min="5384" max="5632" width="9.21875" style="38" customWidth="1"/>
    <col min="5633" max="5633" width="8.21875" style="38" customWidth="1"/>
    <col min="5634" max="5634" width="70.44140625" style="38" bestFit="1" customWidth="1"/>
    <col min="5635" max="5635" width="11.44140625" style="38" customWidth="1"/>
    <col min="5636" max="5636" width="10.44140625" style="38" customWidth="1"/>
    <col min="5637" max="5637" width="13.21875" style="38" customWidth="1"/>
    <col min="5638" max="5638" width="14.21875" style="38" customWidth="1"/>
    <col min="5639" max="5639" width="12.21875" style="38" customWidth="1"/>
    <col min="5640" max="5888" width="9.21875" style="38" customWidth="1"/>
    <col min="5889" max="5889" width="8.21875" style="38" customWidth="1"/>
    <col min="5890" max="5890" width="70.44140625" style="38" bestFit="1" customWidth="1"/>
    <col min="5891" max="5891" width="11.44140625" style="38" customWidth="1"/>
    <col min="5892" max="5892" width="10.44140625" style="38" customWidth="1"/>
    <col min="5893" max="5893" width="13.21875" style="38" customWidth="1"/>
    <col min="5894" max="5894" width="14.21875" style="38" customWidth="1"/>
    <col min="5895" max="5895" width="12.21875" style="38" customWidth="1"/>
    <col min="5896" max="6144" width="9.21875" style="38" customWidth="1"/>
    <col min="6145" max="6145" width="8.21875" style="38" customWidth="1"/>
    <col min="6146" max="6146" width="70.44140625" style="38" bestFit="1" customWidth="1"/>
    <col min="6147" max="6147" width="11.44140625" style="38" customWidth="1"/>
    <col min="6148" max="6148" width="10.44140625" style="38" customWidth="1"/>
    <col min="6149" max="6149" width="13.21875" style="38" customWidth="1"/>
    <col min="6150" max="6150" width="14.21875" style="38" customWidth="1"/>
    <col min="6151" max="6151" width="12.21875" style="38" customWidth="1"/>
    <col min="6152" max="6400" width="9.21875" style="38" customWidth="1"/>
    <col min="6401" max="6401" width="8.21875" style="38" customWidth="1"/>
    <col min="6402" max="6402" width="70.44140625" style="38" bestFit="1" customWidth="1"/>
    <col min="6403" max="6403" width="11.44140625" style="38" customWidth="1"/>
    <col min="6404" max="6404" width="10.44140625" style="38" customWidth="1"/>
    <col min="6405" max="6405" width="13.21875" style="38" customWidth="1"/>
    <col min="6406" max="6406" width="14.21875" style="38" customWidth="1"/>
    <col min="6407" max="6407" width="12.21875" style="38" customWidth="1"/>
    <col min="6408" max="6656" width="9.21875" style="38" customWidth="1"/>
    <col min="6657" max="6657" width="8.21875" style="38" customWidth="1"/>
    <col min="6658" max="6658" width="70.44140625" style="38" bestFit="1" customWidth="1"/>
    <col min="6659" max="6659" width="11.44140625" style="38" customWidth="1"/>
    <col min="6660" max="6660" width="10.44140625" style="38" customWidth="1"/>
    <col min="6661" max="6661" width="13.21875" style="38" customWidth="1"/>
    <col min="6662" max="6662" width="14.21875" style="38" customWidth="1"/>
    <col min="6663" max="6663" width="12.21875" style="38" customWidth="1"/>
    <col min="6664" max="6912" width="9.21875" style="38" customWidth="1"/>
    <col min="6913" max="6913" width="8.21875" style="38" customWidth="1"/>
    <col min="6914" max="6914" width="70.44140625" style="38" bestFit="1" customWidth="1"/>
    <col min="6915" max="6915" width="11.44140625" style="38" customWidth="1"/>
    <col min="6916" max="6916" width="10.44140625" style="38" customWidth="1"/>
    <col min="6917" max="6917" width="13.21875" style="38" customWidth="1"/>
    <col min="6918" max="6918" width="14.21875" style="38" customWidth="1"/>
    <col min="6919" max="6919" width="12.21875" style="38" customWidth="1"/>
    <col min="6920" max="7168" width="9.21875" style="38" customWidth="1"/>
    <col min="7169" max="7169" width="8.21875" style="38" customWidth="1"/>
    <col min="7170" max="7170" width="70.44140625" style="38" bestFit="1" customWidth="1"/>
    <col min="7171" max="7171" width="11.44140625" style="38" customWidth="1"/>
    <col min="7172" max="7172" width="10.44140625" style="38" customWidth="1"/>
    <col min="7173" max="7173" width="13.21875" style="38" customWidth="1"/>
    <col min="7174" max="7174" width="14.21875" style="38" customWidth="1"/>
    <col min="7175" max="7175" width="12.21875" style="38" customWidth="1"/>
    <col min="7176" max="7424" width="9.21875" style="38" customWidth="1"/>
    <col min="7425" max="7425" width="8.21875" style="38" customWidth="1"/>
    <col min="7426" max="7426" width="70.44140625" style="38" bestFit="1" customWidth="1"/>
    <col min="7427" max="7427" width="11.44140625" style="38" customWidth="1"/>
    <col min="7428" max="7428" width="10.44140625" style="38" customWidth="1"/>
    <col min="7429" max="7429" width="13.21875" style="38" customWidth="1"/>
    <col min="7430" max="7430" width="14.21875" style="38" customWidth="1"/>
    <col min="7431" max="7431" width="12.21875" style="38" customWidth="1"/>
    <col min="7432" max="7680" width="9.21875" style="38" customWidth="1"/>
    <col min="7681" max="7681" width="8.21875" style="38" customWidth="1"/>
    <col min="7682" max="7682" width="70.44140625" style="38" bestFit="1" customWidth="1"/>
    <col min="7683" max="7683" width="11.44140625" style="38" customWidth="1"/>
    <col min="7684" max="7684" width="10.44140625" style="38" customWidth="1"/>
    <col min="7685" max="7685" width="13.21875" style="38" customWidth="1"/>
    <col min="7686" max="7686" width="14.21875" style="38" customWidth="1"/>
    <col min="7687" max="7687" width="12.21875" style="38" customWidth="1"/>
    <col min="7688" max="7936" width="9.21875" style="38" customWidth="1"/>
    <col min="7937" max="7937" width="8.21875" style="38" customWidth="1"/>
    <col min="7938" max="7938" width="70.44140625" style="38" bestFit="1" customWidth="1"/>
    <col min="7939" max="7939" width="11.44140625" style="38" customWidth="1"/>
    <col min="7940" max="7940" width="10.44140625" style="38" customWidth="1"/>
    <col min="7941" max="7941" width="13.21875" style="38" customWidth="1"/>
    <col min="7942" max="7942" width="14.21875" style="38" customWidth="1"/>
    <col min="7943" max="7943" width="12.21875" style="38" customWidth="1"/>
    <col min="7944" max="8192" width="9.21875" style="38" customWidth="1"/>
    <col min="8193" max="8193" width="8.21875" style="38" customWidth="1"/>
    <col min="8194" max="8194" width="70.44140625" style="38" bestFit="1" customWidth="1"/>
    <col min="8195" max="8195" width="11.44140625" style="38" customWidth="1"/>
    <col min="8196" max="8196" width="10.44140625" style="38" customWidth="1"/>
    <col min="8197" max="8197" width="13.21875" style="38" customWidth="1"/>
    <col min="8198" max="8198" width="14.21875" style="38" customWidth="1"/>
    <col min="8199" max="8199" width="12.21875" style="38" customWidth="1"/>
    <col min="8200" max="8448" width="9.21875" style="38" customWidth="1"/>
    <col min="8449" max="8449" width="8.21875" style="38" customWidth="1"/>
    <col min="8450" max="8450" width="70.44140625" style="38" bestFit="1" customWidth="1"/>
    <col min="8451" max="8451" width="11.44140625" style="38" customWidth="1"/>
    <col min="8452" max="8452" width="10.44140625" style="38" customWidth="1"/>
    <col min="8453" max="8453" width="13.21875" style="38" customWidth="1"/>
    <col min="8454" max="8454" width="14.21875" style="38" customWidth="1"/>
    <col min="8455" max="8455" width="12.21875" style="38" customWidth="1"/>
    <col min="8456" max="8704" width="9.21875" style="38" customWidth="1"/>
    <col min="8705" max="8705" width="8.21875" style="38" customWidth="1"/>
    <col min="8706" max="8706" width="70.44140625" style="38" bestFit="1" customWidth="1"/>
    <col min="8707" max="8707" width="11.44140625" style="38" customWidth="1"/>
    <col min="8708" max="8708" width="10.44140625" style="38" customWidth="1"/>
    <col min="8709" max="8709" width="13.21875" style="38" customWidth="1"/>
    <col min="8710" max="8710" width="14.21875" style="38" customWidth="1"/>
    <col min="8711" max="8711" width="12.21875" style="38" customWidth="1"/>
    <col min="8712" max="8960" width="9.21875" style="38" customWidth="1"/>
    <col min="8961" max="8961" width="8.21875" style="38" customWidth="1"/>
    <col min="8962" max="8962" width="70.44140625" style="38" bestFit="1" customWidth="1"/>
    <col min="8963" max="8963" width="11.44140625" style="38" customWidth="1"/>
    <col min="8964" max="8964" width="10.44140625" style="38" customWidth="1"/>
    <col min="8965" max="8965" width="13.21875" style="38" customWidth="1"/>
    <col min="8966" max="8966" width="14.21875" style="38" customWidth="1"/>
    <col min="8967" max="8967" width="12.21875" style="38" customWidth="1"/>
    <col min="8968" max="9216" width="9.21875" style="38" customWidth="1"/>
    <col min="9217" max="9217" width="8.21875" style="38" customWidth="1"/>
    <col min="9218" max="9218" width="70.44140625" style="38" bestFit="1" customWidth="1"/>
    <col min="9219" max="9219" width="11.44140625" style="38" customWidth="1"/>
    <col min="9220" max="9220" width="10.44140625" style="38" customWidth="1"/>
    <col min="9221" max="9221" width="13.21875" style="38" customWidth="1"/>
    <col min="9222" max="9222" width="14.21875" style="38" customWidth="1"/>
    <col min="9223" max="9223" width="12.21875" style="38" customWidth="1"/>
    <col min="9224" max="9472" width="9.21875" style="38" customWidth="1"/>
    <col min="9473" max="9473" width="8.21875" style="38" customWidth="1"/>
    <col min="9474" max="9474" width="70.44140625" style="38" bestFit="1" customWidth="1"/>
    <col min="9475" max="9475" width="11.44140625" style="38" customWidth="1"/>
    <col min="9476" max="9476" width="10.44140625" style="38" customWidth="1"/>
    <col min="9477" max="9477" width="13.21875" style="38" customWidth="1"/>
    <col min="9478" max="9478" width="14.21875" style="38" customWidth="1"/>
    <col min="9479" max="9479" width="12.21875" style="38" customWidth="1"/>
    <col min="9480" max="9728" width="9.21875" style="38" customWidth="1"/>
    <col min="9729" max="9729" width="8.21875" style="38" customWidth="1"/>
    <col min="9730" max="9730" width="70.44140625" style="38" bestFit="1" customWidth="1"/>
    <col min="9731" max="9731" width="11.44140625" style="38" customWidth="1"/>
    <col min="9732" max="9732" width="10.44140625" style="38" customWidth="1"/>
    <col min="9733" max="9733" width="13.21875" style="38" customWidth="1"/>
    <col min="9734" max="9734" width="14.21875" style="38" customWidth="1"/>
    <col min="9735" max="9735" width="12.21875" style="38" customWidth="1"/>
    <col min="9736" max="9984" width="9.21875" style="38" customWidth="1"/>
    <col min="9985" max="9985" width="8.21875" style="38" customWidth="1"/>
    <col min="9986" max="9986" width="70.44140625" style="38" bestFit="1" customWidth="1"/>
    <col min="9987" max="9987" width="11.44140625" style="38" customWidth="1"/>
    <col min="9988" max="9988" width="10.44140625" style="38" customWidth="1"/>
    <col min="9989" max="9989" width="13.21875" style="38" customWidth="1"/>
    <col min="9990" max="9990" width="14.21875" style="38" customWidth="1"/>
    <col min="9991" max="9991" width="12.21875" style="38" customWidth="1"/>
    <col min="9992" max="10240" width="9.21875" style="38" customWidth="1"/>
    <col min="10241" max="10241" width="8.21875" style="38" customWidth="1"/>
    <col min="10242" max="10242" width="70.44140625" style="38" bestFit="1" customWidth="1"/>
    <col min="10243" max="10243" width="11.44140625" style="38" customWidth="1"/>
    <col min="10244" max="10244" width="10.44140625" style="38" customWidth="1"/>
    <col min="10245" max="10245" width="13.21875" style="38" customWidth="1"/>
    <col min="10246" max="10246" width="14.21875" style="38" customWidth="1"/>
    <col min="10247" max="10247" width="12.21875" style="38" customWidth="1"/>
    <col min="10248" max="10496" width="9.21875" style="38" customWidth="1"/>
    <col min="10497" max="10497" width="8.21875" style="38" customWidth="1"/>
    <col min="10498" max="10498" width="70.44140625" style="38" bestFit="1" customWidth="1"/>
    <col min="10499" max="10499" width="11.44140625" style="38" customWidth="1"/>
    <col min="10500" max="10500" width="10.44140625" style="38" customWidth="1"/>
    <col min="10501" max="10501" width="13.21875" style="38" customWidth="1"/>
    <col min="10502" max="10502" width="14.21875" style="38" customWidth="1"/>
    <col min="10503" max="10503" width="12.21875" style="38" customWidth="1"/>
    <col min="10504" max="10752" width="9.21875" style="38" customWidth="1"/>
    <col min="10753" max="10753" width="8.21875" style="38" customWidth="1"/>
    <col min="10754" max="10754" width="70.44140625" style="38" bestFit="1" customWidth="1"/>
    <col min="10755" max="10755" width="11.44140625" style="38" customWidth="1"/>
    <col min="10756" max="10756" width="10.44140625" style="38" customWidth="1"/>
    <col min="10757" max="10757" width="13.21875" style="38" customWidth="1"/>
    <col min="10758" max="10758" width="14.21875" style="38" customWidth="1"/>
    <col min="10759" max="10759" width="12.21875" style="38" customWidth="1"/>
    <col min="10760" max="11008" width="9.21875" style="38" customWidth="1"/>
    <col min="11009" max="11009" width="8.21875" style="38" customWidth="1"/>
    <col min="11010" max="11010" width="70.44140625" style="38" bestFit="1" customWidth="1"/>
    <col min="11011" max="11011" width="11.44140625" style="38" customWidth="1"/>
    <col min="11012" max="11012" width="10.44140625" style="38" customWidth="1"/>
    <col min="11013" max="11013" width="13.21875" style="38" customWidth="1"/>
    <col min="11014" max="11014" width="14.21875" style="38" customWidth="1"/>
    <col min="11015" max="11015" width="12.21875" style="38" customWidth="1"/>
    <col min="11016" max="11264" width="9.21875" style="38" customWidth="1"/>
    <col min="11265" max="11265" width="8.21875" style="38" customWidth="1"/>
    <col min="11266" max="11266" width="70.44140625" style="38" bestFit="1" customWidth="1"/>
    <col min="11267" max="11267" width="11.44140625" style="38" customWidth="1"/>
    <col min="11268" max="11268" width="10.44140625" style="38" customWidth="1"/>
    <col min="11269" max="11269" width="13.21875" style="38" customWidth="1"/>
    <col min="11270" max="11270" width="14.21875" style="38" customWidth="1"/>
    <col min="11271" max="11271" width="12.21875" style="38" customWidth="1"/>
    <col min="11272" max="11520" width="9.21875" style="38" customWidth="1"/>
    <col min="11521" max="11521" width="8.21875" style="38" customWidth="1"/>
    <col min="11522" max="11522" width="70.44140625" style="38" bestFit="1" customWidth="1"/>
    <col min="11523" max="11523" width="11.44140625" style="38" customWidth="1"/>
    <col min="11524" max="11524" width="10.44140625" style="38" customWidth="1"/>
    <col min="11525" max="11525" width="13.21875" style="38" customWidth="1"/>
    <col min="11526" max="11526" width="14.21875" style="38" customWidth="1"/>
    <col min="11527" max="11527" width="12.21875" style="38" customWidth="1"/>
    <col min="11528" max="11776" width="9.21875" style="38" customWidth="1"/>
    <col min="11777" max="11777" width="8.21875" style="38" customWidth="1"/>
    <col min="11778" max="11778" width="70.44140625" style="38" bestFit="1" customWidth="1"/>
    <col min="11779" max="11779" width="11.44140625" style="38" customWidth="1"/>
    <col min="11780" max="11780" width="10.44140625" style="38" customWidth="1"/>
    <col min="11781" max="11781" width="13.21875" style="38" customWidth="1"/>
    <col min="11782" max="11782" width="14.21875" style="38" customWidth="1"/>
    <col min="11783" max="11783" width="12.21875" style="38" customWidth="1"/>
    <col min="11784" max="12032" width="9.21875" style="38" customWidth="1"/>
    <col min="12033" max="12033" width="8.21875" style="38" customWidth="1"/>
    <col min="12034" max="12034" width="70.44140625" style="38" bestFit="1" customWidth="1"/>
    <col min="12035" max="12035" width="11.44140625" style="38" customWidth="1"/>
    <col min="12036" max="12036" width="10.44140625" style="38" customWidth="1"/>
    <col min="12037" max="12037" width="13.21875" style="38" customWidth="1"/>
    <col min="12038" max="12038" width="14.21875" style="38" customWidth="1"/>
    <col min="12039" max="12039" width="12.21875" style="38" customWidth="1"/>
    <col min="12040" max="12288" width="9.21875" style="38" customWidth="1"/>
    <col min="12289" max="12289" width="8.21875" style="38" customWidth="1"/>
    <col min="12290" max="12290" width="70.44140625" style="38" bestFit="1" customWidth="1"/>
    <col min="12291" max="12291" width="11.44140625" style="38" customWidth="1"/>
    <col min="12292" max="12292" width="10.44140625" style="38" customWidth="1"/>
    <col min="12293" max="12293" width="13.21875" style="38" customWidth="1"/>
    <col min="12294" max="12294" width="14.21875" style="38" customWidth="1"/>
    <col min="12295" max="12295" width="12.21875" style="38" customWidth="1"/>
    <col min="12296" max="12544" width="9.21875" style="38" customWidth="1"/>
    <col min="12545" max="12545" width="8.21875" style="38" customWidth="1"/>
    <col min="12546" max="12546" width="70.44140625" style="38" bestFit="1" customWidth="1"/>
    <col min="12547" max="12547" width="11.44140625" style="38" customWidth="1"/>
    <col min="12548" max="12548" width="10.44140625" style="38" customWidth="1"/>
    <col min="12549" max="12549" width="13.21875" style="38" customWidth="1"/>
    <col min="12550" max="12550" width="14.21875" style="38" customWidth="1"/>
    <col min="12551" max="12551" width="12.21875" style="38" customWidth="1"/>
    <col min="12552" max="12800" width="9.21875" style="38" customWidth="1"/>
    <col min="12801" max="12801" width="8.21875" style="38" customWidth="1"/>
    <col min="12802" max="12802" width="70.44140625" style="38" bestFit="1" customWidth="1"/>
    <col min="12803" max="12803" width="11.44140625" style="38" customWidth="1"/>
    <col min="12804" max="12804" width="10.44140625" style="38" customWidth="1"/>
    <col min="12805" max="12805" width="13.21875" style="38" customWidth="1"/>
    <col min="12806" max="12806" width="14.21875" style="38" customWidth="1"/>
    <col min="12807" max="12807" width="12.21875" style="38" customWidth="1"/>
    <col min="12808" max="13056" width="9.21875" style="38" customWidth="1"/>
    <col min="13057" max="13057" width="8.21875" style="38" customWidth="1"/>
    <col min="13058" max="13058" width="70.44140625" style="38" bestFit="1" customWidth="1"/>
    <col min="13059" max="13059" width="11.44140625" style="38" customWidth="1"/>
    <col min="13060" max="13060" width="10.44140625" style="38" customWidth="1"/>
    <col min="13061" max="13061" width="13.21875" style="38" customWidth="1"/>
    <col min="13062" max="13062" width="14.21875" style="38" customWidth="1"/>
    <col min="13063" max="13063" width="12.21875" style="38" customWidth="1"/>
    <col min="13064" max="13312" width="9.21875" style="38" customWidth="1"/>
    <col min="13313" max="13313" width="8.21875" style="38" customWidth="1"/>
    <col min="13314" max="13314" width="70.44140625" style="38" bestFit="1" customWidth="1"/>
    <col min="13315" max="13315" width="11.44140625" style="38" customWidth="1"/>
    <col min="13316" max="13316" width="10.44140625" style="38" customWidth="1"/>
    <col min="13317" max="13317" width="13.21875" style="38" customWidth="1"/>
    <col min="13318" max="13318" width="14.21875" style="38" customWidth="1"/>
    <col min="13319" max="13319" width="12.21875" style="38" customWidth="1"/>
    <col min="13320" max="13568" width="9.21875" style="38" customWidth="1"/>
    <col min="13569" max="13569" width="8.21875" style="38" customWidth="1"/>
    <col min="13570" max="13570" width="70.44140625" style="38" bestFit="1" customWidth="1"/>
    <col min="13571" max="13571" width="11.44140625" style="38" customWidth="1"/>
    <col min="13572" max="13572" width="10.44140625" style="38" customWidth="1"/>
    <col min="13573" max="13573" width="13.21875" style="38" customWidth="1"/>
    <col min="13574" max="13574" width="14.21875" style="38" customWidth="1"/>
    <col min="13575" max="13575" width="12.21875" style="38" customWidth="1"/>
    <col min="13576" max="13824" width="9.21875" style="38" customWidth="1"/>
    <col min="13825" max="13825" width="8.21875" style="38" customWidth="1"/>
    <col min="13826" max="13826" width="70.44140625" style="38" bestFit="1" customWidth="1"/>
    <col min="13827" max="13827" width="11.44140625" style="38" customWidth="1"/>
    <col min="13828" max="13828" width="10.44140625" style="38" customWidth="1"/>
    <col min="13829" max="13829" width="13.21875" style="38" customWidth="1"/>
    <col min="13830" max="13830" width="14.21875" style="38" customWidth="1"/>
    <col min="13831" max="13831" width="12.21875" style="38" customWidth="1"/>
    <col min="13832" max="14080" width="9.21875" style="38" customWidth="1"/>
    <col min="14081" max="14081" width="8.21875" style="38" customWidth="1"/>
    <col min="14082" max="14082" width="70.44140625" style="38" bestFit="1" customWidth="1"/>
    <col min="14083" max="14083" width="11.44140625" style="38" customWidth="1"/>
    <col min="14084" max="14084" width="10.44140625" style="38" customWidth="1"/>
    <col min="14085" max="14085" width="13.21875" style="38" customWidth="1"/>
    <col min="14086" max="14086" width="14.21875" style="38" customWidth="1"/>
    <col min="14087" max="14087" width="12.21875" style="38" customWidth="1"/>
    <col min="14088" max="14336" width="9.21875" style="38" customWidth="1"/>
    <col min="14337" max="14337" width="8.21875" style="38" customWidth="1"/>
    <col min="14338" max="14338" width="70.44140625" style="38" bestFit="1" customWidth="1"/>
    <col min="14339" max="14339" width="11.44140625" style="38" customWidth="1"/>
    <col min="14340" max="14340" width="10.44140625" style="38" customWidth="1"/>
    <col min="14341" max="14341" width="13.21875" style="38" customWidth="1"/>
    <col min="14342" max="14342" width="14.21875" style="38" customWidth="1"/>
    <col min="14343" max="14343" width="12.21875" style="38" customWidth="1"/>
    <col min="14344" max="14592" width="9.21875" style="38" customWidth="1"/>
    <col min="14593" max="14593" width="8.21875" style="38" customWidth="1"/>
    <col min="14594" max="14594" width="70.44140625" style="38" bestFit="1" customWidth="1"/>
    <col min="14595" max="14595" width="11.44140625" style="38" customWidth="1"/>
    <col min="14596" max="14596" width="10.44140625" style="38" customWidth="1"/>
    <col min="14597" max="14597" width="13.21875" style="38" customWidth="1"/>
    <col min="14598" max="14598" width="14.21875" style="38" customWidth="1"/>
    <col min="14599" max="14599" width="12.21875" style="38" customWidth="1"/>
    <col min="14600" max="14848" width="9.21875" style="38" customWidth="1"/>
    <col min="14849" max="14849" width="8.21875" style="38" customWidth="1"/>
    <col min="14850" max="14850" width="70.44140625" style="38" bestFit="1" customWidth="1"/>
    <col min="14851" max="14851" width="11.44140625" style="38" customWidth="1"/>
    <col min="14852" max="14852" width="10.44140625" style="38" customWidth="1"/>
    <col min="14853" max="14853" width="13.21875" style="38" customWidth="1"/>
    <col min="14854" max="14854" width="14.21875" style="38" customWidth="1"/>
    <col min="14855" max="14855" width="12.21875" style="38" customWidth="1"/>
    <col min="14856" max="15104" width="9.21875" style="38" customWidth="1"/>
    <col min="15105" max="15105" width="8.21875" style="38" customWidth="1"/>
    <col min="15106" max="15106" width="70.44140625" style="38" bestFit="1" customWidth="1"/>
    <col min="15107" max="15107" width="11.44140625" style="38" customWidth="1"/>
    <col min="15108" max="15108" width="10.44140625" style="38" customWidth="1"/>
    <col min="15109" max="15109" width="13.21875" style="38" customWidth="1"/>
    <col min="15110" max="15110" width="14.21875" style="38" customWidth="1"/>
    <col min="15111" max="15111" width="12.21875" style="38" customWidth="1"/>
    <col min="15112" max="15360" width="9.21875" style="38" customWidth="1"/>
    <col min="15361" max="15361" width="8.21875" style="38" customWidth="1"/>
    <col min="15362" max="15362" width="70.44140625" style="38" bestFit="1" customWidth="1"/>
    <col min="15363" max="15363" width="11.44140625" style="38" customWidth="1"/>
    <col min="15364" max="15364" width="10.44140625" style="38" customWidth="1"/>
    <col min="15365" max="15365" width="13.21875" style="38" customWidth="1"/>
    <col min="15366" max="15366" width="14.21875" style="38" customWidth="1"/>
    <col min="15367" max="15367" width="12.21875" style="38" customWidth="1"/>
    <col min="15368" max="15616" width="9.21875" style="38" customWidth="1"/>
    <col min="15617" max="15617" width="8.21875" style="38" customWidth="1"/>
    <col min="15618" max="15618" width="70.44140625" style="38" bestFit="1" customWidth="1"/>
    <col min="15619" max="15619" width="11.44140625" style="38" customWidth="1"/>
    <col min="15620" max="15620" width="10.44140625" style="38" customWidth="1"/>
    <col min="15621" max="15621" width="13.21875" style="38" customWidth="1"/>
    <col min="15622" max="15622" width="14.21875" style="38" customWidth="1"/>
    <col min="15623" max="15623" width="12.21875" style="38" customWidth="1"/>
    <col min="15624" max="15872" width="9.21875" style="38" customWidth="1"/>
    <col min="15873" max="15873" width="8.21875" style="38" customWidth="1"/>
    <col min="15874" max="15874" width="70.44140625" style="38" bestFit="1" customWidth="1"/>
    <col min="15875" max="15875" width="11.44140625" style="38" customWidth="1"/>
    <col min="15876" max="15876" width="10.44140625" style="38" customWidth="1"/>
    <col min="15877" max="15877" width="13.21875" style="38" customWidth="1"/>
    <col min="15878" max="15878" width="14.21875" style="38" customWidth="1"/>
    <col min="15879" max="15879" width="12.21875" style="38" customWidth="1"/>
    <col min="15880" max="16128" width="9.21875" style="38" customWidth="1"/>
    <col min="16129" max="16129" width="8.21875" style="38" customWidth="1"/>
    <col min="16130" max="16130" width="70.44140625" style="38" bestFit="1" customWidth="1"/>
    <col min="16131" max="16131" width="11.44140625" style="38" customWidth="1"/>
    <col min="16132" max="16132" width="10.44140625" style="38" customWidth="1"/>
    <col min="16133" max="16133" width="13.21875" style="38" customWidth="1"/>
    <col min="16134" max="16134" width="14.21875" style="38" customWidth="1"/>
    <col min="16135" max="16135" width="12.21875" style="38" customWidth="1"/>
    <col min="16136" max="16384" width="9.21875" style="38" customWidth="1"/>
  </cols>
  <sheetData>
    <row r="1" spans="1:11" ht="10.5" customHeight="1" x14ac:dyDescent="0.2">
      <c r="B1" s="39" t="s">
        <v>0</v>
      </c>
    </row>
    <row r="2" spans="1:11" ht="10.5" customHeight="1" x14ac:dyDescent="0.2">
      <c r="B2" s="39" t="s">
        <v>1</v>
      </c>
    </row>
    <row r="3" spans="1:11" x14ac:dyDescent="0.2">
      <c r="B3" s="38" t="s">
        <v>2</v>
      </c>
    </row>
    <row r="4" spans="1:11" ht="13.8" customHeight="1" x14ac:dyDescent="0.25">
      <c r="A4" s="42" t="s">
        <v>3</v>
      </c>
      <c r="B4" s="43"/>
      <c r="K4" s="473" t="s">
        <v>912</v>
      </c>
    </row>
    <row r="5" spans="1:11" ht="10.8" customHeight="1" thickBot="1" x14ac:dyDescent="0.25">
      <c r="A5" s="42"/>
      <c r="B5" s="126"/>
      <c r="I5" s="41"/>
    </row>
    <row r="6" spans="1:11" ht="6" customHeight="1" thickBot="1" x14ac:dyDescent="0.25">
      <c r="A6" s="491"/>
      <c r="B6" s="492"/>
      <c r="C6" s="486"/>
      <c r="D6" s="486"/>
      <c r="E6" s="488"/>
      <c r="F6" s="488"/>
    </row>
    <row r="7" spans="1:11" ht="16.2" customHeight="1" thickBot="1" x14ac:dyDescent="0.35">
      <c r="A7" s="42" t="s">
        <v>913</v>
      </c>
      <c r="B7" s="290" t="s">
        <v>914</v>
      </c>
    </row>
    <row r="8" spans="1:11" ht="13.8" customHeight="1" thickBot="1" x14ac:dyDescent="0.3">
      <c r="A8" s="42"/>
      <c r="B8" s="501" t="s">
        <v>915</v>
      </c>
      <c r="C8" s="502"/>
      <c r="D8" s="502"/>
      <c r="E8" s="502"/>
      <c r="F8" s="503"/>
      <c r="H8" s="39"/>
    </row>
    <row r="9" spans="1:11" ht="15.6" customHeight="1" x14ac:dyDescent="0.3">
      <c r="A9" s="42"/>
      <c r="B9" s="219"/>
      <c r="C9" s="143" t="s">
        <v>916</v>
      </c>
      <c r="D9" s="42">
        <v>285</v>
      </c>
      <c r="E9" s="38"/>
      <c r="F9" s="38"/>
      <c r="G9" s="457" t="s">
        <v>917</v>
      </c>
      <c r="I9" s="300"/>
      <c r="J9" s="20"/>
      <c r="K9" s="457" t="s">
        <v>918</v>
      </c>
    </row>
    <row r="10" spans="1:11" ht="15.6" customHeight="1" x14ac:dyDescent="0.3">
      <c r="A10" s="42"/>
      <c r="B10" s="219"/>
      <c r="C10" s="143" t="s">
        <v>919</v>
      </c>
      <c r="D10" s="42">
        <v>9.4</v>
      </c>
      <c r="E10" s="38"/>
      <c r="F10" s="38"/>
      <c r="K10" s="457" t="s">
        <v>918</v>
      </c>
    </row>
    <row r="11" spans="1:11" ht="15.6" customHeight="1" x14ac:dyDescent="0.3">
      <c r="A11" s="42"/>
      <c r="B11" s="219"/>
      <c r="C11" s="143" t="s">
        <v>920</v>
      </c>
      <c r="D11" s="42">
        <v>40</v>
      </c>
      <c r="E11" s="38"/>
      <c r="F11" s="38"/>
      <c r="H11" s="42"/>
      <c r="K11" s="457" t="s">
        <v>918</v>
      </c>
    </row>
    <row r="12" spans="1:11" ht="15.6" customHeight="1" x14ac:dyDescent="0.3">
      <c r="A12" s="42"/>
      <c r="B12" s="219"/>
      <c r="C12" s="143" t="s">
        <v>921</v>
      </c>
      <c r="D12" s="42">
        <v>197</v>
      </c>
      <c r="E12" s="44"/>
      <c r="F12" s="44"/>
      <c r="G12" s="457" t="s">
        <v>922</v>
      </c>
      <c r="I12" s="46"/>
      <c r="J12" s="300"/>
      <c r="K12" s="457" t="s">
        <v>918</v>
      </c>
    </row>
    <row r="13" spans="1:11" ht="15.6" customHeight="1" x14ac:dyDescent="0.3">
      <c r="A13" s="42"/>
      <c r="B13" s="219"/>
      <c r="C13" s="504" t="s">
        <v>923</v>
      </c>
      <c r="D13" s="486"/>
      <c r="E13" s="488"/>
      <c r="F13" s="488"/>
      <c r="I13" s="46"/>
    </row>
    <row r="14" spans="1:11" ht="10.5" customHeight="1" x14ac:dyDescent="0.2">
      <c r="A14" s="42"/>
      <c r="B14" s="143" t="str">
        <f>'LabourProject Rates_Master'!$B$14</f>
        <v>TRADESMAN_LEADING HAND</v>
      </c>
      <c r="C14" s="40" t="s">
        <v>10</v>
      </c>
      <c r="D14" s="42"/>
      <c r="E14" s="48">
        <f>E36</f>
        <v>1329.6342857142856</v>
      </c>
      <c r="F14" s="48">
        <f>D14*E14</f>
        <v>0</v>
      </c>
    </row>
    <row r="15" spans="1:11" ht="10.5" customHeight="1" x14ac:dyDescent="0.2">
      <c r="A15" s="42"/>
      <c r="B15" s="143" t="str">
        <f>'LabourProject Rates_Master'!$B$23</f>
        <v>TRADESMAN_PLUMBER_OPERATOR</v>
      </c>
      <c r="C15" s="40" t="s">
        <v>10</v>
      </c>
      <c r="D15" s="42"/>
      <c r="E15" s="48">
        <f>E37</f>
        <v>1016.4579067669171</v>
      </c>
      <c r="F15" s="48">
        <f>D15*E15</f>
        <v>0</v>
      </c>
      <c r="H15" s="39"/>
    </row>
    <row r="16" spans="1:11" ht="10.5" customHeight="1" x14ac:dyDescent="0.2">
      <c r="A16" s="42"/>
      <c r="B16" s="143" t="str">
        <f>'LabourProject Rates_Master'!$B$30</f>
        <v>T/A &amp; Apprentice</v>
      </c>
      <c r="C16" s="40" t="s">
        <v>10</v>
      </c>
      <c r="D16" s="42"/>
      <c r="E16" s="48">
        <f>E38</f>
        <v>829.51028571428571</v>
      </c>
      <c r="F16" s="48">
        <f>D16*E16</f>
        <v>0</v>
      </c>
      <c r="I16" s="46"/>
    </row>
    <row r="17" spans="1:8" ht="10.5" customHeight="1" x14ac:dyDescent="0.2">
      <c r="A17" s="42"/>
      <c r="B17" s="143" t="str">
        <f>'LabourProject Rates_Master'!$B$36</f>
        <v>Crew #1 - InGround Drainage</v>
      </c>
      <c r="C17" s="40" t="s">
        <v>10</v>
      </c>
      <c r="D17" s="42"/>
      <c r="E17" s="48">
        <f>E39</f>
        <v>2862.42609924812</v>
      </c>
      <c r="F17" s="48">
        <f>D17*E17</f>
        <v>0</v>
      </c>
    </row>
    <row r="18" spans="1:8" ht="10.5" customHeight="1" x14ac:dyDescent="0.2">
      <c r="A18" s="42"/>
      <c r="B18" s="143" t="str">
        <f>'LabourProject Rates_Master'!$B$43</f>
        <v>Crew #2 - InGround Water/Fire</v>
      </c>
      <c r="C18" s="40" t="s">
        <v>10</v>
      </c>
      <c r="D18" s="42"/>
      <c r="E18" s="48">
        <f>E40</f>
        <v>2862.42609924812</v>
      </c>
      <c r="F18" s="48">
        <f>D18*E18</f>
        <v>0</v>
      </c>
    </row>
    <row r="19" spans="1:8" ht="15.6" customHeight="1" x14ac:dyDescent="0.3">
      <c r="A19" s="42"/>
      <c r="B19" s="219"/>
      <c r="C19" s="143"/>
      <c r="D19" s="42"/>
      <c r="E19" s="291" t="s">
        <v>924</v>
      </c>
      <c r="F19" s="44">
        <f>SUM(F14:F18)</f>
        <v>0</v>
      </c>
    </row>
    <row r="20" spans="1:8" ht="15.6" customHeight="1" x14ac:dyDescent="0.3">
      <c r="A20" s="42"/>
      <c r="B20" s="219"/>
      <c r="C20" s="504" t="s">
        <v>925</v>
      </c>
      <c r="D20" s="486"/>
      <c r="E20" s="488"/>
      <c r="F20" s="488"/>
    </row>
    <row r="21" spans="1:8" ht="15.6" customHeight="1" x14ac:dyDescent="0.3">
      <c r="A21" s="42"/>
      <c r="B21" s="219"/>
      <c r="C21" s="143"/>
      <c r="D21" s="42"/>
      <c r="E21" s="292" t="s">
        <v>926</v>
      </c>
      <c r="F21" s="376">
        <v>0</v>
      </c>
    </row>
    <row r="22" spans="1:8" ht="15.6" customHeight="1" x14ac:dyDescent="0.3">
      <c r="A22" s="42"/>
      <c r="B22" s="219"/>
      <c r="C22" s="143"/>
      <c r="D22" s="42"/>
      <c r="E22" s="292" t="s">
        <v>927</v>
      </c>
      <c r="F22" s="376">
        <v>0</v>
      </c>
    </row>
    <row r="23" spans="1:8" ht="15.6" customHeight="1" x14ac:dyDescent="0.3">
      <c r="A23" s="42"/>
      <c r="B23" s="219"/>
      <c r="C23" s="143"/>
      <c r="D23" s="42"/>
      <c r="E23" s="292" t="s">
        <v>928</v>
      </c>
      <c r="F23" s="376">
        <v>0</v>
      </c>
    </row>
    <row r="24" spans="1:8" ht="15.6" customHeight="1" x14ac:dyDescent="0.3">
      <c r="A24" s="42"/>
      <c r="B24" s="219"/>
      <c r="C24" s="143"/>
      <c r="D24" s="42"/>
      <c r="E24" s="292" t="s">
        <v>929</v>
      </c>
      <c r="F24" s="376">
        <v>0</v>
      </c>
    </row>
    <row r="25" spans="1:8" ht="15.6" customHeight="1" x14ac:dyDescent="0.3">
      <c r="A25" s="42"/>
      <c r="B25" s="219"/>
      <c r="C25" s="143"/>
      <c r="D25" s="42"/>
      <c r="E25" s="292" t="s">
        <v>930</v>
      </c>
      <c r="F25" s="376">
        <v>0</v>
      </c>
    </row>
    <row r="26" spans="1:8" ht="15.6" customHeight="1" x14ac:dyDescent="0.3">
      <c r="A26" s="42"/>
      <c r="B26" s="219"/>
      <c r="C26" s="143"/>
      <c r="D26" s="42"/>
      <c r="E26" s="44"/>
      <c r="F26" s="44">
        <f>SUM(F21:F25)</f>
        <v>0</v>
      </c>
    </row>
    <row r="27" spans="1:8" ht="15.6" customHeight="1" x14ac:dyDescent="0.3">
      <c r="A27" s="42"/>
      <c r="B27" s="219"/>
      <c r="C27" s="143"/>
      <c r="D27" s="42"/>
      <c r="E27" s="294" t="s">
        <v>931</v>
      </c>
      <c r="F27" s="294">
        <f>F26-F19</f>
        <v>0</v>
      </c>
    </row>
    <row r="28" spans="1:8" ht="15.6" customHeight="1" x14ac:dyDescent="0.3">
      <c r="A28" s="42"/>
      <c r="B28" s="219"/>
      <c r="C28" s="42"/>
      <c r="D28" s="42"/>
      <c r="E28" s="44"/>
      <c r="F28" s="44"/>
    </row>
    <row r="29" spans="1:8" ht="16.2" customHeight="1" thickBot="1" x14ac:dyDescent="0.35">
      <c r="A29" s="42"/>
      <c r="B29" s="219"/>
      <c r="C29" s="42" t="s">
        <v>776</v>
      </c>
      <c r="D29" s="42" t="s">
        <v>932</v>
      </c>
      <c r="E29" s="44" t="s">
        <v>933</v>
      </c>
      <c r="F29" s="44" t="s">
        <v>934</v>
      </c>
    </row>
    <row r="30" spans="1:8" ht="13.95" customHeight="1" thickBot="1" x14ac:dyDescent="0.3">
      <c r="A30" s="42"/>
      <c r="B30" s="501" t="s">
        <v>5</v>
      </c>
      <c r="C30" s="502"/>
      <c r="D30" s="502"/>
      <c r="E30" s="502"/>
      <c r="F30" s="503"/>
      <c r="H30" s="38"/>
    </row>
    <row r="31" spans="1:8" ht="15.6" customHeight="1" x14ac:dyDescent="0.3">
      <c r="A31" s="42"/>
      <c r="B31" s="219"/>
    </row>
    <row r="32" spans="1:8" ht="15.6" customHeight="1" x14ac:dyDescent="0.3">
      <c r="A32" s="42"/>
      <c r="B32" s="219"/>
    </row>
    <row r="33" spans="1:12" ht="10.5" customHeight="1" x14ac:dyDescent="0.2">
      <c r="A33" s="42"/>
      <c r="B33" s="208" t="s">
        <v>935</v>
      </c>
    </row>
    <row r="34" spans="1:12" ht="7.2" customHeight="1" x14ac:dyDescent="0.3">
      <c r="A34" s="42"/>
      <c r="B34" s="219"/>
    </row>
    <row r="35" spans="1:12" ht="10.5" customHeight="1" x14ac:dyDescent="0.2">
      <c r="A35" s="42"/>
      <c r="B35" s="38" t="s">
        <v>936</v>
      </c>
      <c r="C35" s="40" t="s">
        <v>132</v>
      </c>
      <c r="E35" s="138">
        <v>2423.830995670995</v>
      </c>
      <c r="F35" s="41">
        <f>D35*E35</f>
        <v>0</v>
      </c>
      <c r="H35" s="183"/>
      <c r="I35" s="184"/>
    </row>
    <row r="36" spans="1:12" s="40" customFormat="1" ht="12.45" customHeight="1" x14ac:dyDescent="0.25">
      <c r="A36" s="38"/>
      <c r="B36" s="38" t="str">
        <f>'LabourProject Rates_Master'!$B$14</f>
        <v>TRADESMAN_LEADING HAND</v>
      </c>
      <c r="C36" s="40" t="s">
        <v>10</v>
      </c>
      <c r="D36">
        <v>0</v>
      </c>
      <c r="E36" s="41">
        <f>'LabourProject Rates_Master'!$E$15</f>
        <v>1329.6342857142856</v>
      </c>
      <c r="F36" s="41">
        <f>E36*D36</f>
        <v>0</v>
      </c>
      <c r="G36" s="476" t="s">
        <v>937</v>
      </c>
      <c r="I36" s="38"/>
      <c r="J36" s="38"/>
      <c r="K36" s="38"/>
      <c r="L36" s="38"/>
    </row>
    <row r="37" spans="1:12" s="40" customFormat="1" ht="11.55" customHeight="1" x14ac:dyDescent="0.2">
      <c r="A37" s="38"/>
      <c r="B37" s="38" t="str">
        <f>'LabourProject Rates_Master'!$B$23</f>
        <v>TRADESMAN_PLUMBER_OPERATOR</v>
      </c>
      <c r="C37" s="40" t="s">
        <v>10</v>
      </c>
      <c r="E37" s="41">
        <f>'LabourProject Rates_Master'!$E$22</f>
        <v>1016.4579067669171</v>
      </c>
      <c r="F37" s="41">
        <f>E37*D37</f>
        <v>0</v>
      </c>
      <c r="G37" s="46"/>
      <c r="I37" s="38"/>
      <c r="J37" s="38"/>
      <c r="K37" s="38"/>
      <c r="L37" s="38"/>
    </row>
    <row r="38" spans="1:12" s="40" customFormat="1" ht="11.55" customHeight="1" x14ac:dyDescent="0.2">
      <c r="A38" s="42"/>
      <c r="B38" s="38" t="str">
        <f>'LabourProject Rates_Master'!$B$30</f>
        <v>T/A &amp; Apprentice</v>
      </c>
      <c r="C38" s="40" t="s">
        <v>10</v>
      </c>
      <c r="E38" s="41">
        <f>'LabourProject Rates_Master'!$E$29</f>
        <v>829.51028571428571</v>
      </c>
      <c r="F38" s="41">
        <f>E38*D38</f>
        <v>0</v>
      </c>
      <c r="G38" s="38"/>
      <c r="I38" s="38"/>
      <c r="J38" s="38"/>
      <c r="K38" s="38"/>
      <c r="L38" s="38"/>
    </row>
    <row r="39" spans="1:12" s="40" customFormat="1" ht="11.55" customHeight="1" x14ac:dyDescent="0.2">
      <c r="A39" s="42"/>
      <c r="B39" s="38" t="str">
        <f>'LabourProject Rates_Master'!$B$36</f>
        <v>Crew #1 - InGround Drainage</v>
      </c>
      <c r="C39" s="40" t="s">
        <v>10</v>
      </c>
      <c r="E39" s="41">
        <f>'LabourProject Rates_Master'!$E$37</f>
        <v>2862.42609924812</v>
      </c>
      <c r="F39" s="41">
        <f>E39*D39</f>
        <v>0</v>
      </c>
      <c r="G39" s="38"/>
      <c r="I39" s="38"/>
      <c r="J39" s="38"/>
      <c r="K39" s="38"/>
      <c r="L39" s="38"/>
    </row>
    <row r="40" spans="1:12" s="40" customFormat="1" ht="10.5" customHeight="1" x14ac:dyDescent="0.2">
      <c r="A40" s="42"/>
      <c r="B40" s="38" t="str">
        <f>'LabourProject Rates_Master'!$B$43</f>
        <v>Crew #2 - InGround Water/Fire</v>
      </c>
      <c r="C40" s="40" t="s">
        <v>10</v>
      </c>
      <c r="E40" s="41">
        <f>'LabourProject Rates_Master'!$E$44</f>
        <v>2862.42609924812</v>
      </c>
      <c r="F40" s="41">
        <f>E40*D40</f>
        <v>0</v>
      </c>
      <c r="G40" s="38"/>
      <c r="I40" s="38"/>
      <c r="J40" s="38"/>
      <c r="K40" s="38"/>
      <c r="L40" s="38"/>
    </row>
    <row r="41" spans="1:12" s="40" customFormat="1" ht="10.5" customHeight="1" x14ac:dyDescent="0.2">
      <c r="A41" s="42"/>
      <c r="B41" s="38"/>
      <c r="D41" s="41"/>
      <c r="E41" s="41"/>
      <c r="F41" s="41"/>
      <c r="G41" s="38"/>
      <c r="I41" s="38"/>
      <c r="J41" s="38"/>
      <c r="K41" s="38"/>
      <c r="L41" s="38"/>
    </row>
    <row r="42" spans="1:12" s="40" customFormat="1" ht="10.5" customHeight="1" x14ac:dyDescent="0.2">
      <c r="A42" s="42"/>
      <c r="B42" s="208" t="s">
        <v>938</v>
      </c>
      <c r="D42" s="41"/>
      <c r="E42" s="41"/>
      <c r="F42" s="41"/>
      <c r="G42" s="38"/>
      <c r="I42" s="38"/>
      <c r="J42" s="38"/>
      <c r="K42" s="38"/>
      <c r="L42" s="38"/>
    </row>
    <row r="43" spans="1:12" s="40" customFormat="1" ht="10.5" customHeight="1" x14ac:dyDescent="0.2">
      <c r="A43" s="42"/>
      <c r="B43" s="38"/>
      <c r="D43" s="41"/>
      <c r="E43" s="41"/>
      <c r="F43" s="41"/>
      <c r="G43" s="38"/>
      <c r="I43" s="38"/>
      <c r="J43" s="38"/>
      <c r="K43" s="38"/>
      <c r="L43" s="38"/>
    </row>
    <row r="44" spans="1:12" s="40" customFormat="1" ht="10.5" customHeight="1" x14ac:dyDescent="0.2">
      <c r="A44" s="42"/>
      <c r="B44" s="38" t="str">
        <f>'LabourProject Rates_Master'!$B$14</f>
        <v>TRADESMAN_LEADING HAND</v>
      </c>
      <c r="C44" s="40" t="s">
        <v>10</v>
      </c>
      <c r="D44" s="221"/>
      <c r="E44" s="41">
        <f>'LabourProject Rates_Master'!$E$15</f>
        <v>1329.6342857142856</v>
      </c>
      <c r="F44" s="41">
        <f>E44*D44</f>
        <v>0</v>
      </c>
      <c r="G44" s="38" t="s">
        <v>939</v>
      </c>
      <c r="I44" s="38"/>
      <c r="J44" s="38"/>
      <c r="K44" s="38"/>
      <c r="L44" s="38"/>
    </row>
    <row r="45" spans="1:12" s="40" customFormat="1" ht="10.5" customHeight="1" x14ac:dyDescent="0.2">
      <c r="A45" s="42"/>
      <c r="B45" s="38" t="s">
        <v>940</v>
      </c>
      <c r="C45" s="40" t="s">
        <v>10</v>
      </c>
      <c r="D45" s="221"/>
      <c r="E45" s="41">
        <v>120</v>
      </c>
      <c r="F45" s="41">
        <f>E45*D45</f>
        <v>0</v>
      </c>
      <c r="G45" s="194" t="s">
        <v>941</v>
      </c>
      <c r="I45" s="38"/>
      <c r="J45" s="38"/>
      <c r="K45" s="38"/>
      <c r="L45" s="38"/>
    </row>
    <row r="46" spans="1:12" s="40" customFormat="1" ht="10.5" customHeight="1" x14ac:dyDescent="0.2">
      <c r="A46" s="42"/>
      <c r="B46" s="38" t="s">
        <v>942</v>
      </c>
      <c r="C46" s="40" t="s">
        <v>27</v>
      </c>
      <c r="D46" s="221"/>
      <c r="E46" s="41">
        <v>200</v>
      </c>
      <c r="F46" s="41">
        <f>E46*D46</f>
        <v>0</v>
      </c>
      <c r="G46" s="38"/>
      <c r="I46" s="38"/>
      <c r="J46" s="38"/>
      <c r="K46" s="38"/>
      <c r="L46" s="38"/>
    </row>
    <row r="47" spans="1:12" s="40" customFormat="1" ht="10.5" customHeight="1" x14ac:dyDescent="0.2">
      <c r="A47" s="42"/>
      <c r="B47" s="38"/>
      <c r="D47" s="41"/>
      <c r="E47" s="41"/>
      <c r="F47" s="41"/>
      <c r="G47" s="38"/>
      <c r="I47" s="38"/>
      <c r="J47" s="38"/>
      <c r="K47" s="38"/>
      <c r="L47" s="38"/>
    </row>
    <row r="48" spans="1:12" s="40" customFormat="1" ht="10.5" customHeight="1" x14ac:dyDescent="0.2">
      <c r="A48" s="42"/>
      <c r="B48" s="38"/>
      <c r="D48" s="41"/>
      <c r="E48" s="41"/>
      <c r="F48" s="41"/>
      <c r="G48" s="38"/>
      <c r="I48" s="38"/>
      <c r="J48" s="38"/>
      <c r="K48" s="38"/>
      <c r="L48" s="38"/>
    </row>
    <row r="49" spans="1:12" s="40" customFormat="1" ht="10.5" customHeight="1" x14ac:dyDescent="0.2">
      <c r="A49" s="42"/>
      <c r="B49" s="38"/>
      <c r="D49" s="41"/>
      <c r="E49" s="41"/>
      <c r="F49" s="41"/>
      <c r="G49" s="38"/>
      <c r="I49" s="38"/>
      <c r="J49" s="38"/>
      <c r="K49" s="38"/>
      <c r="L49" s="38"/>
    </row>
    <row r="50" spans="1:12" ht="16.2" customHeight="1" thickBot="1" x14ac:dyDescent="0.35">
      <c r="A50" s="42"/>
      <c r="B50" s="218"/>
    </row>
    <row r="51" spans="1:12" ht="13.95" customHeight="1" thickBot="1" x14ac:dyDescent="0.3">
      <c r="A51" s="42"/>
      <c r="B51" s="501" t="s">
        <v>943</v>
      </c>
      <c r="C51" s="502"/>
      <c r="D51" s="502"/>
      <c r="E51" s="502"/>
      <c r="F51" s="503"/>
      <c r="H51" s="38"/>
    </row>
    <row r="52" spans="1:12" ht="10.5" customHeight="1" x14ac:dyDescent="0.2">
      <c r="A52" s="42"/>
      <c r="B52" s="204" t="s">
        <v>944</v>
      </c>
      <c r="C52" s="42"/>
      <c r="D52" s="42"/>
      <c r="E52" s="44"/>
      <c r="F52" s="44"/>
      <c r="G52" s="44"/>
      <c r="H52" s="44"/>
      <c r="I52" s="44"/>
      <c r="J52" s="44"/>
      <c r="K52" s="44"/>
    </row>
    <row r="53" spans="1:12" ht="10.5" customHeight="1" x14ac:dyDescent="0.2">
      <c r="A53" s="42"/>
      <c r="B53" s="38" t="str">
        <f>'LabourProject Rates_Master'!B100</f>
        <v>Full Apartment / TownHouse / Unit - VIA AGENT</v>
      </c>
      <c r="C53" s="40" t="s">
        <v>945</v>
      </c>
      <c r="D53" s="221">
        <v>0</v>
      </c>
      <c r="E53" s="138">
        <f>'LabourProject Rates_Master'!E103</f>
        <v>4606.060606060606</v>
      </c>
      <c r="F53" s="41">
        <f>D53*E53</f>
        <v>0</v>
      </c>
      <c r="G53" s="46" t="s">
        <v>946</v>
      </c>
      <c r="H53" s="457" t="s">
        <v>947</v>
      </c>
      <c r="I53" s="183"/>
      <c r="J53" s="226"/>
      <c r="K53" s="184"/>
    </row>
    <row r="54" spans="1:12" ht="10.5" customHeight="1" x14ac:dyDescent="0.2">
      <c r="A54" s="42"/>
      <c r="B54" s="38" t="str">
        <f>'LabourProject Rates_Master'!B100</f>
        <v>Full Apartment / TownHouse / Unit - VIA AGENT</v>
      </c>
      <c r="C54" s="40" t="s">
        <v>945</v>
      </c>
      <c r="D54" s="221">
        <v>0</v>
      </c>
      <c r="E54" s="138">
        <f>'LabourProject Rates_Master'!E103</f>
        <v>4606.060606060606</v>
      </c>
      <c r="F54" s="41">
        <f>D54*E54</f>
        <v>0</v>
      </c>
      <c r="G54" s="46" t="s">
        <v>946</v>
      </c>
      <c r="I54" s="183"/>
      <c r="J54" s="226"/>
      <c r="K54" s="184"/>
    </row>
    <row r="55" spans="1:12" ht="10.5" customHeight="1" x14ac:dyDescent="0.2">
      <c r="A55" s="42"/>
      <c r="E55" s="138"/>
      <c r="G55" s="46"/>
      <c r="I55" s="183"/>
      <c r="J55" s="226"/>
      <c r="K55" s="184"/>
    </row>
    <row r="56" spans="1:12" ht="10.5" customHeight="1" x14ac:dyDescent="0.2">
      <c r="A56" s="42"/>
      <c r="B56" s="38" t="s">
        <v>948</v>
      </c>
      <c r="E56" s="138"/>
      <c r="G56" s="46"/>
      <c r="H56" s="40" t="s">
        <v>949</v>
      </c>
      <c r="I56" s="183"/>
      <c r="J56" s="226"/>
      <c r="K56" s="184"/>
    </row>
    <row r="57" spans="1:12" ht="10.5" customHeight="1" x14ac:dyDescent="0.2">
      <c r="A57" s="42"/>
      <c r="B57" s="143" t="str">
        <f>'LabourProject Rates_Master'!$B$14</f>
        <v>TRADESMAN_LEADING HAND</v>
      </c>
      <c r="E57" s="138"/>
      <c r="G57" s="300">
        <f>D14</f>
        <v>0</v>
      </c>
      <c r="H57" s="302">
        <f>'LabourProject Rates_Master'!$E$109</f>
        <v>103.24675324675326</v>
      </c>
      <c r="I57" s="302">
        <f>H57*G57</f>
        <v>0</v>
      </c>
      <c r="J57" s="226"/>
      <c r="K57" s="184"/>
    </row>
    <row r="58" spans="1:12" ht="10.5" customHeight="1" x14ac:dyDescent="0.2">
      <c r="A58" s="42"/>
      <c r="B58" s="143" t="str">
        <f>'LabourProject Rates_Master'!$B$23</f>
        <v>TRADESMAN_PLUMBER_OPERATOR</v>
      </c>
      <c r="E58" s="138"/>
      <c r="G58" s="300">
        <f>D15</f>
        <v>0</v>
      </c>
      <c r="H58" s="302">
        <f>'LabourProject Rates_Master'!$E$109</f>
        <v>103.24675324675326</v>
      </c>
      <c r="I58" s="302">
        <f>H58*G58</f>
        <v>0</v>
      </c>
      <c r="J58" s="226"/>
      <c r="K58" s="184"/>
    </row>
    <row r="59" spans="1:12" ht="10.5" customHeight="1" x14ac:dyDescent="0.2">
      <c r="A59" s="42"/>
      <c r="B59" s="143" t="str">
        <f>'LabourProject Rates_Master'!$B$30</f>
        <v>T/A &amp; Apprentice</v>
      </c>
      <c r="E59" s="138"/>
      <c r="G59" s="300">
        <f>D16</f>
        <v>0</v>
      </c>
      <c r="H59" s="302">
        <f>'LabourProject Rates_Master'!$E$109</f>
        <v>103.24675324675326</v>
      </c>
      <c r="I59" s="302">
        <f>H59*G59</f>
        <v>0</v>
      </c>
      <c r="J59" s="226"/>
      <c r="K59" s="184"/>
    </row>
    <row r="60" spans="1:12" ht="10.5" customHeight="1" x14ac:dyDescent="0.2">
      <c r="A60" s="42"/>
      <c r="B60" s="143" t="str">
        <f>'LabourProject Rates_Master'!$B$36</f>
        <v>Crew #1 - InGround Drainage</v>
      </c>
      <c r="E60" s="138"/>
      <c r="G60" s="300">
        <f>D17*3</f>
        <v>0</v>
      </c>
      <c r="H60" s="302">
        <f>'LabourProject Rates_Master'!$E$109</f>
        <v>103.24675324675326</v>
      </c>
      <c r="I60" s="302">
        <f>H60*G60</f>
        <v>0</v>
      </c>
      <c r="J60" s="226"/>
      <c r="K60" s="184"/>
    </row>
    <row r="61" spans="1:12" ht="10.5" customHeight="1" x14ac:dyDescent="0.2">
      <c r="A61" s="42"/>
      <c r="E61" s="138"/>
      <c r="G61" s="46"/>
      <c r="I61" s="183"/>
      <c r="J61" s="226"/>
      <c r="K61" s="184"/>
    </row>
    <row r="62" spans="1:12" ht="10.5" customHeight="1" x14ac:dyDescent="0.2">
      <c r="A62" s="42"/>
      <c r="B62" s="204" t="s">
        <v>950</v>
      </c>
      <c r="E62" s="138"/>
      <c r="I62" s="183"/>
      <c r="J62" s="226"/>
      <c r="K62" s="184"/>
    </row>
    <row r="63" spans="1:12" ht="10.5" customHeight="1" x14ac:dyDescent="0.2">
      <c r="A63" s="42"/>
      <c r="B63" s="38" t="str">
        <f>'LabourProject Rates_Master'!B110</f>
        <v>TCS Cost Per Person - Private Unit - NO SHARE - Nightly Booking (average allowance)</v>
      </c>
      <c r="C63" s="40" t="s">
        <v>132</v>
      </c>
      <c r="D63" s="221"/>
      <c r="E63" s="138">
        <f>Accomodation_Master!$F$343</f>
        <v>112.85714285714286</v>
      </c>
      <c r="F63" s="41">
        <f>D63*E63</f>
        <v>0</v>
      </c>
      <c r="I63" s="183"/>
      <c r="J63" s="226"/>
      <c r="K63" s="184"/>
    </row>
    <row r="64" spans="1:12" ht="10.5" customHeight="1" x14ac:dyDescent="0.2">
      <c r="A64" s="42"/>
      <c r="E64" s="138"/>
      <c r="I64" s="183"/>
      <c r="J64" s="226"/>
      <c r="K64" s="184"/>
    </row>
    <row r="65" spans="1:12" ht="10.5" customHeight="1" x14ac:dyDescent="0.2">
      <c r="A65" s="42"/>
      <c r="B65" s="38" t="s">
        <v>940</v>
      </c>
      <c r="C65" s="40" t="s">
        <v>132</v>
      </c>
      <c r="D65" s="221"/>
      <c r="E65" s="138">
        <v>140</v>
      </c>
      <c r="F65" s="41">
        <f>D65*E65</f>
        <v>0</v>
      </c>
      <c r="G65" s="38" t="s">
        <v>951</v>
      </c>
      <c r="I65" s="183"/>
      <c r="J65" s="226"/>
      <c r="K65" s="184"/>
    </row>
    <row r="66" spans="1:12" ht="10.5" customHeight="1" x14ac:dyDescent="0.2">
      <c r="A66" s="42"/>
      <c r="E66" s="138"/>
      <c r="G66" s="46">
        <f>SUM(F53:F66)</f>
        <v>0</v>
      </c>
      <c r="I66" s="303">
        <f>SUM(I57:I65)</f>
        <v>0</v>
      </c>
      <c r="J66" s="226"/>
      <c r="K66" s="184"/>
    </row>
    <row r="67" spans="1:12" ht="10.8" customHeight="1" thickBot="1" x14ac:dyDescent="0.25">
      <c r="A67" s="42"/>
      <c r="C67" s="42"/>
      <c r="D67" s="42"/>
      <c r="E67" s="44"/>
      <c r="F67" s="44"/>
    </row>
    <row r="68" spans="1:12" ht="13.95" customHeight="1" thickBot="1" x14ac:dyDescent="0.3">
      <c r="A68" s="42"/>
      <c r="B68" s="501" t="s">
        <v>952</v>
      </c>
      <c r="C68" s="502"/>
      <c r="D68" s="502"/>
      <c r="E68" s="502"/>
      <c r="F68" s="503"/>
      <c r="H68" s="38"/>
    </row>
    <row r="69" spans="1:12" ht="10.5" customHeight="1" x14ac:dyDescent="0.2">
      <c r="A69" s="42"/>
      <c r="C69" s="42"/>
      <c r="D69" s="42"/>
      <c r="E69" s="44"/>
      <c r="F69" s="38"/>
    </row>
    <row r="70" spans="1:12" s="40" customFormat="1" ht="10.5" customHeight="1" x14ac:dyDescent="0.2">
      <c r="A70" s="38"/>
      <c r="B70" s="54" t="s">
        <v>953</v>
      </c>
      <c r="C70" s="221" t="s">
        <v>10</v>
      </c>
      <c r="D70" s="221">
        <v>140</v>
      </c>
      <c r="E70" s="238">
        <v>90</v>
      </c>
      <c r="F70" s="220">
        <f>D70*E70</f>
        <v>12600</v>
      </c>
      <c r="G70" s="457" t="s">
        <v>954</v>
      </c>
      <c r="I70" s="38"/>
      <c r="J70" s="38"/>
      <c r="K70" s="38"/>
      <c r="L70" s="38"/>
    </row>
    <row r="71" spans="1:12" s="40" customFormat="1" ht="10.5" customHeight="1" x14ac:dyDescent="0.2">
      <c r="A71" s="38"/>
      <c r="B71" s="54" t="s">
        <v>955</v>
      </c>
      <c r="C71" s="221" t="s">
        <v>10</v>
      </c>
      <c r="D71" s="221">
        <v>166</v>
      </c>
      <c r="E71" s="238">
        <v>60</v>
      </c>
      <c r="F71" s="220">
        <f>D71*E71</f>
        <v>9960</v>
      </c>
      <c r="G71" s="457" t="s">
        <v>956</v>
      </c>
      <c r="I71" s="38"/>
      <c r="J71" s="38"/>
      <c r="K71" s="38"/>
      <c r="L71" s="38"/>
    </row>
    <row r="72" spans="1:12" s="40" customFormat="1" ht="10.5" customHeight="1" x14ac:dyDescent="0.2">
      <c r="A72" s="38"/>
      <c r="B72" s="54" t="s">
        <v>957</v>
      </c>
      <c r="C72" s="221" t="s">
        <v>10</v>
      </c>
      <c r="D72" s="221">
        <v>0</v>
      </c>
      <c r="E72" s="238">
        <v>40</v>
      </c>
      <c r="F72" s="220">
        <f>D72*E72</f>
        <v>0</v>
      </c>
      <c r="G72" s="457" t="s">
        <v>958</v>
      </c>
      <c r="I72" s="38"/>
      <c r="J72" s="38"/>
      <c r="K72" s="38"/>
      <c r="L72" s="38"/>
    </row>
    <row r="73" spans="1:12" s="40" customFormat="1" ht="10.5" customHeight="1" x14ac:dyDescent="0.2">
      <c r="A73" s="38"/>
      <c r="B73" s="38"/>
      <c r="E73" s="138"/>
      <c r="F73" s="41"/>
      <c r="I73" s="38"/>
      <c r="J73" s="38"/>
      <c r="K73" s="38"/>
      <c r="L73" s="38"/>
    </row>
    <row r="74" spans="1:12" s="40" customFormat="1" ht="10.5" customHeight="1" x14ac:dyDescent="0.2">
      <c r="A74" s="38"/>
      <c r="B74" s="54" t="s">
        <v>959</v>
      </c>
      <c r="C74" s="221" t="s">
        <v>10</v>
      </c>
      <c r="D74" s="221"/>
      <c r="E74" s="238">
        <v>90</v>
      </c>
      <c r="F74" s="220">
        <f t="shared" ref="F74:F81" si="0">D74*E74</f>
        <v>0</v>
      </c>
      <c r="I74" s="38"/>
      <c r="J74" s="38"/>
      <c r="K74" s="38"/>
      <c r="L74" s="38"/>
    </row>
    <row r="75" spans="1:12" s="40" customFormat="1" ht="12.45" customHeight="1" x14ac:dyDescent="0.25">
      <c r="A75" s="38"/>
      <c r="B75" s="38" t="s">
        <v>960</v>
      </c>
      <c r="C75" t="s">
        <v>10</v>
      </c>
      <c r="D75">
        <f>$D$9</f>
        <v>285</v>
      </c>
      <c r="E75" s="138">
        <v>45</v>
      </c>
      <c r="F75" s="41">
        <f t="shared" si="0"/>
        <v>12825</v>
      </c>
      <c r="G75" s="457" t="s">
        <v>961</v>
      </c>
      <c r="I75" s="38"/>
      <c r="J75" s="38"/>
      <c r="K75" s="38"/>
      <c r="L75" s="38"/>
    </row>
    <row r="76" spans="1:12" s="40" customFormat="1" ht="12.45" customHeight="1" x14ac:dyDescent="0.25">
      <c r="A76" s="38"/>
      <c r="B76" s="38" t="s">
        <v>962</v>
      </c>
      <c r="C76" t="s">
        <v>132</v>
      </c>
      <c r="D76">
        <v>1</v>
      </c>
      <c r="E76" s="138">
        <v>5000</v>
      </c>
      <c r="F76" s="41">
        <f t="shared" si="0"/>
        <v>5000</v>
      </c>
      <c r="G76" s="457" t="s">
        <v>963</v>
      </c>
      <c r="I76" s="38"/>
      <c r="J76" s="38"/>
      <c r="K76" s="38"/>
      <c r="L76" s="38"/>
    </row>
    <row r="77" spans="1:12" s="40" customFormat="1" ht="12.45" customHeight="1" x14ac:dyDescent="0.25">
      <c r="A77" s="38"/>
      <c r="B77" s="38" t="str">
        <f>'Equip&amp;HIRE_Master'!A40</f>
        <v>Porta Loo_No Tank</v>
      </c>
      <c r="C77" s="40" t="s">
        <v>10</v>
      </c>
      <c r="D77">
        <f>$D$9</f>
        <v>285</v>
      </c>
      <c r="E77" s="138">
        <f>'Equip&amp;HIRE_Master'!D40</f>
        <v>5.46</v>
      </c>
      <c r="F77" s="41">
        <f t="shared" si="0"/>
        <v>1556.1</v>
      </c>
      <c r="G77" s="457" t="s">
        <v>964</v>
      </c>
      <c r="I77" s="38"/>
      <c r="J77" s="38"/>
      <c r="K77" s="38"/>
      <c r="L77" s="38"/>
    </row>
    <row r="78" spans="1:12" s="40" customFormat="1" ht="10.5" customHeight="1" x14ac:dyDescent="0.2">
      <c r="A78" s="38"/>
      <c r="B78" s="38" t="str">
        <f>'Equip&amp;HIRE_Master'!A41</f>
        <v>6*3m Demantable Lunchroom - COMPLETE</v>
      </c>
      <c r="C78" s="40" t="s">
        <v>10</v>
      </c>
      <c r="D78" s="40">
        <f>$D$9</f>
        <v>285</v>
      </c>
      <c r="E78" s="138">
        <f>'Equip&amp;HIRE_Master'!D41</f>
        <v>23</v>
      </c>
      <c r="F78" s="41">
        <f t="shared" si="0"/>
        <v>6555</v>
      </c>
      <c r="I78" s="38"/>
      <c r="J78" s="38"/>
      <c r="K78" s="38"/>
      <c r="L78" s="38"/>
    </row>
    <row r="79" spans="1:12" s="40" customFormat="1" ht="10.5" customHeight="1" x14ac:dyDescent="0.2">
      <c r="A79" s="38"/>
      <c r="B79" s="38" t="str">
        <f>'Equip&amp;HIRE_Master'!A42</f>
        <v>6*3m Demantable Office - COMPLETE</v>
      </c>
      <c r="C79" s="40" t="s">
        <v>10</v>
      </c>
      <c r="D79" s="40">
        <f>$D$9</f>
        <v>285</v>
      </c>
      <c r="E79" s="138">
        <f>'Equip&amp;HIRE_Master'!D42</f>
        <v>23</v>
      </c>
      <c r="F79" s="41">
        <f t="shared" si="0"/>
        <v>6555</v>
      </c>
      <c r="I79" s="38"/>
      <c r="J79" s="38"/>
      <c r="K79" s="38"/>
      <c r="L79" s="38"/>
    </row>
    <row r="80" spans="1:12" s="40" customFormat="1" ht="12.45" customHeight="1" x14ac:dyDescent="0.25">
      <c r="A80" s="38"/>
      <c r="B80" s="38" t="str">
        <f>'Equip&amp;HIRE_Master'!A43</f>
        <v>20Ft Shipping Container</v>
      </c>
      <c r="C80" s="40" t="s">
        <v>965</v>
      </c>
      <c r="D80">
        <v>1</v>
      </c>
      <c r="E80" s="138">
        <v>1800</v>
      </c>
      <c r="F80" s="41">
        <f t="shared" si="0"/>
        <v>1800</v>
      </c>
      <c r="G80" s="457" t="s">
        <v>966</v>
      </c>
      <c r="I80" s="38"/>
      <c r="J80" s="38"/>
      <c r="K80" s="38"/>
      <c r="L80" s="38"/>
    </row>
    <row r="81" spans="1:12" s="40" customFormat="1" ht="10.5" customHeight="1" x14ac:dyDescent="0.2">
      <c r="A81" s="38"/>
      <c r="B81" s="38" t="s">
        <v>967</v>
      </c>
      <c r="C81" s="40" t="s">
        <v>968</v>
      </c>
      <c r="D81" s="40">
        <f>$D$10</f>
        <v>9.4</v>
      </c>
      <c r="E81" s="138">
        <f>'Equip&amp;HIRE_Master'!D59</f>
        <v>239.8</v>
      </c>
      <c r="F81" s="41">
        <f t="shared" si="0"/>
        <v>2254.1200000000003</v>
      </c>
      <c r="G81" s="457" t="s">
        <v>969</v>
      </c>
      <c r="I81" s="38"/>
      <c r="J81" s="38"/>
      <c r="K81" s="38"/>
      <c r="L81" s="38"/>
    </row>
    <row r="82" spans="1:12" s="40" customFormat="1" ht="10.5" customHeight="1" x14ac:dyDescent="0.2">
      <c r="A82" s="38"/>
      <c r="B82" s="38"/>
      <c r="E82" s="138"/>
      <c r="F82" s="41"/>
      <c r="I82" s="38"/>
      <c r="J82" s="38"/>
      <c r="K82" s="38"/>
      <c r="L82" s="38"/>
    </row>
    <row r="83" spans="1:12" s="40" customFormat="1" ht="12.45" customHeight="1" x14ac:dyDescent="0.25">
      <c r="A83" s="38"/>
      <c r="B83" s="38" t="s">
        <v>970</v>
      </c>
      <c r="C83" t="s">
        <v>971</v>
      </c>
      <c r="D83">
        <v>3</v>
      </c>
      <c r="E83" s="138">
        <v>1440</v>
      </c>
      <c r="F83" s="41">
        <f>D83*E83</f>
        <v>4320</v>
      </c>
      <c r="G83" s="457" t="s">
        <v>972</v>
      </c>
      <c r="I83" s="38"/>
      <c r="J83" s="38"/>
      <c r="K83" s="38"/>
      <c r="L83" s="38"/>
    </row>
    <row r="84" spans="1:12" s="40" customFormat="1" ht="10.8" customHeight="1" thickBot="1" x14ac:dyDescent="0.25">
      <c r="A84" s="38"/>
      <c r="B84" s="153"/>
      <c r="E84" s="41"/>
      <c r="F84" s="46"/>
      <c r="I84" s="38"/>
      <c r="J84" s="38"/>
      <c r="K84" s="38"/>
      <c r="L84" s="38"/>
    </row>
    <row r="85" spans="1:12" ht="13.95" customHeight="1" thickBot="1" x14ac:dyDescent="0.3">
      <c r="A85" s="42"/>
      <c r="B85" s="501" t="s">
        <v>973</v>
      </c>
      <c r="C85" s="502"/>
      <c r="D85" s="502"/>
      <c r="E85" s="502"/>
      <c r="F85" s="503"/>
      <c r="H85" s="38"/>
    </row>
    <row r="86" spans="1:12" ht="10.5" customHeight="1" x14ac:dyDescent="0.2">
      <c r="A86" s="42"/>
      <c r="C86" s="42"/>
      <c r="D86" s="42"/>
      <c r="E86" s="44"/>
      <c r="F86" s="38"/>
    </row>
    <row r="87" spans="1:12" ht="10.5" customHeight="1" x14ac:dyDescent="0.2">
      <c r="B87" s="38" t="s">
        <v>974</v>
      </c>
      <c r="C87" s="40" t="s">
        <v>132</v>
      </c>
      <c r="D87" s="221">
        <v>1</v>
      </c>
      <c r="E87" s="138">
        <v>20000</v>
      </c>
      <c r="F87" s="41">
        <f>D87*E87</f>
        <v>20000</v>
      </c>
      <c r="G87" s="457" t="s">
        <v>975</v>
      </c>
    </row>
    <row r="88" spans="1:12" s="40" customFormat="1" ht="10.5" customHeight="1" x14ac:dyDescent="0.2">
      <c r="A88" s="38"/>
      <c r="B88" s="153"/>
      <c r="E88" s="41"/>
      <c r="F88" s="46"/>
      <c r="I88" s="38"/>
      <c r="J88" s="38"/>
      <c r="K88" s="38"/>
      <c r="L88" s="38"/>
    </row>
    <row r="89" spans="1:12" s="40" customFormat="1" ht="13.05" customHeight="1" x14ac:dyDescent="0.25">
      <c r="A89" s="42"/>
      <c r="B89" s="38"/>
      <c r="E89" s="206" t="s">
        <v>976</v>
      </c>
      <c r="F89" s="207">
        <f>SUM(F32:F88)</f>
        <v>83425.22</v>
      </c>
      <c r="G89" s="473" t="s">
        <v>977</v>
      </c>
      <c r="H89" s="472">
        <f>'TCS $ Sched'!R42</f>
        <v>64152.515157884503</v>
      </c>
      <c r="I89" s="38"/>
      <c r="J89" s="38"/>
      <c r="K89" s="38"/>
      <c r="L89" s="38"/>
    </row>
    <row r="90" spans="1:12" s="40" customFormat="1" ht="12.45" customHeight="1" x14ac:dyDescent="0.25">
      <c r="A90" s="42"/>
      <c r="B90" s="38"/>
      <c r="E90" s="41"/>
      <c r="F90" s="51"/>
      <c r="G90" s="38" t="s">
        <v>978</v>
      </c>
      <c r="H90" s="472">
        <f>F89-H89</f>
        <v>19272.704842115498</v>
      </c>
      <c r="I90" s="38"/>
      <c r="J90" s="38"/>
      <c r="K90" s="38"/>
      <c r="L90" s="38"/>
    </row>
    <row r="91" spans="1:12" s="40" customFormat="1" ht="10.8" customHeight="1" thickBot="1" x14ac:dyDescent="0.3">
      <c r="B91" s="38"/>
      <c r="E91" s="41"/>
      <c r="F91" s="52"/>
      <c r="G91" s="38" t="s">
        <v>979</v>
      </c>
      <c r="H91" s="477">
        <f>IF(H89=0,0,H90/H89)</f>
        <v>0.30042009724301255</v>
      </c>
      <c r="I91" s="38"/>
      <c r="J91" s="38"/>
      <c r="K91" s="38"/>
      <c r="L91" s="38"/>
    </row>
    <row r="92" spans="1:12" ht="16.2" customHeight="1" thickBot="1" x14ac:dyDescent="0.35">
      <c r="A92" s="42" t="s">
        <v>913</v>
      </c>
      <c r="B92" s="215" t="s">
        <v>980</v>
      </c>
      <c r="G92" s="457" t="s">
        <v>981</v>
      </c>
    </row>
    <row r="93" spans="1:12" ht="10.5" customHeight="1" x14ac:dyDescent="0.2">
      <c r="A93" s="42"/>
      <c r="C93" s="42" t="s">
        <v>776</v>
      </c>
      <c r="D93" s="42" t="s">
        <v>932</v>
      </c>
      <c r="E93" s="44" t="s">
        <v>933</v>
      </c>
      <c r="F93" s="44" t="s">
        <v>934</v>
      </c>
      <c r="G93" s="295" t="s">
        <v>982</v>
      </c>
      <c r="H93" s="44"/>
      <c r="I93" s="44"/>
    </row>
    <row r="94" spans="1:12" ht="12.45" customHeight="1" x14ac:dyDescent="0.25">
      <c r="A94" s="42"/>
      <c r="B94" s="208" t="s">
        <v>983</v>
      </c>
      <c r="C94" s="40" t="s">
        <v>132</v>
      </c>
      <c r="D94">
        <v>9.4</v>
      </c>
      <c r="E94" s="297">
        <v>40000</v>
      </c>
      <c r="F94" s="41">
        <f>D94*E94</f>
        <v>376000</v>
      </c>
      <c r="G94" s="296">
        <f>'TCS $ Sched'!$Q$68</f>
        <v>0.18</v>
      </c>
      <c r="H94" s="478" t="s">
        <v>984</v>
      </c>
      <c r="I94" s="184"/>
    </row>
    <row r="95" spans="1:12" s="40" customFormat="1" ht="12.45" customHeight="1" x14ac:dyDescent="0.25">
      <c r="A95" s="38"/>
      <c r="B95" s="153" t="s">
        <v>985</v>
      </c>
      <c r="C95" t="s">
        <v>132</v>
      </c>
      <c r="D95">
        <v>1</v>
      </c>
      <c r="E95" s="41">
        <f>-F94*0.55</f>
        <v>-206800.00000000003</v>
      </c>
      <c r="F95" s="46">
        <f>D95*E95</f>
        <v>-206800.00000000003</v>
      </c>
      <c r="H95" s="457" t="s">
        <v>986</v>
      </c>
      <c r="I95" s="38"/>
      <c r="J95" s="38"/>
      <c r="K95" s="38"/>
      <c r="L95" s="38"/>
    </row>
    <row r="96" spans="1:12" s="40" customFormat="1" ht="13.05" customHeight="1" x14ac:dyDescent="0.25">
      <c r="A96" s="42"/>
      <c r="B96" s="38"/>
      <c r="E96" s="206" t="s">
        <v>987</v>
      </c>
      <c r="F96" s="207">
        <f>SUM(F94:F95)</f>
        <v>169199.99999999997</v>
      </c>
      <c r="G96" s="473" t="s">
        <v>988</v>
      </c>
      <c r="H96" s="472">
        <f>'TCS $ Sched'!R43</f>
        <v>209953.68597125835</v>
      </c>
      <c r="I96" s="38"/>
      <c r="J96" s="38"/>
      <c r="K96" s="38"/>
      <c r="L96" s="38"/>
    </row>
    <row r="97" spans="1:12" s="40" customFormat="1" ht="12.45" customHeight="1" x14ac:dyDescent="0.25">
      <c r="A97" s="38"/>
      <c r="B97" s="38"/>
      <c r="E97" s="41"/>
      <c r="F97" s="46"/>
      <c r="G97" s="38" t="s">
        <v>989</v>
      </c>
      <c r="H97" s="472">
        <f>F96-H96</f>
        <v>-40753.685971258383</v>
      </c>
      <c r="I97" s="38"/>
      <c r="J97" s="38"/>
      <c r="K97" s="38"/>
      <c r="L97" s="38"/>
    </row>
    <row r="98" spans="1:12" s="40" customFormat="1" ht="12.45" customHeight="1" x14ac:dyDescent="0.25">
      <c r="A98" s="38"/>
      <c r="B98" s="53"/>
      <c r="C98" s="38"/>
      <c r="E98" s="41"/>
      <c r="F98" s="38"/>
      <c r="G98" s="38" t="s">
        <v>990</v>
      </c>
      <c r="H98" s="477">
        <f>IF(H96=0,0,H97/H96)</f>
        <v>-0.19410798044687516</v>
      </c>
      <c r="I98" s="38"/>
      <c r="J98" s="38"/>
      <c r="K98" s="38"/>
      <c r="L98" s="38"/>
    </row>
    <row r="99" spans="1:12" s="40" customFormat="1" x14ac:dyDescent="0.2">
      <c r="A99" s="38"/>
      <c r="B99" s="38"/>
      <c r="E99" s="41"/>
      <c r="F99" s="41"/>
      <c r="G99" s="38"/>
      <c r="I99" s="38"/>
      <c r="J99" s="38"/>
      <c r="K99" s="38"/>
      <c r="L99" s="38"/>
    </row>
    <row r="100" spans="1:12" s="40" customFormat="1" ht="13.05" customHeight="1" x14ac:dyDescent="0.25">
      <c r="A100" s="38"/>
      <c r="B100" s="38"/>
      <c r="E100" s="41"/>
      <c r="F100" s="41"/>
      <c r="G100" s="479" t="s">
        <v>991</v>
      </c>
      <c r="H100" s="472">
        <f>F89+F96</f>
        <v>252625.21999999997</v>
      </c>
      <c r="I100" s="38"/>
      <c r="J100" s="38"/>
      <c r="K100" s="38"/>
      <c r="L100" s="38"/>
    </row>
    <row r="101" spans="1:12" s="40" customFormat="1" ht="12.45" customHeight="1" x14ac:dyDescent="0.25">
      <c r="A101" s="38"/>
      <c r="B101" s="38"/>
      <c r="E101" s="41"/>
      <c r="F101" s="41"/>
      <c r="G101" s="38" t="s">
        <v>992</v>
      </c>
      <c r="H101" s="472">
        <f>H89+H96</f>
        <v>274106.20112914284</v>
      </c>
      <c r="I101" s="38"/>
      <c r="J101" s="38"/>
      <c r="K101" s="38"/>
      <c r="L101" s="38"/>
    </row>
    <row r="102" spans="1:12" ht="12.45" customHeight="1" x14ac:dyDescent="0.25">
      <c r="G102" t="s">
        <v>993</v>
      </c>
      <c r="H102" s="472">
        <f>H100-H101</f>
        <v>-21480.981129142863</v>
      </c>
      <c r="I102" s="477">
        <f>IF(H101=0,0,H102/H101)</f>
        <v>-7.8367366519454557E-2</v>
      </c>
    </row>
  </sheetData>
  <mergeCells count="8">
    <mergeCell ref="A6:F6"/>
    <mergeCell ref="B85:F85"/>
    <mergeCell ref="B8:F8"/>
    <mergeCell ref="B68:F68"/>
    <mergeCell ref="C13:F13"/>
    <mergeCell ref="B30:F30"/>
    <mergeCell ref="C20:F20"/>
    <mergeCell ref="B51:F51"/>
  </mergeCells>
  <printOptions gridLines="1"/>
  <pageMargins left="0.46" right="0.42" top="0.37" bottom="0.4" header="0.39" footer="0.38"/>
  <pageSetup paperSize="8" scale="80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R1003"/>
  <sheetViews>
    <sheetView topLeftCell="A341" zoomScaleNormal="100" workbookViewId="0">
      <selection activeCell="B352" sqref="B352"/>
    </sheetView>
  </sheetViews>
  <sheetFormatPr defaultColWidth="9.21875" defaultRowHeight="10.199999999999999" x14ac:dyDescent="0.2"/>
  <cols>
    <col min="1" max="1" width="8.21875" style="38" customWidth="1"/>
    <col min="2" max="2" width="69.77734375" style="38" customWidth="1"/>
    <col min="3" max="3" width="23.5546875" style="40" customWidth="1"/>
    <col min="4" max="4" width="14.21875" style="40" customWidth="1"/>
    <col min="5" max="5" width="17.21875" style="41" customWidth="1"/>
    <col min="6" max="6" width="14.21875" style="41" customWidth="1"/>
    <col min="7" max="9" width="9.21875" style="38" customWidth="1"/>
    <col min="10" max="10" width="16" style="38" customWidth="1"/>
    <col min="11" max="11" width="9.21875" style="38" customWidth="1"/>
    <col min="12" max="12" width="10" style="38" bestFit="1" customWidth="1"/>
    <col min="13" max="13" width="13.77734375" style="38" customWidth="1"/>
    <col min="14" max="14" width="10.21875" style="38" bestFit="1" customWidth="1"/>
    <col min="15" max="237" width="9.21875" style="38" customWidth="1"/>
    <col min="238" max="238" width="8.21875" style="38" customWidth="1"/>
    <col min="239" max="239" width="70.44140625" style="38" bestFit="1" customWidth="1"/>
    <col min="240" max="240" width="11.44140625" style="38" customWidth="1"/>
    <col min="241" max="241" width="10.44140625" style="38" customWidth="1"/>
    <col min="242" max="242" width="13.21875" style="38" customWidth="1"/>
    <col min="243" max="243" width="14.21875" style="38" customWidth="1"/>
    <col min="244" max="244" width="12.21875" style="38" customWidth="1"/>
    <col min="245" max="493" width="9.21875" style="38" customWidth="1"/>
    <col min="494" max="494" width="8.21875" style="38" customWidth="1"/>
    <col min="495" max="495" width="70.44140625" style="38" bestFit="1" customWidth="1"/>
    <col min="496" max="496" width="11.44140625" style="38" customWidth="1"/>
    <col min="497" max="497" width="10.44140625" style="38" customWidth="1"/>
    <col min="498" max="498" width="13.21875" style="38" customWidth="1"/>
    <col min="499" max="499" width="14.21875" style="38" customWidth="1"/>
    <col min="500" max="500" width="12.21875" style="38" customWidth="1"/>
    <col min="501" max="749" width="9.21875" style="38" customWidth="1"/>
    <col min="750" max="750" width="8.21875" style="38" customWidth="1"/>
    <col min="751" max="751" width="70.44140625" style="38" bestFit="1" customWidth="1"/>
    <col min="752" max="752" width="11.44140625" style="38" customWidth="1"/>
    <col min="753" max="753" width="10.44140625" style="38" customWidth="1"/>
    <col min="754" max="754" width="13.21875" style="38" customWidth="1"/>
    <col min="755" max="755" width="14.21875" style="38" customWidth="1"/>
    <col min="756" max="756" width="12.21875" style="38" customWidth="1"/>
    <col min="757" max="1005" width="9.21875" style="38" customWidth="1"/>
    <col min="1006" max="1006" width="8.21875" style="38" customWidth="1"/>
    <col min="1007" max="1007" width="70.44140625" style="38" bestFit="1" customWidth="1"/>
    <col min="1008" max="1008" width="11.44140625" style="38" customWidth="1"/>
    <col min="1009" max="1009" width="10.44140625" style="38" customWidth="1"/>
    <col min="1010" max="1010" width="13.21875" style="38" customWidth="1"/>
    <col min="1011" max="1011" width="14.21875" style="38" customWidth="1"/>
    <col min="1012" max="1012" width="12.21875" style="38" customWidth="1"/>
    <col min="1013" max="1261" width="9.21875" style="38" customWidth="1"/>
    <col min="1262" max="1262" width="8.21875" style="38" customWidth="1"/>
    <col min="1263" max="1263" width="70.44140625" style="38" bestFit="1" customWidth="1"/>
    <col min="1264" max="1264" width="11.44140625" style="38" customWidth="1"/>
    <col min="1265" max="1265" width="10.44140625" style="38" customWidth="1"/>
    <col min="1266" max="1266" width="13.21875" style="38" customWidth="1"/>
    <col min="1267" max="1267" width="14.21875" style="38" customWidth="1"/>
    <col min="1268" max="1268" width="12.21875" style="38" customWidth="1"/>
    <col min="1269" max="1517" width="9.21875" style="38" customWidth="1"/>
    <col min="1518" max="1518" width="8.21875" style="38" customWidth="1"/>
    <col min="1519" max="1519" width="70.44140625" style="38" bestFit="1" customWidth="1"/>
    <col min="1520" max="1520" width="11.44140625" style="38" customWidth="1"/>
    <col min="1521" max="1521" width="10.44140625" style="38" customWidth="1"/>
    <col min="1522" max="1522" width="13.21875" style="38" customWidth="1"/>
    <col min="1523" max="1523" width="14.21875" style="38" customWidth="1"/>
    <col min="1524" max="1524" width="12.21875" style="38" customWidth="1"/>
    <col min="1525" max="1773" width="9.21875" style="38" customWidth="1"/>
    <col min="1774" max="1774" width="8.21875" style="38" customWidth="1"/>
    <col min="1775" max="1775" width="70.44140625" style="38" bestFit="1" customWidth="1"/>
    <col min="1776" max="1776" width="11.44140625" style="38" customWidth="1"/>
    <col min="1777" max="1777" width="10.44140625" style="38" customWidth="1"/>
    <col min="1778" max="1778" width="13.21875" style="38" customWidth="1"/>
    <col min="1779" max="1779" width="14.21875" style="38" customWidth="1"/>
    <col min="1780" max="1780" width="12.21875" style="38" customWidth="1"/>
    <col min="1781" max="2029" width="9.21875" style="38" customWidth="1"/>
    <col min="2030" max="2030" width="8.21875" style="38" customWidth="1"/>
    <col min="2031" max="2031" width="70.44140625" style="38" bestFit="1" customWidth="1"/>
    <col min="2032" max="2032" width="11.44140625" style="38" customWidth="1"/>
    <col min="2033" max="2033" width="10.44140625" style="38" customWidth="1"/>
    <col min="2034" max="2034" width="13.21875" style="38" customWidth="1"/>
    <col min="2035" max="2035" width="14.21875" style="38" customWidth="1"/>
    <col min="2036" max="2036" width="12.21875" style="38" customWidth="1"/>
    <col min="2037" max="2285" width="9.21875" style="38" customWidth="1"/>
    <col min="2286" max="2286" width="8.21875" style="38" customWidth="1"/>
    <col min="2287" max="2287" width="70.44140625" style="38" bestFit="1" customWidth="1"/>
    <col min="2288" max="2288" width="11.44140625" style="38" customWidth="1"/>
    <col min="2289" max="2289" width="10.44140625" style="38" customWidth="1"/>
    <col min="2290" max="2290" width="13.21875" style="38" customWidth="1"/>
    <col min="2291" max="2291" width="14.21875" style="38" customWidth="1"/>
    <col min="2292" max="2292" width="12.21875" style="38" customWidth="1"/>
    <col min="2293" max="2541" width="9.21875" style="38" customWidth="1"/>
    <col min="2542" max="2542" width="8.21875" style="38" customWidth="1"/>
    <col min="2543" max="2543" width="70.44140625" style="38" bestFit="1" customWidth="1"/>
    <col min="2544" max="2544" width="11.44140625" style="38" customWidth="1"/>
    <col min="2545" max="2545" width="10.44140625" style="38" customWidth="1"/>
    <col min="2546" max="2546" width="13.21875" style="38" customWidth="1"/>
    <col min="2547" max="2547" width="14.21875" style="38" customWidth="1"/>
    <col min="2548" max="2548" width="12.21875" style="38" customWidth="1"/>
    <col min="2549" max="2797" width="9.21875" style="38" customWidth="1"/>
    <col min="2798" max="2798" width="8.21875" style="38" customWidth="1"/>
    <col min="2799" max="2799" width="70.44140625" style="38" bestFit="1" customWidth="1"/>
    <col min="2800" max="2800" width="11.44140625" style="38" customWidth="1"/>
    <col min="2801" max="2801" width="10.44140625" style="38" customWidth="1"/>
    <col min="2802" max="2802" width="13.21875" style="38" customWidth="1"/>
    <col min="2803" max="2803" width="14.21875" style="38" customWidth="1"/>
    <col min="2804" max="2804" width="12.21875" style="38" customWidth="1"/>
    <col min="2805" max="3053" width="9.21875" style="38" customWidth="1"/>
    <col min="3054" max="3054" width="8.21875" style="38" customWidth="1"/>
    <col min="3055" max="3055" width="70.44140625" style="38" bestFit="1" customWidth="1"/>
    <col min="3056" max="3056" width="11.44140625" style="38" customWidth="1"/>
    <col min="3057" max="3057" width="10.44140625" style="38" customWidth="1"/>
    <col min="3058" max="3058" width="13.21875" style="38" customWidth="1"/>
    <col min="3059" max="3059" width="14.21875" style="38" customWidth="1"/>
    <col min="3060" max="3060" width="12.21875" style="38" customWidth="1"/>
    <col min="3061" max="3309" width="9.21875" style="38" customWidth="1"/>
    <col min="3310" max="3310" width="8.21875" style="38" customWidth="1"/>
    <col min="3311" max="3311" width="70.44140625" style="38" bestFit="1" customWidth="1"/>
    <col min="3312" max="3312" width="11.44140625" style="38" customWidth="1"/>
    <col min="3313" max="3313" width="10.44140625" style="38" customWidth="1"/>
    <col min="3314" max="3314" width="13.21875" style="38" customWidth="1"/>
    <col min="3315" max="3315" width="14.21875" style="38" customWidth="1"/>
    <col min="3316" max="3316" width="12.21875" style="38" customWidth="1"/>
    <col min="3317" max="3565" width="9.21875" style="38" customWidth="1"/>
    <col min="3566" max="3566" width="8.21875" style="38" customWidth="1"/>
    <col min="3567" max="3567" width="70.44140625" style="38" bestFit="1" customWidth="1"/>
    <col min="3568" max="3568" width="11.44140625" style="38" customWidth="1"/>
    <col min="3569" max="3569" width="10.44140625" style="38" customWidth="1"/>
    <col min="3570" max="3570" width="13.21875" style="38" customWidth="1"/>
    <col min="3571" max="3571" width="14.21875" style="38" customWidth="1"/>
    <col min="3572" max="3572" width="12.21875" style="38" customWidth="1"/>
    <col min="3573" max="3821" width="9.21875" style="38" customWidth="1"/>
    <col min="3822" max="3822" width="8.21875" style="38" customWidth="1"/>
    <col min="3823" max="3823" width="70.44140625" style="38" bestFit="1" customWidth="1"/>
    <col min="3824" max="3824" width="11.44140625" style="38" customWidth="1"/>
    <col min="3825" max="3825" width="10.44140625" style="38" customWidth="1"/>
    <col min="3826" max="3826" width="13.21875" style="38" customWidth="1"/>
    <col min="3827" max="3827" width="14.21875" style="38" customWidth="1"/>
    <col min="3828" max="3828" width="12.21875" style="38" customWidth="1"/>
    <col min="3829" max="4077" width="9.21875" style="38" customWidth="1"/>
    <col min="4078" max="4078" width="8.21875" style="38" customWidth="1"/>
    <col min="4079" max="4079" width="70.44140625" style="38" bestFit="1" customWidth="1"/>
    <col min="4080" max="4080" width="11.44140625" style="38" customWidth="1"/>
    <col min="4081" max="4081" width="10.44140625" style="38" customWidth="1"/>
    <col min="4082" max="4082" width="13.21875" style="38" customWidth="1"/>
    <col min="4083" max="4083" width="14.21875" style="38" customWidth="1"/>
    <col min="4084" max="4084" width="12.21875" style="38" customWidth="1"/>
    <col min="4085" max="4333" width="9.21875" style="38" customWidth="1"/>
    <col min="4334" max="4334" width="8.21875" style="38" customWidth="1"/>
    <col min="4335" max="4335" width="70.44140625" style="38" bestFit="1" customWidth="1"/>
    <col min="4336" max="4336" width="11.44140625" style="38" customWidth="1"/>
    <col min="4337" max="4337" width="10.44140625" style="38" customWidth="1"/>
    <col min="4338" max="4338" width="13.21875" style="38" customWidth="1"/>
    <col min="4339" max="4339" width="14.21875" style="38" customWidth="1"/>
    <col min="4340" max="4340" width="12.21875" style="38" customWidth="1"/>
    <col min="4341" max="4589" width="9.21875" style="38" customWidth="1"/>
    <col min="4590" max="4590" width="8.21875" style="38" customWidth="1"/>
    <col min="4591" max="4591" width="70.44140625" style="38" bestFit="1" customWidth="1"/>
    <col min="4592" max="4592" width="11.44140625" style="38" customWidth="1"/>
    <col min="4593" max="4593" width="10.44140625" style="38" customWidth="1"/>
    <col min="4594" max="4594" width="13.21875" style="38" customWidth="1"/>
    <col min="4595" max="4595" width="14.21875" style="38" customWidth="1"/>
    <col min="4596" max="4596" width="12.21875" style="38" customWidth="1"/>
    <col min="4597" max="4845" width="9.21875" style="38" customWidth="1"/>
    <col min="4846" max="4846" width="8.21875" style="38" customWidth="1"/>
    <col min="4847" max="4847" width="70.44140625" style="38" bestFit="1" customWidth="1"/>
    <col min="4848" max="4848" width="11.44140625" style="38" customWidth="1"/>
    <col min="4849" max="4849" width="10.44140625" style="38" customWidth="1"/>
    <col min="4850" max="4850" width="13.21875" style="38" customWidth="1"/>
    <col min="4851" max="4851" width="14.21875" style="38" customWidth="1"/>
    <col min="4852" max="4852" width="12.21875" style="38" customWidth="1"/>
    <col min="4853" max="5101" width="9.21875" style="38" customWidth="1"/>
    <col min="5102" max="5102" width="8.21875" style="38" customWidth="1"/>
    <col min="5103" max="5103" width="70.44140625" style="38" bestFit="1" customWidth="1"/>
    <col min="5104" max="5104" width="11.44140625" style="38" customWidth="1"/>
    <col min="5105" max="5105" width="10.44140625" style="38" customWidth="1"/>
    <col min="5106" max="5106" width="13.21875" style="38" customWidth="1"/>
    <col min="5107" max="5107" width="14.21875" style="38" customWidth="1"/>
    <col min="5108" max="5108" width="12.21875" style="38" customWidth="1"/>
    <col min="5109" max="5357" width="9.21875" style="38" customWidth="1"/>
    <col min="5358" max="5358" width="8.21875" style="38" customWidth="1"/>
    <col min="5359" max="5359" width="70.44140625" style="38" bestFit="1" customWidth="1"/>
    <col min="5360" max="5360" width="11.44140625" style="38" customWidth="1"/>
    <col min="5361" max="5361" width="10.44140625" style="38" customWidth="1"/>
    <col min="5362" max="5362" width="13.21875" style="38" customWidth="1"/>
    <col min="5363" max="5363" width="14.21875" style="38" customWidth="1"/>
    <col min="5364" max="5364" width="12.21875" style="38" customWidth="1"/>
    <col min="5365" max="5613" width="9.21875" style="38" customWidth="1"/>
    <col min="5614" max="5614" width="8.21875" style="38" customWidth="1"/>
    <col min="5615" max="5615" width="70.44140625" style="38" bestFit="1" customWidth="1"/>
    <col min="5616" max="5616" width="11.44140625" style="38" customWidth="1"/>
    <col min="5617" max="5617" width="10.44140625" style="38" customWidth="1"/>
    <col min="5618" max="5618" width="13.21875" style="38" customWidth="1"/>
    <col min="5619" max="5619" width="14.21875" style="38" customWidth="1"/>
    <col min="5620" max="5620" width="12.21875" style="38" customWidth="1"/>
    <col min="5621" max="5869" width="9.21875" style="38" customWidth="1"/>
    <col min="5870" max="5870" width="8.21875" style="38" customWidth="1"/>
    <col min="5871" max="5871" width="70.44140625" style="38" bestFit="1" customWidth="1"/>
    <col min="5872" max="5872" width="11.44140625" style="38" customWidth="1"/>
    <col min="5873" max="5873" width="10.44140625" style="38" customWidth="1"/>
    <col min="5874" max="5874" width="13.21875" style="38" customWidth="1"/>
    <col min="5875" max="5875" width="14.21875" style="38" customWidth="1"/>
    <col min="5876" max="5876" width="12.21875" style="38" customWidth="1"/>
    <col min="5877" max="6125" width="9.21875" style="38" customWidth="1"/>
    <col min="6126" max="6126" width="8.21875" style="38" customWidth="1"/>
    <col min="6127" max="6127" width="70.44140625" style="38" bestFit="1" customWidth="1"/>
    <col min="6128" max="6128" width="11.44140625" style="38" customWidth="1"/>
    <col min="6129" max="6129" width="10.44140625" style="38" customWidth="1"/>
    <col min="6130" max="6130" width="13.21875" style="38" customWidth="1"/>
    <col min="6131" max="6131" width="14.21875" style="38" customWidth="1"/>
    <col min="6132" max="6132" width="12.21875" style="38" customWidth="1"/>
    <col min="6133" max="6381" width="9.21875" style="38" customWidth="1"/>
    <col min="6382" max="6382" width="8.21875" style="38" customWidth="1"/>
    <col min="6383" max="6383" width="70.44140625" style="38" bestFit="1" customWidth="1"/>
    <col min="6384" max="6384" width="11.44140625" style="38" customWidth="1"/>
    <col min="6385" max="6385" width="10.44140625" style="38" customWidth="1"/>
    <col min="6386" max="6386" width="13.21875" style="38" customWidth="1"/>
    <col min="6387" max="6387" width="14.21875" style="38" customWidth="1"/>
    <col min="6388" max="6388" width="12.21875" style="38" customWidth="1"/>
    <col min="6389" max="6637" width="9.21875" style="38" customWidth="1"/>
    <col min="6638" max="6638" width="8.21875" style="38" customWidth="1"/>
    <col min="6639" max="6639" width="70.44140625" style="38" bestFit="1" customWidth="1"/>
    <col min="6640" max="6640" width="11.44140625" style="38" customWidth="1"/>
    <col min="6641" max="6641" width="10.44140625" style="38" customWidth="1"/>
    <col min="6642" max="6642" width="13.21875" style="38" customWidth="1"/>
    <col min="6643" max="6643" width="14.21875" style="38" customWidth="1"/>
    <col min="6644" max="6644" width="12.21875" style="38" customWidth="1"/>
    <col min="6645" max="6893" width="9.21875" style="38" customWidth="1"/>
    <col min="6894" max="6894" width="8.21875" style="38" customWidth="1"/>
    <col min="6895" max="6895" width="70.44140625" style="38" bestFit="1" customWidth="1"/>
    <col min="6896" max="6896" width="11.44140625" style="38" customWidth="1"/>
    <col min="6897" max="6897" width="10.44140625" style="38" customWidth="1"/>
    <col min="6898" max="6898" width="13.21875" style="38" customWidth="1"/>
    <col min="6899" max="6899" width="14.21875" style="38" customWidth="1"/>
    <col min="6900" max="6900" width="12.21875" style="38" customWidth="1"/>
    <col min="6901" max="7149" width="9.21875" style="38" customWidth="1"/>
    <col min="7150" max="7150" width="8.21875" style="38" customWidth="1"/>
    <col min="7151" max="7151" width="70.44140625" style="38" bestFit="1" customWidth="1"/>
    <col min="7152" max="7152" width="11.44140625" style="38" customWidth="1"/>
    <col min="7153" max="7153" width="10.44140625" style="38" customWidth="1"/>
    <col min="7154" max="7154" width="13.21875" style="38" customWidth="1"/>
    <col min="7155" max="7155" width="14.21875" style="38" customWidth="1"/>
    <col min="7156" max="7156" width="12.21875" style="38" customWidth="1"/>
    <col min="7157" max="7405" width="9.21875" style="38" customWidth="1"/>
    <col min="7406" max="7406" width="8.21875" style="38" customWidth="1"/>
    <col min="7407" max="7407" width="70.44140625" style="38" bestFit="1" customWidth="1"/>
    <col min="7408" max="7408" width="11.44140625" style="38" customWidth="1"/>
    <col min="7409" max="7409" width="10.44140625" style="38" customWidth="1"/>
    <col min="7410" max="7410" width="13.21875" style="38" customWidth="1"/>
    <col min="7411" max="7411" width="14.21875" style="38" customWidth="1"/>
    <col min="7412" max="7412" width="12.21875" style="38" customWidth="1"/>
    <col min="7413" max="7661" width="9.21875" style="38" customWidth="1"/>
    <col min="7662" max="7662" width="8.21875" style="38" customWidth="1"/>
    <col min="7663" max="7663" width="70.44140625" style="38" bestFit="1" customWidth="1"/>
    <col min="7664" max="7664" width="11.44140625" style="38" customWidth="1"/>
    <col min="7665" max="7665" width="10.44140625" style="38" customWidth="1"/>
    <col min="7666" max="7666" width="13.21875" style="38" customWidth="1"/>
    <col min="7667" max="7667" width="14.21875" style="38" customWidth="1"/>
    <col min="7668" max="7668" width="12.21875" style="38" customWidth="1"/>
    <col min="7669" max="7917" width="9.21875" style="38" customWidth="1"/>
    <col min="7918" max="7918" width="8.21875" style="38" customWidth="1"/>
    <col min="7919" max="7919" width="70.44140625" style="38" bestFit="1" customWidth="1"/>
    <col min="7920" max="7920" width="11.44140625" style="38" customWidth="1"/>
    <col min="7921" max="7921" width="10.44140625" style="38" customWidth="1"/>
    <col min="7922" max="7922" width="13.21875" style="38" customWidth="1"/>
    <col min="7923" max="7923" width="14.21875" style="38" customWidth="1"/>
    <col min="7924" max="7924" width="12.21875" style="38" customWidth="1"/>
    <col min="7925" max="8173" width="9.21875" style="38" customWidth="1"/>
    <col min="8174" max="8174" width="8.21875" style="38" customWidth="1"/>
    <col min="8175" max="8175" width="70.44140625" style="38" bestFit="1" customWidth="1"/>
    <col min="8176" max="8176" width="11.44140625" style="38" customWidth="1"/>
    <col min="8177" max="8177" width="10.44140625" style="38" customWidth="1"/>
    <col min="8178" max="8178" width="13.21875" style="38" customWidth="1"/>
    <col min="8179" max="8179" width="14.21875" style="38" customWidth="1"/>
    <col min="8180" max="8180" width="12.21875" style="38" customWidth="1"/>
    <col min="8181" max="8429" width="9.21875" style="38" customWidth="1"/>
    <col min="8430" max="8430" width="8.21875" style="38" customWidth="1"/>
    <col min="8431" max="8431" width="70.44140625" style="38" bestFit="1" customWidth="1"/>
    <col min="8432" max="8432" width="11.44140625" style="38" customWidth="1"/>
    <col min="8433" max="8433" width="10.44140625" style="38" customWidth="1"/>
    <col min="8434" max="8434" width="13.21875" style="38" customWidth="1"/>
    <col min="8435" max="8435" width="14.21875" style="38" customWidth="1"/>
    <col min="8436" max="8436" width="12.21875" style="38" customWidth="1"/>
    <col min="8437" max="8685" width="9.21875" style="38" customWidth="1"/>
    <col min="8686" max="8686" width="8.21875" style="38" customWidth="1"/>
    <col min="8687" max="8687" width="70.44140625" style="38" bestFit="1" customWidth="1"/>
    <col min="8688" max="8688" width="11.44140625" style="38" customWidth="1"/>
    <col min="8689" max="8689" width="10.44140625" style="38" customWidth="1"/>
    <col min="8690" max="8690" width="13.21875" style="38" customWidth="1"/>
    <col min="8691" max="8691" width="14.21875" style="38" customWidth="1"/>
    <col min="8692" max="8692" width="12.21875" style="38" customWidth="1"/>
    <col min="8693" max="8941" width="9.21875" style="38" customWidth="1"/>
    <col min="8942" max="8942" width="8.21875" style="38" customWidth="1"/>
    <col min="8943" max="8943" width="70.44140625" style="38" bestFit="1" customWidth="1"/>
    <col min="8944" max="8944" width="11.44140625" style="38" customWidth="1"/>
    <col min="8945" max="8945" width="10.44140625" style="38" customWidth="1"/>
    <col min="8946" max="8946" width="13.21875" style="38" customWidth="1"/>
    <col min="8947" max="8947" width="14.21875" style="38" customWidth="1"/>
    <col min="8948" max="8948" width="12.21875" style="38" customWidth="1"/>
    <col min="8949" max="9197" width="9.21875" style="38" customWidth="1"/>
    <col min="9198" max="9198" width="8.21875" style="38" customWidth="1"/>
    <col min="9199" max="9199" width="70.44140625" style="38" bestFit="1" customWidth="1"/>
    <col min="9200" max="9200" width="11.44140625" style="38" customWidth="1"/>
    <col min="9201" max="9201" width="10.44140625" style="38" customWidth="1"/>
    <col min="9202" max="9202" width="13.21875" style="38" customWidth="1"/>
    <col min="9203" max="9203" width="14.21875" style="38" customWidth="1"/>
    <col min="9204" max="9204" width="12.21875" style="38" customWidth="1"/>
    <col min="9205" max="9453" width="9.21875" style="38" customWidth="1"/>
    <col min="9454" max="9454" width="8.21875" style="38" customWidth="1"/>
    <col min="9455" max="9455" width="70.44140625" style="38" bestFit="1" customWidth="1"/>
    <col min="9456" max="9456" width="11.44140625" style="38" customWidth="1"/>
    <col min="9457" max="9457" width="10.44140625" style="38" customWidth="1"/>
    <col min="9458" max="9458" width="13.21875" style="38" customWidth="1"/>
    <col min="9459" max="9459" width="14.21875" style="38" customWidth="1"/>
    <col min="9460" max="9460" width="12.21875" style="38" customWidth="1"/>
    <col min="9461" max="9709" width="9.21875" style="38" customWidth="1"/>
    <col min="9710" max="9710" width="8.21875" style="38" customWidth="1"/>
    <col min="9711" max="9711" width="70.44140625" style="38" bestFit="1" customWidth="1"/>
    <col min="9712" max="9712" width="11.44140625" style="38" customWidth="1"/>
    <col min="9713" max="9713" width="10.44140625" style="38" customWidth="1"/>
    <col min="9714" max="9714" width="13.21875" style="38" customWidth="1"/>
    <col min="9715" max="9715" width="14.21875" style="38" customWidth="1"/>
    <col min="9716" max="9716" width="12.21875" style="38" customWidth="1"/>
    <col min="9717" max="9965" width="9.21875" style="38" customWidth="1"/>
    <col min="9966" max="9966" width="8.21875" style="38" customWidth="1"/>
    <col min="9967" max="9967" width="70.44140625" style="38" bestFit="1" customWidth="1"/>
    <col min="9968" max="9968" width="11.44140625" style="38" customWidth="1"/>
    <col min="9969" max="9969" width="10.44140625" style="38" customWidth="1"/>
    <col min="9970" max="9970" width="13.21875" style="38" customWidth="1"/>
    <col min="9971" max="9971" width="14.21875" style="38" customWidth="1"/>
    <col min="9972" max="9972" width="12.21875" style="38" customWidth="1"/>
    <col min="9973" max="10221" width="9.21875" style="38" customWidth="1"/>
    <col min="10222" max="10222" width="8.21875" style="38" customWidth="1"/>
    <col min="10223" max="10223" width="70.44140625" style="38" bestFit="1" customWidth="1"/>
    <col min="10224" max="10224" width="11.44140625" style="38" customWidth="1"/>
    <col min="10225" max="10225" width="10.44140625" style="38" customWidth="1"/>
    <col min="10226" max="10226" width="13.21875" style="38" customWidth="1"/>
    <col min="10227" max="10227" width="14.21875" style="38" customWidth="1"/>
    <col min="10228" max="10228" width="12.21875" style="38" customWidth="1"/>
    <col min="10229" max="10477" width="9.21875" style="38" customWidth="1"/>
    <col min="10478" max="10478" width="8.21875" style="38" customWidth="1"/>
    <col min="10479" max="10479" width="70.44140625" style="38" bestFit="1" customWidth="1"/>
    <col min="10480" max="10480" width="11.44140625" style="38" customWidth="1"/>
    <col min="10481" max="10481" width="10.44140625" style="38" customWidth="1"/>
    <col min="10482" max="10482" width="13.21875" style="38" customWidth="1"/>
    <col min="10483" max="10483" width="14.21875" style="38" customWidth="1"/>
    <col min="10484" max="10484" width="12.21875" style="38" customWidth="1"/>
    <col min="10485" max="10733" width="9.21875" style="38" customWidth="1"/>
    <col min="10734" max="10734" width="8.21875" style="38" customWidth="1"/>
    <col min="10735" max="10735" width="70.44140625" style="38" bestFit="1" customWidth="1"/>
    <col min="10736" max="10736" width="11.44140625" style="38" customWidth="1"/>
    <col min="10737" max="10737" width="10.44140625" style="38" customWidth="1"/>
    <col min="10738" max="10738" width="13.21875" style="38" customWidth="1"/>
    <col min="10739" max="10739" width="14.21875" style="38" customWidth="1"/>
    <col min="10740" max="10740" width="12.21875" style="38" customWidth="1"/>
    <col min="10741" max="10989" width="9.21875" style="38" customWidth="1"/>
    <col min="10990" max="10990" width="8.21875" style="38" customWidth="1"/>
    <col min="10991" max="10991" width="70.44140625" style="38" bestFit="1" customWidth="1"/>
    <col min="10992" max="10992" width="11.44140625" style="38" customWidth="1"/>
    <col min="10993" max="10993" width="10.44140625" style="38" customWidth="1"/>
    <col min="10994" max="10994" width="13.21875" style="38" customWidth="1"/>
    <col min="10995" max="10995" width="14.21875" style="38" customWidth="1"/>
    <col min="10996" max="10996" width="12.21875" style="38" customWidth="1"/>
    <col min="10997" max="11245" width="9.21875" style="38" customWidth="1"/>
    <col min="11246" max="11246" width="8.21875" style="38" customWidth="1"/>
    <col min="11247" max="11247" width="70.44140625" style="38" bestFit="1" customWidth="1"/>
    <col min="11248" max="11248" width="11.44140625" style="38" customWidth="1"/>
    <col min="11249" max="11249" width="10.44140625" style="38" customWidth="1"/>
    <col min="11250" max="11250" width="13.21875" style="38" customWidth="1"/>
    <col min="11251" max="11251" width="14.21875" style="38" customWidth="1"/>
    <col min="11252" max="11252" width="12.21875" style="38" customWidth="1"/>
    <col min="11253" max="11501" width="9.21875" style="38" customWidth="1"/>
    <col min="11502" max="11502" width="8.21875" style="38" customWidth="1"/>
    <col min="11503" max="11503" width="70.44140625" style="38" bestFit="1" customWidth="1"/>
    <col min="11504" max="11504" width="11.44140625" style="38" customWidth="1"/>
    <col min="11505" max="11505" width="10.44140625" style="38" customWidth="1"/>
    <col min="11506" max="11506" width="13.21875" style="38" customWidth="1"/>
    <col min="11507" max="11507" width="14.21875" style="38" customWidth="1"/>
    <col min="11508" max="11508" width="12.21875" style="38" customWidth="1"/>
    <col min="11509" max="11757" width="9.21875" style="38" customWidth="1"/>
    <col min="11758" max="11758" width="8.21875" style="38" customWidth="1"/>
    <col min="11759" max="11759" width="70.44140625" style="38" bestFit="1" customWidth="1"/>
    <col min="11760" max="11760" width="11.44140625" style="38" customWidth="1"/>
    <col min="11761" max="11761" width="10.44140625" style="38" customWidth="1"/>
    <col min="11762" max="11762" width="13.21875" style="38" customWidth="1"/>
    <col min="11763" max="11763" width="14.21875" style="38" customWidth="1"/>
    <col min="11764" max="11764" width="12.21875" style="38" customWidth="1"/>
    <col min="11765" max="12013" width="9.21875" style="38" customWidth="1"/>
    <col min="12014" max="12014" width="8.21875" style="38" customWidth="1"/>
    <col min="12015" max="12015" width="70.44140625" style="38" bestFit="1" customWidth="1"/>
    <col min="12016" max="12016" width="11.44140625" style="38" customWidth="1"/>
    <col min="12017" max="12017" width="10.44140625" style="38" customWidth="1"/>
    <col min="12018" max="12018" width="13.21875" style="38" customWidth="1"/>
    <col min="12019" max="12019" width="14.21875" style="38" customWidth="1"/>
    <col min="12020" max="12020" width="12.21875" style="38" customWidth="1"/>
    <col min="12021" max="12269" width="9.21875" style="38" customWidth="1"/>
    <col min="12270" max="12270" width="8.21875" style="38" customWidth="1"/>
    <col min="12271" max="12271" width="70.44140625" style="38" bestFit="1" customWidth="1"/>
    <col min="12272" max="12272" width="11.44140625" style="38" customWidth="1"/>
    <col min="12273" max="12273" width="10.44140625" style="38" customWidth="1"/>
    <col min="12274" max="12274" width="13.21875" style="38" customWidth="1"/>
    <col min="12275" max="12275" width="14.21875" style="38" customWidth="1"/>
    <col min="12276" max="12276" width="12.21875" style="38" customWidth="1"/>
    <col min="12277" max="12525" width="9.21875" style="38" customWidth="1"/>
    <col min="12526" max="12526" width="8.21875" style="38" customWidth="1"/>
    <col min="12527" max="12527" width="70.44140625" style="38" bestFit="1" customWidth="1"/>
    <col min="12528" max="12528" width="11.44140625" style="38" customWidth="1"/>
    <col min="12529" max="12529" width="10.44140625" style="38" customWidth="1"/>
    <col min="12530" max="12530" width="13.21875" style="38" customWidth="1"/>
    <col min="12531" max="12531" width="14.21875" style="38" customWidth="1"/>
    <col min="12532" max="12532" width="12.21875" style="38" customWidth="1"/>
    <col min="12533" max="12781" width="9.21875" style="38" customWidth="1"/>
    <col min="12782" max="12782" width="8.21875" style="38" customWidth="1"/>
    <col min="12783" max="12783" width="70.44140625" style="38" bestFit="1" customWidth="1"/>
    <col min="12784" max="12784" width="11.44140625" style="38" customWidth="1"/>
    <col min="12785" max="12785" width="10.44140625" style="38" customWidth="1"/>
    <col min="12786" max="12786" width="13.21875" style="38" customWidth="1"/>
    <col min="12787" max="12787" width="14.21875" style="38" customWidth="1"/>
    <col min="12788" max="12788" width="12.21875" style="38" customWidth="1"/>
    <col min="12789" max="13037" width="9.21875" style="38" customWidth="1"/>
    <col min="13038" max="13038" width="8.21875" style="38" customWidth="1"/>
    <col min="13039" max="13039" width="70.44140625" style="38" bestFit="1" customWidth="1"/>
    <col min="13040" max="13040" width="11.44140625" style="38" customWidth="1"/>
    <col min="13041" max="13041" width="10.44140625" style="38" customWidth="1"/>
    <col min="13042" max="13042" width="13.21875" style="38" customWidth="1"/>
    <col min="13043" max="13043" width="14.21875" style="38" customWidth="1"/>
    <col min="13044" max="13044" width="12.21875" style="38" customWidth="1"/>
    <col min="13045" max="13293" width="9.21875" style="38" customWidth="1"/>
    <col min="13294" max="13294" width="8.21875" style="38" customWidth="1"/>
    <col min="13295" max="13295" width="70.44140625" style="38" bestFit="1" customWidth="1"/>
    <col min="13296" max="13296" width="11.44140625" style="38" customWidth="1"/>
    <col min="13297" max="13297" width="10.44140625" style="38" customWidth="1"/>
    <col min="13298" max="13298" width="13.21875" style="38" customWidth="1"/>
    <col min="13299" max="13299" width="14.21875" style="38" customWidth="1"/>
    <col min="13300" max="13300" width="12.21875" style="38" customWidth="1"/>
    <col min="13301" max="13549" width="9.21875" style="38" customWidth="1"/>
    <col min="13550" max="13550" width="8.21875" style="38" customWidth="1"/>
    <col min="13551" max="13551" width="70.44140625" style="38" bestFit="1" customWidth="1"/>
    <col min="13552" max="13552" width="11.44140625" style="38" customWidth="1"/>
    <col min="13553" max="13553" width="10.44140625" style="38" customWidth="1"/>
    <col min="13554" max="13554" width="13.21875" style="38" customWidth="1"/>
    <col min="13555" max="13555" width="14.21875" style="38" customWidth="1"/>
    <col min="13556" max="13556" width="12.21875" style="38" customWidth="1"/>
    <col min="13557" max="13805" width="9.21875" style="38" customWidth="1"/>
    <col min="13806" max="13806" width="8.21875" style="38" customWidth="1"/>
    <col min="13807" max="13807" width="70.44140625" style="38" bestFit="1" customWidth="1"/>
    <col min="13808" max="13808" width="11.44140625" style="38" customWidth="1"/>
    <col min="13809" max="13809" width="10.44140625" style="38" customWidth="1"/>
    <col min="13810" max="13810" width="13.21875" style="38" customWidth="1"/>
    <col min="13811" max="13811" width="14.21875" style="38" customWidth="1"/>
    <col min="13812" max="13812" width="12.21875" style="38" customWidth="1"/>
    <col min="13813" max="14061" width="9.21875" style="38" customWidth="1"/>
    <col min="14062" max="14062" width="8.21875" style="38" customWidth="1"/>
    <col min="14063" max="14063" width="70.44140625" style="38" bestFit="1" customWidth="1"/>
    <col min="14064" max="14064" width="11.44140625" style="38" customWidth="1"/>
    <col min="14065" max="14065" width="10.44140625" style="38" customWidth="1"/>
    <col min="14066" max="14066" width="13.21875" style="38" customWidth="1"/>
    <col min="14067" max="14067" width="14.21875" style="38" customWidth="1"/>
    <col min="14068" max="14068" width="12.21875" style="38" customWidth="1"/>
    <col min="14069" max="14317" width="9.21875" style="38" customWidth="1"/>
    <col min="14318" max="14318" width="8.21875" style="38" customWidth="1"/>
    <col min="14319" max="14319" width="70.44140625" style="38" bestFit="1" customWidth="1"/>
    <col min="14320" max="14320" width="11.44140625" style="38" customWidth="1"/>
    <col min="14321" max="14321" width="10.44140625" style="38" customWidth="1"/>
    <col min="14322" max="14322" width="13.21875" style="38" customWidth="1"/>
    <col min="14323" max="14323" width="14.21875" style="38" customWidth="1"/>
    <col min="14324" max="14324" width="12.21875" style="38" customWidth="1"/>
    <col min="14325" max="14573" width="9.21875" style="38" customWidth="1"/>
    <col min="14574" max="14574" width="8.21875" style="38" customWidth="1"/>
    <col min="14575" max="14575" width="70.44140625" style="38" bestFit="1" customWidth="1"/>
    <col min="14576" max="14576" width="11.44140625" style="38" customWidth="1"/>
    <col min="14577" max="14577" width="10.44140625" style="38" customWidth="1"/>
    <col min="14578" max="14578" width="13.21875" style="38" customWidth="1"/>
    <col min="14579" max="14579" width="14.21875" style="38" customWidth="1"/>
    <col min="14580" max="14580" width="12.21875" style="38" customWidth="1"/>
    <col min="14581" max="14829" width="9.21875" style="38" customWidth="1"/>
    <col min="14830" max="14830" width="8.21875" style="38" customWidth="1"/>
    <col min="14831" max="14831" width="70.44140625" style="38" bestFit="1" customWidth="1"/>
    <col min="14832" max="14832" width="11.44140625" style="38" customWidth="1"/>
    <col min="14833" max="14833" width="10.44140625" style="38" customWidth="1"/>
    <col min="14834" max="14834" width="13.21875" style="38" customWidth="1"/>
    <col min="14835" max="14835" width="14.21875" style="38" customWidth="1"/>
    <col min="14836" max="14836" width="12.21875" style="38" customWidth="1"/>
    <col min="14837" max="15085" width="9.21875" style="38" customWidth="1"/>
    <col min="15086" max="15086" width="8.21875" style="38" customWidth="1"/>
    <col min="15087" max="15087" width="70.44140625" style="38" bestFit="1" customWidth="1"/>
    <col min="15088" max="15088" width="11.44140625" style="38" customWidth="1"/>
    <col min="15089" max="15089" width="10.44140625" style="38" customWidth="1"/>
    <col min="15090" max="15090" width="13.21875" style="38" customWidth="1"/>
    <col min="15091" max="15091" width="14.21875" style="38" customWidth="1"/>
    <col min="15092" max="15092" width="12.21875" style="38" customWidth="1"/>
    <col min="15093" max="15341" width="9.21875" style="38" customWidth="1"/>
    <col min="15342" max="15342" width="8.21875" style="38" customWidth="1"/>
    <col min="15343" max="15343" width="70.44140625" style="38" bestFit="1" customWidth="1"/>
    <col min="15344" max="15344" width="11.44140625" style="38" customWidth="1"/>
    <col min="15345" max="15345" width="10.44140625" style="38" customWidth="1"/>
    <col min="15346" max="15346" width="13.21875" style="38" customWidth="1"/>
    <col min="15347" max="15347" width="14.21875" style="38" customWidth="1"/>
    <col min="15348" max="15348" width="12.21875" style="38" customWidth="1"/>
    <col min="15349" max="15597" width="9.21875" style="38" customWidth="1"/>
    <col min="15598" max="15598" width="8.21875" style="38" customWidth="1"/>
    <col min="15599" max="15599" width="70.44140625" style="38" bestFit="1" customWidth="1"/>
    <col min="15600" max="15600" width="11.44140625" style="38" customWidth="1"/>
    <col min="15601" max="15601" width="10.44140625" style="38" customWidth="1"/>
    <col min="15602" max="15602" width="13.21875" style="38" customWidth="1"/>
    <col min="15603" max="15603" width="14.21875" style="38" customWidth="1"/>
    <col min="15604" max="15604" width="12.21875" style="38" customWidth="1"/>
    <col min="15605" max="15853" width="9.21875" style="38" customWidth="1"/>
    <col min="15854" max="15854" width="8.21875" style="38" customWidth="1"/>
    <col min="15855" max="15855" width="70.44140625" style="38" bestFit="1" customWidth="1"/>
    <col min="15856" max="15856" width="11.44140625" style="38" customWidth="1"/>
    <col min="15857" max="15857" width="10.44140625" style="38" customWidth="1"/>
    <col min="15858" max="15858" width="13.21875" style="38" customWidth="1"/>
    <col min="15859" max="15859" width="14.21875" style="38" customWidth="1"/>
    <col min="15860" max="15860" width="12.21875" style="38" customWidth="1"/>
    <col min="15861" max="16109" width="9.21875" style="38" customWidth="1"/>
    <col min="16110" max="16110" width="8.21875" style="38" customWidth="1"/>
    <col min="16111" max="16111" width="70.44140625" style="38" bestFit="1" customWidth="1"/>
    <col min="16112" max="16112" width="11.44140625" style="38" customWidth="1"/>
    <col min="16113" max="16113" width="10.44140625" style="38" customWidth="1"/>
    <col min="16114" max="16114" width="13.21875" style="38" customWidth="1"/>
    <col min="16115" max="16115" width="14.21875" style="38" customWidth="1"/>
    <col min="16116" max="16116" width="12.21875" style="38" customWidth="1"/>
    <col min="16117" max="16384" width="9.21875" style="38" customWidth="1"/>
  </cols>
  <sheetData>
    <row r="1" spans="1:16" ht="10.5" customHeight="1" x14ac:dyDescent="0.2">
      <c r="B1" s="39" t="s">
        <v>0</v>
      </c>
    </row>
    <row r="2" spans="1:16" ht="10.5" customHeight="1" x14ac:dyDescent="0.2">
      <c r="B2" s="39" t="s">
        <v>1</v>
      </c>
    </row>
    <row r="3" spans="1:16" x14ac:dyDescent="0.2">
      <c r="B3" s="38" t="s">
        <v>2</v>
      </c>
    </row>
    <row r="4" spans="1:16" ht="13.8" customHeight="1" x14ac:dyDescent="0.25">
      <c r="A4" s="42" t="s">
        <v>3</v>
      </c>
      <c r="B4" s="43"/>
    </row>
    <row r="5" spans="1:16" ht="10.8" customHeight="1" thickBot="1" x14ac:dyDescent="0.25">
      <c r="A5" s="42"/>
      <c r="B5" s="126"/>
    </row>
    <row r="6" spans="1:16" ht="6" customHeight="1" x14ac:dyDescent="0.2">
      <c r="A6" s="491"/>
      <c r="B6" s="492"/>
      <c r="C6" s="486"/>
      <c r="D6" s="486"/>
      <c r="E6" s="488"/>
      <c r="F6" s="488"/>
    </row>
    <row r="7" spans="1:16" s="40" customFormat="1" ht="10.5" customHeight="1" x14ac:dyDescent="0.2">
      <c r="A7" s="38"/>
      <c r="B7" s="153"/>
      <c r="E7" s="41"/>
      <c r="F7" s="41"/>
    </row>
    <row r="8" spans="1:16" s="40" customFormat="1" ht="10.5" customHeight="1" x14ac:dyDescent="0.2">
      <c r="A8" s="42"/>
      <c r="B8" s="39"/>
      <c r="C8" s="42"/>
      <c r="D8" s="42"/>
      <c r="E8" s="41"/>
      <c r="F8" s="41"/>
    </row>
    <row r="9" spans="1:16" s="40" customFormat="1" ht="15.6" customHeight="1" x14ac:dyDescent="0.3">
      <c r="A9" s="255">
        <v>1</v>
      </c>
      <c r="B9" s="489" t="s">
        <v>4</v>
      </c>
      <c r="C9" s="486"/>
      <c r="D9" s="486"/>
      <c r="E9" s="486"/>
      <c r="F9" s="486"/>
      <c r="G9" s="486"/>
    </row>
    <row r="10" spans="1:16" s="40" customFormat="1" ht="10.5" customHeight="1" x14ac:dyDescent="0.2">
      <c r="A10" s="42"/>
      <c r="B10" s="39"/>
      <c r="C10" s="42"/>
      <c r="D10" s="42"/>
      <c r="E10" s="41"/>
      <c r="F10" s="41"/>
    </row>
    <row r="11" spans="1:16" s="40" customFormat="1" ht="10.8" customHeight="1" thickBot="1" x14ac:dyDescent="0.25">
      <c r="A11" s="42"/>
      <c r="B11" s="39"/>
      <c r="C11" s="42"/>
      <c r="D11" s="42"/>
      <c r="E11" s="41"/>
      <c r="F11" s="41"/>
    </row>
    <row r="12" spans="1:16" s="40" customFormat="1" ht="10.8" customHeight="1" thickBot="1" x14ac:dyDescent="0.25">
      <c r="A12" s="42"/>
      <c r="B12" s="47" t="s">
        <v>5</v>
      </c>
      <c r="C12" s="42"/>
      <c r="D12" s="42"/>
      <c r="E12" s="41"/>
      <c r="F12" s="41"/>
    </row>
    <row r="13" spans="1:16" s="40" customFormat="1" ht="5.25" customHeight="1" x14ac:dyDescent="0.25">
      <c r="A13" s="42"/>
      <c r="B13" s="39"/>
      <c r="C13" s="42"/>
      <c r="D13" s="42"/>
      <c r="E13" s="41"/>
      <c r="F13" s="41"/>
      <c r="G13" s="473" t="s">
        <v>6</v>
      </c>
      <c r="H13" s="473" t="s">
        <v>7</v>
      </c>
    </row>
    <row r="14" spans="1:16" s="40" customFormat="1" ht="12.75" customHeight="1" x14ac:dyDescent="0.2">
      <c r="A14" s="38"/>
      <c r="B14" s="185" t="s">
        <v>8</v>
      </c>
      <c r="C14" s="42"/>
      <c r="D14" s="490"/>
      <c r="E14" s="486"/>
      <c r="F14" s="41"/>
      <c r="J14" s="485" t="s">
        <v>9</v>
      </c>
      <c r="K14" s="486"/>
      <c r="L14" s="486"/>
      <c r="M14" s="486"/>
      <c r="N14" s="486"/>
      <c r="O14" s="486"/>
      <c r="P14" s="486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10</v>
      </c>
      <c r="D15" s="315"/>
      <c r="E15" s="41">
        <f>'LabourProject Rates_Master'!$E$15</f>
        <v>1329.6342857142856</v>
      </c>
      <c r="F15" s="41">
        <f t="shared" ref="F15:F23" si="0">E15*D15</f>
        <v>0</v>
      </c>
    </row>
    <row r="16" spans="1:16" s="40" customFormat="1" ht="11.55" customHeight="1" x14ac:dyDescent="0.2">
      <c r="A16" s="38"/>
      <c r="B16" s="38" t="str">
        <f>'LabourProject Rates_Master'!$B$23</f>
        <v>TRADESMAN_PLUMBER_OPERATOR</v>
      </c>
      <c r="C16" s="40" t="s">
        <v>10</v>
      </c>
      <c r="D16" s="315"/>
      <c r="E16" s="41">
        <f>'LabourProject Rates_Master'!$E$22</f>
        <v>1016.4579067669171</v>
      </c>
      <c r="F16" s="41">
        <f t="shared" si="0"/>
        <v>0</v>
      </c>
      <c r="K16" s="143" t="s">
        <v>11</v>
      </c>
      <c r="L16" s="183">
        <v>0.38</v>
      </c>
      <c r="M16" s="40">
        <v>1.38</v>
      </c>
    </row>
    <row r="17" spans="1:13" s="40" customFormat="1" ht="11.55" customHeight="1" x14ac:dyDescent="0.2">
      <c r="A17" s="42"/>
      <c r="B17" s="38" t="str">
        <f>'LabourProject Rates_Master'!$B$30</f>
        <v>T/A &amp; Apprentice</v>
      </c>
      <c r="C17" s="40" t="s">
        <v>10</v>
      </c>
      <c r="D17" s="315"/>
      <c r="E17" s="41">
        <f>'LabourProject Rates_Master'!$E$29</f>
        <v>829.51028571428571</v>
      </c>
      <c r="F17" s="41">
        <f t="shared" si="0"/>
        <v>0</v>
      </c>
      <c r="K17" s="143" t="s">
        <v>12</v>
      </c>
      <c r="L17" s="183">
        <v>0.38</v>
      </c>
      <c r="M17" s="40">
        <v>1.38</v>
      </c>
    </row>
    <row r="18" spans="1:13" s="40" customFormat="1" ht="11.55" customHeight="1" x14ac:dyDescent="0.2">
      <c r="A18" s="42"/>
      <c r="B18" s="38" t="str">
        <f>'LabourProject Rates_Master'!$B$36</f>
        <v>Crew #1 - InGround Drainage</v>
      </c>
      <c r="C18" s="40" t="s">
        <v>10</v>
      </c>
      <c r="D18" s="315">
        <v>26</v>
      </c>
      <c r="E18" s="41">
        <f>'LabourProject Rates_Master'!$E$37</f>
        <v>2862.42609924812</v>
      </c>
      <c r="F18" s="41">
        <f t="shared" si="0"/>
        <v>74423.078580451125</v>
      </c>
      <c r="H18" s="457" t="s">
        <v>994</v>
      </c>
      <c r="K18" s="143" t="s">
        <v>14</v>
      </c>
      <c r="L18" s="183">
        <v>0.15</v>
      </c>
      <c r="M18" s="40">
        <v>1.1499999999999999</v>
      </c>
    </row>
    <row r="19" spans="1:13" s="40" customFormat="1" ht="10.5" customHeight="1" x14ac:dyDescent="0.2">
      <c r="A19" s="42"/>
      <c r="B19" s="38" t="str">
        <f>'LabourProject Rates_Master'!$B$43</f>
        <v>Crew #2 - InGround Water/Fire</v>
      </c>
      <c r="C19" s="40" t="s">
        <v>10</v>
      </c>
      <c r="D19" s="315"/>
      <c r="E19" s="41">
        <f>'LabourProject Rates_Master'!$E$44</f>
        <v>2862.42609924812</v>
      </c>
      <c r="F19" s="41">
        <f t="shared" si="0"/>
        <v>0</v>
      </c>
      <c r="K19" s="143" t="s">
        <v>16</v>
      </c>
      <c r="L19" s="183">
        <v>0.2</v>
      </c>
      <c r="M19" s="40">
        <v>1.2</v>
      </c>
    </row>
    <row r="20" spans="1:13" s="40" customFormat="1" ht="10.5" customHeight="1" x14ac:dyDescent="0.2">
      <c r="A20" s="42"/>
      <c r="B20" s="38" t="str">
        <f>'LabourProject Rates_Master'!B51</f>
        <v>Crew #3 - Above Ground Drainage</v>
      </c>
      <c r="C20" s="40" t="s">
        <v>10</v>
      </c>
      <c r="D20" s="315">
        <v>14</v>
      </c>
      <c r="E20" s="41">
        <f>'LabourProject Rates_Master'!E52</f>
        <v>2862.42609924812</v>
      </c>
      <c r="F20" s="41">
        <f t="shared" si="0"/>
        <v>40073.965389473677</v>
      </c>
      <c r="H20" s="457" t="s">
        <v>995</v>
      </c>
      <c r="K20" s="143"/>
      <c r="L20" s="183"/>
    </row>
    <row r="21" spans="1:13" s="40" customFormat="1" ht="10.5" customHeight="1" x14ac:dyDescent="0.2">
      <c r="A21" s="42"/>
      <c r="B21" s="38" t="str">
        <f>'LabourProject Rates_Master'!B59</f>
        <v>Crew #4 - Above Ground WATER/FIRE</v>
      </c>
      <c r="C21" s="40" t="s">
        <v>10</v>
      </c>
      <c r="D21" s="315">
        <v>21</v>
      </c>
      <c r="E21" s="41">
        <f>'LabourProject Rates_Master'!E60</f>
        <v>2862.42609924812</v>
      </c>
      <c r="F21" s="41">
        <f t="shared" si="0"/>
        <v>60110.948084210519</v>
      </c>
      <c r="H21" s="457" t="s">
        <v>996</v>
      </c>
      <c r="K21" s="143"/>
      <c r="L21" s="183"/>
    </row>
    <row r="22" spans="1:13" s="40" customFormat="1" ht="10.5" customHeight="1" x14ac:dyDescent="0.2">
      <c r="A22" s="42"/>
      <c r="B22" s="38" t="str">
        <f>'LabourProject Rates_Master'!B67</f>
        <v>Crew #5 - Above Ground FitOff / Misc</v>
      </c>
      <c r="C22" s="40" t="s">
        <v>10</v>
      </c>
      <c r="D22" s="315">
        <v>27</v>
      </c>
      <c r="E22" s="41">
        <f>'LabourProject Rates_Master'!E68</f>
        <v>2862.42609924812</v>
      </c>
      <c r="F22" s="41">
        <f t="shared" si="0"/>
        <v>77285.504679699239</v>
      </c>
      <c r="H22" s="457" t="s">
        <v>997</v>
      </c>
      <c r="K22" s="143"/>
      <c r="L22" s="183"/>
    </row>
    <row r="23" spans="1:13" s="40" customFormat="1" ht="10.5" customHeight="1" x14ac:dyDescent="0.2">
      <c r="A23" s="42"/>
      <c r="B23" s="38" t="str">
        <f>'LabourProject Rates_Master'!B75</f>
        <v>Crew #6 - DEMO</v>
      </c>
      <c r="C23" s="40" t="s">
        <v>10</v>
      </c>
      <c r="D23" s="315"/>
      <c r="E23" s="41">
        <f>'LabourProject Rates_Master'!E76</f>
        <v>1845.968192481203</v>
      </c>
      <c r="F23" s="41">
        <f t="shared" si="0"/>
        <v>0</v>
      </c>
      <c r="K23" s="143"/>
      <c r="L23" s="183"/>
    </row>
    <row r="24" spans="1:13" s="40" customFormat="1" ht="10.5" customHeight="1" x14ac:dyDescent="0.2">
      <c r="A24" s="42"/>
      <c r="B24" s="38"/>
      <c r="D24" s="315"/>
      <c r="E24" s="41"/>
      <c r="F24" s="41"/>
      <c r="K24" s="143"/>
      <c r="L24" s="183"/>
    </row>
    <row r="25" spans="1:13" s="40" customFormat="1" ht="10.5" customHeight="1" x14ac:dyDescent="0.2">
      <c r="A25" s="42"/>
      <c r="B25" s="38"/>
      <c r="D25" s="315"/>
      <c r="E25" s="41"/>
      <c r="F25" s="41"/>
      <c r="K25" s="143"/>
      <c r="L25" s="183"/>
    </row>
    <row r="26" spans="1:13" s="40" customFormat="1" ht="6.6" customHeight="1" x14ac:dyDescent="0.2">
      <c r="A26" s="42"/>
      <c r="B26" s="38"/>
      <c r="E26" s="48"/>
      <c r="F26" s="41"/>
    </row>
    <row r="27" spans="1:13" s="40" customFormat="1" ht="10.5" customHeight="1" x14ac:dyDescent="0.2">
      <c r="A27" s="38"/>
      <c r="B27" s="185" t="s">
        <v>20</v>
      </c>
      <c r="C27" s="42"/>
      <c r="D27" s="42"/>
      <c r="E27" s="41"/>
      <c r="F27" s="41"/>
    </row>
    <row r="28" spans="1:13" s="40" customFormat="1" x14ac:dyDescent="0.2">
      <c r="A28" s="38"/>
      <c r="B28" s="38" t="str">
        <f>'LabourProject Rates_Master'!$B$14</f>
        <v>TRADESMAN_LEADING HAND</v>
      </c>
      <c r="C28" s="40" t="s">
        <v>21</v>
      </c>
      <c r="D28" s="40">
        <v>742.1</v>
      </c>
      <c r="E28" s="41">
        <f>'LabourProject Rates_Master'!$E$14</f>
        <v>132.96342857142858</v>
      </c>
      <c r="F28" s="41">
        <f>E28*D28</f>
        <v>98672.160342857154</v>
      </c>
      <c r="H28" s="457" t="s">
        <v>998</v>
      </c>
    </row>
    <row r="29" spans="1:13" s="40" customFormat="1" ht="11.55" customHeight="1" x14ac:dyDescent="0.2">
      <c r="A29" s="38"/>
      <c r="B29" s="38" t="str">
        <f>'LabourProject Rates_Master'!$B$23</f>
        <v>TRADESMAN_PLUMBER_OPERATOR</v>
      </c>
      <c r="C29" s="40" t="s">
        <v>21</v>
      </c>
      <c r="D29" s="40">
        <v>0</v>
      </c>
      <c r="E29" s="41">
        <f>'LabourProject Rates_Master'!$E$21</f>
        <v>101.6457906766917</v>
      </c>
      <c r="F29" s="41">
        <f>E29*D29</f>
        <v>0</v>
      </c>
    </row>
    <row r="30" spans="1:13" s="40" customFormat="1" ht="11.55" customHeight="1" x14ac:dyDescent="0.2">
      <c r="A30" s="42"/>
      <c r="B30" s="38" t="str">
        <f>'LabourProject Rates_Master'!$B$30</f>
        <v>T/A &amp; Apprentice</v>
      </c>
      <c r="C30" s="40" t="s">
        <v>21</v>
      </c>
      <c r="D30" s="40">
        <v>0</v>
      </c>
      <c r="E30" s="41">
        <f>'LabourProject Rates_Master'!$E$28</f>
        <v>82.95102857142858</v>
      </c>
      <c r="F30" s="41">
        <f>E30*D30</f>
        <v>0</v>
      </c>
    </row>
    <row r="31" spans="1:13" s="40" customFormat="1" ht="11.55" customHeight="1" x14ac:dyDescent="0.2">
      <c r="A31" s="42"/>
      <c r="B31" s="38" t="str">
        <f>'LabourProject Rates_Master'!$B$36</f>
        <v>Crew #1 - InGround Drainage</v>
      </c>
      <c r="C31" s="40" t="s">
        <v>21</v>
      </c>
      <c r="D31" s="40">
        <v>0</v>
      </c>
      <c r="E31" s="41">
        <f>'LabourProject Rates_Master'!$E$36</f>
        <v>286.24260992481197</v>
      </c>
      <c r="F31" s="41">
        <f>E31*D31</f>
        <v>0</v>
      </c>
    </row>
    <row r="32" spans="1:13" s="40" customFormat="1" ht="10.5" customHeight="1" x14ac:dyDescent="0.2">
      <c r="A32" s="42"/>
      <c r="B32" s="38" t="str">
        <f>'LabourProject Rates_Master'!$B$43</f>
        <v>Crew #2 - InGround Water/Fire</v>
      </c>
      <c r="C32" s="40" t="s">
        <v>21</v>
      </c>
      <c r="D32" s="40">
        <v>0</v>
      </c>
      <c r="E32" s="41">
        <f>'LabourProject Rates_Master'!$E$43</f>
        <v>286.24260992481197</v>
      </c>
      <c r="F32" s="41">
        <f>E32*D32</f>
        <v>0</v>
      </c>
    </row>
    <row r="33" spans="1:6" ht="7.5" customHeight="1" x14ac:dyDescent="0.2"/>
    <row r="34" spans="1:6" ht="10.8" customHeight="1" thickBot="1" x14ac:dyDescent="0.25">
      <c r="A34" s="40"/>
    </row>
    <row r="35" spans="1:6" ht="10.8" customHeight="1" thickBot="1" x14ac:dyDescent="0.25">
      <c r="A35" s="42"/>
      <c r="B35" s="47" t="s">
        <v>23</v>
      </c>
    </row>
    <row r="36" spans="1:6" ht="10.5" customHeight="1" x14ac:dyDescent="0.2">
      <c r="A36" s="40"/>
      <c r="B36" s="273" t="s">
        <v>24</v>
      </c>
    </row>
    <row r="37" spans="1:6" x14ac:dyDescent="0.2">
      <c r="A37" s="40"/>
      <c r="B37" s="38" t="str">
        <f>'Misc Subbie Rates_Master'!A49</f>
        <v>Asphalt Cutting</v>
      </c>
      <c r="C37" s="40" t="s">
        <v>25</v>
      </c>
      <c r="D37" s="315"/>
      <c r="E37" s="41">
        <f>'Misc Subbie Rates_Master'!D49+('Misc Subbie Rates_Master'!D49*$L$18)</f>
        <v>15.525</v>
      </c>
      <c r="F37" s="41">
        <f>E37*D37</f>
        <v>0</v>
      </c>
    </row>
    <row r="38" spans="1:6" x14ac:dyDescent="0.2">
      <c r="A38" s="40"/>
      <c r="B38" s="38" t="str">
        <f>'Misc Subbie Rates_Master'!A50</f>
        <v>Concrete Cutting</v>
      </c>
      <c r="C38" s="40" t="s">
        <v>25</v>
      </c>
      <c r="E38" s="41">
        <f>'Misc Subbie Rates_Master'!D50+('Misc Subbie Rates_Master'!D50*$L$18)</f>
        <v>18.399999999999999</v>
      </c>
      <c r="F38" s="41">
        <f>E38*D38</f>
        <v>0</v>
      </c>
    </row>
    <row r="39" spans="1:6" x14ac:dyDescent="0.2">
      <c r="A39" s="40"/>
      <c r="B39" s="38" t="s">
        <v>26</v>
      </c>
      <c r="C39" s="40" t="s">
        <v>27</v>
      </c>
      <c r="E39" s="41">
        <f>'Misc Subbie Rates_Master'!D51+('Misc Subbie Rates_Master'!D51*$L$18)</f>
        <v>92</v>
      </c>
      <c r="F39" s="41">
        <f>E39*D39</f>
        <v>0</v>
      </c>
    </row>
    <row r="40" spans="1:6" ht="10.5" customHeight="1" x14ac:dyDescent="0.2">
      <c r="A40" s="40"/>
      <c r="B40" s="273" t="s">
        <v>28</v>
      </c>
    </row>
    <row r="41" spans="1:6" x14ac:dyDescent="0.2">
      <c r="A41" s="40"/>
      <c r="B41" s="38" t="str">
        <f>'Misc Subbie Rates_Master'!A56</f>
        <v>Road/Drveway Reinstate; 1mW x 150 Thck, N25/20/80, Incl Reinforcement</v>
      </c>
      <c r="C41" s="40" t="s">
        <v>25</v>
      </c>
      <c r="E41" s="41">
        <f>'Misc Subbie Rates_Master'!D56</f>
        <v>145</v>
      </c>
      <c r="F41" s="41">
        <f>E41*D41</f>
        <v>0</v>
      </c>
    </row>
    <row r="42" spans="1:6" x14ac:dyDescent="0.2">
      <c r="A42" s="40"/>
      <c r="B42" s="38" t="str">
        <f>'Misc Subbie Rates_Master'!A57</f>
        <v>Kerb &amp; Channel - 1m Wide</v>
      </c>
      <c r="C42" s="40" t="s">
        <v>27</v>
      </c>
      <c r="E42" s="41">
        <f>'Misc Subbie Rates_Master'!D57</f>
        <v>155</v>
      </c>
      <c r="F42" s="41">
        <f>E42*D42</f>
        <v>0</v>
      </c>
    </row>
    <row r="43" spans="1:6" x14ac:dyDescent="0.2">
      <c r="A43" s="40"/>
      <c r="B43" s="38" t="str">
        <f>'Misc Subbie Rates_Master'!A58</f>
        <v>Footpath - 1.5mW, N25/20/80, Incl Reinforcement</v>
      </c>
      <c r="C43" s="40" t="s">
        <v>29</v>
      </c>
      <c r="E43" s="41">
        <f>'Misc Subbie Rates_Master'!D58</f>
        <v>180</v>
      </c>
      <c r="F43" s="41">
        <f>E43*D43</f>
        <v>0</v>
      </c>
    </row>
    <row r="44" spans="1:6" x14ac:dyDescent="0.2">
      <c r="A44" s="40"/>
      <c r="B44" s="38" t="str">
        <f>'Misc Subbie Rates_Master'!A59</f>
        <v>Footpath - 1.5mW, EXPOSED AGG, N25/20/80, Incl Reinforcement</v>
      </c>
      <c r="C44" s="40" t="s">
        <v>29</v>
      </c>
      <c r="E44" s="41">
        <f>'Misc Subbie Rates_Master'!D59</f>
        <v>185</v>
      </c>
      <c r="F44" s="41">
        <f>E44*D44</f>
        <v>0</v>
      </c>
    </row>
    <row r="45" spans="1:6" ht="10.5" customHeight="1" x14ac:dyDescent="0.2">
      <c r="A45" s="40"/>
      <c r="B45" s="273" t="s">
        <v>30</v>
      </c>
    </row>
    <row r="46" spans="1:6" x14ac:dyDescent="0.2">
      <c r="A46" s="40"/>
      <c r="B46" s="38" t="str">
        <f>'Misc Subbie Rates_Master'!A64</f>
        <v xml:space="preserve">50mm Thck - Trench Reinstatement Through Road/Driveway </v>
      </c>
      <c r="C46" s="40" t="s">
        <v>31</v>
      </c>
      <c r="E46" s="41">
        <f>'Misc Subbie Rates_Master'!D64</f>
        <v>97</v>
      </c>
      <c r="F46" s="41">
        <f>E46*D46</f>
        <v>0</v>
      </c>
    </row>
    <row r="47" spans="1:6" x14ac:dyDescent="0.2">
      <c r="A47" s="40"/>
      <c r="B47" s="38" t="str">
        <f>'Misc Subbie Rates_Master'!A65</f>
        <v xml:space="preserve">50mm Thck - 1.5-2m Wide Footpath reinstatements </v>
      </c>
      <c r="C47" s="40" t="s">
        <v>31</v>
      </c>
      <c r="E47" s="41">
        <f>'Misc Subbie Rates_Master'!D65</f>
        <v>97</v>
      </c>
      <c r="F47" s="41">
        <f>E47*D47</f>
        <v>0</v>
      </c>
    </row>
    <row r="48" spans="1:6" x14ac:dyDescent="0.2">
      <c r="A48" s="40"/>
      <c r="B48" s="38" t="str">
        <f>'Misc Subbie Rates_Master'!A66</f>
        <v>Establishment Fee (1 per stage)</v>
      </c>
      <c r="C48" s="40" t="s">
        <v>32</v>
      </c>
      <c r="E48" s="41">
        <f>'Misc Subbie Rates_Master'!D66</f>
        <v>5500</v>
      </c>
      <c r="F48" s="41">
        <f>E48*D48</f>
        <v>0</v>
      </c>
    </row>
    <row r="49" spans="1:6" ht="10.8" customHeight="1" thickBot="1" x14ac:dyDescent="0.25">
      <c r="A49" s="40"/>
    </row>
    <row r="50" spans="1:6" ht="10.8" customHeight="1" thickBot="1" x14ac:dyDescent="0.25">
      <c r="A50" s="42"/>
      <c r="B50" s="47" t="s">
        <v>33</v>
      </c>
    </row>
    <row r="51" spans="1:6" x14ac:dyDescent="0.2">
      <c r="A51" s="40"/>
    </row>
    <row r="52" spans="1:6" ht="10.5" customHeight="1" x14ac:dyDescent="0.2">
      <c r="A52" s="38" t="s">
        <v>376</v>
      </c>
      <c r="B52" s="273" t="s">
        <v>34</v>
      </c>
    </row>
    <row r="53" spans="1:6" hidden="1" x14ac:dyDescent="0.2">
      <c r="B53" s="38" t="s">
        <v>35</v>
      </c>
      <c r="C53" s="40" t="s">
        <v>36</v>
      </c>
      <c r="E53" s="41">
        <f>'Misc Subbie Rates_Master'!D10</f>
        <v>100</v>
      </c>
      <c r="F53" s="41">
        <f t="shared" ref="F53:F71" si="1">E53*D53</f>
        <v>0</v>
      </c>
    </row>
    <row r="54" spans="1:6" hidden="1" x14ac:dyDescent="0.2">
      <c r="B54" s="38" t="s">
        <v>37</v>
      </c>
      <c r="C54" s="40" t="s">
        <v>36</v>
      </c>
      <c r="E54" s="41">
        <f>'Misc Subbie Rates_Master'!D11</f>
        <v>115</v>
      </c>
      <c r="F54" s="41">
        <f t="shared" si="1"/>
        <v>0</v>
      </c>
    </row>
    <row r="55" spans="1:6" hidden="1" x14ac:dyDescent="0.2">
      <c r="B55" s="38" t="s">
        <v>38</v>
      </c>
      <c r="C55" s="40" t="s">
        <v>36</v>
      </c>
      <c r="E55" s="41">
        <f>'Misc Subbie Rates_Master'!D12</f>
        <v>154</v>
      </c>
      <c r="F55" s="41">
        <f t="shared" si="1"/>
        <v>0</v>
      </c>
    </row>
    <row r="56" spans="1:6" hidden="1" x14ac:dyDescent="0.2">
      <c r="B56" s="38" t="s">
        <v>39</v>
      </c>
      <c r="C56" s="40" t="s">
        <v>36</v>
      </c>
      <c r="E56" s="41">
        <f>'Misc Subbie Rates_Master'!D13</f>
        <v>21</v>
      </c>
      <c r="F56" s="41">
        <f t="shared" si="1"/>
        <v>0</v>
      </c>
    </row>
    <row r="57" spans="1:6" hidden="1" x14ac:dyDescent="0.2">
      <c r="B57" s="38" t="s">
        <v>40</v>
      </c>
      <c r="C57" s="40" t="s">
        <v>36</v>
      </c>
      <c r="E57" s="41">
        <f>'Misc Subbie Rates_Master'!D14</f>
        <v>10</v>
      </c>
      <c r="F57" s="41">
        <f t="shared" si="1"/>
        <v>0</v>
      </c>
    </row>
    <row r="58" spans="1:6" hidden="1" x14ac:dyDescent="0.2">
      <c r="B58" s="38" t="s">
        <v>41</v>
      </c>
      <c r="C58" s="40" t="s">
        <v>36</v>
      </c>
      <c r="E58" s="41">
        <f>'Misc Subbie Rates_Master'!D15</f>
        <v>150</v>
      </c>
      <c r="F58" s="41">
        <f t="shared" si="1"/>
        <v>0</v>
      </c>
    </row>
    <row r="59" spans="1:6" hidden="1" x14ac:dyDescent="0.2">
      <c r="B59" s="38" t="s">
        <v>42</v>
      </c>
      <c r="C59" s="40" t="s">
        <v>36</v>
      </c>
      <c r="E59" s="41">
        <f>'Misc Subbie Rates_Master'!D16</f>
        <v>50</v>
      </c>
      <c r="F59" s="41">
        <f t="shared" si="1"/>
        <v>0</v>
      </c>
    </row>
    <row r="60" spans="1:6" hidden="1" x14ac:dyDescent="0.2">
      <c r="B60" s="38" t="s">
        <v>43</v>
      </c>
      <c r="C60" s="40" t="s">
        <v>36</v>
      </c>
      <c r="E60" s="41">
        <f>'Misc Subbie Rates_Master'!D17</f>
        <v>140</v>
      </c>
      <c r="F60" s="41">
        <f t="shared" si="1"/>
        <v>0</v>
      </c>
    </row>
    <row r="61" spans="1:6" hidden="1" x14ac:dyDescent="0.2">
      <c r="B61" s="38" t="s">
        <v>44</v>
      </c>
      <c r="C61" s="40" t="s">
        <v>36</v>
      </c>
      <c r="E61" s="41">
        <f>'Misc Subbie Rates_Master'!D18</f>
        <v>128</v>
      </c>
      <c r="F61" s="41">
        <f t="shared" si="1"/>
        <v>0</v>
      </c>
    </row>
    <row r="62" spans="1:6" hidden="1" x14ac:dyDescent="0.2">
      <c r="B62" s="38" t="s">
        <v>45</v>
      </c>
      <c r="C62" s="40" t="s">
        <v>36</v>
      </c>
      <c r="E62" s="41">
        <f>'Misc Subbie Rates_Master'!D19</f>
        <v>26</v>
      </c>
      <c r="F62" s="41">
        <f t="shared" si="1"/>
        <v>0</v>
      </c>
    </row>
    <row r="63" spans="1:6" hidden="1" x14ac:dyDescent="0.2">
      <c r="B63" s="38" t="s">
        <v>46</v>
      </c>
      <c r="C63" s="40" t="s">
        <v>36</v>
      </c>
      <c r="E63" s="41">
        <f>'Misc Subbie Rates_Master'!D20</f>
        <v>10</v>
      </c>
      <c r="F63" s="41">
        <f t="shared" si="1"/>
        <v>0</v>
      </c>
    </row>
    <row r="64" spans="1:6" hidden="1" x14ac:dyDescent="0.2">
      <c r="B64" s="38" t="s">
        <v>47</v>
      </c>
      <c r="C64" s="40" t="s">
        <v>36</v>
      </c>
      <c r="E64" s="41">
        <f>'Misc Subbie Rates_Master'!D21</f>
        <v>153</v>
      </c>
      <c r="F64" s="41">
        <f t="shared" si="1"/>
        <v>0</v>
      </c>
    </row>
    <row r="65" spans="1:8" hidden="1" x14ac:dyDescent="0.2">
      <c r="B65" s="38" t="s">
        <v>48</v>
      </c>
      <c r="C65" s="40" t="s">
        <v>36</v>
      </c>
      <c r="E65" s="41">
        <f>'Misc Subbie Rates_Master'!D22</f>
        <v>36</v>
      </c>
      <c r="F65" s="41">
        <f t="shared" si="1"/>
        <v>0</v>
      </c>
    </row>
    <row r="66" spans="1:8" hidden="1" x14ac:dyDescent="0.2">
      <c r="B66" s="38" t="s">
        <v>49</v>
      </c>
      <c r="C66" s="40" t="s">
        <v>36</v>
      </c>
      <c r="E66" s="41">
        <f>'Misc Subbie Rates_Master'!D23</f>
        <v>10</v>
      </c>
      <c r="F66" s="41">
        <f t="shared" si="1"/>
        <v>0</v>
      </c>
    </row>
    <row r="67" spans="1:8" hidden="1" x14ac:dyDescent="0.2">
      <c r="B67" s="38" t="s">
        <v>50</v>
      </c>
      <c r="C67" s="40" t="s">
        <v>36</v>
      </c>
      <c r="E67" s="41">
        <f>'Misc Subbie Rates_Master'!D24</f>
        <v>190</v>
      </c>
      <c r="F67" s="41">
        <f t="shared" si="1"/>
        <v>0</v>
      </c>
    </row>
    <row r="68" spans="1:8" hidden="1" x14ac:dyDescent="0.2">
      <c r="B68" s="38" t="s">
        <v>51</v>
      </c>
      <c r="C68" s="40" t="s">
        <v>36</v>
      </c>
      <c r="E68" s="41">
        <f>'Misc Subbie Rates_Master'!D25</f>
        <v>220</v>
      </c>
      <c r="F68" s="41">
        <f t="shared" si="1"/>
        <v>0</v>
      </c>
    </row>
    <row r="69" spans="1:8" hidden="1" x14ac:dyDescent="0.2">
      <c r="B69" s="38" t="s">
        <v>52</v>
      </c>
      <c r="C69" s="40" t="s">
        <v>36</v>
      </c>
      <c r="E69" s="41">
        <f>'Misc Subbie Rates_Master'!D26</f>
        <v>250</v>
      </c>
      <c r="F69" s="41">
        <f t="shared" si="1"/>
        <v>0</v>
      </c>
    </row>
    <row r="70" spans="1:8" hidden="1" x14ac:dyDescent="0.2">
      <c r="B70" s="38" t="s">
        <v>53</v>
      </c>
      <c r="C70" s="40" t="s">
        <v>36</v>
      </c>
      <c r="E70" s="41">
        <f>'Misc Subbie Rates_Master'!D27</f>
        <v>110</v>
      </c>
      <c r="F70" s="41">
        <f t="shared" si="1"/>
        <v>0</v>
      </c>
    </row>
    <row r="71" spans="1:8" hidden="1" x14ac:dyDescent="0.2">
      <c r="B71" s="38" t="s">
        <v>54</v>
      </c>
      <c r="C71" s="40" t="s">
        <v>36</v>
      </c>
      <c r="E71" s="41">
        <f>'Misc Subbie Rates_Master'!D28</f>
        <v>110</v>
      </c>
      <c r="F71" s="41">
        <f t="shared" si="1"/>
        <v>0</v>
      </c>
    </row>
    <row r="73" spans="1:8" ht="10.5" customHeight="1" x14ac:dyDescent="0.2">
      <c r="B73" s="273" t="s">
        <v>55</v>
      </c>
    </row>
    <row r="74" spans="1:8" x14ac:dyDescent="0.2">
      <c r="A74" s="40"/>
      <c r="B74" s="194" t="s">
        <v>56</v>
      </c>
      <c r="C74" s="40" t="s">
        <v>10</v>
      </c>
      <c r="E74" s="41">
        <f>'Equip&amp;HIRE_Master'!D4</f>
        <v>225.43333333333331</v>
      </c>
      <c r="F74" s="41">
        <f t="shared" ref="F74:F105" si="2">E74*D74</f>
        <v>0</v>
      </c>
    </row>
    <row r="75" spans="1:8" x14ac:dyDescent="0.2">
      <c r="A75" s="40"/>
      <c r="B75" s="194" t="s">
        <v>57</v>
      </c>
      <c r="C75" s="40" t="s">
        <v>10</v>
      </c>
      <c r="E75" s="41">
        <f>'Equip&amp;HIRE_Master'!D5</f>
        <v>163.9666666666667</v>
      </c>
      <c r="F75" s="41">
        <f t="shared" si="2"/>
        <v>0</v>
      </c>
    </row>
    <row r="76" spans="1:8" x14ac:dyDescent="0.2">
      <c r="A76" s="40"/>
      <c r="B76" s="194" t="s">
        <v>58</v>
      </c>
      <c r="C76" s="40" t="s">
        <v>10</v>
      </c>
      <c r="E76" s="41">
        <f>'Equip&amp;HIRE_Master'!D6</f>
        <v>180</v>
      </c>
      <c r="F76" s="41">
        <f t="shared" si="2"/>
        <v>0</v>
      </c>
    </row>
    <row r="77" spans="1:8" ht="6" customHeight="1" x14ac:dyDescent="0.2">
      <c r="A77" s="40"/>
      <c r="B77" s="194"/>
      <c r="E77" s="41">
        <f>'Equip&amp;HIRE_Master'!D7</f>
        <v>0</v>
      </c>
      <c r="F77" s="41">
        <f t="shared" si="2"/>
        <v>0</v>
      </c>
    </row>
    <row r="78" spans="1:8" ht="12.45" customHeight="1" x14ac:dyDescent="0.25">
      <c r="A78" s="40"/>
      <c r="B78" s="194" t="s">
        <v>59</v>
      </c>
      <c r="C78" s="40" t="s">
        <v>10</v>
      </c>
      <c r="D78">
        <v>14</v>
      </c>
      <c r="E78" s="41">
        <f>'Equip&amp;HIRE_Master'!D8</f>
        <v>137.14285714285711</v>
      </c>
      <c r="F78" s="41">
        <f t="shared" si="2"/>
        <v>1919.9999999999995</v>
      </c>
      <c r="H78" s="457" t="s">
        <v>999</v>
      </c>
    </row>
    <row r="79" spans="1:8" x14ac:dyDescent="0.2">
      <c r="A79" s="40"/>
      <c r="B79" s="194" t="s">
        <v>61</v>
      </c>
      <c r="C79" s="40" t="s">
        <v>10</v>
      </c>
      <c r="E79" s="41">
        <f>'Equip&amp;HIRE_Master'!D9</f>
        <v>0</v>
      </c>
      <c r="F79" s="41">
        <f t="shared" si="2"/>
        <v>0</v>
      </c>
    </row>
    <row r="80" spans="1:8" ht="12.45" customHeight="1" x14ac:dyDescent="0.25">
      <c r="A80" s="40"/>
      <c r="B80" s="194" t="s">
        <v>62</v>
      </c>
      <c r="C80" s="40" t="s">
        <v>10</v>
      </c>
      <c r="D80">
        <v>8</v>
      </c>
      <c r="E80" s="41">
        <f>'Equip&amp;HIRE_Master'!D10</f>
        <v>238.66666666666671</v>
      </c>
      <c r="F80" s="41">
        <f t="shared" si="2"/>
        <v>1909.3333333333337</v>
      </c>
      <c r="H80" s="457" t="s">
        <v>1000</v>
      </c>
    </row>
    <row r="81" spans="1:6" x14ac:dyDescent="0.2">
      <c r="A81" s="40"/>
      <c r="B81" s="194" t="s">
        <v>63</v>
      </c>
      <c r="C81" s="40" t="s">
        <v>10</v>
      </c>
      <c r="E81" s="41">
        <f>'Equip&amp;HIRE_Master'!D11</f>
        <v>261.16666666666669</v>
      </c>
      <c r="F81" s="41">
        <f t="shared" si="2"/>
        <v>0</v>
      </c>
    </row>
    <row r="82" spans="1:6" x14ac:dyDescent="0.2">
      <c r="A82" s="40"/>
      <c r="B82" s="194" t="s">
        <v>64</v>
      </c>
      <c r="C82" s="40" t="s">
        <v>10</v>
      </c>
      <c r="E82" s="41">
        <f>'Equip&amp;HIRE_Master'!D12</f>
        <v>0</v>
      </c>
      <c r="F82" s="41">
        <f t="shared" si="2"/>
        <v>0</v>
      </c>
    </row>
    <row r="83" spans="1:6" x14ac:dyDescent="0.2">
      <c r="A83" s="40"/>
      <c r="B83" s="194" t="s">
        <v>65</v>
      </c>
      <c r="C83" s="40" t="s">
        <v>10</v>
      </c>
      <c r="E83" s="41">
        <f>'Equip&amp;HIRE_Master'!D13</f>
        <v>317.2</v>
      </c>
      <c r="F83" s="41">
        <f t="shared" si="2"/>
        <v>0</v>
      </c>
    </row>
    <row r="84" spans="1:6" x14ac:dyDescent="0.2">
      <c r="A84" s="40"/>
      <c r="B84" s="194" t="s">
        <v>66</v>
      </c>
      <c r="C84" s="40" t="s">
        <v>10</v>
      </c>
      <c r="E84" s="41">
        <f>'Equip&amp;HIRE_Master'!D14</f>
        <v>314.28571428571428</v>
      </c>
      <c r="F84" s="41">
        <f t="shared" si="2"/>
        <v>0</v>
      </c>
    </row>
    <row r="85" spans="1:6" ht="6.6" customHeight="1" x14ac:dyDescent="0.2">
      <c r="A85" s="40"/>
      <c r="B85" s="194"/>
      <c r="E85" s="41">
        <f>'Equip&amp;HIRE_Master'!D15</f>
        <v>0</v>
      </c>
      <c r="F85" s="41">
        <f t="shared" si="2"/>
        <v>0</v>
      </c>
    </row>
    <row r="86" spans="1:6" x14ac:dyDescent="0.2">
      <c r="A86" s="40"/>
      <c r="B86" s="194" t="s">
        <v>67</v>
      </c>
      <c r="C86" s="40" t="s">
        <v>10</v>
      </c>
      <c r="E86" s="41">
        <f>'Equip&amp;HIRE_Master'!D16</f>
        <v>0</v>
      </c>
      <c r="F86" s="41">
        <f t="shared" si="2"/>
        <v>0</v>
      </c>
    </row>
    <row r="87" spans="1:6" x14ac:dyDescent="0.2">
      <c r="A87" s="40"/>
      <c r="B87" s="194" t="s">
        <v>68</v>
      </c>
      <c r="C87" s="40" t="s">
        <v>10</v>
      </c>
      <c r="E87" s="41">
        <f>'Equip&amp;HIRE_Master'!D17</f>
        <v>32.74</v>
      </c>
      <c r="F87" s="41">
        <f t="shared" si="2"/>
        <v>0</v>
      </c>
    </row>
    <row r="88" spans="1:6" x14ac:dyDescent="0.2">
      <c r="A88" s="40"/>
      <c r="B88" s="194" t="s">
        <v>69</v>
      </c>
      <c r="C88" s="40" t="s">
        <v>10</v>
      </c>
      <c r="E88" s="41">
        <f>'Equip&amp;HIRE_Master'!D18</f>
        <v>0</v>
      </c>
      <c r="F88" s="41">
        <f t="shared" si="2"/>
        <v>0</v>
      </c>
    </row>
    <row r="89" spans="1:6" x14ac:dyDescent="0.2">
      <c r="A89" s="40"/>
      <c r="B89" s="194" t="s">
        <v>70</v>
      </c>
      <c r="C89" s="40" t="s">
        <v>10</v>
      </c>
      <c r="E89" s="41">
        <f>'Equip&amp;HIRE_Master'!D19</f>
        <v>40.380000000000003</v>
      </c>
      <c r="F89" s="41">
        <f t="shared" si="2"/>
        <v>0</v>
      </c>
    </row>
    <row r="90" spans="1:6" x14ac:dyDescent="0.2">
      <c r="A90" s="40"/>
      <c r="B90" s="194" t="s">
        <v>71</v>
      </c>
      <c r="C90" s="40" t="s">
        <v>10</v>
      </c>
      <c r="E90" s="41">
        <f>'Equip&amp;HIRE_Master'!D20</f>
        <v>123.33</v>
      </c>
      <c r="F90" s="41">
        <f t="shared" si="2"/>
        <v>0</v>
      </c>
    </row>
    <row r="91" spans="1:6" x14ac:dyDescent="0.2">
      <c r="A91" s="40"/>
      <c r="B91" s="194" t="s">
        <v>72</v>
      </c>
      <c r="C91" s="40" t="s">
        <v>10</v>
      </c>
      <c r="E91" s="41">
        <f>'Equip&amp;HIRE_Master'!D21</f>
        <v>165.89</v>
      </c>
      <c r="F91" s="41">
        <f t="shared" si="2"/>
        <v>0</v>
      </c>
    </row>
    <row r="92" spans="1:6" x14ac:dyDescent="0.2">
      <c r="A92" s="40"/>
      <c r="B92" s="194" t="s">
        <v>73</v>
      </c>
      <c r="C92" s="40" t="s">
        <v>10</v>
      </c>
      <c r="E92" s="41">
        <f>'Equip&amp;HIRE_Master'!D22</f>
        <v>165.89</v>
      </c>
      <c r="F92" s="41">
        <f t="shared" si="2"/>
        <v>0</v>
      </c>
    </row>
    <row r="93" spans="1:6" x14ac:dyDescent="0.2">
      <c r="A93" s="40"/>
      <c r="B93" s="194" t="s">
        <v>74</v>
      </c>
      <c r="C93" s="40" t="s">
        <v>10</v>
      </c>
      <c r="E93" s="41">
        <f>'Equip&amp;HIRE_Master'!D23</f>
        <v>0</v>
      </c>
      <c r="F93" s="41">
        <f t="shared" si="2"/>
        <v>0</v>
      </c>
    </row>
    <row r="94" spans="1:6" x14ac:dyDescent="0.2">
      <c r="A94" s="40"/>
      <c r="B94" s="194" t="s">
        <v>75</v>
      </c>
      <c r="C94" s="40" t="s">
        <v>10</v>
      </c>
      <c r="E94" s="41">
        <f>'Equip&amp;HIRE_Master'!D24</f>
        <v>203</v>
      </c>
      <c r="F94" s="41">
        <f t="shared" si="2"/>
        <v>0</v>
      </c>
    </row>
    <row r="95" spans="1:6" x14ac:dyDescent="0.2">
      <c r="A95" s="40"/>
      <c r="B95" s="194" t="s">
        <v>76</v>
      </c>
      <c r="E95" s="41">
        <f>'Equip&amp;HIRE_Master'!D25</f>
        <v>0</v>
      </c>
      <c r="F95" s="41">
        <f t="shared" si="2"/>
        <v>0</v>
      </c>
    </row>
    <row r="96" spans="1:6" x14ac:dyDescent="0.2">
      <c r="A96" s="40"/>
      <c r="B96" s="194" t="s">
        <v>77</v>
      </c>
      <c r="E96" s="41">
        <f>'Equip&amp;HIRE_Master'!D26</f>
        <v>0</v>
      </c>
      <c r="F96" s="41">
        <f t="shared" si="2"/>
        <v>0</v>
      </c>
    </row>
    <row r="97" spans="1:8" ht="4.95" customHeight="1" x14ac:dyDescent="0.2">
      <c r="A97" s="40"/>
      <c r="B97" s="194"/>
      <c r="E97" s="41">
        <f>'Equip&amp;HIRE_Master'!D27</f>
        <v>0</v>
      </c>
      <c r="F97" s="41">
        <f t="shared" si="2"/>
        <v>0</v>
      </c>
    </row>
    <row r="98" spans="1:8" x14ac:dyDescent="0.2">
      <c r="A98" s="40"/>
      <c r="B98" s="194" t="s">
        <v>78</v>
      </c>
      <c r="C98" s="40" t="s">
        <v>10</v>
      </c>
      <c r="E98" s="41">
        <f>'Equip&amp;HIRE_Master'!D28</f>
        <v>205</v>
      </c>
      <c r="F98" s="41">
        <f t="shared" si="2"/>
        <v>0</v>
      </c>
    </row>
    <row r="99" spans="1:8" x14ac:dyDescent="0.2">
      <c r="A99" s="40"/>
      <c r="B99" s="194" t="s">
        <v>79</v>
      </c>
      <c r="C99" s="40" t="s">
        <v>10</v>
      </c>
      <c r="E99" s="41">
        <f>'Equip&amp;HIRE_Master'!D29</f>
        <v>166.98</v>
      </c>
      <c r="F99" s="41">
        <f t="shared" si="2"/>
        <v>0</v>
      </c>
    </row>
    <row r="100" spans="1:8" x14ac:dyDescent="0.2">
      <c r="A100" s="40"/>
      <c r="B100" s="194" t="s">
        <v>80</v>
      </c>
      <c r="C100" s="40" t="s">
        <v>10</v>
      </c>
      <c r="E100" s="41">
        <f>'Equip&amp;HIRE_Master'!D30</f>
        <v>171.42857142857139</v>
      </c>
      <c r="F100" s="41">
        <f t="shared" si="2"/>
        <v>0</v>
      </c>
    </row>
    <row r="101" spans="1:8" ht="4.2" customHeight="1" x14ac:dyDescent="0.2">
      <c r="A101" s="40"/>
      <c r="B101" s="194"/>
      <c r="E101" s="41">
        <f>'Equip&amp;HIRE_Master'!D31</f>
        <v>0</v>
      </c>
      <c r="F101" s="41">
        <f t="shared" si="2"/>
        <v>0</v>
      </c>
    </row>
    <row r="102" spans="1:8" x14ac:dyDescent="0.2">
      <c r="A102" s="40"/>
      <c r="B102" s="194" t="s">
        <v>81</v>
      </c>
      <c r="C102" s="40" t="s">
        <v>10</v>
      </c>
      <c r="E102" s="41">
        <f>'Equip&amp;HIRE_Master'!D32</f>
        <v>0</v>
      </c>
      <c r="F102" s="41">
        <f t="shared" si="2"/>
        <v>0</v>
      </c>
    </row>
    <row r="103" spans="1:8" ht="12.45" customHeight="1" x14ac:dyDescent="0.25">
      <c r="A103" s="40"/>
      <c r="B103" s="194" t="s">
        <v>82</v>
      </c>
      <c r="C103" s="40" t="s">
        <v>10</v>
      </c>
      <c r="D103">
        <v>10</v>
      </c>
      <c r="E103" s="41">
        <f>'Equip&amp;HIRE_Master'!D33</f>
        <v>34.285714285714278</v>
      </c>
      <c r="F103" s="41">
        <f t="shared" si="2"/>
        <v>342.85714285714278</v>
      </c>
      <c r="H103" s="457" t="s">
        <v>1001</v>
      </c>
    </row>
    <row r="104" spans="1:8" x14ac:dyDescent="0.2">
      <c r="A104" s="40"/>
      <c r="B104" s="194" t="s">
        <v>84</v>
      </c>
      <c r="C104" s="40" t="s">
        <v>10</v>
      </c>
      <c r="E104" s="41">
        <f>'Equip&amp;HIRE_Master'!D34</f>
        <v>165</v>
      </c>
      <c r="F104" s="41">
        <f t="shared" si="2"/>
        <v>0</v>
      </c>
    </row>
    <row r="105" spans="1:8" x14ac:dyDescent="0.2">
      <c r="A105" s="40"/>
      <c r="B105" s="194" t="s">
        <v>85</v>
      </c>
      <c r="C105" s="40" t="s">
        <v>10</v>
      </c>
      <c r="E105" s="41">
        <v>300</v>
      </c>
      <c r="F105" s="41">
        <f t="shared" si="2"/>
        <v>0</v>
      </c>
    </row>
    <row r="106" spans="1:8" ht="12.45" customHeight="1" x14ac:dyDescent="0.25">
      <c r="A106" s="40"/>
      <c r="B106" s="194" t="s">
        <v>86</v>
      </c>
      <c r="C106" s="40" t="s">
        <v>10</v>
      </c>
      <c r="D106">
        <v>13</v>
      </c>
      <c r="E106" s="41">
        <v>30</v>
      </c>
      <c r="F106" s="41">
        <f t="shared" ref="F106:F137" si="3">E106*D106</f>
        <v>390</v>
      </c>
      <c r="H106" s="457" t="s">
        <v>1002</v>
      </c>
    </row>
    <row r="107" spans="1:8" x14ac:dyDescent="0.2">
      <c r="A107" s="40"/>
      <c r="B107" s="194" t="s">
        <v>87</v>
      </c>
      <c r="C107" s="40" t="s">
        <v>10</v>
      </c>
      <c r="E107" s="41">
        <f>'Equip&amp;HIRE_Master'!D37</f>
        <v>0</v>
      </c>
      <c r="F107" s="41">
        <f t="shared" si="3"/>
        <v>0</v>
      </c>
    </row>
    <row r="108" spans="1:8" x14ac:dyDescent="0.2">
      <c r="A108" s="40"/>
      <c r="B108" s="194" t="s">
        <v>88</v>
      </c>
      <c r="C108" s="40" t="s">
        <v>10</v>
      </c>
      <c r="E108" s="41">
        <f>'Equip&amp;HIRE_Master'!D38</f>
        <v>0</v>
      </c>
      <c r="F108" s="41">
        <f t="shared" si="3"/>
        <v>0</v>
      </c>
    </row>
    <row r="109" spans="1:8" ht="6" customHeight="1" x14ac:dyDescent="0.2">
      <c r="A109" s="40"/>
      <c r="B109" s="194"/>
      <c r="E109" s="41">
        <f>'Equip&amp;HIRE_Master'!D39</f>
        <v>0</v>
      </c>
      <c r="F109" s="41">
        <f t="shared" si="3"/>
        <v>0</v>
      </c>
    </row>
    <row r="110" spans="1:8" x14ac:dyDescent="0.2">
      <c r="A110" s="40"/>
      <c r="B110" s="194" t="s">
        <v>89</v>
      </c>
      <c r="C110" s="40" t="s">
        <v>10</v>
      </c>
      <c r="E110" s="41">
        <f>'Equip&amp;HIRE_Master'!D40</f>
        <v>5.46</v>
      </c>
      <c r="F110" s="41">
        <f t="shared" si="3"/>
        <v>0</v>
      </c>
    </row>
    <row r="111" spans="1:8" x14ac:dyDescent="0.2">
      <c r="A111" s="40"/>
      <c r="B111" s="194" t="s">
        <v>90</v>
      </c>
      <c r="C111" s="40" t="s">
        <v>10</v>
      </c>
      <c r="E111" s="41">
        <f>'Equip&amp;HIRE_Master'!D41</f>
        <v>23</v>
      </c>
      <c r="F111" s="41">
        <f t="shared" si="3"/>
        <v>0</v>
      </c>
    </row>
    <row r="112" spans="1:8" x14ac:dyDescent="0.2">
      <c r="A112" s="40"/>
      <c r="B112" s="194" t="s">
        <v>91</v>
      </c>
      <c r="C112" s="40" t="s">
        <v>10</v>
      </c>
      <c r="E112" s="41">
        <f>'Equip&amp;HIRE_Master'!D42</f>
        <v>23</v>
      </c>
      <c r="F112" s="41">
        <f t="shared" si="3"/>
        <v>0</v>
      </c>
    </row>
    <row r="113" spans="1:6" hidden="1" x14ac:dyDescent="0.2">
      <c r="A113" s="40"/>
      <c r="B113" s="194" t="s">
        <v>92</v>
      </c>
      <c r="C113" s="40" t="s">
        <v>10</v>
      </c>
      <c r="E113" s="41">
        <f>'Equip&amp;HIRE_Master'!D43</f>
        <v>0</v>
      </c>
      <c r="F113" s="41">
        <f t="shared" si="3"/>
        <v>0</v>
      </c>
    </row>
    <row r="114" spans="1:6" hidden="1" x14ac:dyDescent="0.2">
      <c r="A114" s="40"/>
      <c r="B114" s="194" t="s">
        <v>93</v>
      </c>
      <c r="C114" s="40" t="s">
        <v>10</v>
      </c>
      <c r="E114" s="41">
        <f>'Equip&amp;HIRE_Master'!D44</f>
        <v>0</v>
      </c>
      <c r="F114" s="41">
        <f t="shared" si="3"/>
        <v>0</v>
      </c>
    </row>
    <row r="115" spans="1:6" hidden="1" x14ac:dyDescent="0.2">
      <c r="A115" s="40"/>
      <c r="B115" s="194" t="s">
        <v>94</v>
      </c>
      <c r="C115" s="40" t="s">
        <v>10</v>
      </c>
      <c r="E115" s="41">
        <f>'Equip&amp;HIRE_Master'!D45</f>
        <v>0</v>
      </c>
      <c r="F115" s="41">
        <f t="shared" si="3"/>
        <v>0</v>
      </c>
    </row>
    <row r="116" spans="1:6" hidden="1" x14ac:dyDescent="0.2">
      <c r="A116" s="40"/>
      <c r="B116" s="194" t="s">
        <v>95</v>
      </c>
      <c r="C116" s="40" t="s">
        <v>10</v>
      </c>
      <c r="E116" s="41">
        <f>'Equip&amp;HIRE_Master'!D46</f>
        <v>0</v>
      </c>
      <c r="F116" s="41">
        <f t="shared" si="3"/>
        <v>0</v>
      </c>
    </row>
    <row r="117" spans="1:6" hidden="1" x14ac:dyDescent="0.2">
      <c r="A117" s="40"/>
      <c r="B117" s="194" t="s">
        <v>96</v>
      </c>
      <c r="C117" s="40" t="s">
        <v>10</v>
      </c>
      <c r="E117" s="41">
        <f>'Equip&amp;HIRE_Master'!D47</f>
        <v>0</v>
      </c>
      <c r="F117" s="41">
        <f t="shared" si="3"/>
        <v>0</v>
      </c>
    </row>
    <row r="118" spans="1:6" hidden="1" x14ac:dyDescent="0.2">
      <c r="A118" s="40"/>
      <c r="B118" s="194" t="s">
        <v>97</v>
      </c>
      <c r="C118" s="40" t="s">
        <v>10</v>
      </c>
      <c r="E118" s="41">
        <f>'Equip&amp;HIRE_Master'!D48</f>
        <v>0</v>
      </c>
      <c r="F118" s="41">
        <f t="shared" si="3"/>
        <v>0</v>
      </c>
    </row>
    <row r="119" spans="1:6" hidden="1" x14ac:dyDescent="0.2">
      <c r="A119" s="40"/>
      <c r="B119" s="194" t="s">
        <v>98</v>
      </c>
      <c r="C119" s="40" t="s">
        <v>10</v>
      </c>
      <c r="E119" s="41">
        <f>'Equip&amp;HIRE_Master'!D49</f>
        <v>0</v>
      </c>
      <c r="F119" s="41">
        <f t="shared" si="3"/>
        <v>0</v>
      </c>
    </row>
    <row r="120" spans="1:6" hidden="1" x14ac:dyDescent="0.2">
      <c r="A120" s="40"/>
      <c r="B120" s="194" t="s">
        <v>99</v>
      </c>
      <c r="C120" s="40" t="s">
        <v>10</v>
      </c>
      <c r="E120" s="41">
        <f>'Equip&amp;HIRE_Master'!D50</f>
        <v>0</v>
      </c>
      <c r="F120" s="41">
        <f t="shared" si="3"/>
        <v>0</v>
      </c>
    </row>
    <row r="121" spans="1:6" hidden="1" x14ac:dyDescent="0.2">
      <c r="A121" s="40"/>
      <c r="B121" s="194" t="s">
        <v>100</v>
      </c>
      <c r="C121" s="40" t="s">
        <v>10</v>
      </c>
      <c r="E121" s="41">
        <f>'Equip&amp;HIRE_Master'!D51</f>
        <v>0</v>
      </c>
      <c r="F121" s="41">
        <f t="shared" si="3"/>
        <v>0</v>
      </c>
    </row>
    <row r="122" spans="1:6" hidden="1" x14ac:dyDescent="0.2">
      <c r="A122" s="40"/>
      <c r="B122" s="194" t="s">
        <v>101</v>
      </c>
      <c r="C122" s="40" t="s">
        <v>10</v>
      </c>
      <c r="E122" s="41">
        <f>'Equip&amp;HIRE_Master'!D52</f>
        <v>0</v>
      </c>
      <c r="F122" s="41">
        <f t="shared" si="3"/>
        <v>0</v>
      </c>
    </row>
    <row r="123" spans="1:6" ht="6" customHeight="1" x14ac:dyDescent="0.2">
      <c r="A123" s="40"/>
      <c r="B123" s="194"/>
      <c r="E123" s="41">
        <f>'Equip&amp;HIRE_Master'!D53</f>
        <v>0</v>
      </c>
      <c r="F123" s="41">
        <f t="shared" si="3"/>
        <v>0</v>
      </c>
    </row>
    <row r="124" spans="1:6" x14ac:dyDescent="0.2">
      <c r="A124" s="40"/>
      <c r="B124" s="194" t="s">
        <v>102</v>
      </c>
      <c r="C124" s="40" t="s">
        <v>10</v>
      </c>
      <c r="E124" s="41">
        <f>'Equip&amp;HIRE_Master'!D54</f>
        <v>0</v>
      </c>
      <c r="F124" s="41">
        <f t="shared" si="3"/>
        <v>0</v>
      </c>
    </row>
    <row r="125" spans="1:6" x14ac:dyDescent="0.2">
      <c r="A125" s="40"/>
      <c r="B125" s="194" t="s">
        <v>103</v>
      </c>
      <c r="C125" s="40" t="s">
        <v>104</v>
      </c>
      <c r="E125" s="41">
        <f>'Equip&amp;HIRE_Master'!D55</f>
        <v>230</v>
      </c>
      <c r="F125" s="41">
        <f t="shared" si="3"/>
        <v>0</v>
      </c>
    </row>
    <row r="126" spans="1:6" x14ac:dyDescent="0.2">
      <c r="A126" s="40"/>
      <c r="B126" s="194" t="s">
        <v>105</v>
      </c>
      <c r="C126" s="40" t="s">
        <v>106</v>
      </c>
      <c r="E126" s="41">
        <f>'Equip&amp;HIRE_Master'!D56</f>
        <v>309</v>
      </c>
      <c r="F126" s="41">
        <f t="shared" si="3"/>
        <v>0</v>
      </c>
    </row>
    <row r="127" spans="1:6" x14ac:dyDescent="0.2">
      <c r="A127" s="40"/>
      <c r="B127" s="194" t="s">
        <v>107</v>
      </c>
      <c r="C127" s="40" t="s">
        <v>108</v>
      </c>
      <c r="E127" s="41">
        <f>'Equip&amp;HIRE_Master'!D57</f>
        <v>35</v>
      </c>
      <c r="F127" s="41">
        <f t="shared" si="3"/>
        <v>0</v>
      </c>
    </row>
    <row r="128" spans="1:6" x14ac:dyDescent="0.2">
      <c r="A128" s="40"/>
      <c r="B128" s="194" t="s">
        <v>109</v>
      </c>
      <c r="C128" s="40" t="s">
        <v>110</v>
      </c>
      <c r="E128" s="41">
        <f>'Equip&amp;HIRE_Master'!D58</f>
        <v>229.9</v>
      </c>
      <c r="F128" s="41">
        <f t="shared" si="3"/>
        <v>0</v>
      </c>
    </row>
    <row r="129" spans="1:8" x14ac:dyDescent="0.2">
      <c r="A129" s="40"/>
      <c r="B129" s="194" t="s">
        <v>111</v>
      </c>
      <c r="C129" s="40" t="s">
        <v>110</v>
      </c>
      <c r="E129" s="41">
        <f>'Equip&amp;HIRE_Master'!D59</f>
        <v>239.8</v>
      </c>
      <c r="F129" s="41">
        <f t="shared" si="3"/>
        <v>0</v>
      </c>
    </row>
    <row r="130" spans="1:8" x14ac:dyDescent="0.2">
      <c r="A130" s="40"/>
      <c r="B130" s="194" t="s">
        <v>112</v>
      </c>
      <c r="C130" s="40" t="s">
        <v>106</v>
      </c>
      <c r="E130" s="41">
        <f>'Equip&amp;HIRE_Master'!D60</f>
        <v>309</v>
      </c>
      <c r="F130" s="41">
        <f t="shared" si="3"/>
        <v>0</v>
      </c>
    </row>
    <row r="131" spans="1:8" x14ac:dyDescent="0.2">
      <c r="A131" s="40"/>
      <c r="B131" s="194" t="s">
        <v>113</v>
      </c>
      <c r="C131" s="40" t="s">
        <v>108</v>
      </c>
      <c r="E131" s="41">
        <f>'Equip&amp;HIRE_Master'!D61</f>
        <v>35</v>
      </c>
      <c r="F131" s="41">
        <f t="shared" si="3"/>
        <v>0</v>
      </c>
    </row>
    <row r="132" spans="1:8" x14ac:dyDescent="0.2">
      <c r="A132" s="40"/>
      <c r="B132" s="194" t="s">
        <v>114</v>
      </c>
      <c r="C132" s="40" t="s">
        <v>10</v>
      </c>
      <c r="E132" s="41">
        <f>'Equip&amp;HIRE_Master'!D62</f>
        <v>295.77</v>
      </c>
      <c r="F132" s="41">
        <f t="shared" si="3"/>
        <v>0</v>
      </c>
    </row>
    <row r="133" spans="1:8" x14ac:dyDescent="0.2">
      <c r="A133" s="40"/>
      <c r="B133" s="194" t="s">
        <v>115</v>
      </c>
      <c r="C133" s="40" t="s">
        <v>10</v>
      </c>
      <c r="E133" s="41">
        <f>'Equip&amp;HIRE_Master'!D63</f>
        <v>355</v>
      </c>
      <c r="F133" s="41">
        <f t="shared" si="3"/>
        <v>0</v>
      </c>
    </row>
    <row r="134" spans="1:8" ht="6" customHeight="1" x14ac:dyDescent="0.2">
      <c r="A134" s="40"/>
      <c r="B134" s="194"/>
      <c r="E134" s="41">
        <f>'Equip&amp;HIRE_Master'!D64</f>
        <v>0</v>
      </c>
      <c r="F134" s="41">
        <f t="shared" si="3"/>
        <v>0</v>
      </c>
    </row>
    <row r="135" spans="1:8" x14ac:dyDescent="0.2">
      <c r="A135" s="40"/>
      <c r="B135" s="194" t="s">
        <v>116</v>
      </c>
      <c r="C135" s="40" t="s">
        <v>10</v>
      </c>
      <c r="E135" s="41">
        <f>'Equip&amp;HIRE_Master'!D65</f>
        <v>0</v>
      </c>
      <c r="F135" s="41">
        <f t="shared" si="3"/>
        <v>0</v>
      </c>
    </row>
    <row r="136" spans="1:8" x14ac:dyDescent="0.2">
      <c r="A136" s="40"/>
      <c r="B136" s="194" t="s">
        <v>117</v>
      </c>
      <c r="C136" s="40" t="s">
        <v>118</v>
      </c>
      <c r="E136" s="41">
        <f>'Equip&amp;HIRE_Master'!D66</f>
        <v>180</v>
      </c>
      <c r="F136" s="41">
        <f t="shared" si="3"/>
        <v>0</v>
      </c>
    </row>
    <row r="137" spans="1:8" x14ac:dyDescent="0.2">
      <c r="A137" s="40"/>
      <c r="B137" s="194" t="s">
        <v>119</v>
      </c>
      <c r="C137" s="40" t="s">
        <v>118</v>
      </c>
      <c r="E137" s="41">
        <f>'Equip&amp;HIRE_Master'!D67</f>
        <v>125</v>
      </c>
      <c r="F137" s="41">
        <f t="shared" si="3"/>
        <v>0</v>
      </c>
    </row>
    <row r="138" spans="1:8" x14ac:dyDescent="0.2">
      <c r="A138" s="40"/>
      <c r="B138" s="194" t="s">
        <v>120</v>
      </c>
      <c r="C138" s="40" t="s">
        <v>118</v>
      </c>
      <c r="E138" s="41">
        <f>'Equip&amp;HIRE_Master'!D68</f>
        <v>160</v>
      </c>
      <c r="F138" s="41">
        <f t="shared" ref="F138:F141" si="4">E138*D138</f>
        <v>0</v>
      </c>
    </row>
    <row r="139" spans="1:8" x14ac:dyDescent="0.2">
      <c r="A139" s="40"/>
      <c r="B139" s="194" t="s">
        <v>121</v>
      </c>
      <c r="C139" s="40" t="s">
        <v>118</v>
      </c>
      <c r="E139" s="41">
        <f>'Equip&amp;HIRE_Master'!D69</f>
        <v>200</v>
      </c>
      <c r="F139" s="41">
        <f t="shared" si="4"/>
        <v>0</v>
      </c>
    </row>
    <row r="140" spans="1:8" ht="12.45" customHeight="1" x14ac:dyDescent="0.25">
      <c r="A140" s="40"/>
      <c r="B140" t="s">
        <v>1003</v>
      </c>
      <c r="C140" t="s">
        <v>10</v>
      </c>
      <c r="D140">
        <v>6</v>
      </c>
      <c r="E140" s="41">
        <v>350</v>
      </c>
      <c r="F140" s="41">
        <f t="shared" si="4"/>
        <v>2100</v>
      </c>
      <c r="H140" s="457" t="s">
        <v>1004</v>
      </c>
    </row>
    <row r="141" spans="1:8" x14ac:dyDescent="0.2">
      <c r="A141" s="40"/>
      <c r="B141" s="194" t="s">
        <v>122</v>
      </c>
      <c r="C141" s="40" t="s">
        <v>108</v>
      </c>
      <c r="E141" s="41">
        <v>1850</v>
      </c>
      <c r="F141" s="41">
        <f t="shared" si="4"/>
        <v>0</v>
      </c>
    </row>
    <row r="142" spans="1:8" ht="10.8" customHeight="1" thickBot="1" x14ac:dyDescent="0.25">
      <c r="A142" s="40"/>
    </row>
    <row r="143" spans="1:8" ht="10.8" customHeight="1" thickBot="1" x14ac:dyDescent="0.25">
      <c r="A143" s="42"/>
      <c r="B143" s="47" t="s">
        <v>123</v>
      </c>
    </row>
    <row r="145" spans="1:8" x14ac:dyDescent="0.2">
      <c r="B145" s="38" t="s">
        <v>124</v>
      </c>
      <c r="C145" s="40" t="s">
        <v>27</v>
      </c>
      <c r="E145" s="41">
        <f>'Misc Subbie Rates_Master'!D35</f>
        <v>180</v>
      </c>
      <c r="F145" s="41">
        <f t="shared" ref="F145:F155" si="5">E145*D145</f>
        <v>0</v>
      </c>
    </row>
    <row r="146" spans="1:8" x14ac:dyDescent="0.2">
      <c r="B146" s="38" t="s">
        <v>125</v>
      </c>
      <c r="C146" s="40" t="s">
        <v>27</v>
      </c>
      <c r="E146" s="41">
        <f>'Misc Subbie Rates_Master'!D42</f>
        <v>130</v>
      </c>
      <c r="F146" s="41">
        <f t="shared" si="5"/>
        <v>0</v>
      </c>
    </row>
    <row r="147" spans="1:8" x14ac:dyDescent="0.2">
      <c r="B147" s="38" t="s">
        <v>126</v>
      </c>
      <c r="C147" s="40" t="s">
        <v>27</v>
      </c>
      <c r="D147" s="40">
        <v>15</v>
      </c>
      <c r="E147" s="41">
        <f>'Misc Subbie Rates_Master'!D72</f>
        <v>115</v>
      </c>
      <c r="F147" s="41">
        <f t="shared" si="5"/>
        <v>1725</v>
      </c>
    </row>
    <row r="148" spans="1:8" x14ac:dyDescent="0.2">
      <c r="B148" s="38" t="s">
        <v>127</v>
      </c>
      <c r="C148" s="40" t="s">
        <v>27</v>
      </c>
      <c r="D148" s="40">
        <v>4</v>
      </c>
      <c r="E148" s="41">
        <f>'Misc Subbie Rates_Master'!D73</f>
        <v>90</v>
      </c>
      <c r="F148" s="41">
        <f t="shared" si="5"/>
        <v>360</v>
      </c>
    </row>
    <row r="149" spans="1:8" ht="12.45" customHeight="1" x14ac:dyDescent="0.25">
      <c r="B149" t="s">
        <v>1005</v>
      </c>
      <c r="C149" s="40" t="s">
        <v>36</v>
      </c>
      <c r="D149">
        <v>15</v>
      </c>
      <c r="E149" s="41">
        <v>180</v>
      </c>
      <c r="F149" s="41">
        <f t="shared" si="5"/>
        <v>2700</v>
      </c>
      <c r="H149" s="457" t="s">
        <v>1006</v>
      </c>
    </row>
    <row r="150" spans="1:8" ht="12.45" customHeight="1" x14ac:dyDescent="0.25">
      <c r="B150" t="s">
        <v>1007</v>
      </c>
      <c r="C150" s="40" t="s">
        <v>10</v>
      </c>
      <c r="D150">
        <v>2</v>
      </c>
      <c r="E150" s="41">
        <v>450</v>
      </c>
      <c r="F150" s="41">
        <f t="shared" si="5"/>
        <v>900</v>
      </c>
      <c r="H150" s="457" t="s">
        <v>1008</v>
      </c>
    </row>
    <row r="151" spans="1:8" ht="10.5" customHeight="1" x14ac:dyDescent="0.2">
      <c r="B151" s="273" t="s">
        <v>128</v>
      </c>
      <c r="C151" s="40" t="s">
        <v>27</v>
      </c>
      <c r="F151" s="41">
        <f t="shared" si="5"/>
        <v>0</v>
      </c>
    </row>
    <row r="152" spans="1:8" x14ac:dyDescent="0.2">
      <c r="B152" s="1" t="s">
        <v>129</v>
      </c>
      <c r="C152" s="40" t="s">
        <v>27</v>
      </c>
      <c r="E152" s="41">
        <f>'Misc Subbie Rates_Master'!D84</f>
        <v>1945</v>
      </c>
      <c r="F152" s="41">
        <f t="shared" si="5"/>
        <v>0</v>
      </c>
    </row>
    <row r="153" spans="1:8" x14ac:dyDescent="0.2">
      <c r="B153" s="38" t="s">
        <v>130</v>
      </c>
      <c r="C153" s="40" t="s">
        <v>27</v>
      </c>
      <c r="E153" s="41">
        <f>'Misc Subbie Rates_Master'!D86</f>
        <v>350</v>
      </c>
      <c r="F153" s="41">
        <f t="shared" si="5"/>
        <v>0</v>
      </c>
    </row>
    <row r="154" spans="1:8" ht="12.45" customHeight="1" x14ac:dyDescent="0.25">
      <c r="B154" t="s">
        <v>1009</v>
      </c>
      <c r="C154" t="s">
        <v>27</v>
      </c>
      <c r="D154">
        <v>1</v>
      </c>
      <c r="E154" s="41">
        <v>350</v>
      </c>
      <c r="F154" s="41">
        <f t="shared" si="5"/>
        <v>350</v>
      </c>
      <c r="H154" s="457" t="s">
        <v>1010</v>
      </c>
    </row>
    <row r="155" spans="1:8" ht="10.8" customHeight="1" thickBot="1" x14ac:dyDescent="0.3">
      <c r="B155" t="s">
        <v>1011</v>
      </c>
      <c r="C155" t="s">
        <v>132</v>
      </c>
      <c r="D155">
        <v>1</v>
      </c>
      <c r="E155" s="41">
        <v>3500</v>
      </c>
      <c r="F155" s="41">
        <f t="shared" si="5"/>
        <v>3500</v>
      </c>
      <c r="H155" s="457" t="s">
        <v>133</v>
      </c>
    </row>
    <row r="156" spans="1:8" ht="10.8" customHeight="1" thickBot="1" x14ac:dyDescent="0.25">
      <c r="A156" s="42"/>
      <c r="B156" s="47" t="s">
        <v>134</v>
      </c>
    </row>
    <row r="157" spans="1:8" x14ac:dyDescent="0.2">
      <c r="B157" s="38" t="s">
        <v>1012</v>
      </c>
    </row>
    <row r="158" spans="1:8" ht="12.45" hidden="1" customHeight="1" x14ac:dyDescent="0.25">
      <c r="B158" s="38" t="str">
        <f>'Material Rates_Master'!A185</f>
        <v>Bedding / Fill Sand</v>
      </c>
      <c r="C158" s="40" t="str">
        <f>'Material Rates_Master'!B185</f>
        <v>m3</v>
      </c>
      <c r="D158">
        <f>I971</f>
        <v>73.27152000000001</v>
      </c>
      <c r="E158" s="41">
        <f>'Material Rates_Master'!D185</f>
        <v>39.75</v>
      </c>
      <c r="F158" s="41">
        <f t="shared" ref="F158:F166" si="6">E158*D158</f>
        <v>2912.5429200000003</v>
      </c>
      <c r="H158" s="457" t="s">
        <v>1013</v>
      </c>
    </row>
    <row r="159" spans="1:8" hidden="1" x14ac:dyDescent="0.2">
      <c r="B159" s="38" t="str">
        <f>'Material Rates_Master'!A186</f>
        <v>CBR 45/2.5 Roadbase</v>
      </c>
      <c r="C159" s="40" t="str">
        <f>'Material Rates_Master'!B186</f>
        <v>m3</v>
      </c>
      <c r="E159" s="41">
        <f>'Material Rates_Master'!D186</f>
        <v>41.9</v>
      </c>
      <c r="F159" s="41">
        <f t="shared" si="6"/>
        <v>0</v>
      </c>
    </row>
    <row r="160" spans="1:8" hidden="1" x14ac:dyDescent="0.2">
      <c r="B160" s="38" t="str">
        <f>'Material Rates_Master'!A187</f>
        <v>Turf Underlay/Topsoil</v>
      </c>
      <c r="C160" s="40" t="str">
        <f>'Material Rates_Master'!B187</f>
        <v>m3</v>
      </c>
      <c r="E160" s="41">
        <f>'Material Rates_Master'!D187</f>
        <v>45.25</v>
      </c>
      <c r="F160" s="41">
        <f t="shared" si="6"/>
        <v>0</v>
      </c>
    </row>
    <row r="161" spans="1:10" hidden="1" x14ac:dyDescent="0.2">
      <c r="B161" s="38" t="str">
        <f>'Material Rates_Master'!A188</f>
        <v>Standard Garden Woodchip</v>
      </c>
      <c r="C161" s="40" t="str">
        <f>'Material Rates_Master'!B188</f>
        <v>m3</v>
      </c>
      <c r="E161" s="41">
        <f>'Material Rates_Master'!D188</f>
        <v>87</v>
      </c>
      <c r="F161" s="41">
        <f t="shared" si="6"/>
        <v>0</v>
      </c>
    </row>
    <row r="162" spans="1:10" hidden="1" x14ac:dyDescent="0.2">
      <c r="B162" s="38" t="str">
        <f>'Material Rates_Master'!A189</f>
        <v>Turf - Standard Couch or Similar</v>
      </c>
      <c r="C162" s="40" t="str">
        <f>'Material Rates_Master'!B189</f>
        <v>Slab (.5m2)</v>
      </c>
      <c r="E162" s="41">
        <f>'Material Rates_Master'!D189</f>
        <v>6.48</v>
      </c>
      <c r="F162" s="41">
        <f t="shared" si="6"/>
        <v>0</v>
      </c>
    </row>
    <row r="163" spans="1:10" ht="4.2" hidden="1" customHeight="1" x14ac:dyDescent="0.25">
      <c r="B163" t="s">
        <v>1014</v>
      </c>
      <c r="C163" t="s">
        <v>132</v>
      </c>
      <c r="D163">
        <v>1</v>
      </c>
      <c r="E163" s="41">
        <f>M971</f>
        <v>1099.0728000000001</v>
      </c>
      <c r="F163" s="41">
        <f t="shared" si="6"/>
        <v>1099.0728000000001</v>
      </c>
      <c r="H163" s="457" t="s">
        <v>137</v>
      </c>
    </row>
    <row r="164" spans="1:10" hidden="1" x14ac:dyDescent="0.2">
      <c r="B164" s="38" t="str">
        <f>'Material Rates_Master'!A193</f>
        <v>Cement Stabalized Sand (3-5%)</v>
      </c>
      <c r="C164" s="40" t="str">
        <f>'Material Rates_Master'!B193</f>
        <v>m3</v>
      </c>
      <c r="E164" s="41">
        <f>'Material Rates_Master'!D193</f>
        <v>169</v>
      </c>
      <c r="F164" s="41">
        <f t="shared" si="6"/>
        <v>0</v>
      </c>
    </row>
    <row r="165" spans="1:10" hidden="1" x14ac:dyDescent="0.2">
      <c r="B165" s="38" t="str">
        <f>'Material Rates_Master'!A194</f>
        <v>Exposed Agg Concrete - Standard/Cheapest Exposed Agg Stone</v>
      </c>
      <c r="C165" s="40" t="str">
        <f>'Material Rates_Master'!B194</f>
        <v>m3</v>
      </c>
      <c r="E165" s="41">
        <f>'Material Rates_Master'!D194</f>
        <v>252</v>
      </c>
      <c r="F165" s="41">
        <f t="shared" si="6"/>
        <v>0</v>
      </c>
    </row>
    <row r="166" spans="1:10" hidden="1" x14ac:dyDescent="0.2">
      <c r="B166" s="38" t="str">
        <f>'Material Rates_Master'!A195</f>
        <v>N25 20mm 80 Slump Concrete</v>
      </c>
      <c r="C166" s="40" t="str">
        <f>'Material Rates_Master'!B195</f>
        <v>m3</v>
      </c>
      <c r="E166" s="41">
        <f>'Material Rates_Master'!D195</f>
        <v>263</v>
      </c>
      <c r="F166" s="41">
        <f t="shared" si="6"/>
        <v>0</v>
      </c>
    </row>
    <row r="167" spans="1:10" hidden="1" x14ac:dyDescent="0.2"/>
    <row r="168" spans="1:10" hidden="1" x14ac:dyDescent="0.2">
      <c r="B168" s="38" t="s">
        <v>138</v>
      </c>
      <c r="C168" s="40" t="s">
        <v>27</v>
      </c>
      <c r="E168" s="41">
        <v>380</v>
      </c>
      <c r="F168" s="41">
        <f>E168*D168</f>
        <v>0</v>
      </c>
    </row>
    <row r="170" spans="1:10" x14ac:dyDescent="0.2">
      <c r="B170" s="194"/>
      <c r="C170" s="38"/>
      <c r="D170" s="38"/>
      <c r="E170" s="38"/>
      <c r="F170" s="38"/>
    </row>
    <row r="171" spans="1:10" ht="10.5" customHeight="1" x14ac:dyDescent="0.2">
      <c r="A171" s="42"/>
      <c r="B171" s="314" t="s">
        <v>139</v>
      </c>
    </row>
    <row r="173" spans="1:10" ht="13.2" customHeight="1" x14ac:dyDescent="0.2">
      <c r="A173" s="40"/>
      <c r="B173" s="287" t="s">
        <v>140</v>
      </c>
      <c r="C173" s="40" t="str">
        <f>'Material Rates_Master'!B5</f>
        <v>m</v>
      </c>
      <c r="D173" s="281"/>
      <c r="E173" s="41">
        <f>'Material Rates_Master'!D5*$M$16</f>
        <v>46.810749999999985</v>
      </c>
      <c r="F173" s="41">
        <f>E173*D173</f>
        <v>0</v>
      </c>
      <c r="H173" s="20"/>
      <c r="I173" s="46"/>
      <c r="J173" s="46"/>
    </row>
    <row r="174" spans="1:10" x14ac:dyDescent="0.2">
      <c r="A174" s="40"/>
      <c r="B174" s="287" t="s">
        <v>141</v>
      </c>
      <c r="C174" s="40" t="str">
        <f>'Material Rates_Master'!B6</f>
        <v>m</v>
      </c>
      <c r="D174" s="229"/>
      <c r="E174" s="41">
        <f>'Material Rates_Master'!D6*$M$16</f>
        <v>35.143999999999998</v>
      </c>
      <c r="F174" s="41">
        <f>E174*D174</f>
        <v>0</v>
      </c>
      <c r="H174" s="20"/>
    </row>
    <row r="175" spans="1:10" x14ac:dyDescent="0.2">
      <c r="A175" s="40"/>
      <c r="B175" s="287" t="s">
        <v>142</v>
      </c>
      <c r="C175" s="40" t="str">
        <f>'Material Rates_Master'!B7</f>
        <v>m</v>
      </c>
      <c r="D175" s="37"/>
      <c r="E175" s="41">
        <f>'Material Rates_Master'!D7*$M$16</f>
        <v>16.993550000000003</v>
      </c>
      <c r="F175" s="41">
        <f>E175*D175</f>
        <v>0</v>
      </c>
      <c r="H175" s="20"/>
    </row>
    <row r="176" spans="1:10" x14ac:dyDescent="0.2">
      <c r="A176" s="40"/>
      <c r="B176" s="287" t="s">
        <v>1015</v>
      </c>
      <c r="C176" s="40" t="s">
        <v>25</v>
      </c>
      <c r="D176" s="37"/>
      <c r="E176" s="41">
        <v>12.31</v>
      </c>
      <c r="F176" s="41">
        <f>E176*D176</f>
        <v>0</v>
      </c>
      <c r="H176" s="20"/>
    </row>
    <row r="177" spans="1:8" x14ac:dyDescent="0.2">
      <c r="A177" s="40"/>
      <c r="B177" s="287" t="s">
        <v>143</v>
      </c>
      <c r="C177" s="40" t="str">
        <f>'Material Rates_Master'!B8</f>
        <v>m</v>
      </c>
      <c r="D177" s="37"/>
      <c r="E177" s="41">
        <f>'Material Rates_Master'!D8*$M$16</f>
        <v>1.6779419999999998</v>
      </c>
      <c r="F177" s="41">
        <f>E177*D177</f>
        <v>0</v>
      </c>
      <c r="H177" s="20"/>
    </row>
    <row r="178" spans="1:8" x14ac:dyDescent="0.2">
      <c r="A178" s="40"/>
      <c r="B178" s="287"/>
      <c r="D178" s="37"/>
      <c r="H178" s="20"/>
    </row>
    <row r="179" spans="1:8" x14ac:dyDescent="0.2">
      <c r="A179" s="40"/>
      <c r="B179" s="287"/>
      <c r="D179" s="37"/>
      <c r="H179" s="20"/>
    </row>
    <row r="180" spans="1:8" ht="4.2" customHeight="1" x14ac:dyDescent="0.2">
      <c r="A180" s="40"/>
      <c r="B180" s="287"/>
      <c r="E180" s="41">
        <f>'Material Rates_Master'!D9*$M$16</f>
        <v>0</v>
      </c>
      <c r="H180" s="20"/>
    </row>
    <row r="181" spans="1:8" x14ac:dyDescent="0.2">
      <c r="A181" s="40"/>
      <c r="B181" s="287" t="s">
        <v>144</v>
      </c>
      <c r="C181" s="40" t="str">
        <f>'Material Rates_Master'!B10</f>
        <v>ea</v>
      </c>
      <c r="D181" s="229"/>
      <c r="E181" s="41">
        <f>'Material Rates_Master'!D10*$M$16</f>
        <v>60.802799999999998</v>
      </c>
      <c r="F181" s="41">
        <f t="shared" ref="F181:F212" si="7">E181*D181</f>
        <v>0</v>
      </c>
      <c r="H181" s="20"/>
    </row>
    <row r="182" spans="1:8" x14ac:dyDescent="0.2">
      <c r="A182" s="40"/>
      <c r="B182" s="287" t="s">
        <v>145</v>
      </c>
      <c r="C182" s="40" t="str">
        <f>'Material Rates_Master'!B11</f>
        <v>ea</v>
      </c>
      <c r="D182" s="37"/>
      <c r="E182" s="41">
        <f>'Material Rates_Master'!D11*$M$16</f>
        <v>35.493599999999994</v>
      </c>
      <c r="F182" s="41">
        <f t="shared" si="7"/>
        <v>0</v>
      </c>
      <c r="H182" s="20"/>
    </row>
    <row r="183" spans="1:8" x14ac:dyDescent="0.2">
      <c r="A183" s="40"/>
      <c r="B183" s="287" t="s">
        <v>146</v>
      </c>
      <c r="C183" s="40" t="str">
        <f>'Material Rates_Master'!B12</f>
        <v>ea</v>
      </c>
      <c r="D183" s="229"/>
      <c r="E183" s="41">
        <f>'Material Rates_Master'!D12*$M$16</f>
        <v>19.471799999999998</v>
      </c>
      <c r="F183" s="41">
        <f t="shared" si="7"/>
        <v>0</v>
      </c>
      <c r="H183" s="20"/>
    </row>
    <row r="184" spans="1:8" x14ac:dyDescent="0.2">
      <c r="A184" s="40"/>
      <c r="B184" s="287" t="s">
        <v>147</v>
      </c>
      <c r="C184" s="40" t="str">
        <f>'Material Rates_Master'!B13</f>
        <v>ea</v>
      </c>
      <c r="D184" s="229"/>
      <c r="E184" s="41">
        <f>'Material Rates_Master'!D13*$M$16</f>
        <v>150.64079999999998</v>
      </c>
      <c r="F184" s="41">
        <f t="shared" si="7"/>
        <v>0</v>
      </c>
      <c r="H184" s="20"/>
    </row>
    <row r="185" spans="1:8" x14ac:dyDescent="0.2">
      <c r="A185" s="40"/>
      <c r="B185" s="287" t="s">
        <v>148</v>
      </c>
      <c r="C185" s="40" t="str">
        <f>'Material Rates_Master'!B14</f>
        <v>ea</v>
      </c>
      <c r="D185" s="229"/>
      <c r="E185" s="41">
        <f>'Material Rates_Master'!D14*$M$16</f>
        <v>135.1986</v>
      </c>
      <c r="F185" s="41">
        <f t="shared" si="7"/>
        <v>0</v>
      </c>
      <c r="H185" s="20"/>
    </row>
    <row r="186" spans="1:8" x14ac:dyDescent="0.2">
      <c r="A186" s="40"/>
      <c r="B186" s="287" t="s">
        <v>149</v>
      </c>
      <c r="C186" s="40" t="str">
        <f>'Material Rates_Master'!B15</f>
        <v>ea</v>
      </c>
      <c r="D186" s="229"/>
      <c r="E186" s="41">
        <f>'Material Rates_Master'!D15*$M$16</f>
        <v>61.672199999999989</v>
      </c>
      <c r="F186" s="41">
        <f t="shared" si="7"/>
        <v>0</v>
      </c>
      <c r="H186" s="20"/>
    </row>
    <row r="187" spans="1:8" x14ac:dyDescent="0.2">
      <c r="A187" s="40"/>
      <c r="B187" s="287" t="s">
        <v>150</v>
      </c>
      <c r="C187" s="40" t="str">
        <f>'Material Rates_Master'!B16</f>
        <v>ea</v>
      </c>
      <c r="D187" s="229"/>
      <c r="E187" s="41">
        <f>'Material Rates_Master'!D16*$M$16</f>
        <v>150.64079999999998</v>
      </c>
      <c r="F187" s="41">
        <f t="shared" si="7"/>
        <v>0</v>
      </c>
      <c r="H187" s="20"/>
    </row>
    <row r="188" spans="1:8" x14ac:dyDescent="0.2">
      <c r="A188" s="40"/>
      <c r="B188" s="287" t="s">
        <v>151</v>
      </c>
      <c r="C188" s="40" t="str">
        <f>'Material Rates_Master'!B17</f>
        <v>ea</v>
      </c>
      <c r="D188" s="229"/>
      <c r="E188" s="41">
        <f>'Material Rates_Master'!D17*$M$16</f>
        <v>134.9778</v>
      </c>
      <c r="F188" s="41">
        <f t="shared" si="7"/>
        <v>0</v>
      </c>
      <c r="H188" s="20"/>
    </row>
    <row r="189" spans="1:8" x14ac:dyDescent="0.2">
      <c r="A189" s="40"/>
      <c r="B189" s="287" t="s">
        <v>152</v>
      </c>
      <c r="C189" s="40" t="str">
        <f>'Material Rates_Master'!B18</f>
        <v>ea</v>
      </c>
      <c r="D189" s="229"/>
      <c r="E189" s="41">
        <f>'Material Rates_Master'!D18*$M$16</f>
        <v>61.61699999999999</v>
      </c>
      <c r="F189" s="41">
        <f t="shared" si="7"/>
        <v>0</v>
      </c>
      <c r="H189" s="20"/>
    </row>
    <row r="190" spans="1:8" x14ac:dyDescent="0.2">
      <c r="A190" s="40"/>
      <c r="B190" s="287" t="s">
        <v>153</v>
      </c>
      <c r="C190" s="40" t="str">
        <f>'Material Rates_Master'!B19</f>
        <v>ea</v>
      </c>
      <c r="D190" s="229"/>
      <c r="E190" s="41">
        <f>'Material Rates_Master'!D19*$M$16</f>
        <v>151.45499999999998</v>
      </c>
      <c r="F190" s="41">
        <f t="shared" si="7"/>
        <v>0</v>
      </c>
      <c r="H190" s="20"/>
    </row>
    <row r="191" spans="1:8" x14ac:dyDescent="0.2">
      <c r="A191" s="40"/>
      <c r="B191" s="287" t="s">
        <v>154</v>
      </c>
      <c r="C191" s="40" t="str">
        <f>'Material Rates_Master'!B20</f>
        <v>ea</v>
      </c>
      <c r="D191" s="229"/>
      <c r="E191" s="41">
        <f>'Material Rates_Master'!D20*$M$16</f>
        <v>157.7064</v>
      </c>
      <c r="F191" s="41">
        <f t="shared" si="7"/>
        <v>0</v>
      </c>
      <c r="H191" s="20"/>
    </row>
    <row r="192" spans="1:8" x14ac:dyDescent="0.2">
      <c r="A192" s="40"/>
      <c r="B192" s="287" t="s">
        <v>155</v>
      </c>
      <c r="C192" s="40" t="str">
        <f>'Material Rates_Master'!B21</f>
        <v>ea</v>
      </c>
      <c r="D192" s="229"/>
      <c r="E192" s="41">
        <f>'Material Rates_Master'!D21*$M$16</f>
        <v>67.964999999999989</v>
      </c>
      <c r="F192" s="41">
        <f t="shared" si="7"/>
        <v>0</v>
      </c>
      <c r="H192" s="20"/>
    </row>
    <row r="193" spans="1:8" x14ac:dyDescent="0.2">
      <c r="A193" s="40"/>
      <c r="B193" s="287" t="s">
        <v>156</v>
      </c>
      <c r="C193" s="40" t="str">
        <f>'Material Rates_Master'!B22</f>
        <v>ea</v>
      </c>
      <c r="D193" s="229"/>
      <c r="E193" s="41">
        <f>'Material Rates_Master'!D22*$M$16</f>
        <v>289.0686</v>
      </c>
      <c r="F193" s="41">
        <f t="shared" si="7"/>
        <v>0</v>
      </c>
      <c r="H193" s="20"/>
    </row>
    <row r="194" spans="1:8" x14ac:dyDescent="0.2">
      <c r="A194" s="40"/>
      <c r="B194" s="287" t="s">
        <v>157</v>
      </c>
      <c r="C194" s="40" t="str">
        <f>'Material Rates_Master'!B23</f>
        <v>ea</v>
      </c>
      <c r="D194" s="229"/>
      <c r="E194" s="41">
        <f>'Material Rates_Master'!D23*$M$16</f>
        <v>301.41959999999995</v>
      </c>
      <c r="F194" s="41">
        <f t="shared" si="7"/>
        <v>0</v>
      </c>
      <c r="H194" s="20"/>
    </row>
    <row r="195" spans="1:8" x14ac:dyDescent="0.2">
      <c r="A195" s="40"/>
      <c r="B195" s="287" t="s">
        <v>158</v>
      </c>
      <c r="C195" s="40" t="str">
        <f>'Material Rates_Master'!B24</f>
        <v>ea</v>
      </c>
      <c r="D195" s="229"/>
      <c r="E195" s="41">
        <f>'Material Rates_Master'!D24*$M$16</f>
        <v>168.53939999999997</v>
      </c>
      <c r="F195" s="41">
        <f t="shared" si="7"/>
        <v>0</v>
      </c>
      <c r="H195" s="20"/>
    </row>
    <row r="196" spans="1:8" x14ac:dyDescent="0.2">
      <c r="A196" s="40"/>
      <c r="B196" s="287" t="s">
        <v>159</v>
      </c>
      <c r="C196" s="40" t="str">
        <f>'Material Rates_Master'!B25</f>
        <v>ea</v>
      </c>
      <c r="D196" s="229"/>
      <c r="E196" s="41">
        <f>'Material Rates_Master'!D25*$M$16</f>
        <v>173.35559999999998</v>
      </c>
      <c r="F196" s="41">
        <f t="shared" si="7"/>
        <v>0</v>
      </c>
      <c r="H196" s="20"/>
    </row>
    <row r="197" spans="1:8" x14ac:dyDescent="0.2">
      <c r="A197" s="40"/>
      <c r="B197" s="287" t="s">
        <v>160</v>
      </c>
      <c r="C197" s="40" t="str">
        <f>'Material Rates_Master'!B26</f>
        <v>ea</v>
      </c>
      <c r="D197" s="229"/>
      <c r="E197" s="41">
        <f>'Material Rates_Master'!D26*$M$16</f>
        <v>82.938000000000002</v>
      </c>
      <c r="F197" s="41">
        <f t="shared" si="7"/>
        <v>0</v>
      </c>
      <c r="H197" s="20"/>
    </row>
    <row r="198" spans="1:8" x14ac:dyDescent="0.2">
      <c r="A198" s="40"/>
      <c r="B198" s="287" t="s">
        <v>1016</v>
      </c>
      <c r="C198" s="40" t="str">
        <f>'Material Rates_Master'!B27</f>
        <v>ea</v>
      </c>
      <c r="D198" s="229"/>
      <c r="E198" s="41">
        <v>65</v>
      </c>
      <c r="F198" s="41">
        <f t="shared" si="7"/>
        <v>0</v>
      </c>
      <c r="H198" s="20"/>
    </row>
    <row r="199" spans="1:8" x14ac:dyDescent="0.2">
      <c r="A199" s="40"/>
      <c r="B199" s="287" t="s">
        <v>161</v>
      </c>
      <c r="C199" s="40" t="str">
        <f>'Material Rates_Master'!B27</f>
        <v>ea</v>
      </c>
      <c r="D199" s="229"/>
      <c r="E199" s="41">
        <f>'Material Rates_Master'!D27*$M$16</f>
        <v>472.44299999999998</v>
      </c>
      <c r="F199" s="41">
        <f t="shared" si="7"/>
        <v>0</v>
      </c>
      <c r="H199" s="20"/>
    </row>
    <row r="200" spans="1:8" x14ac:dyDescent="0.2">
      <c r="A200" s="40"/>
      <c r="B200" s="287" t="s">
        <v>162</v>
      </c>
      <c r="C200" s="40" t="str">
        <f>'Material Rates_Master'!B28</f>
        <v>ea</v>
      </c>
      <c r="D200" s="229"/>
      <c r="E200" s="41">
        <f>'Material Rates_Master'!D28*$M$16</f>
        <v>179.08260000000001</v>
      </c>
      <c r="F200" s="41">
        <f t="shared" si="7"/>
        <v>0</v>
      </c>
      <c r="H200" s="20"/>
    </row>
    <row r="201" spans="1:8" x14ac:dyDescent="0.2">
      <c r="A201" s="40"/>
      <c r="B201" s="287" t="s">
        <v>163</v>
      </c>
      <c r="C201" s="40" t="str">
        <f>'Material Rates_Master'!B29</f>
        <v>ea</v>
      </c>
      <c r="D201" s="229"/>
      <c r="E201" s="41">
        <f>'Material Rates_Master'!D29*$M$16</f>
        <v>127.88459999999999</v>
      </c>
      <c r="F201" s="41">
        <f t="shared" si="7"/>
        <v>0</v>
      </c>
      <c r="H201" s="20"/>
    </row>
    <row r="202" spans="1:8" x14ac:dyDescent="0.2">
      <c r="A202" s="40"/>
      <c r="B202" s="287" t="s">
        <v>164</v>
      </c>
      <c r="C202" s="40" t="str">
        <f>'Material Rates_Master'!B30</f>
        <v>ea</v>
      </c>
      <c r="D202" s="229"/>
      <c r="E202" s="41">
        <f>'Material Rates_Master'!D30*$M$16</f>
        <v>432.20219999999995</v>
      </c>
      <c r="F202" s="41">
        <f t="shared" si="7"/>
        <v>0</v>
      </c>
      <c r="H202" s="20"/>
    </row>
    <row r="203" spans="1:8" x14ac:dyDescent="0.2">
      <c r="A203" s="40"/>
      <c r="B203" s="287" t="s">
        <v>165</v>
      </c>
      <c r="C203" s="40" t="str">
        <f>'Material Rates_Master'!B31</f>
        <v>ea</v>
      </c>
      <c r="D203" s="229"/>
      <c r="E203" s="41">
        <f>'Material Rates_Master'!D31*$M$16</f>
        <v>281.67180000000002</v>
      </c>
      <c r="F203" s="41">
        <f t="shared" si="7"/>
        <v>0</v>
      </c>
      <c r="H203" s="20"/>
    </row>
    <row r="204" spans="1:8" ht="6" customHeight="1" x14ac:dyDescent="0.2">
      <c r="A204" s="40"/>
      <c r="B204" s="287"/>
      <c r="C204" s="40">
        <f>'Material Rates_Master'!B32</f>
        <v>0</v>
      </c>
      <c r="E204" s="41">
        <f>'Material Rates_Master'!D32*$M$16</f>
        <v>0</v>
      </c>
      <c r="F204" s="41">
        <f t="shared" si="7"/>
        <v>0</v>
      </c>
      <c r="H204" s="20"/>
    </row>
    <row r="205" spans="1:8" x14ac:dyDescent="0.2">
      <c r="A205" s="40"/>
      <c r="B205" s="1" t="s">
        <v>166</v>
      </c>
      <c r="C205" s="40" t="str">
        <f>'Material Rates_Master'!B33</f>
        <v>ea</v>
      </c>
      <c r="E205" s="41">
        <f>'Material Rates_Master'!D33*$M$16</f>
        <v>435.67979999999994</v>
      </c>
      <c r="F205" s="41">
        <f t="shared" si="7"/>
        <v>0</v>
      </c>
      <c r="H205" s="20"/>
    </row>
    <row r="206" spans="1:8" x14ac:dyDescent="0.2">
      <c r="A206" s="40"/>
      <c r="B206" s="1" t="s">
        <v>167</v>
      </c>
      <c r="C206" s="40" t="str">
        <f>'Material Rates_Master'!B34</f>
        <v>ea</v>
      </c>
      <c r="E206" s="41">
        <f>'Material Rates_Master'!D34*$M$16</f>
        <v>277.97339999999997</v>
      </c>
      <c r="F206" s="41">
        <f t="shared" si="7"/>
        <v>0</v>
      </c>
      <c r="H206" s="20"/>
    </row>
    <row r="207" spans="1:8" x14ac:dyDescent="0.2">
      <c r="A207" s="40"/>
      <c r="B207" s="287" t="s">
        <v>168</v>
      </c>
      <c r="C207" s="40" t="str">
        <f>'Material Rates_Master'!B35</f>
        <v>ea</v>
      </c>
      <c r="D207" s="229"/>
      <c r="E207" s="41">
        <f>'Material Rates_Master'!D35*$M$16</f>
        <v>94.5852</v>
      </c>
      <c r="F207" s="41">
        <f t="shared" si="7"/>
        <v>0</v>
      </c>
      <c r="H207" s="20"/>
    </row>
    <row r="208" spans="1:8" x14ac:dyDescent="0.2">
      <c r="A208" s="40"/>
      <c r="B208" s="287" t="s">
        <v>169</v>
      </c>
      <c r="C208" s="40" t="str">
        <f>'Material Rates_Master'!B36</f>
        <v>ea</v>
      </c>
      <c r="D208" s="229"/>
      <c r="E208" s="41">
        <f>'Material Rates_Master'!D36*$M$16</f>
        <v>88.954799999999977</v>
      </c>
      <c r="F208" s="41">
        <f t="shared" si="7"/>
        <v>0</v>
      </c>
      <c r="H208" s="20"/>
    </row>
    <row r="209" spans="1:8" x14ac:dyDescent="0.2">
      <c r="A209" s="40"/>
      <c r="B209" s="287" t="s">
        <v>170</v>
      </c>
      <c r="C209" s="40" t="str">
        <f>'Material Rates_Master'!B37</f>
        <v>ea</v>
      </c>
      <c r="D209" s="229"/>
      <c r="E209" s="41">
        <f>'Material Rates_Master'!D37*$M$16</f>
        <v>53.488799999999991</v>
      </c>
      <c r="F209" s="41">
        <f t="shared" si="7"/>
        <v>0</v>
      </c>
      <c r="H209" s="20"/>
    </row>
    <row r="210" spans="1:8" x14ac:dyDescent="0.2">
      <c r="A210" s="40"/>
      <c r="B210" s="287" t="s">
        <v>171</v>
      </c>
      <c r="C210" s="40" t="str">
        <f>'Material Rates_Master'!B38</f>
        <v>ea</v>
      </c>
      <c r="D210" s="229"/>
      <c r="E210" s="41">
        <f>'Material Rates_Master'!D38*$M$16</f>
        <v>118.91459999999999</v>
      </c>
      <c r="F210" s="41">
        <f t="shared" si="7"/>
        <v>0</v>
      </c>
      <c r="H210" s="20"/>
    </row>
    <row r="211" spans="1:8" x14ac:dyDescent="0.2">
      <c r="A211" s="40"/>
      <c r="B211" s="287" t="s">
        <v>172</v>
      </c>
      <c r="C211" s="40" t="str">
        <f>'Material Rates_Master'!B39</f>
        <v>ea</v>
      </c>
      <c r="D211" s="229"/>
      <c r="E211" s="41">
        <f>'Material Rates_Master'!D39*$M$16</f>
        <v>93.991799999999998</v>
      </c>
      <c r="F211" s="41">
        <f t="shared" si="7"/>
        <v>0</v>
      </c>
      <c r="H211" s="20"/>
    </row>
    <row r="212" spans="1:8" x14ac:dyDescent="0.2">
      <c r="A212" s="40"/>
      <c r="B212" s="287" t="s">
        <v>173</v>
      </c>
      <c r="C212" s="40" t="str">
        <f>'Material Rates_Master'!B40</f>
        <v>ea</v>
      </c>
      <c r="D212" s="229"/>
      <c r="E212" s="41">
        <f>'Material Rates_Master'!D40*$M$16</f>
        <v>43.676999999999992</v>
      </c>
      <c r="F212" s="41">
        <f t="shared" si="7"/>
        <v>0</v>
      </c>
      <c r="H212" s="20"/>
    </row>
    <row r="213" spans="1:8" x14ac:dyDescent="0.2">
      <c r="A213" s="40"/>
      <c r="B213" s="287" t="s">
        <v>174</v>
      </c>
      <c r="C213" s="40" t="str">
        <f>'Material Rates_Master'!B41</f>
        <v>ea</v>
      </c>
      <c r="D213" s="229"/>
      <c r="E213" s="41">
        <f>'Material Rates_Master'!D41*$M$16</f>
        <v>176.14319999999998</v>
      </c>
      <c r="F213" s="41">
        <f t="shared" ref="F213:F244" si="8">E213*D213</f>
        <v>0</v>
      </c>
      <c r="H213" s="20"/>
    </row>
    <row r="214" spans="1:8" x14ac:dyDescent="0.2">
      <c r="A214" s="40"/>
      <c r="B214" s="287" t="s">
        <v>175</v>
      </c>
      <c r="C214" s="40" t="str">
        <f>'Material Rates_Master'!B42</f>
        <v>ea</v>
      </c>
      <c r="D214" s="229"/>
      <c r="E214" s="41">
        <f>'Material Rates_Master'!D42*$M$16</f>
        <v>157.62359999999998</v>
      </c>
      <c r="F214" s="41">
        <f t="shared" si="8"/>
        <v>0</v>
      </c>
      <c r="H214" s="20"/>
    </row>
    <row r="215" spans="1:8" x14ac:dyDescent="0.2">
      <c r="A215" s="40"/>
      <c r="B215" s="287" t="s">
        <v>176</v>
      </c>
      <c r="C215" s="40" t="str">
        <f>'Material Rates_Master'!B43</f>
        <v>ea</v>
      </c>
      <c r="D215" s="229"/>
      <c r="E215" s="41">
        <f>'Material Rates_Master'!D43*$M$16</f>
        <v>52.798799999999993</v>
      </c>
      <c r="F215" s="41">
        <f t="shared" si="8"/>
        <v>0</v>
      </c>
      <c r="H215" s="20"/>
    </row>
    <row r="216" spans="1:8" x14ac:dyDescent="0.2">
      <c r="A216" s="40"/>
      <c r="B216" s="287" t="s">
        <v>177</v>
      </c>
      <c r="C216" s="40" t="str">
        <f>'Material Rates_Master'!B44</f>
        <v>ea</v>
      </c>
      <c r="D216" s="229"/>
      <c r="E216" s="41">
        <f>'Material Rates_Master'!D44*$M$16</f>
        <v>253.20239999999995</v>
      </c>
      <c r="F216" s="41">
        <f t="shared" si="8"/>
        <v>0</v>
      </c>
      <c r="H216" s="20"/>
    </row>
    <row r="217" spans="1:8" x14ac:dyDescent="0.2">
      <c r="A217" s="40"/>
      <c r="B217" s="287" t="s">
        <v>178</v>
      </c>
      <c r="C217" s="40" t="str">
        <f>'Material Rates_Master'!B45</f>
        <v>ea</v>
      </c>
      <c r="D217" s="229"/>
      <c r="E217" s="41">
        <f>'Material Rates_Master'!D45*$M$16</f>
        <v>265.55340000000001</v>
      </c>
      <c r="F217" s="41">
        <f t="shared" si="8"/>
        <v>0</v>
      </c>
      <c r="H217" s="20"/>
    </row>
    <row r="218" spans="1:8" x14ac:dyDescent="0.2">
      <c r="A218" s="40"/>
      <c r="B218" s="287" t="s">
        <v>179</v>
      </c>
      <c r="C218" s="40" t="str">
        <f>'Material Rates_Master'!B46</f>
        <v>ea</v>
      </c>
      <c r="D218" s="229"/>
      <c r="E218" s="41">
        <f>'Material Rates_Master'!D46*$M$16</f>
        <v>256.27979999999997</v>
      </c>
      <c r="F218" s="41">
        <f t="shared" si="8"/>
        <v>0</v>
      </c>
      <c r="H218" s="20"/>
    </row>
    <row r="219" spans="1:8" x14ac:dyDescent="0.2">
      <c r="A219" s="40"/>
      <c r="B219" s="287" t="s">
        <v>180</v>
      </c>
      <c r="C219" s="40" t="str">
        <f>'Material Rates_Master'!B47</f>
        <v>ea</v>
      </c>
      <c r="D219" s="229"/>
      <c r="E219" s="41">
        <f>'Material Rates_Master'!D47*$M$16</f>
        <v>77.059200000000004</v>
      </c>
      <c r="F219" s="41">
        <f t="shared" si="8"/>
        <v>0</v>
      </c>
      <c r="H219" s="20"/>
    </row>
    <row r="220" spans="1:8" x14ac:dyDescent="0.2">
      <c r="A220" s="40"/>
      <c r="B220" s="287" t="s">
        <v>181</v>
      </c>
      <c r="C220" s="40" t="str">
        <f>'Material Rates_Master'!B48</f>
        <v>ea</v>
      </c>
      <c r="D220" s="229"/>
      <c r="E220" s="41">
        <f>'Material Rates_Master'!D48*$M$16</f>
        <v>54.965399999999995</v>
      </c>
      <c r="F220" s="41">
        <f t="shared" si="8"/>
        <v>0</v>
      </c>
      <c r="H220" s="20"/>
    </row>
    <row r="221" spans="1:8" x14ac:dyDescent="0.2">
      <c r="A221" s="40"/>
      <c r="B221" s="287" t="s">
        <v>1017</v>
      </c>
      <c r="C221" s="40" t="s">
        <v>27</v>
      </c>
      <c r="D221" s="229"/>
      <c r="E221" s="41">
        <v>45</v>
      </c>
      <c r="F221" s="41">
        <f t="shared" si="8"/>
        <v>0</v>
      </c>
      <c r="H221" s="20"/>
    </row>
    <row r="222" spans="1:8" x14ac:dyDescent="0.2">
      <c r="A222" s="40"/>
      <c r="B222" s="287" t="s">
        <v>1018</v>
      </c>
      <c r="C222" s="40" t="s">
        <v>27</v>
      </c>
      <c r="D222" s="229"/>
      <c r="E222" s="41">
        <v>35</v>
      </c>
      <c r="F222" s="41">
        <f t="shared" si="8"/>
        <v>0</v>
      </c>
      <c r="H222" s="20"/>
    </row>
    <row r="223" spans="1:8" ht="6.6" customHeight="1" x14ac:dyDescent="0.2">
      <c r="A223" s="40"/>
      <c r="B223" s="287"/>
      <c r="C223" s="40">
        <f>'Material Rates_Master'!B49</f>
        <v>0</v>
      </c>
      <c r="E223" s="41">
        <f>'Material Rates_Master'!D49</f>
        <v>0</v>
      </c>
      <c r="F223" s="41">
        <f t="shared" si="8"/>
        <v>0</v>
      </c>
    </row>
    <row r="224" spans="1:8" x14ac:dyDescent="0.2">
      <c r="A224" s="40"/>
      <c r="B224" s="287" t="s">
        <v>182</v>
      </c>
      <c r="C224" s="40" t="str">
        <f>'Material Rates_Master'!B50</f>
        <v>ea</v>
      </c>
      <c r="D224" s="229"/>
      <c r="E224" s="41">
        <f>'Material Rates_Master'!D50</f>
        <v>679.41</v>
      </c>
      <c r="F224" s="41">
        <f t="shared" si="8"/>
        <v>0</v>
      </c>
    </row>
    <row r="225" spans="1:6" x14ac:dyDescent="0.2">
      <c r="A225" s="40"/>
      <c r="B225" s="287" t="s">
        <v>183</v>
      </c>
      <c r="C225" s="40" t="str">
        <f>'Material Rates_Master'!B51</f>
        <v>ea</v>
      </c>
      <c r="D225" s="229"/>
      <c r="E225" s="41">
        <f>'Material Rates_Master'!D51</f>
        <v>323.52999999999997</v>
      </c>
      <c r="F225" s="41">
        <f t="shared" si="8"/>
        <v>0</v>
      </c>
    </row>
    <row r="226" spans="1:6" x14ac:dyDescent="0.2">
      <c r="A226" s="40"/>
      <c r="B226" s="287" t="s">
        <v>184</v>
      </c>
      <c r="C226" s="40" t="str">
        <f>'Material Rates_Master'!B52</f>
        <v>ea</v>
      </c>
      <c r="D226" s="229"/>
      <c r="E226" s="41">
        <f>'Material Rates_Master'!D52</f>
        <v>202.94</v>
      </c>
      <c r="F226" s="41">
        <f t="shared" si="8"/>
        <v>0</v>
      </c>
    </row>
    <row r="227" spans="1:6" x14ac:dyDescent="0.2">
      <c r="A227" s="40"/>
      <c r="B227" s="287" t="s">
        <v>185</v>
      </c>
      <c r="C227" s="40" t="str">
        <f>'Material Rates_Master'!B53</f>
        <v>ea</v>
      </c>
      <c r="D227" s="229"/>
      <c r="E227" s="41">
        <f>'Material Rates_Master'!D53</f>
        <v>136.94</v>
      </c>
      <c r="F227" s="41">
        <f t="shared" si="8"/>
        <v>0</v>
      </c>
    </row>
    <row r="228" spans="1:6" x14ac:dyDescent="0.2">
      <c r="A228" s="40"/>
      <c r="B228" s="287" t="s">
        <v>186</v>
      </c>
      <c r="C228" s="40" t="str">
        <f>'Material Rates_Master'!B54</f>
        <v>ea</v>
      </c>
      <c r="D228" s="229"/>
      <c r="E228" s="41">
        <f>'Material Rates_Master'!D54</f>
        <v>123.53</v>
      </c>
      <c r="F228" s="41">
        <f t="shared" si="8"/>
        <v>0</v>
      </c>
    </row>
    <row r="229" spans="1:6" x14ac:dyDescent="0.2">
      <c r="A229" s="40"/>
      <c r="B229" s="287" t="s">
        <v>187</v>
      </c>
      <c r="C229" s="40" t="str">
        <f>'Material Rates_Master'!B55</f>
        <v>ea</v>
      </c>
      <c r="D229" s="229"/>
      <c r="E229" s="41">
        <f>'Material Rates_Master'!D55</f>
        <v>98.82</v>
      </c>
      <c r="F229" s="41">
        <f t="shared" si="8"/>
        <v>0</v>
      </c>
    </row>
    <row r="230" spans="1:6" ht="4.95" customHeight="1" x14ac:dyDescent="0.2">
      <c r="A230" s="40"/>
      <c r="B230" s="287"/>
      <c r="C230" s="40">
        <f>'Material Rates_Master'!B56</f>
        <v>0</v>
      </c>
      <c r="E230" s="41">
        <f>'Material Rates_Master'!D56</f>
        <v>0</v>
      </c>
      <c r="F230" s="41">
        <f t="shared" si="8"/>
        <v>0</v>
      </c>
    </row>
    <row r="231" spans="1:6" x14ac:dyDescent="0.2">
      <c r="A231" s="40"/>
      <c r="B231" s="287" t="s">
        <v>188</v>
      </c>
      <c r="C231" s="40" t="str">
        <f>'Material Rates_Master'!B57</f>
        <v>ea</v>
      </c>
      <c r="D231" s="229"/>
      <c r="E231" s="41">
        <f>'Material Rates_Master'!D57</f>
        <v>291.18</v>
      </c>
      <c r="F231" s="41">
        <f t="shared" si="8"/>
        <v>0</v>
      </c>
    </row>
    <row r="232" spans="1:6" x14ac:dyDescent="0.2">
      <c r="A232" s="40"/>
      <c r="B232" s="287" t="s">
        <v>189</v>
      </c>
      <c r="C232" s="40" t="str">
        <f>'Material Rates_Master'!B58</f>
        <v>ea</v>
      </c>
      <c r="D232" s="229"/>
      <c r="E232" s="41">
        <f>'Material Rates_Master'!D58</f>
        <v>330</v>
      </c>
      <c r="F232" s="41">
        <f t="shared" si="8"/>
        <v>0</v>
      </c>
    </row>
    <row r="233" spans="1:6" x14ac:dyDescent="0.2">
      <c r="A233" s="40"/>
      <c r="B233" s="287" t="s">
        <v>190</v>
      </c>
      <c r="C233" s="40" t="str">
        <f>'Material Rates_Master'!B59</f>
        <v>ea</v>
      </c>
      <c r="D233" s="229"/>
      <c r="E233" s="41">
        <f>'Material Rates_Master'!D59</f>
        <v>156</v>
      </c>
      <c r="F233" s="41">
        <f t="shared" si="8"/>
        <v>0</v>
      </c>
    </row>
    <row r="234" spans="1:6" x14ac:dyDescent="0.2">
      <c r="A234" s="40"/>
      <c r="B234" s="287" t="s">
        <v>191</v>
      </c>
      <c r="C234" s="40" t="str">
        <f>'Material Rates_Master'!B60</f>
        <v>ea</v>
      </c>
      <c r="D234" s="229"/>
      <c r="E234" s="41">
        <f>'Material Rates_Master'!D60</f>
        <v>106.24</v>
      </c>
      <c r="F234" s="41">
        <f t="shared" si="8"/>
        <v>0</v>
      </c>
    </row>
    <row r="235" spans="1:6" x14ac:dyDescent="0.2">
      <c r="A235" s="40"/>
      <c r="B235" s="287" t="s">
        <v>192</v>
      </c>
      <c r="C235" s="40" t="str">
        <f>'Material Rates_Master'!B61</f>
        <v>ea</v>
      </c>
      <c r="D235" s="229"/>
      <c r="E235" s="41">
        <f>'Material Rates_Master'!D61</f>
        <v>70.59</v>
      </c>
      <c r="F235" s="41">
        <f t="shared" si="8"/>
        <v>0</v>
      </c>
    </row>
    <row r="236" spans="1:6" x14ac:dyDescent="0.2">
      <c r="A236" s="40"/>
      <c r="B236" s="287" t="s">
        <v>193</v>
      </c>
      <c r="C236" s="40" t="str">
        <f>'Material Rates_Master'!B62</f>
        <v>ea</v>
      </c>
      <c r="D236" s="229"/>
      <c r="E236" s="41">
        <f>'Material Rates_Master'!D62</f>
        <v>516.35</v>
      </c>
      <c r="F236" s="41">
        <f t="shared" si="8"/>
        <v>0</v>
      </c>
    </row>
    <row r="237" spans="1:6" x14ac:dyDescent="0.2">
      <c r="A237" s="40"/>
      <c r="B237" s="287" t="s">
        <v>194</v>
      </c>
      <c r="C237" s="40" t="str">
        <f>'Material Rates_Master'!B63</f>
        <v>ea</v>
      </c>
      <c r="D237" s="229"/>
      <c r="E237" s="41">
        <f>'Material Rates_Master'!D63</f>
        <v>198.88</v>
      </c>
      <c r="F237" s="41">
        <f t="shared" si="8"/>
        <v>0</v>
      </c>
    </row>
    <row r="238" spans="1:6" x14ac:dyDescent="0.2">
      <c r="A238" s="40"/>
      <c r="B238" s="287" t="s">
        <v>195</v>
      </c>
      <c r="C238" s="40" t="str">
        <f>'Material Rates_Master'!B64</f>
        <v>ea</v>
      </c>
      <c r="D238" s="229"/>
      <c r="E238" s="41">
        <f>'Material Rates_Master'!D64</f>
        <v>108.71</v>
      </c>
      <c r="F238" s="41">
        <f t="shared" si="8"/>
        <v>0</v>
      </c>
    </row>
    <row r="239" spans="1:6" x14ac:dyDescent="0.2">
      <c r="A239" s="40"/>
      <c r="B239" s="287" t="s">
        <v>196</v>
      </c>
      <c r="C239" s="40" t="str">
        <f>'Material Rates_Master'!B65</f>
        <v>ea</v>
      </c>
      <c r="D239" s="229"/>
      <c r="E239" s="41">
        <f>'Material Rates_Master'!D65</f>
        <v>672.65</v>
      </c>
      <c r="F239" s="41">
        <f t="shared" si="8"/>
        <v>0</v>
      </c>
    </row>
    <row r="240" spans="1:6" x14ac:dyDescent="0.2">
      <c r="A240" s="40"/>
      <c r="B240" s="287" t="s">
        <v>197</v>
      </c>
      <c r="C240" s="40" t="str">
        <f>'Material Rates_Master'!B66</f>
        <v>ea</v>
      </c>
      <c r="D240" s="229"/>
      <c r="E240" s="41">
        <f>'Material Rates_Master'!D66</f>
        <v>228.24</v>
      </c>
      <c r="F240" s="41">
        <f t="shared" si="8"/>
        <v>0</v>
      </c>
    </row>
    <row r="241" spans="1:6" x14ac:dyDescent="0.2">
      <c r="A241" s="40"/>
      <c r="B241" s="287" t="s">
        <v>198</v>
      </c>
      <c r="C241" s="40" t="str">
        <f>'Material Rates_Master'!B67</f>
        <v>ea</v>
      </c>
      <c r="D241" s="229"/>
      <c r="E241" s="41">
        <f>'Material Rates_Master'!D67</f>
        <v>128.24</v>
      </c>
      <c r="F241" s="41">
        <f t="shared" si="8"/>
        <v>0</v>
      </c>
    </row>
    <row r="242" spans="1:6" x14ac:dyDescent="0.2">
      <c r="A242" s="40"/>
      <c r="B242" s="287" t="s">
        <v>199</v>
      </c>
      <c r="C242" s="40" t="str">
        <f>'Material Rates_Master'!B68</f>
        <v>ea</v>
      </c>
      <c r="D242" s="229"/>
      <c r="E242" s="41">
        <f>'Material Rates_Master'!D68</f>
        <v>536.76</v>
      </c>
      <c r="F242" s="41">
        <f t="shared" si="8"/>
        <v>0</v>
      </c>
    </row>
    <row r="243" spans="1:6" x14ac:dyDescent="0.2">
      <c r="A243" s="40"/>
      <c r="B243" s="287" t="s">
        <v>200</v>
      </c>
      <c r="C243" s="40" t="str">
        <f>'Material Rates_Master'!B69</f>
        <v>ea</v>
      </c>
      <c r="D243" s="229"/>
      <c r="E243" s="41">
        <f>'Material Rates_Master'!D69</f>
        <v>576.47</v>
      </c>
      <c r="F243" s="41">
        <f t="shared" si="8"/>
        <v>0</v>
      </c>
    </row>
    <row r="244" spans="1:6" x14ac:dyDescent="0.2">
      <c r="A244" s="40"/>
      <c r="B244" s="287" t="s">
        <v>201</v>
      </c>
      <c r="C244" s="40" t="str">
        <f>'Material Rates_Master'!B70</f>
        <v>ea</v>
      </c>
      <c r="D244" s="229"/>
      <c r="E244" s="41">
        <f>'Material Rates_Master'!D70</f>
        <v>198.82</v>
      </c>
      <c r="F244" s="41">
        <f t="shared" si="8"/>
        <v>0</v>
      </c>
    </row>
    <row r="245" spans="1:6" x14ac:dyDescent="0.2">
      <c r="A245" s="40"/>
      <c r="B245" s="287" t="s">
        <v>202</v>
      </c>
      <c r="C245" s="40" t="str">
        <f>'Material Rates_Master'!B71</f>
        <v>ea</v>
      </c>
      <c r="D245" s="229"/>
      <c r="E245" s="41">
        <f>'Material Rates_Master'!D71</f>
        <v>898.82</v>
      </c>
      <c r="F245" s="41">
        <f t="shared" ref="F245:F276" si="9">E245*D245</f>
        <v>0</v>
      </c>
    </row>
    <row r="246" spans="1:6" x14ac:dyDescent="0.2">
      <c r="A246" s="40"/>
      <c r="B246" s="287" t="s">
        <v>203</v>
      </c>
      <c r="C246" s="40" t="str">
        <f>'Material Rates_Master'!B72</f>
        <v>ea</v>
      </c>
      <c r="D246" s="229"/>
      <c r="E246" s="41">
        <f>'Material Rates_Master'!D72</f>
        <v>640</v>
      </c>
      <c r="F246" s="41">
        <f t="shared" si="9"/>
        <v>0</v>
      </c>
    </row>
    <row r="247" spans="1:6" x14ac:dyDescent="0.2">
      <c r="A247" s="40"/>
      <c r="B247" s="287" t="s">
        <v>204</v>
      </c>
      <c r="C247" s="40" t="str">
        <f>'Material Rates_Master'!B73</f>
        <v>ea</v>
      </c>
      <c r="D247" s="229"/>
      <c r="E247" s="41">
        <f>'Material Rates_Master'!D73</f>
        <v>355.29</v>
      </c>
      <c r="F247" s="41">
        <f t="shared" si="9"/>
        <v>0</v>
      </c>
    </row>
    <row r="248" spans="1:6" x14ac:dyDescent="0.2">
      <c r="A248" s="40"/>
      <c r="B248" s="287" t="s">
        <v>205</v>
      </c>
      <c r="C248" s="40" t="str">
        <f>'Material Rates_Master'!B74</f>
        <v>ea</v>
      </c>
      <c r="D248" s="229"/>
      <c r="E248" s="41">
        <f>'Material Rates_Master'!D74</f>
        <v>534.41</v>
      </c>
      <c r="F248" s="41">
        <f t="shared" si="9"/>
        <v>0</v>
      </c>
    </row>
    <row r="249" spans="1:6" x14ac:dyDescent="0.2">
      <c r="A249" s="40"/>
      <c r="B249" s="287" t="s">
        <v>206</v>
      </c>
      <c r="C249" s="40" t="str">
        <f>'Material Rates_Master'!B75</f>
        <v>ea</v>
      </c>
      <c r="D249" s="229"/>
      <c r="E249" s="41">
        <f>'Material Rates_Master'!D75</f>
        <v>280</v>
      </c>
      <c r="F249" s="41">
        <f t="shared" si="9"/>
        <v>0</v>
      </c>
    </row>
    <row r="250" spans="1:6" x14ac:dyDescent="0.2">
      <c r="A250" s="40"/>
      <c r="B250" s="287" t="s">
        <v>207</v>
      </c>
      <c r="C250" s="40" t="str">
        <f>'Material Rates_Master'!B76</f>
        <v>ea</v>
      </c>
      <c r="D250" s="229"/>
      <c r="E250" s="41">
        <f>'Material Rates_Master'!D76</f>
        <v>236.47</v>
      </c>
      <c r="F250" s="41">
        <f t="shared" si="9"/>
        <v>0</v>
      </c>
    </row>
    <row r="251" spans="1:6" x14ac:dyDescent="0.2">
      <c r="A251" s="40"/>
      <c r="B251" s="287" t="s">
        <v>208</v>
      </c>
      <c r="C251" s="40" t="str">
        <f>'Material Rates_Master'!B77</f>
        <v>ea</v>
      </c>
      <c r="D251" s="229"/>
      <c r="E251" s="41">
        <f>'Material Rates_Master'!D77</f>
        <v>178.8</v>
      </c>
      <c r="F251" s="41">
        <f t="shared" si="9"/>
        <v>0</v>
      </c>
    </row>
    <row r="252" spans="1:6" x14ac:dyDescent="0.2">
      <c r="A252" s="40"/>
      <c r="B252" s="287" t="s">
        <v>209</v>
      </c>
      <c r="C252" s="40" t="str">
        <f>'Material Rates_Master'!B78</f>
        <v>ea</v>
      </c>
      <c r="D252" s="229"/>
      <c r="E252" s="41">
        <f>'Material Rates_Master'!D78</f>
        <v>362.35</v>
      </c>
      <c r="F252" s="41">
        <f t="shared" si="9"/>
        <v>0</v>
      </c>
    </row>
    <row r="253" spans="1:6" x14ac:dyDescent="0.2">
      <c r="A253" s="40"/>
      <c r="B253" s="287" t="s">
        <v>210</v>
      </c>
      <c r="C253" s="40" t="str">
        <f>'Material Rates_Master'!B79</f>
        <v>ea</v>
      </c>
      <c r="D253" s="229"/>
      <c r="E253" s="41">
        <f>'Material Rates_Master'!D79</f>
        <v>144.71</v>
      </c>
      <c r="F253" s="41">
        <f t="shared" si="9"/>
        <v>0</v>
      </c>
    </row>
    <row r="254" spans="1:6" x14ac:dyDescent="0.2">
      <c r="A254" s="40"/>
      <c r="B254" s="287" t="s">
        <v>211</v>
      </c>
      <c r="C254" s="40" t="str">
        <f>'Material Rates_Master'!B80</f>
        <v>ea</v>
      </c>
      <c r="D254" s="229"/>
      <c r="E254" s="41">
        <f>'Material Rates_Master'!D80</f>
        <v>135.88</v>
      </c>
      <c r="F254" s="41">
        <f t="shared" si="9"/>
        <v>0</v>
      </c>
    </row>
    <row r="255" spans="1:6" x14ac:dyDescent="0.2">
      <c r="A255" s="40"/>
      <c r="B255" s="287" t="s">
        <v>212</v>
      </c>
      <c r="C255" s="40" t="str">
        <f>'Material Rates_Master'!B81</f>
        <v>ea</v>
      </c>
      <c r="D255" s="229"/>
      <c r="E255" s="41">
        <f>'Material Rates_Master'!D81</f>
        <v>76.47</v>
      </c>
      <c r="F255" s="41">
        <f t="shared" si="9"/>
        <v>0</v>
      </c>
    </row>
    <row r="256" spans="1:6" x14ac:dyDescent="0.2">
      <c r="A256" s="40"/>
      <c r="B256" s="287" t="s">
        <v>213</v>
      </c>
      <c r="C256" s="40" t="str">
        <f>'Material Rates_Master'!B82</f>
        <v>ea</v>
      </c>
      <c r="D256" s="229"/>
      <c r="E256" s="41">
        <f>'Material Rates_Master'!D82</f>
        <v>67.650000000000006</v>
      </c>
      <c r="F256" s="41">
        <f t="shared" si="9"/>
        <v>0</v>
      </c>
    </row>
    <row r="257" spans="1:6" x14ac:dyDescent="0.2">
      <c r="A257" s="40"/>
      <c r="B257" s="287" t="s">
        <v>214</v>
      </c>
      <c r="C257" s="40" t="str">
        <f>'Material Rates_Master'!B83</f>
        <v>ea</v>
      </c>
      <c r="D257" s="229"/>
      <c r="E257" s="41">
        <f>'Material Rates_Master'!D83</f>
        <v>43.53</v>
      </c>
      <c r="F257" s="41">
        <f t="shared" si="9"/>
        <v>0</v>
      </c>
    </row>
    <row r="258" spans="1:6" ht="6.6" customHeight="1" x14ac:dyDescent="0.2">
      <c r="A258" s="40"/>
      <c r="B258" s="287"/>
      <c r="C258" s="40">
        <f>'Material Rates_Master'!B84</f>
        <v>0</v>
      </c>
      <c r="E258" s="41">
        <f>'Material Rates_Master'!D84</f>
        <v>0</v>
      </c>
      <c r="F258" s="41">
        <f t="shared" si="9"/>
        <v>0</v>
      </c>
    </row>
    <row r="259" spans="1:6" x14ac:dyDescent="0.2">
      <c r="A259" s="40"/>
      <c r="B259" s="287" t="s">
        <v>215</v>
      </c>
      <c r="C259" s="40" t="str">
        <f>'Material Rates_Master'!B85</f>
        <v>ea</v>
      </c>
      <c r="D259" s="229"/>
      <c r="E259" s="41">
        <f>'Material Rates_Master'!D85</f>
        <v>67.06</v>
      </c>
      <c r="F259" s="41">
        <f t="shared" si="9"/>
        <v>0</v>
      </c>
    </row>
    <row r="260" spans="1:6" x14ac:dyDescent="0.2">
      <c r="A260" s="40"/>
      <c r="B260" s="287" t="s">
        <v>216</v>
      </c>
      <c r="C260" s="40" t="str">
        <f>'Material Rates_Master'!B86</f>
        <v>ea</v>
      </c>
      <c r="D260" s="229"/>
      <c r="E260" s="41">
        <f>'Material Rates_Master'!D86</f>
        <v>46.71</v>
      </c>
      <c r="F260" s="41">
        <f t="shared" si="9"/>
        <v>0</v>
      </c>
    </row>
    <row r="261" spans="1:6" x14ac:dyDescent="0.2">
      <c r="A261" s="40"/>
      <c r="B261" s="287" t="s">
        <v>217</v>
      </c>
      <c r="C261" s="40" t="str">
        <f>'Material Rates_Master'!B87</f>
        <v>ea</v>
      </c>
      <c r="D261" s="229"/>
      <c r="E261" s="41">
        <f>'Material Rates_Master'!D87</f>
        <v>60</v>
      </c>
      <c r="F261" s="41">
        <f t="shared" si="9"/>
        <v>0</v>
      </c>
    </row>
    <row r="262" spans="1:6" x14ac:dyDescent="0.2">
      <c r="A262" s="40"/>
      <c r="B262" s="287" t="s">
        <v>218</v>
      </c>
      <c r="C262" s="40" t="str">
        <f>'Material Rates_Master'!B88</f>
        <v>ea</v>
      </c>
      <c r="D262" s="229"/>
      <c r="E262" s="41">
        <f>'Material Rates_Master'!D88</f>
        <v>42.35</v>
      </c>
      <c r="F262" s="41">
        <f t="shared" si="9"/>
        <v>0</v>
      </c>
    </row>
    <row r="263" spans="1:6" x14ac:dyDescent="0.2">
      <c r="A263" s="40"/>
      <c r="B263" s="287" t="s">
        <v>219</v>
      </c>
      <c r="C263" s="40" t="str">
        <f>'Material Rates_Master'!B89</f>
        <v>ea</v>
      </c>
      <c r="D263" s="229"/>
      <c r="E263" s="41">
        <f>'Material Rates_Master'!D89</f>
        <v>24.71</v>
      </c>
      <c r="F263" s="41">
        <f t="shared" si="9"/>
        <v>0</v>
      </c>
    </row>
    <row r="264" spans="1:6" x14ac:dyDescent="0.2">
      <c r="A264" s="40"/>
      <c r="B264" s="287" t="s">
        <v>220</v>
      </c>
      <c r="C264" s="40" t="str">
        <f>'Material Rates_Master'!B90</f>
        <v>ea</v>
      </c>
      <c r="D264" s="229"/>
      <c r="E264" s="41">
        <f>'Material Rates_Master'!D90</f>
        <v>20</v>
      </c>
      <c r="F264" s="41">
        <f t="shared" si="9"/>
        <v>0</v>
      </c>
    </row>
    <row r="265" spans="1:6" ht="6.6" customHeight="1" x14ac:dyDescent="0.2">
      <c r="A265" s="40"/>
      <c r="B265" s="287"/>
      <c r="C265" s="40">
        <f>'Material Rates_Master'!B91</f>
        <v>0</v>
      </c>
      <c r="E265" s="41">
        <f>'Material Rates_Master'!D91</f>
        <v>0</v>
      </c>
      <c r="F265" s="41">
        <f t="shared" si="9"/>
        <v>0</v>
      </c>
    </row>
    <row r="266" spans="1:6" x14ac:dyDescent="0.2">
      <c r="A266" s="40"/>
      <c r="B266" s="287" t="s">
        <v>221</v>
      </c>
      <c r="C266" s="40" t="str">
        <f>'Material Rates_Master'!B92</f>
        <v>ea</v>
      </c>
      <c r="D266" s="229"/>
      <c r="E266" s="41">
        <f>'Material Rates_Master'!D92</f>
        <v>108.71</v>
      </c>
      <c r="F266" s="41">
        <f t="shared" si="9"/>
        <v>0</v>
      </c>
    </row>
    <row r="267" spans="1:6" x14ac:dyDescent="0.2">
      <c r="A267" s="40"/>
      <c r="B267" s="287" t="s">
        <v>222</v>
      </c>
      <c r="C267" s="40" t="str">
        <f>'Material Rates_Master'!B93</f>
        <v>ea</v>
      </c>
      <c r="D267" s="229"/>
      <c r="E267" s="41">
        <f>'Material Rates_Master'!D93</f>
        <v>87.06</v>
      </c>
      <c r="F267" s="41">
        <f t="shared" si="9"/>
        <v>0</v>
      </c>
    </row>
    <row r="268" spans="1:6" x14ac:dyDescent="0.2">
      <c r="A268" s="40"/>
      <c r="B268" s="287" t="s">
        <v>223</v>
      </c>
      <c r="C268" s="40" t="str">
        <f>'Material Rates_Master'!B94</f>
        <v>ea</v>
      </c>
      <c r="D268" s="229"/>
      <c r="E268" s="41">
        <f>'Material Rates_Master'!D94</f>
        <v>305.88</v>
      </c>
      <c r="F268" s="41">
        <f t="shared" si="9"/>
        <v>0</v>
      </c>
    </row>
    <row r="269" spans="1:6" x14ac:dyDescent="0.2">
      <c r="A269" s="40"/>
      <c r="B269" s="287" t="s">
        <v>224</v>
      </c>
      <c r="C269" s="40" t="str">
        <f>'Material Rates_Master'!B95</f>
        <v>ea</v>
      </c>
      <c r="D269" s="229"/>
      <c r="E269" s="41">
        <f>'Material Rates_Master'!D95</f>
        <v>182.35</v>
      </c>
      <c r="F269" s="41">
        <f t="shared" si="9"/>
        <v>0</v>
      </c>
    </row>
    <row r="270" spans="1:6" x14ac:dyDescent="0.2">
      <c r="A270" s="40"/>
      <c r="B270" s="287" t="s">
        <v>225</v>
      </c>
      <c r="C270" s="40" t="str">
        <f>'Material Rates_Master'!B96</f>
        <v>ea</v>
      </c>
      <c r="D270" s="229"/>
      <c r="E270" s="41">
        <f>'Material Rates_Master'!D96</f>
        <v>229.41</v>
      </c>
      <c r="F270" s="41">
        <f t="shared" si="9"/>
        <v>0</v>
      </c>
    </row>
    <row r="271" spans="1:6" x14ac:dyDescent="0.2">
      <c r="A271" s="40"/>
      <c r="B271" s="287" t="s">
        <v>226</v>
      </c>
      <c r="C271" s="40" t="str">
        <f>'Material Rates_Master'!B97</f>
        <v>ea</v>
      </c>
      <c r="D271" s="229"/>
      <c r="E271" s="41">
        <f>'Material Rates_Master'!D97</f>
        <v>152.94</v>
      </c>
      <c r="F271" s="41">
        <f t="shared" si="9"/>
        <v>0</v>
      </c>
    </row>
    <row r="272" spans="1:6" x14ac:dyDescent="0.2">
      <c r="A272" s="40"/>
      <c r="B272" s="287" t="s">
        <v>227</v>
      </c>
      <c r="C272" s="40" t="str">
        <f>'Material Rates_Master'!B98</f>
        <v>ea</v>
      </c>
      <c r="D272" s="229"/>
      <c r="E272" s="41">
        <f>'Material Rates_Master'!D98</f>
        <v>690</v>
      </c>
      <c r="F272" s="41">
        <f t="shared" si="9"/>
        <v>0</v>
      </c>
    </row>
    <row r="273" spans="1:6" x14ac:dyDescent="0.2">
      <c r="A273" s="40"/>
      <c r="B273" s="287" t="s">
        <v>228</v>
      </c>
      <c r="C273" s="40" t="str">
        <f>'Material Rates_Master'!B99</f>
        <v>ea</v>
      </c>
      <c r="D273" s="229"/>
      <c r="E273" s="41">
        <f>'Material Rates_Master'!D99</f>
        <v>408.47</v>
      </c>
      <c r="F273" s="41">
        <f t="shared" si="9"/>
        <v>0</v>
      </c>
    </row>
    <row r="274" spans="1:6" ht="6.6" customHeight="1" x14ac:dyDescent="0.2">
      <c r="A274" s="40"/>
      <c r="B274" s="287"/>
      <c r="C274" s="40">
        <f>'Material Rates_Master'!B100</f>
        <v>0</v>
      </c>
      <c r="E274" s="41">
        <f>'Material Rates_Master'!D100</f>
        <v>0</v>
      </c>
      <c r="F274" s="41">
        <f t="shared" si="9"/>
        <v>0</v>
      </c>
    </row>
    <row r="275" spans="1:6" x14ac:dyDescent="0.2">
      <c r="A275" s="40"/>
      <c r="B275" s="287" t="s">
        <v>229</v>
      </c>
      <c r="C275" s="40" t="str">
        <f>'Material Rates_Master'!B101</f>
        <v>ea</v>
      </c>
      <c r="D275" s="229"/>
      <c r="E275" s="41">
        <f>'Material Rates_Master'!D101</f>
        <v>90</v>
      </c>
      <c r="F275" s="41">
        <f t="shared" si="9"/>
        <v>0</v>
      </c>
    </row>
    <row r="276" spans="1:6" x14ac:dyDescent="0.2">
      <c r="A276" s="40"/>
      <c r="B276" s="287" t="s">
        <v>230</v>
      </c>
      <c r="C276" s="40" t="str">
        <f>'Material Rates_Master'!B102</f>
        <v>ea</v>
      </c>
      <c r="D276" s="229"/>
      <c r="E276" s="41">
        <f>'Material Rates_Master'!D102</f>
        <v>13.5</v>
      </c>
      <c r="F276" s="41">
        <f t="shared" si="9"/>
        <v>0</v>
      </c>
    </row>
    <row r="277" spans="1:6" x14ac:dyDescent="0.2">
      <c r="A277" s="40"/>
      <c r="B277" s="287" t="s">
        <v>231</v>
      </c>
      <c r="C277" s="40" t="str">
        <f>'Material Rates_Master'!B103</f>
        <v>ea</v>
      </c>
      <c r="D277" s="229"/>
      <c r="E277" s="41">
        <f>'Material Rates_Master'!D103</f>
        <v>27.14</v>
      </c>
      <c r="F277" s="41">
        <f t="shared" ref="F277:F280" si="10">E277*D277</f>
        <v>0</v>
      </c>
    </row>
    <row r="278" spans="1:6" x14ac:dyDescent="0.2">
      <c r="A278" s="40"/>
      <c r="B278" s="287" t="s">
        <v>232</v>
      </c>
      <c r="C278" s="40" t="str">
        <f>'Material Rates_Master'!B104</f>
        <v>ea</v>
      </c>
      <c r="D278" s="229"/>
      <c r="E278" s="41">
        <f>'Material Rates_Master'!D104</f>
        <v>27.14</v>
      </c>
      <c r="F278" s="41">
        <f t="shared" si="10"/>
        <v>0</v>
      </c>
    </row>
    <row r="279" spans="1:6" x14ac:dyDescent="0.2">
      <c r="A279" s="40"/>
      <c r="B279" s="287"/>
      <c r="F279" s="41">
        <f t="shared" si="10"/>
        <v>0</v>
      </c>
    </row>
    <row r="280" spans="1:6" ht="10.5" customHeight="1" x14ac:dyDescent="0.2">
      <c r="A280" s="40"/>
      <c r="B280" s="314" t="s">
        <v>233</v>
      </c>
      <c r="F280" s="41">
        <f t="shared" si="10"/>
        <v>0</v>
      </c>
    </row>
    <row r="281" spans="1:6" ht="10.5" customHeight="1" x14ac:dyDescent="0.2">
      <c r="A281" s="40"/>
      <c r="B281" s="288" t="s">
        <v>234</v>
      </c>
      <c r="C281" s="40" t="str">
        <f>'Material Rates_Master'!B107</f>
        <v>Unit</v>
      </c>
    </row>
    <row r="282" spans="1:6" x14ac:dyDescent="0.2">
      <c r="A282" s="40"/>
      <c r="B282" s="287" t="s">
        <v>235</v>
      </c>
      <c r="C282" s="40" t="str">
        <f>'Material Rates_Master'!B108</f>
        <v>m</v>
      </c>
      <c r="D282" s="37"/>
      <c r="E282" s="41">
        <f>'Material Rates_Master'!D108</f>
        <v>43.846153846153847</v>
      </c>
      <c r="F282" s="41">
        <f t="shared" ref="F282:F313" si="11">E282*D282</f>
        <v>0</v>
      </c>
    </row>
    <row r="283" spans="1:6" x14ac:dyDescent="0.2">
      <c r="A283" s="40"/>
      <c r="B283" s="287" t="s">
        <v>236</v>
      </c>
      <c r="C283" s="40" t="str">
        <f>'Material Rates_Master'!B109</f>
        <v>m</v>
      </c>
      <c r="D283" s="37"/>
      <c r="E283" s="41">
        <f>'Material Rates_Master'!D109</f>
        <v>28.46153846153846</v>
      </c>
      <c r="F283" s="41">
        <f t="shared" si="11"/>
        <v>0</v>
      </c>
    </row>
    <row r="284" spans="1:6" x14ac:dyDescent="0.2">
      <c r="A284" s="40"/>
      <c r="B284" s="287" t="s">
        <v>237</v>
      </c>
      <c r="C284" s="40" t="str">
        <f>'Material Rates_Master'!B110</f>
        <v>m</v>
      </c>
      <c r="D284" s="37"/>
      <c r="E284" s="41">
        <f>'Material Rates_Master'!D110</f>
        <v>106.2416666666667</v>
      </c>
      <c r="F284" s="41">
        <f t="shared" si="11"/>
        <v>0</v>
      </c>
    </row>
    <row r="285" spans="1:6" x14ac:dyDescent="0.2">
      <c r="A285" s="40"/>
      <c r="B285" s="287" t="s">
        <v>238</v>
      </c>
      <c r="C285" s="40" t="str">
        <f>'Material Rates_Master'!B111</f>
        <v>m</v>
      </c>
      <c r="D285" s="37"/>
      <c r="E285" s="41">
        <f>'Material Rates_Master'!D111</f>
        <v>59.82</v>
      </c>
      <c r="F285" s="41">
        <f t="shared" si="11"/>
        <v>0</v>
      </c>
    </row>
    <row r="286" spans="1:6" ht="8.25" customHeight="1" x14ac:dyDescent="0.2">
      <c r="A286" s="40"/>
      <c r="B286" s="287"/>
      <c r="C286" s="40">
        <f>'Material Rates_Master'!B112</f>
        <v>0</v>
      </c>
      <c r="D286" s="37"/>
      <c r="E286" s="41">
        <f>'Material Rates_Master'!D112</f>
        <v>0</v>
      </c>
      <c r="F286" s="41">
        <f t="shared" si="11"/>
        <v>0</v>
      </c>
    </row>
    <row r="287" spans="1:6" x14ac:dyDescent="0.2">
      <c r="A287" s="40"/>
      <c r="B287" s="287" t="s">
        <v>239</v>
      </c>
      <c r="C287" s="40" t="str">
        <f>'Material Rates_Master'!B113</f>
        <v>ea</v>
      </c>
      <c r="D287" s="37"/>
      <c r="E287" s="41">
        <f>'Material Rates_Master'!D113</f>
        <v>12.83</v>
      </c>
      <c r="F287" s="41">
        <f t="shared" si="11"/>
        <v>0</v>
      </c>
    </row>
    <row r="288" spans="1:6" x14ac:dyDescent="0.2">
      <c r="A288" s="40"/>
      <c r="B288" s="287" t="s">
        <v>240</v>
      </c>
      <c r="C288" s="40" t="str">
        <f>'Material Rates_Master'!B114</f>
        <v>ea</v>
      </c>
      <c r="D288" s="37"/>
      <c r="E288" s="41">
        <f>'Material Rates_Master'!D114</f>
        <v>7.55</v>
      </c>
      <c r="F288" s="41">
        <f t="shared" si="11"/>
        <v>0</v>
      </c>
    </row>
    <row r="289" spans="1:6" x14ac:dyDescent="0.2">
      <c r="A289" s="40"/>
      <c r="B289" s="287" t="s">
        <v>241</v>
      </c>
      <c r="C289" s="40" t="str">
        <f>'Material Rates_Master'!B115</f>
        <v>ea</v>
      </c>
      <c r="D289" s="37"/>
      <c r="E289" s="41">
        <f>'Material Rates_Master'!D115</f>
        <v>35.5</v>
      </c>
      <c r="F289" s="41">
        <f t="shared" si="11"/>
        <v>0</v>
      </c>
    </row>
    <row r="290" spans="1:6" x14ac:dyDescent="0.2">
      <c r="A290" s="40"/>
      <c r="B290" s="287" t="s">
        <v>242</v>
      </c>
      <c r="C290" s="40" t="str">
        <f>'Material Rates_Master'!B116</f>
        <v>ea</v>
      </c>
      <c r="D290" s="37"/>
      <c r="E290" s="41">
        <f>'Material Rates_Master'!D116</f>
        <v>16.93</v>
      </c>
      <c r="F290" s="41">
        <f t="shared" si="11"/>
        <v>0</v>
      </c>
    </row>
    <row r="291" spans="1:6" x14ac:dyDescent="0.2">
      <c r="A291" s="40"/>
      <c r="B291" s="287" t="s">
        <v>243</v>
      </c>
      <c r="C291" s="40" t="str">
        <f>'Material Rates_Master'!B117</f>
        <v>ea</v>
      </c>
      <c r="D291" s="37"/>
      <c r="E291" s="41">
        <f>'Material Rates_Master'!D117</f>
        <v>22.85</v>
      </c>
      <c r="F291" s="41">
        <f t="shared" si="11"/>
        <v>0</v>
      </c>
    </row>
    <row r="292" spans="1:6" x14ac:dyDescent="0.2">
      <c r="A292" s="40"/>
      <c r="B292" s="287" t="s">
        <v>244</v>
      </c>
      <c r="C292" s="40" t="str">
        <f>'Material Rates_Master'!B118</f>
        <v>ea</v>
      </c>
      <c r="D292" s="37"/>
      <c r="E292" s="41">
        <f>'Material Rates_Master'!D118</f>
        <v>10.62</v>
      </c>
      <c r="F292" s="41">
        <f t="shared" si="11"/>
        <v>0</v>
      </c>
    </row>
    <row r="293" spans="1:6" x14ac:dyDescent="0.2">
      <c r="A293" s="40"/>
      <c r="B293" s="287" t="s">
        <v>245</v>
      </c>
      <c r="C293" s="40" t="str">
        <f>'Material Rates_Master'!B119</f>
        <v>ea</v>
      </c>
      <c r="D293" s="37"/>
      <c r="E293" s="41">
        <f>'Material Rates_Master'!D119</f>
        <v>23.5</v>
      </c>
      <c r="F293" s="41">
        <f t="shared" si="11"/>
        <v>0</v>
      </c>
    </row>
    <row r="294" spans="1:6" x14ac:dyDescent="0.2">
      <c r="A294" s="40"/>
      <c r="B294" s="287" t="s">
        <v>246</v>
      </c>
      <c r="C294" s="40" t="str">
        <f>'Material Rates_Master'!B120</f>
        <v>ea</v>
      </c>
      <c r="D294" s="37"/>
      <c r="E294" s="41">
        <f>'Material Rates_Master'!D120</f>
        <v>11.4</v>
      </c>
      <c r="F294" s="41">
        <f t="shared" si="11"/>
        <v>0</v>
      </c>
    </row>
    <row r="295" spans="1:6" x14ac:dyDescent="0.2">
      <c r="A295" s="40"/>
      <c r="B295" s="287" t="s">
        <v>247</v>
      </c>
      <c r="C295" s="40" t="str">
        <f>'Material Rates_Master'!B121</f>
        <v>ea</v>
      </c>
      <c r="D295" s="37"/>
      <c r="E295" s="41">
        <f>'Material Rates_Master'!D121</f>
        <v>30.75</v>
      </c>
      <c r="F295" s="41">
        <f t="shared" si="11"/>
        <v>0</v>
      </c>
    </row>
    <row r="296" spans="1:6" x14ac:dyDescent="0.2">
      <c r="A296" s="40"/>
      <c r="B296" s="287" t="s">
        <v>248</v>
      </c>
      <c r="C296" s="40" t="str">
        <f>'Material Rates_Master'!B122</f>
        <v>ea</v>
      </c>
      <c r="D296" s="37"/>
      <c r="E296" s="41">
        <f>'Material Rates_Master'!D122</f>
        <v>23.21</v>
      </c>
      <c r="F296" s="41">
        <f t="shared" si="11"/>
        <v>0</v>
      </c>
    </row>
    <row r="297" spans="1:6" x14ac:dyDescent="0.2">
      <c r="A297" s="40"/>
      <c r="B297" s="287" t="s">
        <v>249</v>
      </c>
      <c r="C297" s="40" t="str">
        <f>'Material Rates_Master'!B123</f>
        <v>ea</v>
      </c>
      <c r="D297" s="37"/>
      <c r="E297" s="41">
        <f>'Material Rates_Master'!D123</f>
        <v>217.8</v>
      </c>
      <c r="F297" s="41">
        <f t="shared" si="11"/>
        <v>0</v>
      </c>
    </row>
    <row r="298" spans="1:6" x14ac:dyDescent="0.2">
      <c r="A298" s="40"/>
      <c r="B298" s="287" t="s">
        <v>250</v>
      </c>
      <c r="C298" s="40" t="str">
        <f>'Material Rates_Master'!B124</f>
        <v>ea</v>
      </c>
      <c r="D298" s="37"/>
      <c r="E298" s="41">
        <f>'Material Rates_Master'!D124</f>
        <v>169.4</v>
      </c>
      <c r="F298" s="41">
        <f t="shared" si="11"/>
        <v>0</v>
      </c>
    </row>
    <row r="299" spans="1:6" ht="5.55" customHeight="1" x14ac:dyDescent="0.2">
      <c r="A299" s="40"/>
      <c r="B299" s="287"/>
      <c r="C299" s="40">
        <f>'Material Rates_Master'!B125</f>
        <v>0</v>
      </c>
      <c r="D299" s="37"/>
      <c r="E299" s="41">
        <f>'Material Rates_Master'!D125</f>
        <v>0</v>
      </c>
      <c r="F299" s="41">
        <f t="shared" si="11"/>
        <v>0</v>
      </c>
    </row>
    <row r="300" spans="1:6" x14ac:dyDescent="0.2">
      <c r="A300" s="40"/>
      <c r="B300" s="287" t="s">
        <v>251</v>
      </c>
      <c r="C300" s="40" t="str">
        <f>'Material Rates_Master'!B126</f>
        <v>ea</v>
      </c>
      <c r="D300" s="37"/>
      <c r="E300" s="41">
        <f>'Material Rates_Master'!D126</f>
        <v>2350</v>
      </c>
      <c r="F300" s="41">
        <f t="shared" si="11"/>
        <v>0</v>
      </c>
    </row>
    <row r="301" spans="1:6" x14ac:dyDescent="0.2">
      <c r="A301" s="40"/>
      <c r="B301" s="287" t="s">
        <v>252</v>
      </c>
      <c r="C301" s="40" t="str">
        <f>'Material Rates_Master'!B127</f>
        <v>ea</v>
      </c>
      <c r="D301" s="37"/>
      <c r="E301" s="41">
        <f>'Material Rates_Master'!D127</f>
        <v>1155</v>
      </c>
      <c r="F301" s="41">
        <f t="shared" si="11"/>
        <v>0</v>
      </c>
    </row>
    <row r="302" spans="1:6" ht="6.6" customHeight="1" x14ac:dyDescent="0.2">
      <c r="A302" s="40"/>
      <c r="B302" s="287"/>
      <c r="C302" s="40">
        <f>'Material Rates_Master'!B128</f>
        <v>0</v>
      </c>
      <c r="D302" s="37"/>
      <c r="E302" s="41">
        <f>'Material Rates_Master'!D128</f>
        <v>0</v>
      </c>
      <c r="F302" s="41">
        <f t="shared" si="11"/>
        <v>0</v>
      </c>
    </row>
    <row r="303" spans="1:6" x14ac:dyDescent="0.2">
      <c r="A303" s="40"/>
      <c r="B303" s="287" t="s">
        <v>253</v>
      </c>
      <c r="C303" s="40" t="str">
        <f>'Material Rates_Master'!B129</f>
        <v>ea</v>
      </c>
      <c r="D303" s="229"/>
      <c r="E303" s="41">
        <f>'Material Rates_Master'!D129</f>
        <v>365</v>
      </c>
      <c r="F303" s="41">
        <f t="shared" si="11"/>
        <v>0</v>
      </c>
    </row>
    <row r="304" spans="1:6" x14ac:dyDescent="0.2">
      <c r="A304" s="40"/>
      <c r="B304" s="287" t="s">
        <v>254</v>
      </c>
      <c r="C304" s="40" t="str">
        <f>'Material Rates_Master'!B130</f>
        <v>ea</v>
      </c>
      <c r="D304" s="229"/>
      <c r="E304" s="41">
        <f>'Material Rates_Master'!D130</f>
        <v>365</v>
      </c>
      <c r="F304" s="41">
        <f t="shared" si="11"/>
        <v>0</v>
      </c>
    </row>
    <row r="305" spans="1:8" x14ac:dyDescent="0.2">
      <c r="A305" s="40"/>
      <c r="B305" s="287" t="s">
        <v>255</v>
      </c>
      <c r="C305" s="40" t="str">
        <f>'Material Rates_Master'!B131</f>
        <v>ea</v>
      </c>
      <c r="D305" s="229"/>
      <c r="E305" s="41">
        <f>'Material Rates_Master'!D131</f>
        <v>90</v>
      </c>
      <c r="F305" s="41">
        <f t="shared" si="11"/>
        <v>0</v>
      </c>
    </row>
    <row r="306" spans="1:8" x14ac:dyDescent="0.2">
      <c r="A306" s="40"/>
      <c r="B306" s="287" t="s">
        <v>256</v>
      </c>
      <c r="C306" s="40" t="str">
        <f>'Material Rates_Master'!B132</f>
        <v>ea</v>
      </c>
      <c r="D306" s="229"/>
      <c r="E306" s="41">
        <f>'Material Rates_Master'!D132</f>
        <v>5</v>
      </c>
      <c r="F306" s="41">
        <f t="shared" si="11"/>
        <v>0</v>
      </c>
    </row>
    <row r="307" spans="1:8" x14ac:dyDescent="0.2">
      <c r="A307" s="40"/>
      <c r="B307" s="287" t="s">
        <v>257</v>
      </c>
      <c r="C307" s="40" t="str">
        <f>'Material Rates_Master'!B133</f>
        <v>ea</v>
      </c>
      <c r="D307" s="229">
        <v>1</v>
      </c>
      <c r="E307" s="41">
        <f>'Material Rates_Master'!D133</f>
        <v>125</v>
      </c>
      <c r="F307" s="41">
        <f t="shared" si="11"/>
        <v>125</v>
      </c>
    </row>
    <row r="308" spans="1:8" x14ac:dyDescent="0.2">
      <c r="A308" s="40"/>
      <c r="B308" s="287" t="s">
        <v>1019</v>
      </c>
      <c r="C308" s="40" t="s">
        <v>27</v>
      </c>
      <c r="D308" s="229">
        <v>1</v>
      </c>
      <c r="E308" s="41">
        <v>60</v>
      </c>
      <c r="F308" s="41">
        <f t="shared" si="11"/>
        <v>60</v>
      </c>
      <c r="H308" s="457" t="s">
        <v>1020</v>
      </c>
    </row>
    <row r="309" spans="1:8" ht="6.6" customHeight="1" x14ac:dyDescent="0.2">
      <c r="A309" s="40"/>
      <c r="B309" s="287" t="s">
        <v>1021</v>
      </c>
      <c r="C309" s="40" t="s">
        <v>132</v>
      </c>
      <c r="D309" s="37">
        <v>1</v>
      </c>
      <c r="E309" s="41">
        <v>2500</v>
      </c>
      <c r="F309" s="41">
        <f t="shared" si="11"/>
        <v>2500</v>
      </c>
      <c r="H309" s="457" t="s">
        <v>1022</v>
      </c>
    </row>
    <row r="310" spans="1:8" x14ac:dyDescent="0.2">
      <c r="A310" s="40"/>
      <c r="B310" s="287" t="s">
        <v>259</v>
      </c>
      <c r="C310" s="40" t="str">
        <f>'Material Rates_Master'!B136</f>
        <v>ea</v>
      </c>
      <c r="D310" s="37"/>
      <c r="E310" s="41">
        <f>'Material Rates_Master'!D136</f>
        <v>3100.7</v>
      </c>
      <c r="F310" s="41">
        <f t="shared" si="11"/>
        <v>0</v>
      </c>
    </row>
    <row r="311" spans="1:8" x14ac:dyDescent="0.2">
      <c r="A311" s="40"/>
      <c r="B311" s="287" t="s">
        <v>260</v>
      </c>
      <c r="C311" s="40" t="str">
        <f>'Material Rates_Master'!B137</f>
        <v>ea</v>
      </c>
      <c r="D311" s="37"/>
      <c r="E311" s="41">
        <f>'Material Rates_Master'!D137</f>
        <v>4237.09</v>
      </c>
      <c r="F311" s="41">
        <f t="shared" si="11"/>
        <v>0</v>
      </c>
    </row>
    <row r="312" spans="1:8" ht="7.2" customHeight="1" x14ac:dyDescent="0.2">
      <c r="A312" s="40"/>
      <c r="B312" s="287"/>
      <c r="C312" s="40">
        <f>'Material Rates_Master'!B138</f>
        <v>0</v>
      </c>
      <c r="D312" s="37"/>
      <c r="E312" s="41">
        <f>'Material Rates_Master'!D138</f>
        <v>0</v>
      </c>
      <c r="F312" s="41">
        <f t="shared" si="11"/>
        <v>0</v>
      </c>
    </row>
    <row r="313" spans="1:8" x14ac:dyDescent="0.2">
      <c r="A313" s="40"/>
      <c r="B313" s="287" t="s">
        <v>261</v>
      </c>
      <c r="C313" s="40" t="str">
        <f>'Material Rates_Master'!B139</f>
        <v>ea</v>
      </c>
      <c r="D313" s="37"/>
      <c r="E313" s="41">
        <f>'Material Rates_Master'!D139</f>
        <v>114.44</v>
      </c>
      <c r="F313" s="41">
        <f t="shared" si="11"/>
        <v>0</v>
      </c>
    </row>
    <row r="314" spans="1:8" x14ac:dyDescent="0.2">
      <c r="A314" s="40"/>
      <c r="B314" s="287" t="s">
        <v>262</v>
      </c>
      <c r="C314" s="40" t="str">
        <f>'Material Rates_Master'!B140</f>
        <v>ea</v>
      </c>
      <c r="D314" s="37"/>
      <c r="E314" s="41">
        <f>'Material Rates_Master'!D140</f>
        <v>219.36</v>
      </c>
      <c r="F314" s="41">
        <f t="shared" ref="F314:F345" si="12">E314*D314</f>
        <v>0</v>
      </c>
    </row>
    <row r="315" spans="1:8" x14ac:dyDescent="0.2">
      <c r="A315" s="40"/>
      <c r="B315" s="287" t="s">
        <v>263</v>
      </c>
      <c r="C315" s="40" t="str">
        <f>'Material Rates_Master'!B141</f>
        <v>ea</v>
      </c>
      <c r="D315" s="37"/>
      <c r="E315" s="41">
        <f>'Material Rates_Master'!D141</f>
        <v>135.09</v>
      </c>
      <c r="F315" s="41">
        <f t="shared" si="12"/>
        <v>0</v>
      </c>
    </row>
    <row r="316" spans="1:8" x14ac:dyDescent="0.2">
      <c r="A316" s="40"/>
      <c r="B316" s="287" t="s">
        <v>264</v>
      </c>
      <c r="C316" s="40" t="str">
        <f>'Material Rates_Master'!B142</f>
        <v>ea</v>
      </c>
      <c r="D316" s="37"/>
      <c r="E316" s="41">
        <f>'Material Rates_Master'!D142</f>
        <v>125.77</v>
      </c>
      <c r="F316" s="41">
        <f t="shared" si="12"/>
        <v>0</v>
      </c>
    </row>
    <row r="317" spans="1:8" x14ac:dyDescent="0.2">
      <c r="A317" s="40"/>
      <c r="B317" s="287" t="s">
        <v>265</v>
      </c>
      <c r="C317" s="40" t="str">
        <f>'Material Rates_Master'!B143</f>
        <v>ea</v>
      </c>
      <c r="D317" s="37"/>
      <c r="E317" s="41">
        <f>'Material Rates_Master'!D143</f>
        <v>83.25</v>
      </c>
      <c r="F317" s="41">
        <f t="shared" si="12"/>
        <v>0</v>
      </c>
    </row>
    <row r="318" spans="1:8" x14ac:dyDescent="0.2">
      <c r="A318" s="40"/>
      <c r="B318" s="287" t="s">
        <v>266</v>
      </c>
      <c r="C318" s="40" t="str">
        <f>'Material Rates_Master'!B144</f>
        <v>ea</v>
      </c>
      <c r="D318" s="37"/>
      <c r="E318" s="41">
        <f>'Material Rates_Master'!D144</f>
        <v>52.25</v>
      </c>
      <c r="F318" s="41">
        <f t="shared" si="12"/>
        <v>0</v>
      </c>
    </row>
    <row r="319" spans="1:8" x14ac:dyDescent="0.2">
      <c r="A319" s="40"/>
      <c r="B319" s="287" t="s">
        <v>267</v>
      </c>
      <c r="C319" s="40" t="str">
        <f>'Material Rates_Master'!B145</f>
        <v>ea</v>
      </c>
      <c r="D319" s="37"/>
      <c r="E319" s="41">
        <f>'Material Rates_Master'!D145</f>
        <v>175.66</v>
      </c>
      <c r="F319" s="41">
        <f t="shared" si="12"/>
        <v>0</v>
      </c>
    </row>
    <row r="320" spans="1:8" x14ac:dyDescent="0.2">
      <c r="A320" s="40"/>
      <c r="B320" s="287" t="s">
        <v>268</v>
      </c>
      <c r="C320" s="40" t="str">
        <f>'Material Rates_Master'!B146</f>
        <v>ea</v>
      </c>
      <c r="D320" s="37"/>
      <c r="E320" s="41">
        <f>'Material Rates_Master'!D146</f>
        <v>164.08</v>
      </c>
      <c r="F320" s="41">
        <f t="shared" si="12"/>
        <v>0</v>
      </c>
    </row>
    <row r="321" spans="1:6" ht="7.2" customHeight="1" x14ac:dyDescent="0.2">
      <c r="A321" s="40"/>
      <c r="B321" s="287"/>
      <c r="C321" s="40">
        <f>'Material Rates_Master'!B147</f>
        <v>0</v>
      </c>
      <c r="D321" s="229"/>
      <c r="E321" s="41">
        <f>'Material Rates_Master'!D147</f>
        <v>0</v>
      </c>
      <c r="F321" s="41">
        <f t="shared" si="12"/>
        <v>0</v>
      </c>
    </row>
    <row r="322" spans="1:6" ht="12.75" customHeight="1" x14ac:dyDescent="0.2">
      <c r="A322" s="40"/>
      <c r="B322" s="287" t="s">
        <v>1023</v>
      </c>
      <c r="C322" s="40" t="s">
        <v>25</v>
      </c>
      <c r="D322" s="229"/>
      <c r="E322" s="41">
        <f>278.5/6</f>
        <v>46.416666666666664</v>
      </c>
      <c r="F322" s="41">
        <f t="shared" si="12"/>
        <v>0</v>
      </c>
    </row>
    <row r="323" spans="1:6" ht="12.75" customHeight="1" x14ac:dyDescent="0.2">
      <c r="A323" s="40"/>
      <c r="B323" s="287" t="s">
        <v>1024</v>
      </c>
      <c r="C323" s="40" t="s">
        <v>27</v>
      </c>
      <c r="D323" s="229"/>
      <c r="E323" s="41">
        <v>45.02</v>
      </c>
      <c r="F323" s="41">
        <f t="shared" si="12"/>
        <v>0</v>
      </c>
    </row>
    <row r="324" spans="1:6" ht="12.75" customHeight="1" x14ac:dyDescent="0.2">
      <c r="A324" s="40"/>
      <c r="B324" s="287" t="s">
        <v>1025</v>
      </c>
      <c r="C324" s="40" t="s">
        <v>27</v>
      </c>
      <c r="D324" s="229"/>
      <c r="E324" s="41">
        <v>56.35</v>
      </c>
      <c r="F324" s="41">
        <f t="shared" si="12"/>
        <v>0</v>
      </c>
    </row>
    <row r="325" spans="1:6" ht="12.75" customHeight="1" x14ac:dyDescent="0.2">
      <c r="A325" s="40"/>
      <c r="B325" s="287" t="s">
        <v>1026</v>
      </c>
      <c r="C325" s="40" t="s">
        <v>27</v>
      </c>
      <c r="D325" s="229"/>
      <c r="E325" s="41">
        <v>34.92</v>
      </c>
      <c r="F325" s="41">
        <f t="shared" si="12"/>
        <v>0</v>
      </c>
    </row>
    <row r="326" spans="1:6" x14ac:dyDescent="0.2">
      <c r="A326" s="40"/>
      <c r="B326" s="287" t="s">
        <v>269</v>
      </c>
      <c r="C326" s="40" t="str">
        <f>'Material Rates_Master'!B148</f>
        <v>ea</v>
      </c>
      <c r="D326" s="229"/>
      <c r="E326" s="41">
        <f>'Material Rates_Master'!D148</f>
        <v>77.95</v>
      </c>
      <c r="F326" s="41">
        <f t="shared" si="12"/>
        <v>0</v>
      </c>
    </row>
    <row r="327" spans="1:6" x14ac:dyDescent="0.2">
      <c r="A327" s="40"/>
      <c r="B327" s="287" t="s">
        <v>270</v>
      </c>
      <c r="C327" s="40" t="str">
        <f>'Material Rates_Master'!B149</f>
        <v>ea</v>
      </c>
      <c r="D327" s="229"/>
      <c r="E327" s="41">
        <f>'Material Rates_Master'!D149</f>
        <v>17.16</v>
      </c>
      <c r="F327" s="41">
        <f t="shared" si="12"/>
        <v>0</v>
      </c>
    </row>
    <row r="328" spans="1:6" x14ac:dyDescent="0.2">
      <c r="A328" s="40"/>
      <c r="B328" s="287" t="s">
        <v>271</v>
      </c>
      <c r="C328" s="40" t="str">
        <f>'Material Rates_Master'!B150</f>
        <v>ea</v>
      </c>
      <c r="D328" s="229"/>
      <c r="E328" s="41">
        <f>'Material Rates_Master'!D150</f>
        <v>7.23</v>
      </c>
      <c r="F328" s="41">
        <f t="shared" si="12"/>
        <v>0</v>
      </c>
    </row>
    <row r="329" spans="1:6" x14ac:dyDescent="0.2">
      <c r="A329" s="40"/>
      <c r="B329" s="287" t="s">
        <v>272</v>
      </c>
      <c r="C329" s="40" t="str">
        <f>'Material Rates_Master'!B151</f>
        <v>ea</v>
      </c>
      <c r="D329" s="229"/>
      <c r="E329" s="41">
        <f>'Material Rates_Master'!D151</f>
        <v>14.31</v>
      </c>
      <c r="F329" s="41">
        <f t="shared" si="12"/>
        <v>0</v>
      </c>
    </row>
    <row r="330" spans="1:6" x14ac:dyDescent="0.2">
      <c r="A330" s="40"/>
      <c r="B330" s="287" t="s">
        <v>273</v>
      </c>
      <c r="C330" s="40" t="str">
        <f>'Material Rates_Master'!B152</f>
        <v>ea</v>
      </c>
      <c r="D330" s="229"/>
      <c r="E330" s="41">
        <f>'Material Rates_Master'!D152</f>
        <v>16.239999999999998</v>
      </c>
      <c r="F330" s="41">
        <f t="shared" si="12"/>
        <v>0</v>
      </c>
    </row>
    <row r="331" spans="1:6" x14ac:dyDescent="0.2">
      <c r="A331" s="40"/>
      <c r="B331" s="287" t="s">
        <v>1027</v>
      </c>
      <c r="C331" s="40" t="s">
        <v>27</v>
      </c>
      <c r="D331" s="229"/>
      <c r="E331" s="41">
        <f>128.5/6</f>
        <v>21.416666666666668</v>
      </c>
      <c r="F331" s="41">
        <f t="shared" si="12"/>
        <v>0</v>
      </c>
    </row>
    <row r="332" spans="1:6" x14ac:dyDescent="0.2">
      <c r="A332" s="40"/>
      <c r="B332" s="287" t="s">
        <v>274</v>
      </c>
      <c r="C332" s="40" t="str">
        <f>'Material Rates_Master'!B153</f>
        <v>ea</v>
      </c>
      <c r="D332" s="229"/>
      <c r="E332" s="41">
        <f>'Material Rates_Master'!D153</f>
        <v>14.36</v>
      </c>
      <c r="F332" s="41">
        <f t="shared" si="12"/>
        <v>0</v>
      </c>
    </row>
    <row r="333" spans="1:6" x14ac:dyDescent="0.2">
      <c r="A333" s="40"/>
      <c r="B333" s="287" t="s">
        <v>275</v>
      </c>
      <c r="C333" s="40" t="str">
        <f>'Material Rates_Master'!B154</f>
        <v>ea</v>
      </c>
      <c r="D333" s="229"/>
      <c r="E333" s="41">
        <f>'Material Rates_Master'!D154</f>
        <v>46.94</v>
      </c>
      <c r="F333" s="41">
        <f t="shared" si="12"/>
        <v>0</v>
      </c>
    </row>
    <row r="334" spans="1:6" x14ac:dyDescent="0.2">
      <c r="A334" s="40"/>
      <c r="B334" s="287" t="s">
        <v>276</v>
      </c>
      <c r="C334" s="40" t="str">
        <f>'Material Rates_Master'!B155</f>
        <v>ea</v>
      </c>
      <c r="D334" s="229"/>
      <c r="E334" s="41">
        <f>'Material Rates_Master'!D155</f>
        <v>8.4600000000000009</v>
      </c>
      <c r="F334" s="41">
        <f t="shared" si="12"/>
        <v>0</v>
      </c>
    </row>
    <row r="335" spans="1:6" x14ac:dyDescent="0.2">
      <c r="A335" s="40"/>
      <c r="B335" s="287" t="s">
        <v>277</v>
      </c>
      <c r="C335" s="40" t="str">
        <f>'Material Rates_Master'!B156</f>
        <v>ea</v>
      </c>
      <c r="D335" s="229"/>
      <c r="E335" s="41">
        <f>'Material Rates_Master'!D156</f>
        <v>5.74</v>
      </c>
      <c r="F335" s="41">
        <f t="shared" si="12"/>
        <v>0</v>
      </c>
    </row>
    <row r="336" spans="1:6" x14ac:dyDescent="0.2">
      <c r="A336" s="40"/>
      <c r="B336" s="287" t="s">
        <v>278</v>
      </c>
      <c r="C336" s="40" t="str">
        <f>'Material Rates_Master'!B157</f>
        <v>ea</v>
      </c>
      <c r="D336" s="229"/>
      <c r="E336" s="41">
        <f>'Material Rates_Master'!D157</f>
        <v>7.7</v>
      </c>
      <c r="F336" s="41">
        <f t="shared" si="12"/>
        <v>0</v>
      </c>
    </row>
    <row r="337" spans="1:6" x14ac:dyDescent="0.2">
      <c r="A337" s="40"/>
      <c r="B337" s="287" t="s">
        <v>279</v>
      </c>
      <c r="C337" s="40" t="str">
        <f>'Material Rates_Master'!B158</f>
        <v>ea</v>
      </c>
      <c r="D337" s="229"/>
      <c r="E337" s="41">
        <f>'Material Rates_Master'!D158</f>
        <v>10.19</v>
      </c>
      <c r="F337" s="41">
        <f t="shared" si="12"/>
        <v>0</v>
      </c>
    </row>
    <row r="338" spans="1:6" ht="9" customHeight="1" x14ac:dyDescent="0.2">
      <c r="A338" s="40"/>
      <c r="B338" s="287"/>
      <c r="C338" s="40">
        <f>'Material Rates_Master'!B159</f>
        <v>0</v>
      </c>
      <c r="D338" s="229"/>
      <c r="E338" s="41">
        <f>'Material Rates_Master'!D159</f>
        <v>0</v>
      </c>
      <c r="F338" s="41">
        <f t="shared" si="12"/>
        <v>0</v>
      </c>
    </row>
    <row r="339" spans="1:6" x14ac:dyDescent="0.2">
      <c r="A339" s="40"/>
      <c r="B339" s="287" t="s">
        <v>280</v>
      </c>
      <c r="C339" s="40" t="str">
        <f>'Material Rates_Master'!B160</f>
        <v>ea</v>
      </c>
      <c r="D339" s="37"/>
      <c r="E339" s="41">
        <f>'Material Rates_Master'!D160</f>
        <v>5.86</v>
      </c>
      <c r="F339" s="41">
        <f t="shared" si="12"/>
        <v>0</v>
      </c>
    </row>
    <row r="340" spans="1:6" x14ac:dyDescent="0.2">
      <c r="A340" s="40"/>
      <c r="B340" s="287" t="s">
        <v>281</v>
      </c>
      <c r="C340" s="40" t="str">
        <f>'Material Rates_Master'!B161</f>
        <v>ea</v>
      </c>
      <c r="D340" s="37"/>
      <c r="E340" s="41">
        <f>'Material Rates_Master'!D161</f>
        <v>4.41</v>
      </c>
      <c r="F340" s="41">
        <f t="shared" si="12"/>
        <v>0</v>
      </c>
    </row>
    <row r="341" spans="1:6" x14ac:dyDescent="0.2">
      <c r="A341" s="40"/>
      <c r="B341" s="287" t="s">
        <v>282</v>
      </c>
      <c r="C341" s="40" t="str">
        <f>'Material Rates_Master'!B162</f>
        <v>ea</v>
      </c>
      <c r="D341" s="37"/>
      <c r="E341" s="41">
        <f>'Material Rates_Master'!D162</f>
        <v>5.36</v>
      </c>
      <c r="F341" s="41">
        <f t="shared" si="12"/>
        <v>0</v>
      </c>
    </row>
    <row r="342" spans="1:6" x14ac:dyDescent="0.2">
      <c r="A342" s="40"/>
      <c r="B342" s="287" t="s">
        <v>283</v>
      </c>
      <c r="C342" s="40" t="str">
        <f>'Material Rates_Master'!B163</f>
        <v>ea</v>
      </c>
      <c r="D342" s="37"/>
      <c r="E342" s="41">
        <f>'Material Rates_Master'!D163</f>
        <v>4.4000000000000004</v>
      </c>
      <c r="F342" s="41">
        <f t="shared" si="12"/>
        <v>0</v>
      </c>
    </row>
    <row r="343" spans="1:6" x14ac:dyDescent="0.2">
      <c r="A343" s="40"/>
      <c r="B343" s="287" t="s">
        <v>284</v>
      </c>
      <c r="C343" s="40" t="str">
        <f>'Material Rates_Master'!B164</f>
        <v>ea</v>
      </c>
      <c r="D343" s="37"/>
      <c r="E343" s="41">
        <f>'Material Rates_Master'!D164</f>
        <v>10.64</v>
      </c>
      <c r="F343" s="41">
        <f t="shared" si="12"/>
        <v>0</v>
      </c>
    </row>
    <row r="344" spans="1:6" x14ac:dyDescent="0.2">
      <c r="A344" s="40"/>
      <c r="B344" s="287" t="s">
        <v>285</v>
      </c>
      <c r="C344" s="40" t="str">
        <f>'Material Rates_Master'!B165</f>
        <v>ea</v>
      </c>
      <c r="D344" s="37"/>
      <c r="E344" s="41">
        <f>'Material Rates_Master'!D165</f>
        <v>20</v>
      </c>
      <c r="F344" s="41">
        <f t="shared" si="12"/>
        <v>0</v>
      </c>
    </row>
    <row r="345" spans="1:6" x14ac:dyDescent="0.2">
      <c r="A345" s="40"/>
      <c r="B345" s="287" t="s">
        <v>286</v>
      </c>
      <c r="C345" s="40" t="str">
        <f>'Material Rates_Master'!B166</f>
        <v>ea</v>
      </c>
      <c r="D345" s="37"/>
      <c r="E345" s="41">
        <f>'Material Rates_Master'!D166</f>
        <v>19.5</v>
      </c>
      <c r="F345" s="41">
        <f t="shared" si="12"/>
        <v>0</v>
      </c>
    </row>
    <row r="346" spans="1:6" x14ac:dyDescent="0.2">
      <c r="A346" s="40"/>
      <c r="B346" s="287" t="s">
        <v>220</v>
      </c>
      <c r="C346" s="40" t="str">
        <f>'Material Rates_Master'!B167</f>
        <v>ea</v>
      </c>
      <c r="D346" s="37"/>
      <c r="E346" s="41">
        <f>'Material Rates_Master'!D167</f>
        <v>20</v>
      </c>
      <c r="F346" s="41">
        <f t="shared" ref="F346" si="13">E346*D346</f>
        <v>0</v>
      </c>
    </row>
    <row r="347" spans="1:6" ht="10.95" customHeight="1" x14ac:dyDescent="0.2">
      <c r="A347" s="40"/>
      <c r="B347" s="287"/>
      <c r="D347" s="37"/>
    </row>
    <row r="348" spans="1:6" ht="10.5" customHeight="1" x14ac:dyDescent="0.2">
      <c r="A348" s="40"/>
      <c r="B348" s="314" t="s">
        <v>287</v>
      </c>
      <c r="D348" s="37"/>
    </row>
    <row r="349" spans="1:6" ht="14.55" customHeight="1" x14ac:dyDescent="0.2">
      <c r="A349" s="40"/>
      <c r="B349" s="288" t="s">
        <v>234</v>
      </c>
      <c r="D349" s="37"/>
    </row>
    <row r="350" spans="1:6" x14ac:dyDescent="0.2">
      <c r="A350" s="40"/>
      <c r="B350" s="287" t="s">
        <v>288</v>
      </c>
      <c r="C350" s="40" t="str">
        <f>'Material Rates_Master'!B171</f>
        <v>ea</v>
      </c>
      <c r="D350" s="37"/>
      <c r="E350" s="41">
        <v>1388</v>
      </c>
      <c r="F350" s="41">
        <f t="shared" ref="F350:F355" si="14">E350*D350</f>
        <v>0</v>
      </c>
    </row>
    <row r="351" spans="1:6" x14ac:dyDescent="0.2">
      <c r="A351" s="40"/>
      <c r="B351" s="287" t="s">
        <v>289</v>
      </c>
      <c r="C351" s="40" t="str">
        <f>'Material Rates_Master'!B172</f>
        <v>ea</v>
      </c>
      <c r="D351" s="37"/>
      <c r="E351" s="41">
        <f>'Material Rates_Master'!D172</f>
        <v>0</v>
      </c>
      <c r="F351" s="41">
        <f t="shared" si="14"/>
        <v>0</v>
      </c>
    </row>
    <row r="352" spans="1:6" x14ac:dyDescent="0.2">
      <c r="A352" s="40"/>
      <c r="B352" s="287" t="s">
        <v>290</v>
      </c>
      <c r="C352" s="40" t="s">
        <v>291</v>
      </c>
      <c r="D352" s="37"/>
      <c r="E352" s="41">
        <v>450</v>
      </c>
      <c r="F352" s="41">
        <f t="shared" si="14"/>
        <v>0</v>
      </c>
    </row>
    <row r="353" spans="1:8" x14ac:dyDescent="0.2">
      <c r="A353" s="40"/>
      <c r="B353" s="287" t="s">
        <v>292</v>
      </c>
      <c r="C353" s="40" t="str">
        <f>'Material Rates_Master'!B174</f>
        <v>ea</v>
      </c>
      <c r="D353" s="37"/>
      <c r="E353" s="41">
        <f>'Material Rates_Master'!D174</f>
        <v>0</v>
      </c>
      <c r="F353" s="41">
        <f t="shared" si="14"/>
        <v>0</v>
      </c>
    </row>
    <row r="354" spans="1:8" x14ac:dyDescent="0.2">
      <c r="A354" s="40"/>
      <c r="B354" s="287" t="s">
        <v>293</v>
      </c>
      <c r="C354" s="40" t="str">
        <f>'Material Rates_Master'!B175</f>
        <v>ea</v>
      </c>
      <c r="D354" s="37"/>
      <c r="E354" s="41">
        <f>'Material Rates_Master'!D175</f>
        <v>2178.48</v>
      </c>
      <c r="F354" s="41">
        <f t="shared" si="14"/>
        <v>0</v>
      </c>
    </row>
    <row r="355" spans="1:8" x14ac:dyDescent="0.2">
      <c r="A355" s="40"/>
      <c r="B355" s="287" t="s">
        <v>294</v>
      </c>
      <c r="C355" s="40" t="str">
        <f>'Material Rates_Master'!B176</f>
        <v>ea</v>
      </c>
      <c r="D355" s="37"/>
      <c r="E355" s="41">
        <f>'Material Rates_Master'!D176</f>
        <v>2178.48</v>
      </c>
      <c r="F355" s="41">
        <f t="shared" si="14"/>
        <v>0</v>
      </c>
    </row>
    <row r="357" spans="1:8" s="40" customFormat="1" ht="14.4" customHeight="1" x14ac:dyDescent="0.3">
      <c r="A357" s="306"/>
      <c r="B357" s="307" t="s">
        <v>295</v>
      </c>
      <c r="C357" s="42"/>
      <c r="D357" s="42"/>
      <c r="E357" s="41"/>
      <c r="F357" s="41"/>
    </row>
    <row r="358" spans="1:8" s="40" customFormat="1" ht="14.4" customHeight="1" x14ac:dyDescent="0.3">
      <c r="A358" s="306"/>
      <c r="B358" s="309" t="s">
        <v>234</v>
      </c>
      <c r="C358" s="42"/>
      <c r="D358" s="42"/>
      <c r="E358" s="41"/>
      <c r="F358" s="41"/>
    </row>
    <row r="359" spans="1:8" s="40" customFormat="1" ht="14.4" customHeight="1" x14ac:dyDescent="0.3">
      <c r="A359" s="306"/>
      <c r="B359" s="306"/>
      <c r="C359" s="42"/>
      <c r="D359" s="42"/>
      <c r="E359" s="41"/>
      <c r="F359" s="41"/>
    </row>
    <row r="360" spans="1:8" s="40" customFormat="1" ht="14.4" customHeight="1" x14ac:dyDescent="0.3">
      <c r="A360" s="306"/>
      <c r="B360" s="306" t="s">
        <v>296</v>
      </c>
      <c r="C360" s="310" t="s">
        <v>25</v>
      </c>
      <c r="E360" s="308">
        <v>34.5</v>
      </c>
      <c r="F360" s="41">
        <f t="shared" ref="F360:F391" si="15">E360*D360</f>
        <v>0</v>
      </c>
    </row>
    <row r="361" spans="1:8" s="40" customFormat="1" ht="14.4" customHeight="1" x14ac:dyDescent="0.3">
      <c r="A361" s="306"/>
      <c r="B361" s="387" t="s">
        <v>1028</v>
      </c>
      <c r="C361" s="310" t="s">
        <v>25</v>
      </c>
      <c r="E361" s="308">
        <v>20</v>
      </c>
      <c r="F361" s="41">
        <f t="shared" si="15"/>
        <v>0</v>
      </c>
    </row>
    <row r="362" spans="1:8" s="40" customFormat="1" ht="14.4" customHeight="1" x14ac:dyDescent="0.3">
      <c r="A362" s="306"/>
      <c r="B362" s="306" t="s">
        <v>297</v>
      </c>
      <c r="C362" s="310" t="s">
        <v>25</v>
      </c>
      <c r="E362" s="308">
        <v>12.31</v>
      </c>
      <c r="F362" s="41">
        <f t="shared" si="15"/>
        <v>0</v>
      </c>
    </row>
    <row r="363" spans="1:8" s="40" customFormat="1" ht="14.4" customHeight="1" x14ac:dyDescent="0.3">
      <c r="A363" s="306"/>
      <c r="B363" s="306" t="s">
        <v>298</v>
      </c>
      <c r="C363" s="310" t="s">
        <v>25</v>
      </c>
      <c r="E363" s="308">
        <v>9.66</v>
      </c>
      <c r="F363" s="41">
        <f t="shared" si="15"/>
        <v>0</v>
      </c>
    </row>
    <row r="364" spans="1:8" s="40" customFormat="1" ht="14.4" customHeight="1" x14ac:dyDescent="0.3">
      <c r="A364" s="306"/>
      <c r="B364" s="306" t="s">
        <v>299</v>
      </c>
      <c r="C364" s="310" t="s">
        <v>25</v>
      </c>
      <c r="E364" s="308">
        <v>4.63</v>
      </c>
      <c r="F364" s="41">
        <f t="shared" si="15"/>
        <v>0</v>
      </c>
    </row>
    <row r="365" spans="1:8" s="40" customFormat="1" ht="14.4" customHeight="1" x14ac:dyDescent="0.3">
      <c r="A365" s="306"/>
      <c r="B365" s="387" t="s">
        <v>300</v>
      </c>
      <c r="C365" s="310" t="s">
        <v>25</v>
      </c>
      <c r="E365" s="308">
        <v>5.4</v>
      </c>
      <c r="F365" s="41">
        <f t="shared" si="15"/>
        <v>0</v>
      </c>
    </row>
    <row r="366" spans="1:8" s="40" customFormat="1" ht="14.4" customHeight="1" x14ac:dyDescent="0.3">
      <c r="A366" s="306"/>
      <c r="B366" s="387" t="s">
        <v>301</v>
      </c>
      <c r="C366" s="310" t="s">
        <v>25</v>
      </c>
      <c r="D366" s="40">
        <v>27.78</v>
      </c>
      <c r="E366" s="308">
        <v>4.4000000000000004</v>
      </c>
      <c r="F366" s="41">
        <f t="shared" si="15"/>
        <v>122.23200000000001</v>
      </c>
      <c r="G366">
        <v>28</v>
      </c>
      <c r="H366" s="457" t="s">
        <v>1029</v>
      </c>
    </row>
    <row r="367" spans="1:8" s="40" customFormat="1" ht="14.4" customHeight="1" x14ac:dyDescent="0.3">
      <c r="A367" s="306"/>
      <c r="B367" s="306" t="s">
        <v>303</v>
      </c>
      <c r="C367" s="310" t="s">
        <v>25</v>
      </c>
      <c r="E367" s="308">
        <f>354.31/150</f>
        <v>2.3620666666666668</v>
      </c>
      <c r="F367" s="41">
        <f t="shared" si="15"/>
        <v>0</v>
      </c>
    </row>
    <row r="368" spans="1:8" ht="14.4" customHeight="1" x14ac:dyDescent="0.3">
      <c r="A368" s="306"/>
      <c r="B368" s="387" t="s">
        <v>304</v>
      </c>
      <c r="C368" s="310" t="s">
        <v>25</v>
      </c>
      <c r="D368" s="40">
        <v>21.31</v>
      </c>
      <c r="E368" s="308">
        <v>2.1</v>
      </c>
      <c r="F368" s="41">
        <f t="shared" si="15"/>
        <v>44.750999999999998</v>
      </c>
      <c r="G368">
        <v>22</v>
      </c>
      <c r="H368" s="457" t="s">
        <v>1029</v>
      </c>
    </row>
    <row r="369" spans="1:8" ht="14.4" customHeight="1" x14ac:dyDescent="0.3">
      <c r="A369" s="306"/>
      <c r="B369" s="306" t="s">
        <v>305</v>
      </c>
      <c r="C369" s="310" t="s">
        <v>25</v>
      </c>
      <c r="D369" s="40">
        <v>15.45</v>
      </c>
      <c r="E369" s="308">
        <v>1.22</v>
      </c>
      <c r="F369" s="41">
        <f t="shared" si="15"/>
        <v>18.849</v>
      </c>
      <c r="G369">
        <v>16</v>
      </c>
      <c r="H369" s="457" t="s">
        <v>1029</v>
      </c>
    </row>
    <row r="370" spans="1:8" ht="14.4" customHeight="1" x14ac:dyDescent="0.3">
      <c r="A370" s="306"/>
      <c r="B370" s="306" t="s">
        <v>306</v>
      </c>
      <c r="C370" s="310" t="s">
        <v>25</v>
      </c>
      <c r="E370" s="308">
        <v>2.4300000000000002</v>
      </c>
      <c r="F370" s="41">
        <f t="shared" si="15"/>
        <v>0</v>
      </c>
    </row>
    <row r="371" spans="1:8" ht="14.4" customHeight="1" x14ac:dyDescent="0.3">
      <c r="A371" s="306"/>
      <c r="B371" s="306" t="s">
        <v>307</v>
      </c>
      <c r="C371" s="310" t="s">
        <v>25</v>
      </c>
      <c r="E371" s="308">
        <v>22</v>
      </c>
      <c r="F371" s="41">
        <f t="shared" si="15"/>
        <v>0</v>
      </c>
      <c r="G371" s="308"/>
    </row>
    <row r="372" spans="1:8" ht="14.4" customHeight="1" x14ac:dyDescent="0.3">
      <c r="A372" s="306"/>
      <c r="B372" s="306" t="s">
        <v>308</v>
      </c>
      <c r="C372" s="310" t="s">
        <v>27</v>
      </c>
      <c r="E372" s="308">
        <v>57.75</v>
      </c>
      <c r="F372" s="41">
        <f t="shared" si="15"/>
        <v>0</v>
      </c>
      <c r="G372" s="308"/>
    </row>
    <row r="373" spans="1:8" ht="14.4" customHeight="1" x14ac:dyDescent="0.3">
      <c r="A373" s="306"/>
      <c r="B373" s="306" t="s">
        <v>309</v>
      </c>
      <c r="C373" s="310" t="s">
        <v>27</v>
      </c>
      <c r="E373" s="308">
        <v>139</v>
      </c>
      <c r="F373" s="41">
        <f t="shared" si="15"/>
        <v>0</v>
      </c>
      <c r="G373" s="308"/>
    </row>
    <row r="374" spans="1:8" ht="14.4" customHeight="1" x14ac:dyDescent="0.3">
      <c r="A374" s="306"/>
      <c r="B374" s="306" t="s">
        <v>310</v>
      </c>
      <c r="C374" s="310" t="s">
        <v>27</v>
      </c>
      <c r="E374" s="308">
        <v>104.15</v>
      </c>
      <c r="F374" s="41">
        <f t="shared" si="15"/>
        <v>0</v>
      </c>
      <c r="G374" s="308"/>
    </row>
    <row r="375" spans="1:8" ht="14.4" customHeight="1" x14ac:dyDescent="0.3">
      <c r="A375" s="306"/>
      <c r="B375" s="306" t="s">
        <v>311</v>
      </c>
      <c r="C375" s="310" t="s">
        <v>27</v>
      </c>
      <c r="E375" s="308">
        <v>26.1</v>
      </c>
      <c r="F375" s="41">
        <f t="shared" si="15"/>
        <v>0</v>
      </c>
      <c r="G375" s="308"/>
    </row>
    <row r="376" spans="1:8" ht="14.4" customHeight="1" x14ac:dyDescent="0.3">
      <c r="A376" s="306"/>
      <c r="B376" s="306" t="s">
        <v>312</v>
      </c>
      <c r="C376" s="310" t="s">
        <v>27</v>
      </c>
      <c r="E376" s="308">
        <v>37.5</v>
      </c>
      <c r="F376" s="41">
        <f t="shared" si="15"/>
        <v>0</v>
      </c>
      <c r="G376" s="308"/>
    </row>
    <row r="377" spans="1:8" ht="14.4" customHeight="1" x14ac:dyDescent="0.3">
      <c r="A377" s="306"/>
      <c r="B377" s="306" t="s">
        <v>313</v>
      </c>
      <c r="C377" s="310" t="s">
        <v>27</v>
      </c>
      <c r="E377" s="308">
        <v>35.93</v>
      </c>
      <c r="F377" s="41">
        <f t="shared" si="15"/>
        <v>0</v>
      </c>
      <c r="G377" s="308"/>
    </row>
    <row r="378" spans="1:8" ht="14.4" customHeight="1" x14ac:dyDescent="0.3">
      <c r="A378" s="306"/>
      <c r="B378" s="306" t="s">
        <v>314</v>
      </c>
      <c r="C378" s="310" t="s">
        <v>27</v>
      </c>
      <c r="E378" s="308">
        <v>35</v>
      </c>
      <c r="F378" s="41">
        <f t="shared" si="15"/>
        <v>0</v>
      </c>
      <c r="G378" s="308"/>
    </row>
    <row r="379" spans="1:8" ht="14.4" customHeight="1" x14ac:dyDescent="0.3">
      <c r="A379" s="306"/>
      <c r="B379" s="387" t="s">
        <v>315</v>
      </c>
      <c r="C379" s="310" t="s">
        <v>27</v>
      </c>
      <c r="E379" s="308">
        <v>35</v>
      </c>
      <c r="F379" s="41">
        <f t="shared" si="15"/>
        <v>0</v>
      </c>
      <c r="G379" s="308"/>
    </row>
    <row r="380" spans="1:8" ht="14.4" customHeight="1" x14ac:dyDescent="0.3">
      <c r="A380" s="306"/>
      <c r="B380" s="387" t="s">
        <v>316</v>
      </c>
      <c r="C380" s="310" t="s">
        <v>27</v>
      </c>
      <c r="E380" s="308">
        <v>35</v>
      </c>
      <c r="F380" s="41">
        <f t="shared" si="15"/>
        <v>0</v>
      </c>
      <c r="G380" s="308"/>
    </row>
    <row r="381" spans="1:8" ht="14.4" customHeight="1" x14ac:dyDescent="0.3">
      <c r="A381" s="306"/>
      <c r="B381" s="387" t="s">
        <v>317</v>
      </c>
      <c r="C381" s="310" t="s">
        <v>27</v>
      </c>
      <c r="E381" s="308">
        <v>20</v>
      </c>
      <c r="F381" s="41">
        <f t="shared" si="15"/>
        <v>0</v>
      </c>
      <c r="G381" s="308"/>
    </row>
    <row r="382" spans="1:8" ht="14.4" customHeight="1" x14ac:dyDescent="0.3">
      <c r="A382" s="306"/>
      <c r="B382" s="306" t="s">
        <v>318</v>
      </c>
      <c r="C382" s="310" t="s">
        <v>27</v>
      </c>
      <c r="E382" s="308">
        <v>50</v>
      </c>
      <c r="F382" s="41">
        <f t="shared" si="15"/>
        <v>0</v>
      </c>
      <c r="G382" s="308"/>
    </row>
    <row r="383" spans="1:8" ht="14.4" customHeight="1" x14ac:dyDescent="0.3">
      <c r="A383" s="306"/>
      <c r="B383" s="306" t="s">
        <v>319</v>
      </c>
      <c r="C383" s="310" t="s">
        <v>27</v>
      </c>
      <c r="E383" s="308">
        <v>54</v>
      </c>
      <c r="F383" s="41">
        <f t="shared" si="15"/>
        <v>0</v>
      </c>
      <c r="G383" s="308"/>
    </row>
    <row r="384" spans="1:8" ht="14.4" customHeight="1" x14ac:dyDescent="0.3">
      <c r="A384" s="306"/>
      <c r="B384" s="306" t="s">
        <v>1030</v>
      </c>
      <c r="C384" s="310" t="s">
        <v>27</v>
      </c>
      <c r="E384" s="308">
        <v>15.55</v>
      </c>
      <c r="F384" s="41">
        <f t="shared" si="15"/>
        <v>0</v>
      </c>
      <c r="G384" s="308"/>
    </row>
    <row r="385" spans="1:7" ht="14.4" customHeight="1" x14ac:dyDescent="0.3">
      <c r="A385" s="306"/>
      <c r="B385" s="387" t="s">
        <v>320</v>
      </c>
      <c r="C385" s="310" t="s">
        <v>27</v>
      </c>
      <c r="E385" s="308">
        <v>15</v>
      </c>
      <c r="F385" s="41">
        <f t="shared" si="15"/>
        <v>0</v>
      </c>
      <c r="G385" s="308"/>
    </row>
    <row r="386" spans="1:7" ht="14.4" customHeight="1" x14ac:dyDescent="0.3">
      <c r="A386" s="306"/>
      <c r="B386" s="387" t="s">
        <v>321</v>
      </c>
      <c r="C386" s="310" t="s">
        <v>27</v>
      </c>
      <c r="E386" s="308">
        <v>10.87</v>
      </c>
      <c r="F386" s="41">
        <f t="shared" si="15"/>
        <v>0</v>
      </c>
      <c r="G386" s="308"/>
    </row>
    <row r="387" spans="1:7" ht="14.4" customHeight="1" x14ac:dyDescent="0.3">
      <c r="A387" s="306"/>
      <c r="B387" s="387" t="s">
        <v>322</v>
      </c>
      <c r="C387" s="386" t="s">
        <v>27</v>
      </c>
      <c r="D387" s="40">
        <v>3</v>
      </c>
      <c r="E387" s="308">
        <v>55</v>
      </c>
      <c r="F387" s="41">
        <f t="shared" si="15"/>
        <v>165</v>
      </c>
      <c r="G387" s="308"/>
    </row>
    <row r="388" spans="1:7" ht="14.4" customHeight="1" x14ac:dyDescent="0.3">
      <c r="A388" s="306"/>
      <c r="B388" s="387" t="s">
        <v>323</v>
      </c>
      <c r="C388" s="310" t="s">
        <v>27</v>
      </c>
      <c r="E388" s="308">
        <v>55</v>
      </c>
      <c r="F388" s="41">
        <f t="shared" si="15"/>
        <v>0</v>
      </c>
      <c r="G388" s="308"/>
    </row>
    <row r="389" spans="1:7" ht="14.4" customHeight="1" x14ac:dyDescent="0.3">
      <c r="A389" s="306"/>
      <c r="B389" s="387" t="s">
        <v>324</v>
      </c>
      <c r="C389" s="310" t="s">
        <v>27</v>
      </c>
      <c r="E389" s="308">
        <v>35</v>
      </c>
      <c r="F389" s="41">
        <f t="shared" si="15"/>
        <v>0</v>
      </c>
      <c r="G389" s="308"/>
    </row>
    <row r="390" spans="1:7" ht="14.4" customHeight="1" x14ac:dyDescent="0.3">
      <c r="A390" s="306"/>
      <c r="B390" s="387" t="s">
        <v>325</v>
      </c>
      <c r="C390" s="310" t="s">
        <v>27</v>
      </c>
      <c r="E390" s="308">
        <v>35</v>
      </c>
      <c r="F390" s="41">
        <f t="shared" si="15"/>
        <v>0</v>
      </c>
      <c r="G390" s="308"/>
    </row>
    <row r="391" spans="1:7" ht="14.4" customHeight="1" x14ac:dyDescent="0.3">
      <c r="A391" s="306"/>
      <c r="B391" s="306" t="s">
        <v>326</v>
      </c>
      <c r="C391" s="310" t="s">
        <v>27</v>
      </c>
      <c r="E391" s="308">
        <v>35</v>
      </c>
      <c r="F391" s="41">
        <f t="shared" si="15"/>
        <v>0</v>
      </c>
      <c r="G391" s="308"/>
    </row>
    <row r="392" spans="1:7" ht="14.4" customHeight="1" x14ac:dyDescent="0.3">
      <c r="A392" s="306"/>
      <c r="B392" s="306" t="s">
        <v>327</v>
      </c>
      <c r="C392" s="310" t="s">
        <v>27</v>
      </c>
      <c r="E392" s="308">
        <v>35</v>
      </c>
      <c r="F392" s="41">
        <f t="shared" ref="F392:F423" si="16">E392*D392</f>
        <v>0</v>
      </c>
      <c r="G392" s="308"/>
    </row>
    <row r="393" spans="1:7" ht="14.4" customHeight="1" x14ac:dyDescent="0.3">
      <c r="A393" s="306"/>
      <c r="B393" s="306" t="s">
        <v>329</v>
      </c>
      <c r="C393" s="310" t="s">
        <v>27</v>
      </c>
      <c r="E393" s="308">
        <v>35</v>
      </c>
      <c r="F393" s="41">
        <f t="shared" si="16"/>
        <v>0</v>
      </c>
      <c r="G393" s="308"/>
    </row>
    <row r="394" spans="1:7" ht="14.4" customHeight="1" x14ac:dyDescent="0.3">
      <c r="A394" s="306"/>
      <c r="B394" s="387" t="s">
        <v>330</v>
      </c>
      <c r="C394" s="310" t="s">
        <v>27</v>
      </c>
      <c r="E394" s="308">
        <v>35</v>
      </c>
      <c r="F394" s="41">
        <f t="shared" si="16"/>
        <v>0</v>
      </c>
      <c r="G394" s="308"/>
    </row>
    <row r="395" spans="1:7" ht="14.4" customHeight="1" x14ac:dyDescent="0.3">
      <c r="A395" s="306"/>
      <c r="B395" s="387" t="s">
        <v>331</v>
      </c>
      <c r="C395" s="310" t="s">
        <v>27</v>
      </c>
      <c r="E395" s="308">
        <v>35</v>
      </c>
      <c r="F395" s="41">
        <f t="shared" si="16"/>
        <v>0</v>
      </c>
      <c r="G395" s="308"/>
    </row>
    <row r="396" spans="1:7" ht="14.4" customHeight="1" x14ac:dyDescent="0.3">
      <c r="A396" s="306"/>
      <c r="B396" s="306" t="s">
        <v>332</v>
      </c>
      <c r="C396" s="310" t="s">
        <v>27</v>
      </c>
      <c r="E396" s="308">
        <v>26</v>
      </c>
      <c r="F396" s="41">
        <f t="shared" si="16"/>
        <v>0</v>
      </c>
      <c r="G396" s="308"/>
    </row>
    <row r="397" spans="1:7" ht="14.4" customHeight="1" x14ac:dyDescent="0.3">
      <c r="A397" s="306"/>
      <c r="B397" s="306" t="s">
        <v>333</v>
      </c>
      <c r="C397" s="310" t="s">
        <v>27</v>
      </c>
      <c r="E397" s="308">
        <v>35</v>
      </c>
      <c r="F397" s="41">
        <f t="shared" si="16"/>
        <v>0</v>
      </c>
      <c r="G397" s="308"/>
    </row>
    <row r="398" spans="1:7" ht="14.4" customHeight="1" x14ac:dyDescent="0.3">
      <c r="A398" s="306"/>
      <c r="B398" s="387" t="s">
        <v>334</v>
      </c>
      <c r="C398" s="310" t="s">
        <v>27</v>
      </c>
      <c r="E398" s="308">
        <v>10.87</v>
      </c>
      <c r="F398" s="41">
        <f t="shared" si="16"/>
        <v>0</v>
      </c>
      <c r="G398" s="308"/>
    </row>
    <row r="399" spans="1:7" ht="14.4" customHeight="1" x14ac:dyDescent="0.3">
      <c r="A399" s="306"/>
      <c r="B399" s="387" t="s">
        <v>335</v>
      </c>
      <c r="C399" s="310" t="s">
        <v>27</v>
      </c>
      <c r="E399" s="308">
        <v>35</v>
      </c>
      <c r="F399" s="41">
        <f t="shared" si="16"/>
        <v>0</v>
      </c>
      <c r="G399" s="308"/>
    </row>
    <row r="400" spans="1:7" ht="14.4" customHeight="1" x14ac:dyDescent="0.3">
      <c r="A400" s="306"/>
      <c r="B400" s="306" t="s">
        <v>336</v>
      </c>
      <c r="C400" s="310" t="s">
        <v>27</v>
      </c>
      <c r="E400" s="308">
        <v>20</v>
      </c>
      <c r="F400" s="41">
        <f t="shared" si="16"/>
        <v>0</v>
      </c>
      <c r="G400" s="308"/>
    </row>
    <row r="401" spans="1:7" ht="14.4" customHeight="1" x14ac:dyDescent="0.3">
      <c r="A401" s="306"/>
      <c r="B401" s="306" t="s">
        <v>337</v>
      </c>
      <c r="C401" s="310" t="s">
        <v>27</v>
      </c>
      <c r="D401" s="40">
        <v>4</v>
      </c>
      <c r="E401" s="308">
        <v>20</v>
      </c>
      <c r="F401" s="41">
        <f t="shared" si="16"/>
        <v>80</v>
      </c>
      <c r="G401" s="308"/>
    </row>
    <row r="402" spans="1:7" ht="14.4" customHeight="1" x14ac:dyDescent="0.3">
      <c r="A402" s="306"/>
      <c r="B402" s="387" t="s">
        <v>338</v>
      </c>
      <c r="C402" s="310" t="s">
        <v>27</v>
      </c>
      <c r="D402" s="40">
        <v>5</v>
      </c>
      <c r="E402" s="308">
        <v>18</v>
      </c>
      <c r="F402" s="41">
        <f t="shared" si="16"/>
        <v>90</v>
      </c>
    </row>
    <row r="403" spans="1:7" ht="14.4" customHeight="1" x14ac:dyDescent="0.3">
      <c r="A403" s="306"/>
      <c r="B403" s="387" t="s">
        <v>339</v>
      </c>
      <c r="C403" s="310" t="s">
        <v>27</v>
      </c>
      <c r="E403" s="308"/>
      <c r="F403" s="41">
        <f t="shared" si="16"/>
        <v>0</v>
      </c>
    </row>
    <row r="404" spans="1:7" ht="14.4" customHeight="1" x14ac:dyDescent="0.3">
      <c r="A404" s="306"/>
      <c r="B404" s="387" t="s">
        <v>340</v>
      </c>
      <c r="C404" s="310" t="s">
        <v>27</v>
      </c>
      <c r="E404" s="308"/>
      <c r="F404" s="41">
        <f t="shared" si="16"/>
        <v>0</v>
      </c>
    </row>
    <row r="405" spans="1:7" ht="14.4" customHeight="1" x14ac:dyDescent="0.3">
      <c r="A405" s="306"/>
      <c r="B405" s="306" t="s">
        <v>341</v>
      </c>
      <c r="C405" s="310" t="s">
        <v>27</v>
      </c>
      <c r="E405" s="308">
        <v>35</v>
      </c>
      <c r="F405" s="41">
        <f t="shared" si="16"/>
        <v>0</v>
      </c>
    </row>
    <row r="406" spans="1:7" ht="14.4" customHeight="1" x14ac:dyDescent="0.3">
      <c r="A406" s="306"/>
      <c r="B406" s="306" t="s">
        <v>342</v>
      </c>
      <c r="C406" s="310" t="s">
        <v>27</v>
      </c>
      <c r="E406" s="308">
        <v>102.5</v>
      </c>
      <c r="F406" s="41">
        <f t="shared" si="16"/>
        <v>0</v>
      </c>
    </row>
    <row r="407" spans="1:7" ht="14.4" customHeight="1" x14ac:dyDescent="0.3">
      <c r="A407" s="306"/>
      <c r="B407" s="306" t="s">
        <v>343</v>
      </c>
      <c r="C407" s="310" t="s">
        <v>27</v>
      </c>
      <c r="E407" s="308">
        <v>235</v>
      </c>
      <c r="F407" s="41">
        <f t="shared" si="16"/>
        <v>0</v>
      </c>
    </row>
    <row r="408" spans="1:7" ht="14.4" customHeight="1" x14ac:dyDescent="0.3">
      <c r="A408" s="306"/>
      <c r="B408" s="306" t="s">
        <v>344</v>
      </c>
      <c r="C408" s="310" t="s">
        <v>27</v>
      </c>
      <c r="E408" s="308">
        <v>100</v>
      </c>
      <c r="F408" s="41">
        <f t="shared" si="16"/>
        <v>0</v>
      </c>
    </row>
    <row r="409" spans="1:7" ht="14.4" customHeight="1" x14ac:dyDescent="0.3">
      <c r="A409" s="306"/>
      <c r="B409" s="306" t="s">
        <v>345</v>
      </c>
      <c r="C409" s="310" t="s">
        <v>27</v>
      </c>
      <c r="E409" s="308">
        <v>47.41</v>
      </c>
      <c r="F409" s="41">
        <f t="shared" si="16"/>
        <v>0</v>
      </c>
    </row>
    <row r="410" spans="1:7" ht="14.4" customHeight="1" x14ac:dyDescent="0.3">
      <c r="A410" s="306"/>
      <c r="B410" s="306" t="s">
        <v>346</v>
      </c>
      <c r="C410" s="310" t="s">
        <v>27</v>
      </c>
      <c r="E410" s="308">
        <v>41.69</v>
      </c>
      <c r="F410" s="41">
        <f t="shared" si="16"/>
        <v>0</v>
      </c>
    </row>
    <row r="411" spans="1:7" ht="14.4" customHeight="1" x14ac:dyDescent="0.3">
      <c r="A411" s="306"/>
      <c r="B411" s="306" t="s">
        <v>1031</v>
      </c>
      <c r="C411" s="310" t="s">
        <v>27</v>
      </c>
      <c r="E411" s="308">
        <v>200</v>
      </c>
      <c r="F411" s="41">
        <f t="shared" si="16"/>
        <v>0</v>
      </c>
    </row>
    <row r="412" spans="1:7" ht="14.4" customHeight="1" x14ac:dyDescent="0.3">
      <c r="A412" s="306"/>
      <c r="B412" s="306" t="s">
        <v>347</v>
      </c>
      <c r="C412" s="310" t="s">
        <v>27</v>
      </c>
      <c r="E412" s="308">
        <v>85.55</v>
      </c>
      <c r="F412" s="41">
        <f t="shared" si="16"/>
        <v>0</v>
      </c>
    </row>
    <row r="413" spans="1:7" ht="14.4" customHeight="1" x14ac:dyDescent="0.3">
      <c r="A413" s="306"/>
      <c r="B413" s="306" t="s">
        <v>348</v>
      </c>
      <c r="C413" s="310" t="s">
        <v>27</v>
      </c>
      <c r="E413" s="308">
        <v>70</v>
      </c>
      <c r="F413" s="41">
        <f t="shared" si="16"/>
        <v>0</v>
      </c>
    </row>
    <row r="414" spans="1:7" ht="14.4" customHeight="1" x14ac:dyDescent="0.3">
      <c r="A414" s="306"/>
      <c r="B414" s="306" t="s">
        <v>349</v>
      </c>
      <c r="C414" s="310" t="s">
        <v>27</v>
      </c>
      <c r="E414" s="308">
        <v>19</v>
      </c>
      <c r="F414" s="41">
        <f t="shared" si="16"/>
        <v>0</v>
      </c>
    </row>
    <row r="415" spans="1:7" ht="14.4" customHeight="1" x14ac:dyDescent="0.3">
      <c r="A415" s="306"/>
      <c r="B415" s="306"/>
      <c r="C415" s="310"/>
      <c r="E415" s="308">
        <v>16</v>
      </c>
      <c r="F415" s="41">
        <f t="shared" si="16"/>
        <v>0</v>
      </c>
    </row>
    <row r="416" spans="1:7" ht="14.4" customHeight="1" x14ac:dyDescent="0.3">
      <c r="A416" s="306"/>
      <c r="B416" s="387" t="s">
        <v>350</v>
      </c>
      <c r="C416" s="310" t="s">
        <v>25</v>
      </c>
      <c r="E416" s="308"/>
      <c r="F416" s="41">
        <f t="shared" si="16"/>
        <v>0</v>
      </c>
    </row>
    <row r="417" spans="1:9" ht="14.4" customHeight="1" x14ac:dyDescent="0.3">
      <c r="A417" s="306"/>
      <c r="B417" s="387" t="s">
        <v>1032</v>
      </c>
      <c r="C417" s="310" t="s">
        <v>25</v>
      </c>
      <c r="E417" s="308">
        <f>535.6/6</f>
        <v>89.266666666666666</v>
      </c>
      <c r="F417" s="41">
        <f t="shared" si="16"/>
        <v>0</v>
      </c>
    </row>
    <row r="418" spans="1:9" ht="14.4" customHeight="1" x14ac:dyDescent="0.3">
      <c r="A418" s="306"/>
      <c r="B418" s="387" t="s">
        <v>1033</v>
      </c>
      <c r="C418" s="310" t="s">
        <v>25</v>
      </c>
      <c r="E418" s="308">
        <f>335.2/6</f>
        <v>55.866666666666667</v>
      </c>
      <c r="F418" s="41">
        <f t="shared" si="16"/>
        <v>0</v>
      </c>
    </row>
    <row r="419" spans="1:9" ht="14.4" customHeight="1" x14ac:dyDescent="0.3">
      <c r="A419" s="306"/>
      <c r="B419" s="306" t="s">
        <v>351</v>
      </c>
      <c r="C419" s="310" t="s">
        <v>25</v>
      </c>
      <c r="E419" s="308">
        <f>278.5/6</f>
        <v>46.416666666666664</v>
      </c>
      <c r="F419" s="41">
        <f t="shared" si="16"/>
        <v>0</v>
      </c>
    </row>
    <row r="420" spans="1:9" ht="14.4" customHeight="1" x14ac:dyDescent="0.3">
      <c r="A420" s="306"/>
      <c r="B420" s="387" t="s">
        <v>352</v>
      </c>
      <c r="C420" s="310" t="s">
        <v>25</v>
      </c>
      <c r="D420" s="40">
        <v>17.86</v>
      </c>
      <c r="E420" s="311">
        <f>132.03/6</f>
        <v>22.004999999999999</v>
      </c>
      <c r="F420" s="41">
        <f t="shared" si="16"/>
        <v>393.0093</v>
      </c>
      <c r="G420">
        <v>18</v>
      </c>
      <c r="H420" s="457" t="s">
        <v>1034</v>
      </c>
      <c r="I420" s="457" t="s">
        <v>354</v>
      </c>
    </row>
    <row r="421" spans="1:9" ht="14.4" customHeight="1" x14ac:dyDescent="0.3">
      <c r="A421" s="306"/>
      <c r="B421" s="306" t="s">
        <v>355</v>
      </c>
      <c r="C421" s="310" t="s">
        <v>27</v>
      </c>
      <c r="D421" s="40">
        <v>2</v>
      </c>
      <c r="E421" s="311">
        <f>119.88/6*1.5</f>
        <v>29.97</v>
      </c>
      <c r="F421" s="41">
        <f t="shared" si="16"/>
        <v>59.94</v>
      </c>
      <c r="I421" s="457" t="s">
        <v>356</v>
      </c>
    </row>
    <row r="422" spans="1:9" ht="14.4" customHeight="1" x14ac:dyDescent="0.3">
      <c r="A422" s="306"/>
      <c r="B422" s="417" t="s">
        <v>1035</v>
      </c>
      <c r="C422" s="310" t="s">
        <v>27</v>
      </c>
      <c r="D422" s="40">
        <v>1</v>
      </c>
      <c r="E422" s="311">
        <f>15*1.5</f>
        <v>22.5</v>
      </c>
      <c r="F422" s="41">
        <f t="shared" si="16"/>
        <v>22.5</v>
      </c>
      <c r="I422" s="457" t="s">
        <v>356</v>
      </c>
    </row>
    <row r="423" spans="1:9" ht="14.4" customHeight="1" x14ac:dyDescent="0.3">
      <c r="A423" s="306"/>
      <c r="B423" s="306" t="s">
        <v>357</v>
      </c>
      <c r="C423" s="310" t="s">
        <v>25</v>
      </c>
      <c r="D423" s="40">
        <v>112.72</v>
      </c>
      <c r="E423" s="311">
        <f>80.63/6</f>
        <v>13.438333333333333</v>
      </c>
      <c r="F423" s="41">
        <f t="shared" si="16"/>
        <v>1514.7689333333333</v>
      </c>
      <c r="G423">
        <v>113</v>
      </c>
      <c r="H423" s="457" t="s">
        <v>1036</v>
      </c>
    </row>
    <row r="424" spans="1:9" ht="14.4" customHeight="1" x14ac:dyDescent="0.3">
      <c r="A424" s="306"/>
      <c r="B424" s="387" t="s">
        <v>359</v>
      </c>
      <c r="C424" s="310" t="s">
        <v>27</v>
      </c>
      <c r="D424" s="40">
        <v>1</v>
      </c>
      <c r="E424" s="311">
        <f>23.51*1.5</f>
        <v>35.265000000000001</v>
      </c>
      <c r="F424" s="41">
        <f t="shared" ref="F424:F433" si="17">E424*D424</f>
        <v>35.265000000000001</v>
      </c>
      <c r="I424" s="457" t="s">
        <v>356</v>
      </c>
    </row>
    <row r="425" spans="1:9" ht="14.4" customHeight="1" x14ac:dyDescent="0.3">
      <c r="A425" s="306"/>
      <c r="B425" s="306" t="s">
        <v>361</v>
      </c>
      <c r="C425" s="310" t="s">
        <v>27</v>
      </c>
      <c r="D425" s="40">
        <v>15</v>
      </c>
      <c r="E425" s="311">
        <f>7.17*1.5</f>
        <v>10.754999999999999</v>
      </c>
      <c r="F425" s="41">
        <f t="shared" si="17"/>
        <v>161.32499999999999</v>
      </c>
      <c r="I425" s="457" t="s">
        <v>356</v>
      </c>
    </row>
    <row r="426" spans="1:9" ht="14.4" customHeight="1" x14ac:dyDescent="0.3">
      <c r="A426" s="306"/>
      <c r="B426" s="306" t="s">
        <v>362</v>
      </c>
      <c r="C426" s="310" t="s">
        <v>25</v>
      </c>
      <c r="D426" s="40">
        <v>19.88</v>
      </c>
      <c r="E426" s="311">
        <f>82/6</f>
        <v>13.666666666666666</v>
      </c>
      <c r="F426" s="41">
        <f t="shared" si="17"/>
        <v>271.69333333333333</v>
      </c>
      <c r="G426">
        <v>20</v>
      </c>
      <c r="H426" s="457" t="s">
        <v>1037</v>
      </c>
    </row>
    <row r="427" spans="1:9" ht="14.4" customHeight="1" x14ac:dyDescent="0.3">
      <c r="A427" s="306"/>
      <c r="B427" s="387" t="s">
        <v>364</v>
      </c>
      <c r="C427" s="310" t="s">
        <v>27</v>
      </c>
      <c r="D427" s="40">
        <v>5</v>
      </c>
      <c r="E427" s="311">
        <f>58.71/6</f>
        <v>9.7850000000000001</v>
      </c>
      <c r="F427" s="41">
        <f t="shared" si="17"/>
        <v>48.924999999999997</v>
      </c>
    </row>
    <row r="428" spans="1:9" ht="14.4" customHeight="1" x14ac:dyDescent="0.3">
      <c r="A428" s="306"/>
      <c r="B428" s="306" t="s">
        <v>365</v>
      </c>
      <c r="C428" s="386" t="s">
        <v>27</v>
      </c>
      <c r="E428" s="308">
        <v>1.4</v>
      </c>
      <c r="F428" s="41">
        <f t="shared" si="17"/>
        <v>0</v>
      </c>
      <c r="G428" s="308"/>
    </row>
    <row r="429" spans="1:9" ht="14.4" customHeight="1" x14ac:dyDescent="0.3">
      <c r="A429" s="306"/>
      <c r="B429" s="306" t="s">
        <v>366</v>
      </c>
      <c r="C429" s="310" t="s">
        <v>27</v>
      </c>
      <c r="E429" s="308">
        <v>1.38</v>
      </c>
      <c r="F429" s="41">
        <f t="shared" si="17"/>
        <v>0</v>
      </c>
      <c r="G429" s="308"/>
    </row>
    <row r="430" spans="1:9" ht="14.4" customHeight="1" x14ac:dyDescent="0.3">
      <c r="A430" s="306"/>
      <c r="B430" s="306" t="s">
        <v>367</v>
      </c>
      <c r="C430" s="310" t="s">
        <v>27</v>
      </c>
      <c r="E430" s="308">
        <v>1.32</v>
      </c>
      <c r="F430" s="41">
        <f t="shared" si="17"/>
        <v>0</v>
      </c>
      <c r="G430" s="308"/>
    </row>
    <row r="431" spans="1:9" ht="14.4" customHeight="1" x14ac:dyDescent="0.3">
      <c r="A431" s="306"/>
      <c r="B431" s="306" t="s">
        <v>368</v>
      </c>
      <c r="C431" s="310" t="s">
        <v>27</v>
      </c>
      <c r="E431" s="308">
        <v>1.24</v>
      </c>
      <c r="F431" s="41">
        <f t="shared" si="17"/>
        <v>0</v>
      </c>
      <c r="G431" s="308"/>
    </row>
    <row r="432" spans="1:9" ht="14.4" customHeight="1" x14ac:dyDescent="0.3">
      <c r="A432" s="306"/>
      <c r="B432" s="306" t="s">
        <v>369</v>
      </c>
      <c r="C432" s="310" t="s">
        <v>25</v>
      </c>
      <c r="E432" s="308">
        <v>5.0999999999999996</v>
      </c>
      <c r="F432" s="41">
        <f t="shared" si="17"/>
        <v>0</v>
      </c>
      <c r="G432" s="308"/>
    </row>
    <row r="433" spans="1:9" ht="14.4" customHeight="1" x14ac:dyDescent="0.3">
      <c r="A433" s="306"/>
      <c r="B433" s="306"/>
      <c r="C433" s="310"/>
      <c r="E433" s="308"/>
      <c r="F433" s="41">
        <f t="shared" si="17"/>
        <v>0</v>
      </c>
    </row>
    <row r="434" spans="1:9" ht="14.4" customHeight="1" x14ac:dyDescent="0.3">
      <c r="A434" s="306"/>
      <c r="B434" s="306"/>
      <c r="C434" s="310"/>
      <c r="E434" s="308"/>
    </row>
    <row r="435" spans="1:9" ht="14.4" customHeight="1" x14ac:dyDescent="0.3">
      <c r="A435" s="306"/>
      <c r="B435" s="387" t="s">
        <v>1038</v>
      </c>
      <c r="C435" s="310" t="s">
        <v>27</v>
      </c>
      <c r="E435" s="308">
        <v>118.5</v>
      </c>
      <c r="F435" s="41">
        <f t="shared" ref="F435:F498" si="18">E435*D435</f>
        <v>0</v>
      </c>
    </row>
    <row r="436" spans="1:9" ht="14.4" customHeight="1" x14ac:dyDescent="0.3">
      <c r="A436" s="306"/>
      <c r="B436" s="387" t="s">
        <v>1039</v>
      </c>
      <c r="C436" s="310" t="s">
        <v>27</v>
      </c>
      <c r="E436" s="308">
        <v>79.8</v>
      </c>
      <c r="F436" s="41">
        <f t="shared" si="18"/>
        <v>0</v>
      </c>
    </row>
    <row r="437" spans="1:9" ht="14.4" customHeight="1" x14ac:dyDescent="0.3">
      <c r="A437" s="306"/>
      <c r="B437" s="387" t="s">
        <v>1040</v>
      </c>
      <c r="C437" s="310" t="s">
        <v>27</v>
      </c>
      <c r="E437" s="308">
        <v>45.02</v>
      </c>
      <c r="F437" s="41">
        <f t="shared" si="18"/>
        <v>0</v>
      </c>
    </row>
    <row r="438" spans="1:9" ht="14.4" customHeight="1" x14ac:dyDescent="0.3">
      <c r="A438" s="306"/>
      <c r="B438" s="387" t="s">
        <v>370</v>
      </c>
      <c r="C438" s="310" t="s">
        <v>27</v>
      </c>
      <c r="D438" s="40">
        <v>3</v>
      </c>
      <c r="E438" s="308">
        <f>17.37*1.5</f>
        <v>26.055</v>
      </c>
      <c r="F438" s="41">
        <f t="shared" si="18"/>
        <v>78.164999999999992</v>
      </c>
      <c r="I438" s="457" t="s">
        <v>356</v>
      </c>
    </row>
    <row r="439" spans="1:9" ht="14.4" customHeight="1" x14ac:dyDescent="0.3">
      <c r="A439" s="306"/>
      <c r="B439" s="387" t="s">
        <v>372</v>
      </c>
      <c r="C439" s="310" t="s">
        <v>27</v>
      </c>
      <c r="D439" s="40">
        <v>35</v>
      </c>
      <c r="E439" s="308">
        <f>7.7*1.5</f>
        <v>11.55</v>
      </c>
      <c r="F439" s="41">
        <f t="shared" si="18"/>
        <v>404.25</v>
      </c>
      <c r="I439" s="457" t="s">
        <v>356</v>
      </c>
    </row>
    <row r="440" spans="1:9" ht="14.4" customHeight="1" x14ac:dyDescent="0.3">
      <c r="A440" s="306"/>
      <c r="B440" s="387" t="s">
        <v>373</v>
      </c>
      <c r="C440" s="310" t="s">
        <v>27</v>
      </c>
      <c r="D440" s="40">
        <v>16</v>
      </c>
      <c r="E440" s="308">
        <v>4.58</v>
      </c>
      <c r="F440" s="41">
        <f t="shared" si="18"/>
        <v>73.28</v>
      </c>
    </row>
    <row r="441" spans="1:9" ht="14.4" customHeight="1" x14ac:dyDescent="0.3">
      <c r="A441" s="306"/>
      <c r="B441" s="306"/>
      <c r="C441" s="310"/>
      <c r="E441" s="308"/>
      <c r="F441" s="41">
        <f t="shared" si="18"/>
        <v>0</v>
      </c>
    </row>
    <row r="442" spans="1:9" ht="14.4" customHeight="1" x14ac:dyDescent="0.3">
      <c r="A442" s="306"/>
      <c r="B442" s="423" t="s">
        <v>1041</v>
      </c>
      <c r="C442" s="421" t="s">
        <v>27</v>
      </c>
      <c r="D442" s="379">
        <v>1</v>
      </c>
      <c r="E442" s="380">
        <f>35*1.5</f>
        <v>52.5</v>
      </c>
      <c r="F442" s="381">
        <f t="shared" si="18"/>
        <v>52.5</v>
      </c>
      <c r="I442" s="457" t="s">
        <v>356</v>
      </c>
    </row>
    <row r="443" spans="1:9" ht="14.4" customHeight="1" x14ac:dyDescent="0.3">
      <c r="A443" s="306"/>
      <c r="B443" s="423" t="s">
        <v>375</v>
      </c>
      <c r="C443" s="421" t="s">
        <v>27</v>
      </c>
      <c r="D443" s="379">
        <v>2</v>
      </c>
      <c r="E443" s="380">
        <f>25*1.5</f>
        <v>37.5</v>
      </c>
      <c r="F443" s="381">
        <f t="shared" si="18"/>
        <v>75</v>
      </c>
      <c r="I443" s="457" t="s">
        <v>356</v>
      </c>
    </row>
    <row r="444" spans="1:9" ht="14.4" customHeight="1" x14ac:dyDescent="0.3">
      <c r="A444" s="387" t="s">
        <v>376</v>
      </c>
      <c r="B444" s="306"/>
      <c r="C444" s="310"/>
      <c r="E444" s="308"/>
      <c r="F444" s="41">
        <f t="shared" si="18"/>
        <v>0</v>
      </c>
    </row>
    <row r="445" spans="1:9" ht="14.4" customHeight="1" x14ac:dyDescent="0.3">
      <c r="A445" s="306"/>
      <c r="B445" s="306" t="s">
        <v>377</v>
      </c>
      <c r="C445" s="310"/>
      <c r="E445" s="308"/>
      <c r="F445" s="41">
        <f t="shared" si="18"/>
        <v>0</v>
      </c>
    </row>
    <row r="446" spans="1:9" ht="14.4" customHeight="1" x14ac:dyDescent="0.3">
      <c r="A446" s="306"/>
      <c r="B446" s="306" t="s">
        <v>378</v>
      </c>
      <c r="C446" s="310" t="s">
        <v>27</v>
      </c>
      <c r="E446" s="308">
        <v>13.5</v>
      </c>
      <c r="F446" s="41">
        <f t="shared" si="18"/>
        <v>0</v>
      </c>
    </row>
    <row r="447" spans="1:9" ht="14.4" customHeight="1" x14ac:dyDescent="0.3">
      <c r="A447" s="306"/>
      <c r="B447" s="306" t="s">
        <v>379</v>
      </c>
      <c r="C447" s="310" t="s">
        <v>27</v>
      </c>
      <c r="E447" s="308">
        <v>13.5</v>
      </c>
      <c r="F447" s="41">
        <f t="shared" si="18"/>
        <v>0</v>
      </c>
    </row>
    <row r="448" spans="1:9" ht="14.4" customHeight="1" x14ac:dyDescent="0.3">
      <c r="A448" s="306"/>
      <c r="B448" s="306" t="s">
        <v>380</v>
      </c>
      <c r="C448" s="310" t="s">
        <v>27</v>
      </c>
      <c r="E448" s="308">
        <v>9.5</v>
      </c>
      <c r="F448" s="41">
        <f t="shared" si="18"/>
        <v>0</v>
      </c>
    </row>
    <row r="449" spans="1:6" ht="14.4" customHeight="1" x14ac:dyDescent="0.3">
      <c r="A449" s="306"/>
      <c r="B449" s="306" t="s">
        <v>381</v>
      </c>
      <c r="C449" s="310" t="s">
        <v>27</v>
      </c>
      <c r="E449" s="308">
        <v>18.5</v>
      </c>
      <c r="F449" s="41">
        <f t="shared" si="18"/>
        <v>0</v>
      </c>
    </row>
    <row r="450" spans="1:6" ht="14.4" customHeight="1" x14ac:dyDescent="0.3">
      <c r="A450" s="306"/>
      <c r="B450" s="306" t="s">
        <v>382</v>
      </c>
      <c r="C450" s="310" t="s">
        <v>27</v>
      </c>
      <c r="E450" s="308">
        <v>18.5</v>
      </c>
      <c r="F450" s="41">
        <f t="shared" si="18"/>
        <v>0</v>
      </c>
    </row>
    <row r="451" spans="1:6" ht="14.4" customHeight="1" x14ac:dyDescent="0.3">
      <c r="A451" s="306"/>
      <c r="B451" s="306" t="s">
        <v>383</v>
      </c>
      <c r="C451" s="310" t="s">
        <v>27</v>
      </c>
      <c r="E451" s="308">
        <v>6</v>
      </c>
      <c r="F451" s="41">
        <f t="shared" si="18"/>
        <v>0</v>
      </c>
    </row>
    <row r="452" spans="1:6" ht="14.4" customHeight="1" x14ac:dyDescent="0.3">
      <c r="A452" s="306"/>
      <c r="B452" s="306" t="s">
        <v>384</v>
      </c>
      <c r="C452" s="310" t="s">
        <v>27</v>
      </c>
      <c r="E452" s="308">
        <v>5.5</v>
      </c>
      <c r="F452" s="41">
        <f t="shared" si="18"/>
        <v>0</v>
      </c>
    </row>
    <row r="453" spans="1:6" ht="14.4" customHeight="1" x14ac:dyDescent="0.3">
      <c r="A453" s="306"/>
      <c r="B453" s="306" t="s">
        <v>385</v>
      </c>
      <c r="C453" s="310" t="s">
        <v>27</v>
      </c>
      <c r="E453" s="308">
        <v>17.5</v>
      </c>
      <c r="F453" s="41">
        <f t="shared" si="18"/>
        <v>0</v>
      </c>
    </row>
    <row r="454" spans="1:6" ht="14.4" customHeight="1" x14ac:dyDescent="0.3">
      <c r="A454" s="306"/>
      <c r="B454" s="306" t="s">
        <v>386</v>
      </c>
      <c r="C454" s="310" t="s">
        <v>27</v>
      </c>
      <c r="E454" s="308">
        <v>16.5</v>
      </c>
      <c r="F454" s="41">
        <f t="shared" si="18"/>
        <v>0</v>
      </c>
    </row>
    <row r="455" spans="1:6" ht="14.4" customHeight="1" x14ac:dyDescent="0.3">
      <c r="A455" s="306"/>
      <c r="B455" s="306" t="s">
        <v>387</v>
      </c>
      <c r="C455" s="310" t="s">
        <v>27</v>
      </c>
      <c r="E455" s="308">
        <v>2.5</v>
      </c>
      <c r="F455" s="41">
        <f t="shared" si="18"/>
        <v>0</v>
      </c>
    </row>
    <row r="456" spans="1:6" ht="14.4" customHeight="1" x14ac:dyDescent="0.3">
      <c r="A456" s="306"/>
      <c r="B456" s="306" t="s">
        <v>388</v>
      </c>
      <c r="C456" s="310" t="s">
        <v>27</v>
      </c>
      <c r="E456" s="308">
        <v>43.5</v>
      </c>
      <c r="F456" s="41">
        <f t="shared" si="18"/>
        <v>0</v>
      </c>
    </row>
    <row r="457" spans="1:6" ht="14.4" customHeight="1" x14ac:dyDescent="0.3">
      <c r="A457" s="306"/>
      <c r="B457" s="306" t="s">
        <v>389</v>
      </c>
      <c r="C457" s="310" t="s">
        <v>27</v>
      </c>
      <c r="E457" s="308">
        <v>43.5</v>
      </c>
      <c r="F457" s="41">
        <f t="shared" si="18"/>
        <v>0</v>
      </c>
    </row>
    <row r="458" spans="1:6" ht="14.4" customHeight="1" x14ac:dyDescent="0.3">
      <c r="A458" s="306"/>
      <c r="B458" s="306" t="s">
        <v>390</v>
      </c>
      <c r="C458" s="310" t="s">
        <v>27</v>
      </c>
      <c r="E458" s="308">
        <v>45.5</v>
      </c>
      <c r="F458" s="41">
        <f t="shared" si="18"/>
        <v>0</v>
      </c>
    </row>
    <row r="459" spans="1:6" ht="14.4" customHeight="1" x14ac:dyDescent="0.3">
      <c r="A459" s="306"/>
      <c r="B459" s="306" t="s">
        <v>391</v>
      </c>
      <c r="C459" s="310" t="s">
        <v>27</v>
      </c>
      <c r="E459" s="308">
        <v>76</v>
      </c>
      <c r="F459" s="41">
        <f t="shared" si="18"/>
        <v>0</v>
      </c>
    </row>
    <row r="460" spans="1:6" ht="14.4" customHeight="1" x14ac:dyDescent="0.3">
      <c r="A460" s="306"/>
      <c r="B460" s="306" t="s">
        <v>392</v>
      </c>
      <c r="C460" s="310" t="s">
        <v>27</v>
      </c>
      <c r="E460" s="308">
        <v>11.5</v>
      </c>
      <c r="F460" s="41">
        <f t="shared" si="18"/>
        <v>0</v>
      </c>
    </row>
    <row r="461" spans="1:6" ht="14.4" customHeight="1" x14ac:dyDescent="0.3">
      <c r="A461" s="306"/>
      <c r="B461" s="306" t="s">
        <v>393</v>
      </c>
      <c r="C461" s="310" t="s">
        <v>27</v>
      </c>
      <c r="E461" s="308">
        <v>11.5</v>
      </c>
      <c r="F461" s="41">
        <f t="shared" si="18"/>
        <v>0</v>
      </c>
    </row>
    <row r="462" spans="1:6" ht="14.4" customHeight="1" x14ac:dyDescent="0.3">
      <c r="A462" s="306"/>
      <c r="B462" s="306" t="s">
        <v>394</v>
      </c>
      <c r="C462" s="310" t="s">
        <v>27</v>
      </c>
      <c r="E462" s="308">
        <v>12</v>
      </c>
      <c r="F462" s="41">
        <f t="shared" si="18"/>
        <v>0</v>
      </c>
    </row>
    <row r="463" spans="1:6" ht="14.4" customHeight="1" x14ac:dyDescent="0.3">
      <c r="A463" s="306"/>
      <c r="B463" s="306" t="s">
        <v>395</v>
      </c>
      <c r="C463" s="310" t="s">
        <v>27</v>
      </c>
      <c r="E463" s="308">
        <v>18.5</v>
      </c>
      <c r="F463" s="41">
        <f t="shared" si="18"/>
        <v>0</v>
      </c>
    </row>
    <row r="464" spans="1:6" ht="14.4" customHeight="1" x14ac:dyDescent="0.3">
      <c r="A464" s="306"/>
      <c r="B464" s="306" t="s">
        <v>396</v>
      </c>
      <c r="C464" s="310" t="s">
        <v>27</v>
      </c>
      <c r="E464" s="308">
        <v>19.5</v>
      </c>
      <c r="F464" s="41">
        <f t="shared" si="18"/>
        <v>0</v>
      </c>
    </row>
    <row r="465" spans="1:6" ht="14.4" customHeight="1" x14ac:dyDescent="0.3">
      <c r="A465" s="306"/>
      <c r="B465" s="306" t="s">
        <v>397</v>
      </c>
      <c r="C465" s="310" t="s">
        <v>27</v>
      </c>
      <c r="E465" s="308">
        <v>4.5</v>
      </c>
      <c r="F465" s="41">
        <f t="shared" si="18"/>
        <v>0</v>
      </c>
    </row>
    <row r="466" spans="1:6" ht="14.4" customHeight="1" x14ac:dyDescent="0.3">
      <c r="A466" s="306"/>
      <c r="B466" s="306" t="s">
        <v>398</v>
      </c>
      <c r="C466" s="310" t="s">
        <v>27</v>
      </c>
      <c r="E466" s="308">
        <v>10.5</v>
      </c>
      <c r="F466" s="41">
        <f t="shared" si="18"/>
        <v>0</v>
      </c>
    </row>
    <row r="467" spans="1:6" ht="14.4" customHeight="1" x14ac:dyDescent="0.3">
      <c r="A467" s="306"/>
      <c r="B467" s="306" t="s">
        <v>399</v>
      </c>
      <c r="C467" s="310" t="s">
        <v>27</v>
      </c>
      <c r="E467" s="308">
        <v>14.5</v>
      </c>
      <c r="F467" s="41">
        <f t="shared" si="18"/>
        <v>0</v>
      </c>
    </row>
    <row r="468" spans="1:6" ht="14.4" customHeight="1" x14ac:dyDescent="0.3">
      <c r="A468" s="306"/>
      <c r="B468" s="306" t="s">
        <v>400</v>
      </c>
      <c r="C468" s="310" t="s">
        <v>27</v>
      </c>
      <c r="E468" s="308">
        <v>28.5</v>
      </c>
      <c r="F468" s="41">
        <f t="shared" si="18"/>
        <v>0</v>
      </c>
    </row>
    <row r="469" spans="1:6" ht="14.4" customHeight="1" x14ac:dyDescent="0.3">
      <c r="A469" s="306"/>
      <c r="B469" s="306" t="s">
        <v>401</v>
      </c>
      <c r="C469" s="310" t="s">
        <v>27</v>
      </c>
      <c r="E469" s="308">
        <v>29.5</v>
      </c>
      <c r="F469" s="41">
        <f t="shared" si="18"/>
        <v>0</v>
      </c>
    </row>
    <row r="470" spans="1:6" ht="14.4" customHeight="1" x14ac:dyDescent="0.3">
      <c r="A470" s="306"/>
      <c r="B470" s="306" t="s">
        <v>402</v>
      </c>
      <c r="C470" s="310" t="s">
        <v>27</v>
      </c>
      <c r="E470" s="308">
        <v>36</v>
      </c>
      <c r="F470" s="41">
        <f t="shared" si="18"/>
        <v>0</v>
      </c>
    </row>
    <row r="471" spans="1:6" ht="14.4" customHeight="1" x14ac:dyDescent="0.3">
      <c r="A471" s="306"/>
      <c r="B471" s="306" t="s">
        <v>403</v>
      </c>
      <c r="C471" s="310" t="s">
        <v>27</v>
      </c>
      <c r="E471" s="308">
        <v>54</v>
      </c>
      <c r="F471" s="41">
        <f t="shared" si="18"/>
        <v>0</v>
      </c>
    </row>
    <row r="472" spans="1:6" ht="14.4" customHeight="1" x14ac:dyDescent="0.3">
      <c r="A472" s="306"/>
      <c r="B472" s="306" t="s">
        <v>404</v>
      </c>
      <c r="C472" s="310" t="s">
        <v>27</v>
      </c>
      <c r="E472" s="308">
        <v>10.5</v>
      </c>
      <c r="F472" s="41">
        <f t="shared" si="18"/>
        <v>0</v>
      </c>
    </row>
    <row r="473" spans="1:6" ht="14.4" customHeight="1" x14ac:dyDescent="0.3">
      <c r="A473" s="306"/>
      <c r="B473" s="306" t="s">
        <v>405</v>
      </c>
      <c r="C473" s="310" t="s">
        <v>27</v>
      </c>
      <c r="E473" s="308">
        <v>10</v>
      </c>
      <c r="F473" s="41">
        <f t="shared" si="18"/>
        <v>0</v>
      </c>
    </row>
    <row r="474" spans="1:6" ht="14.4" customHeight="1" x14ac:dyDescent="0.3">
      <c r="A474" s="306"/>
      <c r="B474" s="306" t="s">
        <v>406</v>
      </c>
      <c r="C474" s="310" t="s">
        <v>27</v>
      </c>
      <c r="E474" s="308">
        <v>5.5</v>
      </c>
      <c r="F474" s="41">
        <f t="shared" si="18"/>
        <v>0</v>
      </c>
    </row>
    <row r="475" spans="1:6" ht="14.4" customHeight="1" x14ac:dyDescent="0.3">
      <c r="A475" s="306"/>
      <c r="B475" s="306" t="s">
        <v>407</v>
      </c>
      <c r="C475" s="310" t="s">
        <v>27</v>
      </c>
      <c r="E475" s="308">
        <v>18</v>
      </c>
      <c r="F475" s="41">
        <f t="shared" si="18"/>
        <v>0</v>
      </c>
    </row>
    <row r="476" spans="1:6" ht="14.4" customHeight="1" x14ac:dyDescent="0.3">
      <c r="A476" s="306"/>
      <c r="B476" s="306" t="s">
        <v>408</v>
      </c>
      <c r="C476" s="310" t="s">
        <v>27</v>
      </c>
      <c r="E476" s="308">
        <v>4.5</v>
      </c>
      <c r="F476" s="41">
        <f t="shared" si="18"/>
        <v>0</v>
      </c>
    </row>
    <row r="477" spans="1:6" ht="14.4" customHeight="1" x14ac:dyDescent="0.3">
      <c r="A477" s="306"/>
      <c r="B477" s="306" t="s">
        <v>409</v>
      </c>
      <c r="C477" s="310" t="s">
        <v>27</v>
      </c>
      <c r="E477" s="308">
        <v>6.5</v>
      </c>
      <c r="F477" s="41">
        <f t="shared" si="18"/>
        <v>0</v>
      </c>
    </row>
    <row r="478" spans="1:6" ht="14.4" customHeight="1" x14ac:dyDescent="0.3">
      <c r="A478" s="306"/>
      <c r="B478" s="306" t="s">
        <v>410</v>
      </c>
      <c r="C478" s="310" t="s">
        <v>27</v>
      </c>
      <c r="E478" s="308">
        <v>25.5</v>
      </c>
      <c r="F478" s="41">
        <f t="shared" si="18"/>
        <v>0</v>
      </c>
    </row>
    <row r="479" spans="1:6" ht="14.4" customHeight="1" x14ac:dyDescent="0.3">
      <c r="A479" s="306"/>
      <c r="B479" s="306" t="s">
        <v>411</v>
      </c>
      <c r="C479" s="310" t="s">
        <v>27</v>
      </c>
      <c r="E479" s="308">
        <v>22.5</v>
      </c>
      <c r="F479" s="41">
        <f t="shared" si="18"/>
        <v>0</v>
      </c>
    </row>
    <row r="480" spans="1:6" ht="14.4" customHeight="1" x14ac:dyDescent="0.3">
      <c r="A480" s="306"/>
      <c r="B480" s="306" t="s">
        <v>412</v>
      </c>
      <c r="C480" s="310" t="s">
        <v>27</v>
      </c>
      <c r="E480" s="308">
        <v>8.5</v>
      </c>
      <c r="F480" s="41">
        <f t="shared" si="18"/>
        <v>0</v>
      </c>
    </row>
    <row r="481" spans="1:6" ht="14.4" customHeight="1" x14ac:dyDescent="0.3">
      <c r="A481" s="306"/>
      <c r="B481" s="306" t="s">
        <v>413</v>
      </c>
      <c r="C481" s="310" t="s">
        <v>27</v>
      </c>
      <c r="E481" s="308">
        <v>6.5</v>
      </c>
      <c r="F481" s="41">
        <f t="shared" si="18"/>
        <v>0</v>
      </c>
    </row>
    <row r="482" spans="1:6" ht="14.4" customHeight="1" x14ac:dyDescent="0.3">
      <c r="A482" s="306"/>
      <c r="B482" s="306" t="s">
        <v>414</v>
      </c>
      <c r="C482" s="310" t="s">
        <v>27</v>
      </c>
      <c r="E482" s="308">
        <v>10.5</v>
      </c>
      <c r="F482" s="41">
        <f t="shared" si="18"/>
        <v>0</v>
      </c>
    </row>
    <row r="483" spans="1:6" ht="14.4" customHeight="1" x14ac:dyDescent="0.3">
      <c r="A483" s="306"/>
      <c r="B483" s="306" t="s">
        <v>415</v>
      </c>
      <c r="C483" s="310" t="s">
        <v>27</v>
      </c>
      <c r="E483" s="308">
        <v>0</v>
      </c>
      <c r="F483" s="41">
        <f t="shared" si="18"/>
        <v>0</v>
      </c>
    </row>
    <row r="484" spans="1:6" ht="14.4" customHeight="1" x14ac:dyDescent="0.3">
      <c r="A484" s="306"/>
      <c r="B484" s="306" t="s">
        <v>416</v>
      </c>
      <c r="C484" s="310" t="s">
        <v>27</v>
      </c>
      <c r="E484" s="308">
        <v>4.5</v>
      </c>
      <c r="F484" s="41">
        <f t="shared" si="18"/>
        <v>0</v>
      </c>
    </row>
    <row r="485" spans="1:6" ht="14.4" customHeight="1" x14ac:dyDescent="0.3">
      <c r="A485" s="306"/>
      <c r="B485" s="306" t="s">
        <v>417</v>
      </c>
      <c r="C485" s="310" t="s">
        <v>27</v>
      </c>
      <c r="E485" s="308">
        <v>4</v>
      </c>
      <c r="F485" s="41">
        <f t="shared" si="18"/>
        <v>0</v>
      </c>
    </row>
    <row r="486" spans="1:6" ht="14.4" customHeight="1" x14ac:dyDescent="0.3">
      <c r="A486" s="306"/>
      <c r="B486" s="306" t="s">
        <v>418</v>
      </c>
      <c r="C486" s="310" t="s">
        <v>27</v>
      </c>
      <c r="E486" s="308">
        <v>17</v>
      </c>
      <c r="F486" s="41">
        <f t="shared" si="18"/>
        <v>0</v>
      </c>
    </row>
    <row r="487" spans="1:6" ht="14.4" customHeight="1" x14ac:dyDescent="0.3">
      <c r="A487" s="306"/>
      <c r="B487" s="306" t="s">
        <v>419</v>
      </c>
      <c r="C487" s="310" t="s">
        <v>27</v>
      </c>
      <c r="E487" s="308">
        <v>17.5</v>
      </c>
      <c r="F487" s="41">
        <f t="shared" si="18"/>
        <v>0</v>
      </c>
    </row>
    <row r="488" spans="1:6" ht="14.4" customHeight="1" x14ac:dyDescent="0.3">
      <c r="A488" s="306"/>
      <c r="B488" s="306" t="s">
        <v>420</v>
      </c>
      <c r="C488" s="310" t="s">
        <v>27</v>
      </c>
      <c r="E488" s="308">
        <v>4.5</v>
      </c>
      <c r="F488" s="41">
        <f t="shared" si="18"/>
        <v>0</v>
      </c>
    </row>
    <row r="489" spans="1:6" ht="14.4" customHeight="1" x14ac:dyDescent="0.3">
      <c r="A489" s="306"/>
      <c r="B489" s="306" t="s">
        <v>421</v>
      </c>
      <c r="C489" s="310" t="s">
        <v>27</v>
      </c>
      <c r="E489" s="308">
        <v>2</v>
      </c>
      <c r="F489" s="41">
        <f t="shared" si="18"/>
        <v>0</v>
      </c>
    </row>
    <row r="490" spans="1:6" ht="14.4" customHeight="1" x14ac:dyDescent="0.3">
      <c r="A490" s="306"/>
      <c r="B490" s="306" t="s">
        <v>422</v>
      </c>
      <c r="C490" s="310" t="s">
        <v>27</v>
      </c>
      <c r="E490" s="308">
        <v>8.5</v>
      </c>
      <c r="F490" s="41">
        <f t="shared" si="18"/>
        <v>0</v>
      </c>
    </row>
    <row r="491" spans="1:6" ht="14.4" customHeight="1" x14ac:dyDescent="0.3">
      <c r="A491" s="387" t="s">
        <v>376</v>
      </c>
      <c r="B491" s="306"/>
      <c r="C491" s="310" t="s">
        <v>27</v>
      </c>
      <c r="E491" s="308">
        <v>4</v>
      </c>
      <c r="F491" s="41">
        <f t="shared" si="18"/>
        <v>0</v>
      </c>
    </row>
    <row r="492" spans="1:6" ht="14.4" customHeight="1" x14ac:dyDescent="0.3">
      <c r="A492" s="306"/>
      <c r="B492" s="306" t="s">
        <v>423</v>
      </c>
      <c r="C492" s="310"/>
      <c r="E492" s="308"/>
      <c r="F492" s="41">
        <f t="shared" si="18"/>
        <v>0</v>
      </c>
    </row>
    <row r="493" spans="1:6" ht="14.4" customHeight="1" x14ac:dyDescent="0.3">
      <c r="A493" s="306"/>
      <c r="B493" s="306" t="s">
        <v>424</v>
      </c>
      <c r="C493" s="310" t="s">
        <v>27</v>
      </c>
      <c r="E493" s="308">
        <v>137</v>
      </c>
      <c r="F493" s="41">
        <f t="shared" si="18"/>
        <v>0</v>
      </c>
    </row>
    <row r="494" spans="1:6" ht="14.4" customHeight="1" x14ac:dyDescent="0.3">
      <c r="A494" s="306"/>
      <c r="B494" s="306" t="s">
        <v>425</v>
      </c>
      <c r="C494" s="310" t="s">
        <v>27</v>
      </c>
      <c r="E494" s="308">
        <v>139.5</v>
      </c>
      <c r="F494" s="41">
        <f t="shared" si="18"/>
        <v>0</v>
      </c>
    </row>
    <row r="495" spans="1:6" ht="14.4" customHeight="1" x14ac:dyDescent="0.3">
      <c r="A495" s="306"/>
      <c r="B495" s="306" t="s">
        <v>426</v>
      </c>
      <c r="C495" s="310" t="s">
        <v>27</v>
      </c>
      <c r="E495" s="308">
        <v>183</v>
      </c>
      <c r="F495" s="41">
        <f t="shared" si="18"/>
        <v>0</v>
      </c>
    </row>
    <row r="496" spans="1:6" ht="14.4" customHeight="1" x14ac:dyDescent="0.3">
      <c r="A496" s="306"/>
      <c r="B496" s="306" t="s">
        <v>427</v>
      </c>
      <c r="C496" s="310" t="s">
        <v>27</v>
      </c>
      <c r="E496" s="308">
        <v>184.5</v>
      </c>
      <c r="F496" s="41">
        <f t="shared" si="18"/>
        <v>0</v>
      </c>
    </row>
    <row r="497" spans="1:6" ht="14.4" customHeight="1" x14ac:dyDescent="0.3">
      <c r="A497" s="306"/>
      <c r="B497" s="306" t="s">
        <v>428</v>
      </c>
      <c r="C497" s="310" t="s">
        <v>27</v>
      </c>
      <c r="E497" s="308">
        <v>56</v>
      </c>
      <c r="F497" s="41">
        <f t="shared" si="18"/>
        <v>0</v>
      </c>
    </row>
    <row r="498" spans="1:6" ht="14.4" customHeight="1" x14ac:dyDescent="0.3">
      <c r="A498" s="306"/>
      <c r="B498" s="306" t="s">
        <v>429</v>
      </c>
      <c r="C498" s="310" t="s">
        <v>27</v>
      </c>
      <c r="E498" s="308">
        <v>103</v>
      </c>
      <c r="F498" s="41">
        <f t="shared" si="18"/>
        <v>0</v>
      </c>
    </row>
    <row r="499" spans="1:6" ht="14.4" customHeight="1" x14ac:dyDescent="0.3">
      <c r="A499" s="306"/>
      <c r="B499" s="306" t="s">
        <v>430</v>
      </c>
      <c r="C499" s="310" t="s">
        <v>27</v>
      </c>
      <c r="E499" s="308">
        <v>95</v>
      </c>
      <c r="F499" s="41">
        <f t="shared" ref="F499:F562" si="19">E499*D499</f>
        <v>0</v>
      </c>
    </row>
    <row r="500" spans="1:6" ht="14.4" customHeight="1" x14ac:dyDescent="0.3">
      <c r="A500" s="306"/>
      <c r="B500" s="306" t="s">
        <v>1042</v>
      </c>
      <c r="C500" s="310" t="s">
        <v>27</v>
      </c>
      <c r="E500" s="308">
        <v>100</v>
      </c>
      <c r="F500" s="41">
        <f t="shared" si="19"/>
        <v>0</v>
      </c>
    </row>
    <row r="501" spans="1:6" ht="14.4" customHeight="1" x14ac:dyDescent="0.3">
      <c r="A501" s="306"/>
      <c r="B501" s="306" t="s">
        <v>1043</v>
      </c>
      <c r="C501" s="310" t="s">
        <v>27</v>
      </c>
      <c r="E501" s="308">
        <v>130.1</v>
      </c>
      <c r="F501" s="41">
        <f t="shared" si="19"/>
        <v>0</v>
      </c>
    </row>
    <row r="502" spans="1:6" ht="14.4" customHeight="1" x14ac:dyDescent="0.3">
      <c r="A502" s="306"/>
      <c r="B502" s="306" t="s">
        <v>1044</v>
      </c>
      <c r="C502" s="310" t="s">
        <v>27</v>
      </c>
      <c r="E502" s="308">
        <v>60</v>
      </c>
      <c r="F502" s="41">
        <f t="shared" si="19"/>
        <v>0</v>
      </c>
    </row>
    <row r="503" spans="1:6" ht="14.4" customHeight="1" x14ac:dyDescent="0.3">
      <c r="A503" s="306"/>
      <c r="B503" s="306" t="s">
        <v>1045</v>
      </c>
      <c r="C503" s="310" t="s">
        <v>27</v>
      </c>
      <c r="E503" s="308">
        <v>55</v>
      </c>
      <c r="F503" s="41">
        <f t="shared" si="19"/>
        <v>0</v>
      </c>
    </row>
    <row r="504" spans="1:6" ht="14.4" customHeight="1" x14ac:dyDescent="0.3">
      <c r="A504" s="306"/>
      <c r="B504" s="306" t="s">
        <v>1046</v>
      </c>
      <c r="C504" s="310" t="s">
        <v>27</v>
      </c>
      <c r="E504" s="308">
        <v>50</v>
      </c>
      <c r="F504" s="41">
        <f t="shared" si="19"/>
        <v>0</v>
      </c>
    </row>
    <row r="505" spans="1:6" ht="14.4" customHeight="1" x14ac:dyDescent="0.3">
      <c r="A505" s="306"/>
      <c r="B505" s="387" t="s">
        <v>431</v>
      </c>
      <c r="C505" s="310" t="s">
        <v>27</v>
      </c>
      <c r="E505" s="308">
        <v>99.5</v>
      </c>
      <c r="F505" s="41">
        <f t="shared" si="19"/>
        <v>0</v>
      </c>
    </row>
    <row r="506" spans="1:6" ht="14.4" customHeight="1" x14ac:dyDescent="0.3">
      <c r="A506" s="306"/>
      <c r="B506" s="306" t="s">
        <v>432</v>
      </c>
      <c r="C506" s="310" t="s">
        <v>27</v>
      </c>
      <c r="E506" s="308">
        <v>33.5</v>
      </c>
      <c r="F506" s="41">
        <f t="shared" si="19"/>
        <v>0</v>
      </c>
    </row>
    <row r="507" spans="1:6" ht="14.4" customHeight="1" x14ac:dyDescent="0.3">
      <c r="A507" s="306"/>
      <c r="B507" s="387" t="s">
        <v>433</v>
      </c>
      <c r="C507" s="310" t="s">
        <v>27</v>
      </c>
      <c r="E507" s="308">
        <v>56.35</v>
      </c>
      <c r="F507" s="41">
        <f t="shared" si="19"/>
        <v>0</v>
      </c>
    </row>
    <row r="508" spans="1:6" ht="14.4" customHeight="1" x14ac:dyDescent="0.3">
      <c r="A508" s="306"/>
      <c r="B508" s="306" t="s">
        <v>434</v>
      </c>
      <c r="C508" s="310" t="s">
        <v>27</v>
      </c>
      <c r="E508" s="308">
        <v>60.5</v>
      </c>
      <c r="F508" s="41">
        <f t="shared" si="19"/>
        <v>0</v>
      </c>
    </row>
    <row r="509" spans="1:6" ht="14.4" customHeight="1" x14ac:dyDescent="0.3">
      <c r="A509" s="306"/>
      <c r="B509" s="306" t="s">
        <v>435</v>
      </c>
      <c r="C509" s="310" t="s">
        <v>27</v>
      </c>
      <c r="E509" s="308">
        <v>61</v>
      </c>
      <c r="F509" s="41">
        <f t="shared" si="19"/>
        <v>0</v>
      </c>
    </row>
    <row r="510" spans="1:6" ht="14.4" customHeight="1" x14ac:dyDescent="0.3">
      <c r="A510" s="306"/>
      <c r="B510" s="306" t="s">
        <v>436</v>
      </c>
      <c r="C510" s="310" t="s">
        <v>27</v>
      </c>
      <c r="E510" s="308">
        <v>65</v>
      </c>
      <c r="F510" s="41">
        <f t="shared" si="19"/>
        <v>0</v>
      </c>
    </row>
    <row r="511" spans="1:6" ht="14.4" customHeight="1" x14ac:dyDescent="0.3">
      <c r="A511" s="306"/>
      <c r="B511" s="306" t="s">
        <v>437</v>
      </c>
      <c r="C511" s="310" t="s">
        <v>27</v>
      </c>
      <c r="E511" s="308">
        <v>65</v>
      </c>
      <c r="F511" s="41">
        <f t="shared" si="19"/>
        <v>0</v>
      </c>
    </row>
    <row r="512" spans="1:6" ht="14.4" customHeight="1" x14ac:dyDescent="0.3">
      <c r="A512" s="306"/>
      <c r="B512" s="306" t="s">
        <v>438</v>
      </c>
      <c r="C512" s="310" t="s">
        <v>27</v>
      </c>
      <c r="E512" s="308">
        <v>65</v>
      </c>
      <c r="F512" s="41">
        <f t="shared" si="19"/>
        <v>0</v>
      </c>
    </row>
    <row r="513" spans="1:6" ht="14.4" customHeight="1" x14ac:dyDescent="0.3">
      <c r="A513" s="306"/>
      <c r="B513" s="306" t="s">
        <v>439</v>
      </c>
      <c r="C513" s="310" t="s">
        <v>27</v>
      </c>
      <c r="E513" s="308">
        <v>65</v>
      </c>
      <c r="F513" s="41">
        <f t="shared" si="19"/>
        <v>0</v>
      </c>
    </row>
    <row r="514" spans="1:6" ht="14.4" customHeight="1" x14ac:dyDescent="0.3">
      <c r="A514" s="306"/>
      <c r="B514" s="306" t="s">
        <v>440</v>
      </c>
      <c r="C514" s="310" t="s">
        <v>27</v>
      </c>
      <c r="E514" s="308">
        <v>45</v>
      </c>
      <c r="F514" s="41">
        <f t="shared" si="19"/>
        <v>0</v>
      </c>
    </row>
    <row r="515" spans="1:6" ht="14.4" customHeight="1" x14ac:dyDescent="0.3">
      <c r="A515" s="306"/>
      <c r="B515" s="306" t="s">
        <v>441</v>
      </c>
      <c r="C515" s="310" t="s">
        <v>27</v>
      </c>
      <c r="E515" s="308">
        <v>55</v>
      </c>
      <c r="F515" s="41">
        <f t="shared" si="19"/>
        <v>0</v>
      </c>
    </row>
    <row r="516" spans="1:6" ht="14.4" customHeight="1" x14ac:dyDescent="0.3">
      <c r="A516" s="306"/>
      <c r="B516" s="387" t="s">
        <v>442</v>
      </c>
      <c r="C516" s="310" t="s">
        <v>27</v>
      </c>
      <c r="E516" s="308">
        <v>55</v>
      </c>
      <c r="F516" s="41">
        <f t="shared" si="19"/>
        <v>0</v>
      </c>
    </row>
    <row r="517" spans="1:6" ht="14.4" customHeight="1" x14ac:dyDescent="0.3">
      <c r="A517" s="306"/>
      <c r="B517" s="306" t="s">
        <v>443</v>
      </c>
      <c r="C517" s="310" t="s">
        <v>27</v>
      </c>
      <c r="E517" s="308">
        <v>21.5</v>
      </c>
      <c r="F517" s="41">
        <f t="shared" si="19"/>
        <v>0</v>
      </c>
    </row>
    <row r="518" spans="1:6" ht="14.4" customHeight="1" x14ac:dyDescent="0.3">
      <c r="A518" s="306"/>
      <c r="B518" s="306" t="s">
        <v>444</v>
      </c>
      <c r="C518" s="310" t="s">
        <v>27</v>
      </c>
      <c r="E518" s="308">
        <v>34.92</v>
      </c>
      <c r="F518" s="41">
        <f t="shared" si="19"/>
        <v>0</v>
      </c>
    </row>
    <row r="519" spans="1:6" ht="14.4" customHeight="1" x14ac:dyDescent="0.3">
      <c r="A519" s="306"/>
      <c r="B519" s="306" t="s">
        <v>445</v>
      </c>
      <c r="C519" s="310" t="s">
        <v>27</v>
      </c>
      <c r="E519" s="308">
        <v>35</v>
      </c>
      <c r="F519" s="41">
        <f t="shared" si="19"/>
        <v>0</v>
      </c>
    </row>
    <row r="520" spans="1:6" ht="14.4" customHeight="1" x14ac:dyDescent="0.3">
      <c r="A520" s="306"/>
      <c r="B520" s="306" t="s">
        <v>446</v>
      </c>
      <c r="C520" s="310" t="s">
        <v>27</v>
      </c>
      <c r="E520" s="308">
        <v>22</v>
      </c>
      <c r="F520" s="41">
        <f t="shared" si="19"/>
        <v>0</v>
      </c>
    </row>
    <row r="521" spans="1:6" ht="14.4" customHeight="1" x14ac:dyDescent="0.3">
      <c r="A521" s="306"/>
      <c r="B521" s="306" t="s">
        <v>447</v>
      </c>
      <c r="C521" s="310" t="s">
        <v>27</v>
      </c>
      <c r="E521" s="308">
        <v>22</v>
      </c>
      <c r="F521" s="41">
        <f t="shared" si="19"/>
        <v>0</v>
      </c>
    </row>
    <row r="522" spans="1:6" ht="14.4" customHeight="1" x14ac:dyDescent="0.3">
      <c r="A522" s="306"/>
      <c r="B522" s="306" t="s">
        <v>448</v>
      </c>
      <c r="C522" s="310" t="s">
        <v>27</v>
      </c>
      <c r="E522" s="308">
        <v>78</v>
      </c>
      <c r="F522" s="41">
        <f t="shared" si="19"/>
        <v>0</v>
      </c>
    </row>
    <row r="523" spans="1:6" ht="14.4" customHeight="1" x14ac:dyDescent="0.3">
      <c r="A523" s="306"/>
      <c r="B523" s="306" t="s">
        <v>449</v>
      </c>
      <c r="C523" s="310" t="s">
        <v>27</v>
      </c>
      <c r="E523" s="308">
        <v>89</v>
      </c>
      <c r="F523" s="41">
        <f t="shared" si="19"/>
        <v>0</v>
      </c>
    </row>
    <row r="524" spans="1:6" ht="14.4" customHeight="1" x14ac:dyDescent="0.3">
      <c r="A524" s="306"/>
      <c r="B524" s="306" t="s">
        <v>450</v>
      </c>
      <c r="C524" s="310" t="s">
        <v>27</v>
      </c>
      <c r="E524" s="308">
        <v>21</v>
      </c>
      <c r="F524" s="41">
        <f t="shared" si="19"/>
        <v>0</v>
      </c>
    </row>
    <row r="525" spans="1:6" ht="14.4" customHeight="1" x14ac:dyDescent="0.3">
      <c r="A525" s="306"/>
      <c r="B525" s="306" t="s">
        <v>451</v>
      </c>
      <c r="C525" s="310" t="s">
        <v>27</v>
      </c>
      <c r="E525" s="308">
        <v>21</v>
      </c>
      <c r="F525" s="41">
        <f t="shared" si="19"/>
        <v>0</v>
      </c>
    </row>
    <row r="526" spans="1:6" ht="14.4" customHeight="1" x14ac:dyDescent="0.3">
      <c r="A526" s="306"/>
      <c r="B526" s="306" t="s">
        <v>452</v>
      </c>
      <c r="C526" s="310" t="s">
        <v>27</v>
      </c>
      <c r="E526" s="308">
        <v>0</v>
      </c>
      <c r="F526" s="41">
        <f t="shared" si="19"/>
        <v>0</v>
      </c>
    </row>
    <row r="527" spans="1:6" ht="14.4" customHeight="1" x14ac:dyDescent="0.3">
      <c r="A527" s="306"/>
      <c r="B527" s="306" t="s">
        <v>453</v>
      </c>
      <c r="C527" s="310" t="s">
        <v>27</v>
      </c>
      <c r="E527" s="308">
        <v>0</v>
      </c>
      <c r="F527" s="41">
        <f t="shared" si="19"/>
        <v>0</v>
      </c>
    </row>
    <row r="528" spans="1:6" ht="14.4" customHeight="1" x14ac:dyDescent="0.3">
      <c r="A528" s="306"/>
      <c r="B528" s="387" t="s">
        <v>454</v>
      </c>
      <c r="C528" s="310" t="s">
        <v>27</v>
      </c>
      <c r="E528" s="308">
        <v>0</v>
      </c>
      <c r="F528" s="41">
        <f t="shared" si="19"/>
        <v>0</v>
      </c>
    </row>
    <row r="529" spans="1:6" ht="14.4" customHeight="1" x14ac:dyDescent="0.3">
      <c r="A529" s="306"/>
      <c r="B529" s="306" t="s">
        <v>455</v>
      </c>
      <c r="C529" s="310" t="s">
        <v>27</v>
      </c>
      <c r="E529" s="308">
        <v>0</v>
      </c>
      <c r="F529" s="41">
        <f t="shared" si="19"/>
        <v>0</v>
      </c>
    </row>
    <row r="530" spans="1:6" ht="14.4" customHeight="1" x14ac:dyDescent="0.3">
      <c r="A530" s="306"/>
      <c r="B530" s="306" t="s">
        <v>456</v>
      </c>
      <c r="C530" s="310" t="s">
        <v>27</v>
      </c>
      <c r="E530" s="308">
        <v>0</v>
      </c>
      <c r="F530" s="41">
        <f t="shared" si="19"/>
        <v>0</v>
      </c>
    </row>
    <row r="531" spans="1:6" ht="14.4" customHeight="1" x14ac:dyDescent="0.3">
      <c r="A531" s="306"/>
      <c r="B531" s="306" t="s">
        <v>457</v>
      </c>
      <c r="C531" s="310" t="s">
        <v>27</v>
      </c>
      <c r="E531" s="308">
        <v>0</v>
      </c>
      <c r="F531" s="41">
        <f t="shared" si="19"/>
        <v>0</v>
      </c>
    </row>
    <row r="532" spans="1:6" ht="14.4" customHeight="1" x14ac:dyDescent="0.3">
      <c r="A532" s="306"/>
      <c r="B532" s="306" t="s">
        <v>458</v>
      </c>
      <c r="C532" s="310" t="s">
        <v>27</v>
      </c>
      <c r="E532" s="308">
        <v>0</v>
      </c>
      <c r="F532" s="41">
        <f t="shared" si="19"/>
        <v>0</v>
      </c>
    </row>
    <row r="533" spans="1:6" ht="14.4" customHeight="1" x14ac:dyDescent="0.3">
      <c r="A533" s="306"/>
      <c r="B533" s="306" t="s">
        <v>459</v>
      </c>
      <c r="C533" s="310" t="s">
        <v>27</v>
      </c>
      <c r="E533" s="308">
        <v>0</v>
      </c>
      <c r="F533" s="41">
        <f t="shared" si="19"/>
        <v>0</v>
      </c>
    </row>
    <row r="534" spans="1:6" ht="14.4" customHeight="1" x14ac:dyDescent="0.3">
      <c r="A534" s="306"/>
      <c r="B534" s="306" t="s">
        <v>460</v>
      </c>
      <c r="C534" s="310" t="s">
        <v>27</v>
      </c>
      <c r="E534" s="308">
        <v>0</v>
      </c>
      <c r="F534" s="41">
        <f t="shared" si="19"/>
        <v>0</v>
      </c>
    </row>
    <row r="535" spans="1:6" ht="14.4" customHeight="1" x14ac:dyDescent="0.3">
      <c r="A535" s="306"/>
      <c r="B535" s="306" t="s">
        <v>461</v>
      </c>
      <c r="C535" s="310" t="s">
        <v>27</v>
      </c>
      <c r="E535" s="308">
        <v>0</v>
      </c>
      <c r="F535" s="41">
        <f t="shared" si="19"/>
        <v>0</v>
      </c>
    </row>
    <row r="536" spans="1:6" ht="14.4" customHeight="1" x14ac:dyDescent="0.3">
      <c r="A536" s="306"/>
      <c r="B536" s="306" t="s">
        <v>462</v>
      </c>
      <c r="C536" s="310" t="s">
        <v>27</v>
      </c>
      <c r="E536" s="308">
        <v>0</v>
      </c>
      <c r="F536" s="41">
        <f t="shared" si="19"/>
        <v>0</v>
      </c>
    </row>
    <row r="537" spans="1:6" ht="14.4" customHeight="1" x14ac:dyDescent="0.3">
      <c r="A537" s="306"/>
      <c r="B537" s="306" t="s">
        <v>463</v>
      </c>
      <c r="C537" s="310" t="s">
        <v>27</v>
      </c>
      <c r="E537" s="308">
        <v>0</v>
      </c>
      <c r="F537" s="41">
        <f t="shared" si="19"/>
        <v>0</v>
      </c>
    </row>
    <row r="538" spans="1:6" ht="14.4" customHeight="1" x14ac:dyDescent="0.3">
      <c r="A538" s="306"/>
      <c r="B538" s="306" t="s">
        <v>464</v>
      </c>
      <c r="C538" s="310" t="s">
        <v>27</v>
      </c>
      <c r="E538" s="308">
        <v>0</v>
      </c>
      <c r="F538" s="41">
        <f t="shared" si="19"/>
        <v>0</v>
      </c>
    </row>
    <row r="539" spans="1:6" ht="14.4" customHeight="1" x14ac:dyDescent="0.3">
      <c r="A539" s="306"/>
      <c r="B539" s="306" t="s">
        <v>465</v>
      </c>
      <c r="C539" s="310" t="s">
        <v>27</v>
      </c>
      <c r="E539" s="308">
        <v>0</v>
      </c>
      <c r="F539" s="41">
        <f t="shared" si="19"/>
        <v>0</v>
      </c>
    </row>
    <row r="540" spans="1:6" ht="14.4" customHeight="1" x14ac:dyDescent="0.3">
      <c r="A540" s="306"/>
      <c r="B540" s="306" t="s">
        <v>466</v>
      </c>
      <c r="C540" s="310" t="s">
        <v>27</v>
      </c>
      <c r="E540" s="308">
        <v>0</v>
      </c>
      <c r="F540" s="41">
        <f t="shared" si="19"/>
        <v>0</v>
      </c>
    </row>
    <row r="541" spans="1:6" ht="14.4" customHeight="1" x14ac:dyDescent="0.3">
      <c r="A541" s="306"/>
      <c r="B541" s="306" t="s">
        <v>467</v>
      </c>
      <c r="C541" s="310" t="s">
        <v>27</v>
      </c>
      <c r="E541" s="308">
        <v>0</v>
      </c>
      <c r="F541" s="41">
        <f t="shared" si="19"/>
        <v>0</v>
      </c>
    </row>
    <row r="542" spans="1:6" ht="14.4" customHeight="1" x14ac:dyDescent="0.3">
      <c r="A542" s="306"/>
      <c r="B542" s="306" t="s">
        <v>468</v>
      </c>
      <c r="C542" s="310" t="s">
        <v>27</v>
      </c>
      <c r="E542" s="308">
        <v>0</v>
      </c>
      <c r="F542" s="41">
        <f t="shared" si="19"/>
        <v>0</v>
      </c>
    </row>
    <row r="543" spans="1:6" ht="14.4" customHeight="1" x14ac:dyDescent="0.3">
      <c r="A543" s="306"/>
      <c r="B543" s="306" t="s">
        <v>469</v>
      </c>
      <c r="C543" s="310" t="s">
        <v>27</v>
      </c>
      <c r="E543" s="308">
        <v>0</v>
      </c>
      <c r="F543" s="41">
        <f t="shared" si="19"/>
        <v>0</v>
      </c>
    </row>
    <row r="544" spans="1:6" ht="14.4" customHeight="1" x14ac:dyDescent="0.3">
      <c r="A544" s="306"/>
      <c r="B544" s="306" t="s">
        <v>470</v>
      </c>
      <c r="C544" s="310" t="s">
        <v>27</v>
      </c>
      <c r="E544" s="308">
        <v>0</v>
      </c>
      <c r="F544" s="41">
        <f t="shared" si="19"/>
        <v>0</v>
      </c>
    </row>
    <row r="545" spans="1:6" ht="14.4" customHeight="1" x14ac:dyDescent="0.3">
      <c r="A545" s="306"/>
      <c r="B545" s="306" t="s">
        <v>471</v>
      </c>
      <c r="C545" s="310" t="s">
        <v>27</v>
      </c>
      <c r="E545" s="308">
        <v>0</v>
      </c>
      <c r="F545" s="41">
        <f t="shared" si="19"/>
        <v>0</v>
      </c>
    </row>
    <row r="546" spans="1:6" ht="14.4" customHeight="1" x14ac:dyDescent="0.3">
      <c r="A546" s="306"/>
      <c r="B546" s="306" t="s">
        <v>472</v>
      </c>
      <c r="C546" s="310" t="s">
        <v>27</v>
      </c>
      <c r="E546" s="308">
        <v>0</v>
      </c>
      <c r="F546" s="41">
        <f t="shared" si="19"/>
        <v>0</v>
      </c>
    </row>
    <row r="547" spans="1:6" ht="14.4" customHeight="1" x14ac:dyDescent="0.3">
      <c r="A547" s="306"/>
      <c r="B547" s="306" t="s">
        <v>473</v>
      </c>
      <c r="C547" s="310" t="s">
        <v>27</v>
      </c>
      <c r="E547" s="308">
        <v>0</v>
      </c>
      <c r="F547" s="41">
        <f t="shared" si="19"/>
        <v>0</v>
      </c>
    </row>
    <row r="548" spans="1:6" ht="14.4" customHeight="1" x14ac:dyDescent="0.3">
      <c r="A548" s="306"/>
      <c r="B548" s="306" t="s">
        <v>474</v>
      </c>
      <c r="C548" s="310" t="s">
        <v>27</v>
      </c>
      <c r="E548" s="308">
        <v>0</v>
      </c>
      <c r="F548" s="41">
        <f t="shared" si="19"/>
        <v>0</v>
      </c>
    </row>
    <row r="549" spans="1:6" ht="14.4" customHeight="1" x14ac:dyDescent="0.3">
      <c r="A549" s="306"/>
      <c r="B549" s="306" t="s">
        <v>475</v>
      </c>
      <c r="C549" s="310" t="s">
        <v>27</v>
      </c>
      <c r="E549" s="308">
        <v>0</v>
      </c>
      <c r="F549" s="41">
        <f t="shared" si="19"/>
        <v>0</v>
      </c>
    </row>
    <row r="550" spans="1:6" ht="14.4" customHeight="1" x14ac:dyDescent="0.3">
      <c r="A550" s="306"/>
      <c r="B550" s="306" t="s">
        <v>476</v>
      </c>
      <c r="C550" s="310" t="s">
        <v>27</v>
      </c>
      <c r="E550" s="308">
        <v>0</v>
      </c>
      <c r="F550" s="41">
        <f t="shared" si="19"/>
        <v>0</v>
      </c>
    </row>
    <row r="551" spans="1:6" ht="14.4" customHeight="1" x14ac:dyDescent="0.3">
      <c r="A551" s="306"/>
      <c r="B551" s="387" t="s">
        <v>477</v>
      </c>
      <c r="C551" s="310" t="s">
        <v>27</v>
      </c>
      <c r="E551" s="308">
        <v>0</v>
      </c>
      <c r="F551" s="41">
        <f t="shared" si="19"/>
        <v>0</v>
      </c>
    </row>
    <row r="552" spans="1:6" ht="14.4" customHeight="1" x14ac:dyDescent="0.3">
      <c r="A552" s="306"/>
      <c r="B552" s="306" t="s">
        <v>478</v>
      </c>
      <c r="C552" s="310" t="s">
        <v>27</v>
      </c>
      <c r="E552" s="308">
        <v>0</v>
      </c>
      <c r="F552" s="41">
        <f t="shared" si="19"/>
        <v>0</v>
      </c>
    </row>
    <row r="553" spans="1:6" ht="14.4" customHeight="1" x14ac:dyDescent="0.3">
      <c r="A553" s="306"/>
      <c r="B553" s="306" t="s">
        <v>479</v>
      </c>
      <c r="C553" s="310" t="s">
        <v>27</v>
      </c>
      <c r="E553" s="308">
        <v>0</v>
      </c>
      <c r="F553" s="41">
        <f t="shared" si="19"/>
        <v>0</v>
      </c>
    </row>
    <row r="554" spans="1:6" ht="14.4" customHeight="1" x14ac:dyDescent="0.3">
      <c r="A554" s="306"/>
      <c r="B554" s="387" t="s">
        <v>480</v>
      </c>
      <c r="C554" s="310" t="s">
        <v>27</v>
      </c>
      <c r="E554" s="308">
        <v>0</v>
      </c>
      <c r="F554" s="41">
        <f t="shared" si="19"/>
        <v>0</v>
      </c>
    </row>
    <row r="555" spans="1:6" ht="14.4" customHeight="1" x14ac:dyDescent="0.3">
      <c r="A555" s="306"/>
      <c r="B555" s="387" t="s">
        <v>481</v>
      </c>
      <c r="C555" s="310" t="s">
        <v>27</v>
      </c>
      <c r="E555" s="308">
        <v>0</v>
      </c>
      <c r="F555" s="41">
        <f t="shared" si="19"/>
        <v>0</v>
      </c>
    </row>
    <row r="556" spans="1:6" ht="14.4" customHeight="1" x14ac:dyDescent="0.3">
      <c r="A556" s="306"/>
      <c r="B556" s="306" t="s">
        <v>482</v>
      </c>
      <c r="C556" s="310" t="s">
        <v>27</v>
      </c>
      <c r="E556" s="308">
        <v>18.54</v>
      </c>
      <c r="F556" s="41">
        <f t="shared" si="19"/>
        <v>0</v>
      </c>
    </row>
    <row r="557" spans="1:6" ht="14.4" customHeight="1" x14ac:dyDescent="0.3">
      <c r="A557" s="306"/>
      <c r="B557" s="306" t="s">
        <v>483</v>
      </c>
      <c r="C557" s="310" t="s">
        <v>27</v>
      </c>
      <c r="E557" s="308">
        <v>0</v>
      </c>
      <c r="F557" s="41">
        <f t="shared" si="19"/>
        <v>0</v>
      </c>
    </row>
    <row r="558" spans="1:6" ht="14.4" customHeight="1" x14ac:dyDescent="0.3">
      <c r="A558" s="306"/>
      <c r="B558" s="306" t="s">
        <v>484</v>
      </c>
      <c r="C558" s="310" t="s">
        <v>27</v>
      </c>
      <c r="E558" s="308">
        <v>0</v>
      </c>
      <c r="F558" s="41">
        <f t="shared" si="19"/>
        <v>0</v>
      </c>
    </row>
    <row r="559" spans="1:6" ht="14.4" customHeight="1" x14ac:dyDescent="0.3">
      <c r="A559" s="306"/>
      <c r="B559" s="306" t="s">
        <v>485</v>
      </c>
      <c r="C559" s="310" t="s">
        <v>27</v>
      </c>
      <c r="E559" s="308">
        <v>18.350000000000001</v>
      </c>
      <c r="F559" s="41">
        <f t="shared" si="19"/>
        <v>0</v>
      </c>
    </row>
    <row r="560" spans="1:6" ht="14.4" customHeight="1" x14ac:dyDescent="0.3">
      <c r="A560" s="306"/>
      <c r="B560" s="306" t="s">
        <v>486</v>
      </c>
      <c r="C560" s="310" t="s">
        <v>27</v>
      </c>
      <c r="E560" s="308">
        <v>0</v>
      </c>
      <c r="F560" s="41">
        <f t="shared" si="19"/>
        <v>0</v>
      </c>
    </row>
    <row r="561" spans="1:6" ht="14.4" customHeight="1" x14ac:dyDescent="0.3">
      <c r="A561" s="306"/>
      <c r="B561" s="306" t="s">
        <v>487</v>
      </c>
      <c r="C561" s="310" t="s">
        <v>27</v>
      </c>
      <c r="E561" s="308">
        <v>0</v>
      </c>
      <c r="F561" s="41">
        <f t="shared" si="19"/>
        <v>0</v>
      </c>
    </row>
    <row r="562" spans="1:6" ht="14.4" customHeight="1" x14ac:dyDescent="0.3">
      <c r="A562" s="306"/>
      <c r="B562" s="306" t="s">
        <v>488</v>
      </c>
      <c r="C562" s="310" t="s">
        <v>27</v>
      </c>
      <c r="E562" s="308">
        <v>0</v>
      </c>
      <c r="F562" s="41">
        <f t="shared" si="19"/>
        <v>0</v>
      </c>
    </row>
    <row r="563" spans="1:6" ht="14.4" customHeight="1" x14ac:dyDescent="0.3">
      <c r="A563" s="306"/>
      <c r="B563" s="306" t="s">
        <v>489</v>
      </c>
      <c r="C563" s="310" t="s">
        <v>27</v>
      </c>
      <c r="E563" s="308">
        <v>0</v>
      </c>
      <c r="F563" s="41">
        <f t="shared" ref="F563:F626" si="20">E563*D563</f>
        <v>0</v>
      </c>
    </row>
    <row r="564" spans="1:6" ht="14.4" customHeight="1" x14ac:dyDescent="0.3">
      <c r="A564" s="306"/>
      <c r="B564" s="306" t="s">
        <v>490</v>
      </c>
      <c r="C564" s="310" t="s">
        <v>27</v>
      </c>
      <c r="E564" s="308">
        <v>0</v>
      </c>
      <c r="F564" s="41">
        <f t="shared" si="20"/>
        <v>0</v>
      </c>
    </row>
    <row r="565" spans="1:6" ht="14.4" customHeight="1" x14ac:dyDescent="0.3">
      <c r="A565" s="306"/>
      <c r="B565" s="387" t="s">
        <v>491</v>
      </c>
      <c r="C565" s="310" t="s">
        <v>27</v>
      </c>
      <c r="E565" s="308">
        <v>20</v>
      </c>
      <c r="F565" s="41">
        <f t="shared" si="20"/>
        <v>0</v>
      </c>
    </row>
    <row r="566" spans="1:6" ht="14.4" customHeight="1" x14ac:dyDescent="0.3">
      <c r="A566" s="306"/>
      <c r="B566" s="306" t="s">
        <v>492</v>
      </c>
      <c r="C566" s="310" t="s">
        <v>27</v>
      </c>
      <c r="E566" s="308">
        <v>16.329999999999998</v>
      </c>
      <c r="F566" s="41">
        <f t="shared" si="20"/>
        <v>0</v>
      </c>
    </row>
    <row r="567" spans="1:6" ht="14.4" customHeight="1" x14ac:dyDescent="0.3">
      <c r="A567" s="306"/>
      <c r="B567" s="306" t="s">
        <v>493</v>
      </c>
      <c r="C567" s="310" t="s">
        <v>27</v>
      </c>
      <c r="E567" s="308">
        <v>0</v>
      </c>
      <c r="F567" s="41">
        <f t="shared" si="20"/>
        <v>0</v>
      </c>
    </row>
    <row r="568" spans="1:6" ht="14.4" customHeight="1" x14ac:dyDescent="0.3">
      <c r="A568" s="306"/>
      <c r="B568" s="306" t="s">
        <v>494</v>
      </c>
      <c r="C568" s="310" t="s">
        <v>27</v>
      </c>
      <c r="E568" s="308">
        <v>0</v>
      </c>
      <c r="F568" s="41">
        <f t="shared" si="20"/>
        <v>0</v>
      </c>
    </row>
    <row r="569" spans="1:6" ht="14.4" customHeight="1" x14ac:dyDescent="0.3">
      <c r="A569" s="306"/>
      <c r="B569" s="306" t="s">
        <v>495</v>
      </c>
      <c r="C569" s="310" t="s">
        <v>27</v>
      </c>
      <c r="E569" s="308">
        <v>0</v>
      </c>
      <c r="F569" s="41">
        <f t="shared" si="20"/>
        <v>0</v>
      </c>
    </row>
    <row r="570" spans="1:6" ht="14.4" customHeight="1" x14ac:dyDescent="0.3">
      <c r="A570" s="306"/>
      <c r="B570" s="306" t="s">
        <v>496</v>
      </c>
      <c r="C570" s="310" t="s">
        <v>27</v>
      </c>
      <c r="E570" s="308">
        <v>0</v>
      </c>
      <c r="F570" s="41">
        <f t="shared" si="20"/>
        <v>0</v>
      </c>
    </row>
    <row r="571" spans="1:6" ht="14.4" customHeight="1" x14ac:dyDescent="0.3">
      <c r="A571" s="306"/>
      <c r="B571" s="306" t="s">
        <v>497</v>
      </c>
      <c r="C571" s="310" t="s">
        <v>27</v>
      </c>
      <c r="E571" s="308">
        <v>0</v>
      </c>
      <c r="F571" s="41">
        <f t="shared" si="20"/>
        <v>0</v>
      </c>
    </row>
    <row r="572" spans="1:6" ht="14.4" customHeight="1" x14ac:dyDescent="0.3">
      <c r="A572" s="306"/>
      <c r="B572" s="306" t="s">
        <v>498</v>
      </c>
      <c r="C572" s="310" t="s">
        <v>27</v>
      </c>
      <c r="E572" s="308">
        <v>0</v>
      </c>
      <c r="F572" s="41">
        <f t="shared" si="20"/>
        <v>0</v>
      </c>
    </row>
    <row r="573" spans="1:6" ht="14.4" customHeight="1" x14ac:dyDescent="0.3">
      <c r="A573" s="306"/>
      <c r="B573" s="306" t="s">
        <v>499</v>
      </c>
      <c r="C573" s="310" t="s">
        <v>27</v>
      </c>
      <c r="E573" s="308">
        <v>0</v>
      </c>
      <c r="F573" s="41">
        <f t="shared" si="20"/>
        <v>0</v>
      </c>
    </row>
    <row r="574" spans="1:6" ht="14.4" customHeight="1" x14ac:dyDescent="0.3">
      <c r="A574" s="306"/>
      <c r="B574" s="306" t="s">
        <v>500</v>
      </c>
      <c r="C574" s="310" t="s">
        <v>27</v>
      </c>
      <c r="E574" s="308">
        <v>0</v>
      </c>
      <c r="F574" s="41">
        <f t="shared" si="20"/>
        <v>0</v>
      </c>
    </row>
    <row r="575" spans="1:6" ht="14.4" customHeight="1" x14ac:dyDescent="0.3">
      <c r="A575" s="306"/>
      <c r="B575" s="306" t="s">
        <v>501</v>
      </c>
      <c r="C575" s="310" t="s">
        <v>27</v>
      </c>
      <c r="E575" s="308">
        <v>0</v>
      </c>
      <c r="F575" s="41">
        <f t="shared" si="20"/>
        <v>0</v>
      </c>
    </row>
    <row r="576" spans="1:6" ht="14.4" customHeight="1" x14ac:dyDescent="0.3">
      <c r="A576" s="306"/>
      <c r="B576" s="306" t="s">
        <v>502</v>
      </c>
      <c r="C576" s="310" t="s">
        <v>27</v>
      </c>
      <c r="E576" s="308">
        <v>0</v>
      </c>
      <c r="F576" s="41">
        <f t="shared" si="20"/>
        <v>0</v>
      </c>
    </row>
    <row r="577" spans="1:6" ht="14.4" customHeight="1" x14ac:dyDescent="0.3">
      <c r="A577" s="306"/>
      <c r="B577" s="306" t="s">
        <v>503</v>
      </c>
      <c r="C577" s="310" t="s">
        <v>27</v>
      </c>
      <c r="E577" s="308">
        <v>0</v>
      </c>
      <c r="F577" s="41">
        <f t="shared" si="20"/>
        <v>0</v>
      </c>
    </row>
    <row r="578" spans="1:6" ht="14.4" customHeight="1" x14ac:dyDescent="0.3">
      <c r="A578" s="306"/>
      <c r="B578" s="306" t="s">
        <v>504</v>
      </c>
      <c r="C578" s="310" t="s">
        <v>27</v>
      </c>
      <c r="E578" s="308">
        <v>0</v>
      </c>
      <c r="F578" s="41">
        <f t="shared" si="20"/>
        <v>0</v>
      </c>
    </row>
    <row r="579" spans="1:6" ht="14.4" customHeight="1" x14ac:dyDescent="0.3">
      <c r="A579" s="306"/>
      <c r="B579" s="306" t="s">
        <v>505</v>
      </c>
      <c r="C579" s="310" t="s">
        <v>27</v>
      </c>
      <c r="E579" s="308">
        <v>0</v>
      </c>
      <c r="F579" s="41">
        <f t="shared" si="20"/>
        <v>0</v>
      </c>
    </row>
    <row r="580" spans="1:6" ht="14.4" customHeight="1" x14ac:dyDescent="0.3">
      <c r="A580" s="306"/>
      <c r="B580" s="306" t="s">
        <v>506</v>
      </c>
      <c r="C580" s="310" t="s">
        <v>27</v>
      </c>
      <c r="E580" s="308">
        <v>0</v>
      </c>
      <c r="F580" s="41">
        <f t="shared" si="20"/>
        <v>0</v>
      </c>
    </row>
    <row r="581" spans="1:6" ht="14.4" customHeight="1" x14ac:dyDescent="0.3">
      <c r="A581" s="306"/>
      <c r="B581" s="306" t="s">
        <v>507</v>
      </c>
      <c r="C581" s="310" t="s">
        <v>27</v>
      </c>
      <c r="E581" s="308">
        <v>0</v>
      </c>
      <c r="F581" s="41">
        <f t="shared" si="20"/>
        <v>0</v>
      </c>
    </row>
    <row r="582" spans="1:6" ht="14.4" customHeight="1" x14ac:dyDescent="0.3">
      <c r="A582" s="306"/>
      <c r="B582" s="306" t="s">
        <v>508</v>
      </c>
      <c r="C582" s="310" t="s">
        <v>27</v>
      </c>
      <c r="E582" s="308">
        <v>0</v>
      </c>
      <c r="F582" s="41">
        <f t="shared" si="20"/>
        <v>0</v>
      </c>
    </row>
    <row r="583" spans="1:6" ht="14.4" customHeight="1" x14ac:dyDescent="0.3">
      <c r="A583" s="306"/>
      <c r="B583" s="306" t="s">
        <v>509</v>
      </c>
      <c r="C583" s="310" t="s">
        <v>27</v>
      </c>
      <c r="E583" s="308">
        <v>0</v>
      </c>
      <c r="F583" s="41">
        <f t="shared" si="20"/>
        <v>0</v>
      </c>
    </row>
    <row r="584" spans="1:6" ht="14.4" customHeight="1" x14ac:dyDescent="0.3">
      <c r="A584" s="306"/>
      <c r="B584" s="306" t="s">
        <v>510</v>
      </c>
      <c r="C584" s="310" t="s">
        <v>27</v>
      </c>
      <c r="E584" s="308">
        <v>0</v>
      </c>
      <c r="F584" s="41">
        <f t="shared" si="20"/>
        <v>0</v>
      </c>
    </row>
    <row r="585" spans="1:6" ht="14.4" customHeight="1" x14ac:dyDescent="0.3">
      <c r="A585" s="306"/>
      <c r="B585" s="306" t="s">
        <v>511</v>
      </c>
      <c r="C585" s="310" t="s">
        <v>27</v>
      </c>
      <c r="E585" s="308">
        <v>0</v>
      </c>
      <c r="F585" s="41">
        <f t="shared" si="20"/>
        <v>0</v>
      </c>
    </row>
    <row r="586" spans="1:6" ht="14.4" customHeight="1" x14ac:dyDescent="0.3">
      <c r="A586" s="306"/>
      <c r="B586" s="306" t="s">
        <v>512</v>
      </c>
      <c r="C586" s="310" t="s">
        <v>27</v>
      </c>
      <c r="E586" s="308">
        <v>0</v>
      </c>
      <c r="F586" s="41">
        <f t="shared" si="20"/>
        <v>0</v>
      </c>
    </row>
    <row r="587" spans="1:6" ht="14.4" customHeight="1" x14ac:dyDescent="0.3">
      <c r="A587" s="306"/>
      <c r="B587" s="306" t="s">
        <v>513</v>
      </c>
      <c r="C587" s="310" t="s">
        <v>27</v>
      </c>
      <c r="E587" s="308">
        <v>0</v>
      </c>
      <c r="F587" s="41">
        <f t="shared" si="20"/>
        <v>0</v>
      </c>
    </row>
    <row r="588" spans="1:6" ht="14.4" customHeight="1" x14ac:dyDescent="0.3">
      <c r="A588" s="306"/>
      <c r="B588" s="306" t="s">
        <v>514</v>
      </c>
      <c r="C588" s="310" t="s">
        <v>27</v>
      </c>
      <c r="E588" s="308">
        <v>0</v>
      </c>
      <c r="F588" s="41">
        <f t="shared" si="20"/>
        <v>0</v>
      </c>
    </row>
    <row r="589" spans="1:6" ht="14.4" customHeight="1" x14ac:dyDescent="0.3">
      <c r="A589" s="306"/>
      <c r="B589" s="306" t="s">
        <v>515</v>
      </c>
      <c r="C589" s="310" t="s">
        <v>27</v>
      </c>
      <c r="E589" s="308">
        <v>0</v>
      </c>
      <c r="F589" s="41">
        <f t="shared" si="20"/>
        <v>0</v>
      </c>
    </row>
    <row r="590" spans="1:6" ht="14.4" customHeight="1" x14ac:dyDescent="0.3">
      <c r="A590" s="306"/>
      <c r="B590" s="306" t="s">
        <v>516</v>
      </c>
      <c r="C590" s="310" t="s">
        <v>27</v>
      </c>
      <c r="E590" s="308">
        <v>0</v>
      </c>
      <c r="F590" s="41">
        <f t="shared" si="20"/>
        <v>0</v>
      </c>
    </row>
    <row r="591" spans="1:6" ht="14.4" customHeight="1" x14ac:dyDescent="0.3">
      <c r="A591" s="306"/>
      <c r="B591" s="306" t="s">
        <v>517</v>
      </c>
      <c r="C591" s="310" t="s">
        <v>27</v>
      </c>
      <c r="E591" s="308">
        <v>0</v>
      </c>
      <c r="F591" s="41">
        <f t="shared" si="20"/>
        <v>0</v>
      </c>
    </row>
    <row r="592" spans="1:6" ht="14.4" customHeight="1" x14ac:dyDescent="0.3">
      <c r="A592" s="306"/>
      <c r="B592" s="306" t="s">
        <v>518</v>
      </c>
      <c r="C592" s="310" t="s">
        <v>27</v>
      </c>
      <c r="E592" s="308">
        <v>0</v>
      </c>
      <c r="F592" s="41">
        <f t="shared" si="20"/>
        <v>0</v>
      </c>
    </row>
    <row r="593" spans="1:6" ht="14.4" customHeight="1" x14ac:dyDescent="0.3">
      <c r="A593" s="306"/>
      <c r="B593" s="306" t="s">
        <v>519</v>
      </c>
      <c r="C593" s="310" t="s">
        <v>27</v>
      </c>
      <c r="E593" s="308">
        <v>0</v>
      </c>
      <c r="F593" s="41">
        <f t="shared" si="20"/>
        <v>0</v>
      </c>
    </row>
    <row r="594" spans="1:6" ht="14.4" customHeight="1" x14ac:dyDescent="0.3">
      <c r="A594" s="306"/>
      <c r="B594" s="306" t="s">
        <v>520</v>
      </c>
      <c r="C594" s="310" t="s">
        <v>27</v>
      </c>
      <c r="E594" s="308">
        <v>0</v>
      </c>
      <c r="F594" s="41">
        <f t="shared" si="20"/>
        <v>0</v>
      </c>
    </row>
    <row r="595" spans="1:6" ht="14.4" customHeight="1" x14ac:dyDescent="0.3">
      <c r="A595" s="306"/>
      <c r="B595" s="306" t="s">
        <v>521</v>
      </c>
      <c r="C595" s="310" t="s">
        <v>27</v>
      </c>
      <c r="E595" s="308">
        <v>0</v>
      </c>
      <c r="F595" s="41">
        <f t="shared" si="20"/>
        <v>0</v>
      </c>
    </row>
    <row r="596" spans="1:6" ht="14.4" customHeight="1" x14ac:dyDescent="0.3">
      <c r="A596" s="306"/>
      <c r="B596" s="306" t="s">
        <v>522</v>
      </c>
      <c r="C596" s="310" t="s">
        <v>27</v>
      </c>
      <c r="E596" s="308">
        <v>0</v>
      </c>
      <c r="F596" s="41">
        <f t="shared" si="20"/>
        <v>0</v>
      </c>
    </row>
    <row r="597" spans="1:6" ht="14.4" customHeight="1" x14ac:dyDescent="0.3">
      <c r="A597" s="306"/>
      <c r="B597" s="306" t="s">
        <v>523</v>
      </c>
      <c r="C597" s="310" t="s">
        <v>27</v>
      </c>
      <c r="E597" s="308">
        <v>0</v>
      </c>
      <c r="F597" s="41">
        <f t="shared" si="20"/>
        <v>0</v>
      </c>
    </row>
    <row r="598" spans="1:6" ht="14.4" customHeight="1" x14ac:dyDescent="0.3">
      <c r="A598" s="306"/>
      <c r="B598" s="306" t="s">
        <v>524</v>
      </c>
      <c r="C598" s="310" t="s">
        <v>27</v>
      </c>
      <c r="E598" s="308">
        <v>5.61</v>
      </c>
      <c r="F598" s="41">
        <f t="shared" si="20"/>
        <v>0</v>
      </c>
    </row>
    <row r="599" spans="1:6" ht="14.4" customHeight="1" x14ac:dyDescent="0.3">
      <c r="A599" s="306"/>
      <c r="B599" s="306" t="s">
        <v>525</v>
      </c>
      <c r="C599" s="310" t="s">
        <v>27</v>
      </c>
      <c r="E599" s="308">
        <v>0</v>
      </c>
      <c r="F599" s="41">
        <f t="shared" si="20"/>
        <v>0</v>
      </c>
    </row>
    <row r="600" spans="1:6" ht="14.4" customHeight="1" x14ac:dyDescent="0.3">
      <c r="A600" s="306"/>
      <c r="B600" s="306" t="s">
        <v>526</v>
      </c>
      <c r="C600" s="310" t="s">
        <v>27</v>
      </c>
      <c r="E600" s="308">
        <v>0</v>
      </c>
      <c r="F600" s="41">
        <f t="shared" si="20"/>
        <v>0</v>
      </c>
    </row>
    <row r="601" spans="1:6" ht="14.4" customHeight="1" x14ac:dyDescent="0.3">
      <c r="A601" s="306"/>
      <c r="B601" s="306" t="s">
        <v>527</v>
      </c>
      <c r="C601" s="310" t="s">
        <v>27</v>
      </c>
      <c r="E601" s="308">
        <v>0</v>
      </c>
      <c r="F601" s="41">
        <f t="shared" si="20"/>
        <v>0</v>
      </c>
    </row>
    <row r="602" spans="1:6" ht="14.4" customHeight="1" x14ac:dyDescent="0.3">
      <c r="A602" s="306"/>
      <c r="B602" s="306" t="s">
        <v>528</v>
      </c>
      <c r="C602" s="310" t="s">
        <v>27</v>
      </c>
      <c r="E602" s="308">
        <v>0</v>
      </c>
      <c r="F602" s="41">
        <f t="shared" si="20"/>
        <v>0</v>
      </c>
    </row>
    <row r="603" spans="1:6" ht="14.4" customHeight="1" x14ac:dyDescent="0.3">
      <c r="A603" s="306"/>
      <c r="B603" s="306" t="s">
        <v>529</v>
      </c>
      <c r="C603" s="310" t="s">
        <v>27</v>
      </c>
      <c r="E603" s="308">
        <v>0</v>
      </c>
      <c r="F603" s="41">
        <f t="shared" si="20"/>
        <v>0</v>
      </c>
    </row>
    <row r="604" spans="1:6" ht="14.4" customHeight="1" x14ac:dyDescent="0.3">
      <c r="A604" s="306"/>
      <c r="B604" s="306" t="s">
        <v>530</v>
      </c>
      <c r="C604" s="310" t="s">
        <v>27</v>
      </c>
      <c r="E604" s="308">
        <v>0</v>
      </c>
      <c r="F604" s="41">
        <f t="shared" si="20"/>
        <v>0</v>
      </c>
    </row>
    <row r="605" spans="1:6" ht="14.4" customHeight="1" x14ac:dyDescent="0.3">
      <c r="A605" s="306"/>
      <c r="B605" s="306" t="s">
        <v>531</v>
      </c>
      <c r="C605" s="310" t="s">
        <v>27</v>
      </c>
      <c r="E605" s="308">
        <v>0</v>
      </c>
      <c r="F605" s="41">
        <f t="shared" si="20"/>
        <v>0</v>
      </c>
    </row>
    <row r="606" spans="1:6" ht="14.4" customHeight="1" x14ac:dyDescent="0.3">
      <c r="A606" s="306"/>
      <c r="B606" s="306" t="s">
        <v>532</v>
      </c>
      <c r="C606" s="310" t="s">
        <v>27</v>
      </c>
      <c r="E606" s="308">
        <v>0</v>
      </c>
      <c r="F606" s="41">
        <f t="shared" si="20"/>
        <v>0</v>
      </c>
    </row>
    <row r="607" spans="1:6" ht="14.4" customHeight="1" x14ac:dyDescent="0.3">
      <c r="A607" s="306"/>
      <c r="B607" s="306" t="s">
        <v>533</v>
      </c>
      <c r="C607" s="310" t="s">
        <v>27</v>
      </c>
      <c r="E607" s="308">
        <v>0</v>
      </c>
      <c r="F607" s="41">
        <f t="shared" si="20"/>
        <v>0</v>
      </c>
    </row>
    <row r="608" spans="1:6" ht="14.4" customHeight="1" x14ac:dyDescent="0.3">
      <c r="A608" s="306"/>
      <c r="B608" s="306" t="s">
        <v>534</v>
      </c>
      <c r="C608" s="310" t="s">
        <v>27</v>
      </c>
      <c r="E608" s="308">
        <v>0</v>
      </c>
      <c r="F608" s="41">
        <f t="shared" si="20"/>
        <v>0</v>
      </c>
    </row>
    <row r="609" spans="1:6" ht="14.4" customHeight="1" x14ac:dyDescent="0.3">
      <c r="A609" s="306"/>
      <c r="B609" s="306" t="s">
        <v>535</v>
      </c>
      <c r="C609" s="310" t="s">
        <v>27</v>
      </c>
      <c r="E609" s="308">
        <v>0</v>
      </c>
      <c r="F609" s="41">
        <f t="shared" si="20"/>
        <v>0</v>
      </c>
    </row>
    <row r="610" spans="1:6" ht="14.4" customHeight="1" x14ac:dyDescent="0.3">
      <c r="A610" s="306"/>
      <c r="B610" s="306" t="s">
        <v>536</v>
      </c>
      <c r="C610" s="310" t="s">
        <v>27</v>
      </c>
      <c r="E610" s="308">
        <v>0</v>
      </c>
      <c r="F610" s="41">
        <f t="shared" si="20"/>
        <v>0</v>
      </c>
    </row>
    <row r="611" spans="1:6" ht="14.4" customHeight="1" x14ac:dyDescent="0.3">
      <c r="A611" s="306"/>
      <c r="B611" s="306" t="s">
        <v>537</v>
      </c>
      <c r="C611" s="310" t="s">
        <v>27</v>
      </c>
      <c r="E611" s="308">
        <v>0</v>
      </c>
      <c r="F611" s="41">
        <f t="shared" si="20"/>
        <v>0</v>
      </c>
    </row>
    <row r="612" spans="1:6" ht="14.4" customHeight="1" x14ac:dyDescent="0.3">
      <c r="A612" s="306"/>
      <c r="B612" s="306" t="s">
        <v>538</v>
      </c>
      <c r="C612" s="310" t="s">
        <v>27</v>
      </c>
      <c r="E612" s="308">
        <v>0</v>
      </c>
      <c r="F612" s="41">
        <f t="shared" si="20"/>
        <v>0</v>
      </c>
    </row>
    <row r="613" spans="1:6" ht="14.4" customHeight="1" x14ac:dyDescent="0.3">
      <c r="A613" s="306"/>
      <c r="B613" s="306" t="s">
        <v>539</v>
      </c>
      <c r="C613" s="310" t="s">
        <v>27</v>
      </c>
      <c r="E613" s="308">
        <v>0</v>
      </c>
      <c r="F613" s="41">
        <f t="shared" si="20"/>
        <v>0</v>
      </c>
    </row>
    <row r="614" spans="1:6" ht="14.4" customHeight="1" x14ac:dyDescent="0.3">
      <c r="A614" s="306"/>
      <c r="B614" s="306" t="s">
        <v>540</v>
      </c>
      <c r="C614" s="310" t="s">
        <v>27</v>
      </c>
      <c r="E614" s="308">
        <v>0</v>
      </c>
      <c r="F614" s="41">
        <f t="shared" si="20"/>
        <v>0</v>
      </c>
    </row>
    <row r="615" spans="1:6" ht="14.4" customHeight="1" x14ac:dyDescent="0.3">
      <c r="A615" s="306"/>
      <c r="B615" s="306" t="s">
        <v>541</v>
      </c>
      <c r="C615" s="310" t="s">
        <v>27</v>
      </c>
      <c r="E615" s="308">
        <v>0</v>
      </c>
      <c r="F615" s="41">
        <f t="shared" si="20"/>
        <v>0</v>
      </c>
    </row>
    <row r="616" spans="1:6" ht="14.4" customHeight="1" x14ac:dyDescent="0.3">
      <c r="A616" s="306"/>
      <c r="B616" s="306" t="s">
        <v>542</v>
      </c>
      <c r="C616" s="310" t="s">
        <v>27</v>
      </c>
      <c r="E616" s="308">
        <v>0</v>
      </c>
      <c r="F616" s="41">
        <f t="shared" si="20"/>
        <v>0</v>
      </c>
    </row>
    <row r="617" spans="1:6" ht="14.4" customHeight="1" x14ac:dyDescent="0.3">
      <c r="A617" s="306"/>
      <c r="B617" s="306" t="s">
        <v>543</v>
      </c>
      <c r="C617" s="310" t="s">
        <v>27</v>
      </c>
      <c r="E617" s="308">
        <v>0</v>
      </c>
      <c r="F617" s="41">
        <f t="shared" si="20"/>
        <v>0</v>
      </c>
    </row>
    <row r="618" spans="1:6" ht="14.4" customHeight="1" x14ac:dyDescent="0.3">
      <c r="A618" s="306"/>
      <c r="B618" s="306" t="s">
        <v>544</v>
      </c>
      <c r="C618" s="310" t="s">
        <v>27</v>
      </c>
      <c r="E618" s="308">
        <v>0</v>
      </c>
      <c r="F618" s="41">
        <f t="shared" si="20"/>
        <v>0</v>
      </c>
    </row>
    <row r="619" spans="1:6" ht="14.4" customHeight="1" x14ac:dyDescent="0.3">
      <c r="A619" s="306"/>
      <c r="B619" s="306" t="s">
        <v>545</v>
      </c>
      <c r="C619" s="310" t="s">
        <v>27</v>
      </c>
      <c r="E619" s="308">
        <v>0</v>
      </c>
      <c r="F619" s="41">
        <f t="shared" si="20"/>
        <v>0</v>
      </c>
    </row>
    <row r="620" spans="1:6" ht="14.4" customHeight="1" x14ac:dyDescent="0.3">
      <c r="A620" s="306"/>
      <c r="B620" s="306" t="s">
        <v>546</v>
      </c>
      <c r="C620" s="310" t="s">
        <v>27</v>
      </c>
      <c r="E620" s="308">
        <v>0</v>
      </c>
      <c r="F620" s="41">
        <f t="shared" si="20"/>
        <v>0</v>
      </c>
    </row>
    <row r="621" spans="1:6" ht="14.4" customHeight="1" x14ac:dyDescent="0.3">
      <c r="A621" s="306"/>
      <c r="B621" s="306" t="s">
        <v>547</v>
      </c>
      <c r="C621" s="310" t="s">
        <v>27</v>
      </c>
      <c r="E621" s="308">
        <v>0</v>
      </c>
      <c r="F621" s="41">
        <f t="shared" si="20"/>
        <v>0</v>
      </c>
    </row>
    <row r="622" spans="1:6" ht="14.4" customHeight="1" x14ac:dyDescent="0.3">
      <c r="A622" s="306"/>
      <c r="B622" s="306" t="s">
        <v>548</v>
      </c>
      <c r="C622" s="310" t="s">
        <v>27</v>
      </c>
      <c r="E622" s="308">
        <v>0</v>
      </c>
      <c r="F622" s="41">
        <f t="shared" si="20"/>
        <v>0</v>
      </c>
    </row>
    <row r="623" spans="1:6" ht="14.4" customHeight="1" x14ac:dyDescent="0.3">
      <c r="A623" s="306"/>
      <c r="B623" s="306" t="s">
        <v>549</v>
      </c>
      <c r="C623" s="310" t="s">
        <v>27</v>
      </c>
      <c r="E623" s="308">
        <v>0</v>
      </c>
      <c r="F623" s="41">
        <f t="shared" si="20"/>
        <v>0</v>
      </c>
    </row>
    <row r="624" spans="1:6" ht="14.4" customHeight="1" x14ac:dyDescent="0.3">
      <c r="A624" s="306"/>
      <c r="B624" s="306" t="s">
        <v>550</v>
      </c>
      <c r="C624" s="310" t="s">
        <v>27</v>
      </c>
      <c r="E624" s="308">
        <v>26.25</v>
      </c>
      <c r="F624" s="41">
        <f t="shared" si="20"/>
        <v>0</v>
      </c>
    </row>
    <row r="625" spans="1:6" ht="14.4" customHeight="1" x14ac:dyDescent="0.3">
      <c r="A625" s="306"/>
      <c r="B625" s="306" t="s">
        <v>551</v>
      </c>
      <c r="C625" s="310" t="s">
        <v>27</v>
      </c>
      <c r="E625" s="308">
        <v>0</v>
      </c>
      <c r="F625" s="41">
        <f t="shared" si="20"/>
        <v>0</v>
      </c>
    </row>
    <row r="626" spans="1:6" ht="14.4" customHeight="1" x14ac:dyDescent="0.3">
      <c r="A626" s="306"/>
      <c r="B626" s="306" t="s">
        <v>552</v>
      </c>
      <c r="C626" s="310" t="s">
        <v>27</v>
      </c>
      <c r="E626" s="308">
        <v>0</v>
      </c>
      <c r="F626" s="41">
        <f t="shared" si="20"/>
        <v>0</v>
      </c>
    </row>
    <row r="627" spans="1:6" ht="14.4" customHeight="1" x14ac:dyDescent="0.3">
      <c r="A627" s="306"/>
      <c r="B627" s="306" t="s">
        <v>553</v>
      </c>
      <c r="C627" s="310" t="s">
        <v>27</v>
      </c>
      <c r="E627" s="308">
        <v>0</v>
      </c>
      <c r="F627" s="41">
        <f t="shared" ref="F627:F651" si="21">E627*D627</f>
        <v>0</v>
      </c>
    </row>
    <row r="628" spans="1:6" ht="14.4" customHeight="1" x14ac:dyDescent="0.3">
      <c r="A628" s="306"/>
      <c r="B628" s="306" t="s">
        <v>554</v>
      </c>
      <c r="C628" s="310" t="s">
        <v>27</v>
      </c>
      <c r="E628" s="308">
        <v>0</v>
      </c>
      <c r="F628" s="41">
        <f t="shared" si="21"/>
        <v>0</v>
      </c>
    </row>
    <row r="629" spans="1:6" ht="14.4" customHeight="1" x14ac:dyDescent="0.3">
      <c r="A629" s="306"/>
      <c r="B629" s="306" t="s">
        <v>555</v>
      </c>
      <c r="C629" s="310" t="s">
        <v>27</v>
      </c>
      <c r="E629" s="308">
        <v>0</v>
      </c>
      <c r="F629" s="41">
        <f t="shared" si="21"/>
        <v>0</v>
      </c>
    </row>
    <row r="630" spans="1:6" ht="14.4" customHeight="1" x14ac:dyDescent="0.3">
      <c r="A630" s="306"/>
      <c r="B630" s="306" t="s">
        <v>556</v>
      </c>
      <c r="C630" s="310" t="s">
        <v>27</v>
      </c>
      <c r="E630" s="308">
        <v>0</v>
      </c>
      <c r="F630" s="41">
        <f t="shared" si="21"/>
        <v>0</v>
      </c>
    </row>
    <row r="631" spans="1:6" ht="14.4" customHeight="1" x14ac:dyDescent="0.3">
      <c r="A631" s="306"/>
      <c r="B631" s="306" t="s">
        <v>557</v>
      </c>
      <c r="C631" s="310" t="s">
        <v>27</v>
      </c>
      <c r="E631" s="308">
        <v>0</v>
      </c>
      <c r="F631" s="41">
        <f t="shared" si="21"/>
        <v>0</v>
      </c>
    </row>
    <row r="632" spans="1:6" ht="14.4" customHeight="1" x14ac:dyDescent="0.3">
      <c r="A632" s="306"/>
      <c r="B632" s="306" t="s">
        <v>558</v>
      </c>
      <c r="C632" s="310" t="s">
        <v>27</v>
      </c>
      <c r="E632" s="308">
        <v>0</v>
      </c>
      <c r="F632" s="41">
        <f t="shared" si="21"/>
        <v>0</v>
      </c>
    </row>
    <row r="633" spans="1:6" ht="14.4" customHeight="1" x14ac:dyDescent="0.3">
      <c r="A633" s="306"/>
      <c r="B633" s="306" t="s">
        <v>559</v>
      </c>
      <c r="C633" s="310" t="s">
        <v>27</v>
      </c>
      <c r="E633" s="308">
        <v>0</v>
      </c>
      <c r="F633" s="41">
        <f t="shared" si="21"/>
        <v>0</v>
      </c>
    </row>
    <row r="634" spans="1:6" ht="14.4" customHeight="1" x14ac:dyDescent="0.3">
      <c r="A634" s="306"/>
      <c r="B634" s="306" t="s">
        <v>560</v>
      </c>
      <c r="C634" s="310" t="s">
        <v>27</v>
      </c>
      <c r="E634" s="308">
        <v>0</v>
      </c>
      <c r="F634" s="41">
        <f t="shared" si="21"/>
        <v>0</v>
      </c>
    </row>
    <row r="635" spans="1:6" ht="14.4" customHeight="1" x14ac:dyDescent="0.3">
      <c r="A635" s="306"/>
      <c r="B635" s="306" t="s">
        <v>561</v>
      </c>
      <c r="C635" s="310" t="s">
        <v>27</v>
      </c>
      <c r="E635" s="308">
        <v>0</v>
      </c>
      <c r="F635" s="41">
        <f t="shared" si="21"/>
        <v>0</v>
      </c>
    </row>
    <row r="636" spans="1:6" ht="14.4" customHeight="1" x14ac:dyDescent="0.3">
      <c r="A636" s="306"/>
      <c r="B636" s="306" t="s">
        <v>562</v>
      </c>
      <c r="C636" s="310" t="s">
        <v>27</v>
      </c>
      <c r="E636" s="308">
        <v>0</v>
      </c>
      <c r="F636" s="41">
        <f t="shared" si="21"/>
        <v>0</v>
      </c>
    </row>
    <row r="637" spans="1:6" ht="14.4" customHeight="1" x14ac:dyDescent="0.3">
      <c r="A637" s="306"/>
      <c r="B637" s="306" t="s">
        <v>563</v>
      </c>
      <c r="C637" s="310" t="s">
        <v>27</v>
      </c>
      <c r="E637" s="308">
        <v>0</v>
      </c>
      <c r="F637" s="41">
        <f t="shared" si="21"/>
        <v>0</v>
      </c>
    </row>
    <row r="638" spans="1:6" ht="14.4" customHeight="1" x14ac:dyDescent="0.3">
      <c r="A638" s="306"/>
      <c r="B638" s="306" t="s">
        <v>564</v>
      </c>
      <c r="C638" s="310" t="s">
        <v>27</v>
      </c>
      <c r="E638" s="308">
        <v>0</v>
      </c>
      <c r="F638" s="41">
        <f t="shared" si="21"/>
        <v>0</v>
      </c>
    </row>
    <row r="639" spans="1:6" ht="14.4" customHeight="1" x14ac:dyDescent="0.3">
      <c r="A639" s="306"/>
      <c r="B639" s="306" t="s">
        <v>565</v>
      </c>
      <c r="C639" s="310" t="s">
        <v>27</v>
      </c>
      <c r="E639" s="308">
        <v>0</v>
      </c>
      <c r="F639" s="41">
        <f t="shared" si="21"/>
        <v>0</v>
      </c>
    </row>
    <row r="640" spans="1:6" ht="14.4" customHeight="1" x14ac:dyDescent="0.3">
      <c r="A640" s="306"/>
      <c r="B640" s="306" t="s">
        <v>566</v>
      </c>
      <c r="C640" s="310" t="s">
        <v>27</v>
      </c>
      <c r="E640" s="308">
        <v>0</v>
      </c>
      <c r="F640" s="41">
        <f t="shared" si="21"/>
        <v>0</v>
      </c>
    </row>
    <row r="641" spans="1:10" ht="14.4" customHeight="1" x14ac:dyDescent="0.3">
      <c r="A641" s="306"/>
      <c r="B641" s="306" t="s">
        <v>567</v>
      </c>
      <c r="C641" s="310" t="s">
        <v>27</v>
      </c>
      <c r="E641" s="308">
        <v>0</v>
      </c>
      <c r="F641" s="41">
        <f t="shared" si="21"/>
        <v>0</v>
      </c>
    </row>
    <row r="642" spans="1:10" ht="14.4" customHeight="1" x14ac:dyDescent="0.3">
      <c r="A642" s="306"/>
      <c r="B642" s="306" t="s">
        <v>568</v>
      </c>
      <c r="C642" s="310" t="s">
        <v>27</v>
      </c>
      <c r="E642" s="308">
        <v>0</v>
      </c>
      <c r="F642" s="41">
        <f t="shared" si="21"/>
        <v>0</v>
      </c>
    </row>
    <row r="643" spans="1:10" ht="14.4" customHeight="1" x14ac:dyDescent="0.3">
      <c r="A643" s="306"/>
      <c r="B643" s="306" t="s">
        <v>569</v>
      </c>
      <c r="C643" s="310" t="s">
        <v>27</v>
      </c>
      <c r="E643" s="308">
        <v>0</v>
      </c>
      <c r="F643" s="41">
        <f t="shared" si="21"/>
        <v>0</v>
      </c>
    </row>
    <row r="644" spans="1:10" ht="14.4" customHeight="1" x14ac:dyDescent="0.3">
      <c r="A644" s="306"/>
      <c r="B644" s="306" t="s">
        <v>570</v>
      </c>
      <c r="C644" s="310" t="s">
        <v>27</v>
      </c>
      <c r="E644" s="308">
        <v>0</v>
      </c>
      <c r="F644" s="41">
        <f t="shared" si="21"/>
        <v>0</v>
      </c>
    </row>
    <row r="645" spans="1:10" ht="14.4" customHeight="1" x14ac:dyDescent="0.3">
      <c r="A645" s="306"/>
      <c r="B645" s="306" t="s">
        <v>571</v>
      </c>
      <c r="C645" s="310" t="s">
        <v>27</v>
      </c>
      <c r="E645" s="308">
        <v>0</v>
      </c>
      <c r="F645" s="41">
        <f t="shared" si="21"/>
        <v>0</v>
      </c>
    </row>
    <row r="646" spans="1:10" ht="14.4" customHeight="1" x14ac:dyDescent="0.3">
      <c r="A646" s="306"/>
      <c r="B646" s="306" t="s">
        <v>572</v>
      </c>
      <c r="C646" s="310" t="s">
        <v>27</v>
      </c>
      <c r="E646" s="308">
        <v>0</v>
      </c>
      <c r="F646" s="41">
        <f t="shared" si="21"/>
        <v>0</v>
      </c>
    </row>
    <row r="647" spans="1:10" ht="14.4" customHeight="1" x14ac:dyDescent="0.3">
      <c r="A647" s="306"/>
      <c r="B647" s="306" t="s">
        <v>573</v>
      </c>
      <c r="C647" s="310" t="s">
        <v>27</v>
      </c>
      <c r="E647" s="308">
        <v>0</v>
      </c>
      <c r="F647" s="41">
        <f t="shared" si="21"/>
        <v>0</v>
      </c>
    </row>
    <row r="648" spans="1:10" ht="14.4" customHeight="1" x14ac:dyDescent="0.3">
      <c r="A648" s="306"/>
      <c r="B648" s="306" t="s">
        <v>574</v>
      </c>
      <c r="C648" s="310" t="s">
        <v>27</v>
      </c>
      <c r="E648" s="308">
        <v>0</v>
      </c>
      <c r="F648" s="41">
        <f t="shared" si="21"/>
        <v>0</v>
      </c>
    </row>
    <row r="649" spans="1:10" ht="14.4" customHeight="1" x14ac:dyDescent="0.3">
      <c r="A649" s="306"/>
      <c r="B649" s="306" t="s">
        <v>575</v>
      </c>
      <c r="C649" s="310" t="s">
        <v>27</v>
      </c>
      <c r="E649" s="308">
        <v>0</v>
      </c>
      <c r="F649" s="41">
        <f t="shared" si="21"/>
        <v>0</v>
      </c>
    </row>
    <row r="650" spans="1:10" ht="14.4" customHeight="1" x14ac:dyDescent="0.3">
      <c r="A650" s="306"/>
      <c r="B650" s="306" t="s">
        <v>576</v>
      </c>
      <c r="C650" s="310" t="s">
        <v>27</v>
      </c>
      <c r="E650" s="308">
        <v>0</v>
      </c>
      <c r="F650" s="41">
        <f t="shared" si="21"/>
        <v>0</v>
      </c>
    </row>
    <row r="651" spans="1:10" ht="14.4" customHeight="1" x14ac:dyDescent="0.3">
      <c r="A651" s="306"/>
      <c r="B651" s="306"/>
      <c r="C651" s="310" t="s">
        <v>27</v>
      </c>
      <c r="E651" s="308">
        <v>0</v>
      </c>
      <c r="F651" s="41">
        <f t="shared" si="21"/>
        <v>0</v>
      </c>
    </row>
    <row r="652" spans="1:10" ht="14.4" customHeight="1" x14ac:dyDescent="0.3">
      <c r="A652" s="306"/>
      <c r="B652" s="306"/>
      <c r="C652" s="310"/>
      <c r="E652" s="308"/>
    </row>
    <row r="653" spans="1:10" ht="14.4" customHeight="1" x14ac:dyDescent="0.3">
      <c r="A653" s="306"/>
      <c r="B653" s="306"/>
      <c r="C653" s="310"/>
      <c r="E653" s="308"/>
    </row>
    <row r="654" spans="1:10" ht="14.4" customHeight="1" x14ac:dyDescent="0.3">
      <c r="A654" s="306"/>
      <c r="B654" s="306"/>
      <c r="C654" s="310"/>
      <c r="E654" s="308"/>
    </row>
    <row r="655" spans="1:10" ht="14.4" customHeight="1" x14ac:dyDescent="0.3">
      <c r="A655" s="306"/>
      <c r="B655" s="385" t="s">
        <v>577</v>
      </c>
      <c r="C655" s="421" t="s">
        <v>25</v>
      </c>
      <c r="D655" s="379">
        <v>157.82</v>
      </c>
      <c r="E655" s="380">
        <f>434/158</f>
        <v>2.7468354430379747</v>
      </c>
      <c r="F655" s="381">
        <f t="shared" ref="F655:F686" si="22">E655*D655</f>
        <v>433.50556962025314</v>
      </c>
      <c r="G655">
        <v>158</v>
      </c>
      <c r="H655" s="457" t="s">
        <v>1029</v>
      </c>
      <c r="J655" s="38">
        <f>217*2</f>
        <v>434</v>
      </c>
    </row>
    <row r="656" spans="1:10" ht="14.4" customHeight="1" x14ac:dyDescent="0.3">
      <c r="A656" s="306"/>
      <c r="B656" s="417" t="s">
        <v>1047</v>
      </c>
      <c r="C656" s="419" t="s">
        <v>25</v>
      </c>
      <c r="D656" s="40">
        <v>65.290000000000006</v>
      </c>
      <c r="E656" s="380">
        <f>231/66</f>
        <v>3.5</v>
      </c>
      <c r="F656" s="41">
        <f t="shared" si="22"/>
        <v>228.51500000000001</v>
      </c>
      <c r="G656">
        <v>66</v>
      </c>
      <c r="H656" s="457" t="s">
        <v>1029</v>
      </c>
    </row>
    <row r="657" spans="1:6" ht="14.4" customHeight="1" x14ac:dyDescent="0.3">
      <c r="A657" s="306"/>
      <c r="B657" s="306" t="s">
        <v>579</v>
      </c>
      <c r="C657" s="310" t="s">
        <v>25</v>
      </c>
      <c r="E657" s="308">
        <v>0</v>
      </c>
      <c r="F657" s="41">
        <f t="shared" si="22"/>
        <v>0</v>
      </c>
    </row>
    <row r="658" spans="1:6" ht="14.4" customHeight="1" x14ac:dyDescent="0.3">
      <c r="A658" s="306"/>
      <c r="B658" s="306" t="s">
        <v>580</v>
      </c>
      <c r="C658" s="310" t="s">
        <v>25</v>
      </c>
      <c r="E658" s="308">
        <v>0</v>
      </c>
      <c r="F658" s="41">
        <f t="shared" si="22"/>
        <v>0</v>
      </c>
    </row>
    <row r="659" spans="1:6" ht="14.4" customHeight="1" x14ac:dyDescent="0.3">
      <c r="A659" s="306"/>
      <c r="B659" s="306" t="s">
        <v>581</v>
      </c>
      <c r="C659" s="310" t="s">
        <v>25</v>
      </c>
      <c r="D659" s="40">
        <v>104</v>
      </c>
      <c r="E659" s="308">
        <v>5.15</v>
      </c>
      <c r="F659" s="41">
        <f t="shared" si="22"/>
        <v>535.6</v>
      </c>
    </row>
    <row r="660" spans="1:6" ht="14.4" customHeight="1" x14ac:dyDescent="0.3">
      <c r="A660" s="306"/>
      <c r="B660" s="306" t="s">
        <v>582</v>
      </c>
      <c r="C660" s="310" t="s">
        <v>27</v>
      </c>
      <c r="D660" s="40">
        <v>66</v>
      </c>
      <c r="E660" s="308">
        <v>7.49</v>
      </c>
      <c r="F660" s="41">
        <f t="shared" si="22"/>
        <v>494.34000000000003</v>
      </c>
    </row>
    <row r="661" spans="1:6" ht="14.4" customHeight="1" x14ac:dyDescent="0.3">
      <c r="A661" s="306"/>
      <c r="B661" s="306" t="s">
        <v>583</v>
      </c>
      <c r="C661" s="310" t="s">
        <v>27</v>
      </c>
      <c r="E661" s="308">
        <v>0</v>
      </c>
      <c r="F661" s="41">
        <f t="shared" si="22"/>
        <v>0</v>
      </c>
    </row>
    <row r="662" spans="1:6" ht="14.4" customHeight="1" x14ac:dyDescent="0.3">
      <c r="A662" s="306"/>
      <c r="B662" s="306" t="s">
        <v>584</v>
      </c>
      <c r="C662" s="310" t="s">
        <v>27</v>
      </c>
      <c r="E662" s="308">
        <v>0</v>
      </c>
      <c r="F662" s="41">
        <f t="shared" si="22"/>
        <v>0</v>
      </c>
    </row>
    <row r="663" spans="1:6" ht="14.4" customHeight="1" x14ac:dyDescent="0.3">
      <c r="A663" s="306"/>
      <c r="B663" s="306" t="s">
        <v>585</v>
      </c>
      <c r="C663" s="310" t="s">
        <v>27</v>
      </c>
      <c r="E663" s="308">
        <v>0</v>
      </c>
      <c r="F663" s="41">
        <f t="shared" si="22"/>
        <v>0</v>
      </c>
    </row>
    <row r="664" spans="1:6" ht="14.4" customHeight="1" x14ac:dyDescent="0.3">
      <c r="A664" s="306"/>
      <c r="B664" s="306" t="s">
        <v>586</v>
      </c>
      <c r="C664" s="310" t="s">
        <v>27</v>
      </c>
      <c r="E664" s="308">
        <v>0</v>
      </c>
      <c r="F664" s="41">
        <f t="shared" si="22"/>
        <v>0</v>
      </c>
    </row>
    <row r="665" spans="1:6" ht="14.4" customHeight="1" x14ac:dyDescent="0.3">
      <c r="A665" s="306"/>
      <c r="B665" s="417" t="s">
        <v>587</v>
      </c>
      <c r="C665" s="419" t="s">
        <v>27</v>
      </c>
      <c r="D665" s="40">
        <v>1</v>
      </c>
      <c r="E665" s="308">
        <v>20</v>
      </c>
      <c r="F665" s="41">
        <f t="shared" si="22"/>
        <v>20</v>
      </c>
    </row>
    <row r="666" spans="1:6" ht="14.4" customHeight="1" x14ac:dyDescent="0.3">
      <c r="A666" s="306"/>
      <c r="B666" s="417" t="s">
        <v>588</v>
      </c>
      <c r="C666" s="419" t="s">
        <v>27</v>
      </c>
      <c r="D666" s="40">
        <v>14</v>
      </c>
      <c r="E666" s="308">
        <v>14</v>
      </c>
      <c r="F666" s="41">
        <f t="shared" si="22"/>
        <v>196</v>
      </c>
    </row>
    <row r="667" spans="1:6" ht="14.4" customHeight="1" x14ac:dyDescent="0.3">
      <c r="A667" s="306"/>
      <c r="B667" s="417" t="s">
        <v>1048</v>
      </c>
      <c r="C667" s="419" t="s">
        <v>27</v>
      </c>
      <c r="D667" s="40">
        <v>5</v>
      </c>
      <c r="E667" s="308">
        <v>10.050000000000001</v>
      </c>
      <c r="F667" s="41">
        <f t="shared" si="22"/>
        <v>50.25</v>
      </c>
    </row>
    <row r="668" spans="1:6" ht="26.25" customHeight="1" x14ac:dyDescent="0.3">
      <c r="A668" s="306"/>
      <c r="B668" s="306" t="s">
        <v>589</v>
      </c>
      <c r="C668" s="310" t="s">
        <v>27</v>
      </c>
      <c r="E668" s="308">
        <v>0</v>
      </c>
      <c r="F668" s="41">
        <f t="shared" si="22"/>
        <v>0</v>
      </c>
    </row>
    <row r="669" spans="1:6" ht="14.4" customHeight="1" x14ac:dyDescent="0.3">
      <c r="A669" s="306"/>
      <c r="B669" s="306" t="s">
        <v>590</v>
      </c>
      <c r="C669" s="310" t="s">
        <v>27</v>
      </c>
      <c r="E669" s="308">
        <v>0</v>
      </c>
      <c r="F669" s="41">
        <f t="shared" si="22"/>
        <v>0</v>
      </c>
    </row>
    <row r="670" spans="1:6" ht="14.4" customHeight="1" x14ac:dyDescent="0.3">
      <c r="A670" s="306"/>
      <c r="B670" s="306" t="s">
        <v>591</v>
      </c>
      <c r="C670" s="310" t="s">
        <v>27</v>
      </c>
      <c r="E670" s="308">
        <v>0</v>
      </c>
      <c r="F670" s="41">
        <f t="shared" si="22"/>
        <v>0</v>
      </c>
    </row>
    <row r="671" spans="1:6" ht="14.4" customHeight="1" x14ac:dyDescent="0.3">
      <c r="A671" s="306"/>
      <c r="B671" s="306" t="s">
        <v>592</v>
      </c>
      <c r="C671" s="310" t="s">
        <v>27</v>
      </c>
      <c r="E671" s="308">
        <v>0</v>
      </c>
      <c r="F671" s="41">
        <f t="shared" si="22"/>
        <v>0</v>
      </c>
    </row>
    <row r="672" spans="1:6" ht="14.4" customHeight="1" x14ac:dyDescent="0.3">
      <c r="A672" s="306"/>
      <c r="B672" s="306" t="s">
        <v>593</v>
      </c>
      <c r="C672" s="310" t="s">
        <v>27</v>
      </c>
      <c r="E672" s="308">
        <v>0</v>
      </c>
      <c r="F672" s="41">
        <f t="shared" si="22"/>
        <v>0</v>
      </c>
    </row>
    <row r="673" spans="1:8" ht="14.4" customHeight="1" x14ac:dyDescent="0.3">
      <c r="A673" s="306"/>
      <c r="B673" s="306" t="s">
        <v>594</v>
      </c>
      <c r="C673" s="310" t="s">
        <v>27</v>
      </c>
      <c r="E673" s="308">
        <v>0</v>
      </c>
      <c r="F673" s="41">
        <f t="shared" si="22"/>
        <v>0</v>
      </c>
    </row>
    <row r="674" spans="1:8" ht="14.4" customHeight="1" x14ac:dyDescent="0.3">
      <c r="A674" s="306"/>
      <c r="B674" s="306" t="s">
        <v>595</v>
      </c>
      <c r="C674" s="310" t="s">
        <v>27</v>
      </c>
      <c r="E674" s="308">
        <v>0</v>
      </c>
      <c r="F674" s="41">
        <f t="shared" si="22"/>
        <v>0</v>
      </c>
    </row>
    <row r="675" spans="1:8" ht="14.4" customHeight="1" x14ac:dyDescent="0.3">
      <c r="A675" s="306"/>
      <c r="B675" s="306" t="s">
        <v>596</v>
      </c>
      <c r="C675" s="310" t="s">
        <v>27</v>
      </c>
      <c r="E675" s="308">
        <v>0</v>
      </c>
      <c r="F675" s="41">
        <f t="shared" si="22"/>
        <v>0</v>
      </c>
    </row>
    <row r="676" spans="1:8" ht="14.4" customHeight="1" x14ac:dyDescent="0.3">
      <c r="A676" s="306"/>
      <c r="B676" s="306" t="s">
        <v>597</v>
      </c>
      <c r="C676" s="310" t="s">
        <v>27</v>
      </c>
      <c r="E676" s="308">
        <v>0</v>
      </c>
      <c r="F676" s="41">
        <f t="shared" si="22"/>
        <v>0</v>
      </c>
    </row>
    <row r="677" spans="1:8" ht="14.4" customHeight="1" x14ac:dyDescent="0.3">
      <c r="A677" s="306"/>
      <c r="B677" s="306" t="s">
        <v>598</v>
      </c>
      <c r="C677" s="310" t="s">
        <v>27</v>
      </c>
      <c r="E677" s="308">
        <v>0</v>
      </c>
      <c r="F677" s="41">
        <f t="shared" si="22"/>
        <v>0</v>
      </c>
    </row>
    <row r="678" spans="1:8" ht="14.4" customHeight="1" x14ac:dyDescent="0.3">
      <c r="A678" s="306"/>
      <c r="B678" s="306" t="s">
        <v>599</v>
      </c>
      <c r="C678" s="310" t="s">
        <v>27</v>
      </c>
      <c r="E678" s="308">
        <v>0</v>
      </c>
      <c r="F678" s="41">
        <f t="shared" si="22"/>
        <v>0</v>
      </c>
    </row>
    <row r="679" spans="1:8" ht="14.4" customHeight="1" x14ac:dyDescent="0.3">
      <c r="A679" s="306"/>
      <c r="B679" s="306"/>
      <c r="C679" s="310" t="s">
        <v>27</v>
      </c>
      <c r="E679" s="308">
        <v>0</v>
      </c>
      <c r="F679" s="41">
        <f t="shared" si="22"/>
        <v>0</v>
      </c>
    </row>
    <row r="680" spans="1:8" ht="14.4" customHeight="1" x14ac:dyDescent="0.3">
      <c r="B680" s="312" t="s">
        <v>600</v>
      </c>
      <c r="C680" s="310" t="s">
        <v>27</v>
      </c>
      <c r="D680" s="40">
        <v>5</v>
      </c>
      <c r="E680" s="308">
        <v>56</v>
      </c>
      <c r="F680" s="41">
        <f t="shared" si="22"/>
        <v>280</v>
      </c>
      <c r="G680">
        <v>4</v>
      </c>
      <c r="H680" s="457" t="s">
        <v>1049</v>
      </c>
    </row>
    <row r="681" spans="1:8" ht="14.4" customHeight="1" x14ac:dyDescent="0.3">
      <c r="B681" t="s">
        <v>601</v>
      </c>
      <c r="C681" s="289" t="s">
        <v>27</v>
      </c>
      <c r="E681" s="308">
        <v>202.94</v>
      </c>
      <c r="F681" s="41">
        <f t="shared" si="22"/>
        <v>0</v>
      </c>
    </row>
    <row r="682" spans="1:8" ht="14.4" customHeight="1" x14ac:dyDescent="0.3">
      <c r="B682" t="s">
        <v>602</v>
      </c>
      <c r="C682" s="289" t="s">
        <v>27</v>
      </c>
      <c r="E682" s="308">
        <v>92.67</v>
      </c>
      <c r="F682" s="41">
        <f t="shared" si="22"/>
        <v>0</v>
      </c>
    </row>
    <row r="683" spans="1:8" ht="14.4" customHeight="1" x14ac:dyDescent="0.3">
      <c r="B683" t="s">
        <v>603</v>
      </c>
      <c r="C683" s="289" t="s">
        <v>27</v>
      </c>
      <c r="E683" s="308">
        <v>24.71</v>
      </c>
      <c r="F683" s="41">
        <f t="shared" si="22"/>
        <v>0</v>
      </c>
    </row>
    <row r="684" spans="1:8" ht="14.4" customHeight="1" x14ac:dyDescent="0.3">
      <c r="B684" t="s">
        <v>220</v>
      </c>
      <c r="C684" s="289" t="s">
        <v>27</v>
      </c>
      <c r="E684" s="308">
        <v>20</v>
      </c>
      <c r="F684" s="41">
        <f t="shared" si="22"/>
        <v>0</v>
      </c>
    </row>
    <row r="685" spans="1:8" ht="14.4" customHeight="1" x14ac:dyDescent="0.3">
      <c r="B685" t="s">
        <v>185</v>
      </c>
      <c r="C685" s="289" t="s">
        <v>27</v>
      </c>
      <c r="E685" s="308">
        <v>136.94</v>
      </c>
      <c r="F685" s="41">
        <f t="shared" si="22"/>
        <v>0</v>
      </c>
    </row>
    <row r="686" spans="1:8" ht="14.4" customHeight="1" x14ac:dyDescent="0.3">
      <c r="B686" t="s">
        <v>254</v>
      </c>
      <c r="C686" s="289" t="s">
        <v>27</v>
      </c>
      <c r="E686" s="308">
        <v>365</v>
      </c>
      <c r="F686" s="41">
        <f t="shared" si="22"/>
        <v>0</v>
      </c>
    </row>
    <row r="687" spans="1:8" ht="14.4" customHeight="1" x14ac:dyDescent="0.3">
      <c r="B687" t="s">
        <v>604</v>
      </c>
      <c r="C687" s="289" t="s">
        <v>27</v>
      </c>
      <c r="E687" s="308">
        <v>201.43</v>
      </c>
      <c r="F687" s="41">
        <f t="shared" ref="F687:F718" si="23">E687*D687</f>
        <v>0</v>
      </c>
    </row>
    <row r="688" spans="1:8" ht="14.4" customHeight="1" x14ac:dyDescent="0.3">
      <c r="B688" t="s">
        <v>256</v>
      </c>
      <c r="C688" s="289" t="s">
        <v>27</v>
      </c>
      <c r="E688" s="308">
        <v>5</v>
      </c>
      <c r="F688" s="41">
        <f t="shared" si="23"/>
        <v>0</v>
      </c>
    </row>
    <row r="689" spans="2:10" ht="14.4" customHeight="1" x14ac:dyDescent="0.3">
      <c r="B689" t="s">
        <v>605</v>
      </c>
      <c r="C689" s="289" t="s">
        <v>27</v>
      </c>
      <c r="E689" s="308">
        <v>853</v>
      </c>
      <c r="F689" s="41">
        <f t="shared" si="23"/>
        <v>0</v>
      </c>
      <c r="J689" s="308"/>
    </row>
    <row r="690" spans="2:10" ht="14.4" customHeight="1" x14ac:dyDescent="0.3">
      <c r="B690" t="s">
        <v>606</v>
      </c>
      <c r="C690" s="289" t="s">
        <v>27</v>
      </c>
      <c r="D690" s="40">
        <v>4</v>
      </c>
      <c r="E690" s="308">
        <v>503</v>
      </c>
      <c r="F690" s="41">
        <f t="shared" si="23"/>
        <v>2012</v>
      </c>
      <c r="G690">
        <v>3</v>
      </c>
      <c r="H690" s="457" t="s">
        <v>1050</v>
      </c>
      <c r="J690" s="308"/>
    </row>
    <row r="691" spans="2:10" ht="14.4" customHeight="1" x14ac:dyDescent="0.3">
      <c r="B691" t="s">
        <v>607</v>
      </c>
      <c r="C691" s="289" t="s">
        <v>27</v>
      </c>
      <c r="E691" s="308">
        <v>1809.63</v>
      </c>
      <c r="F691" s="41">
        <f t="shared" si="23"/>
        <v>0</v>
      </c>
      <c r="J691" s="308"/>
    </row>
    <row r="692" spans="2:10" ht="14.4" customHeight="1" x14ac:dyDescent="0.3">
      <c r="B692" s="60" t="s">
        <v>608</v>
      </c>
      <c r="C692" s="289" t="s">
        <v>27</v>
      </c>
      <c r="E692" s="308">
        <v>1650</v>
      </c>
      <c r="F692" s="41">
        <f t="shared" si="23"/>
        <v>0</v>
      </c>
      <c r="J692" s="308"/>
    </row>
    <row r="693" spans="2:10" ht="14.4" customHeight="1" x14ac:dyDescent="0.3">
      <c r="B693" s="60" t="s">
        <v>609</v>
      </c>
      <c r="C693" s="289" t="s">
        <v>27</v>
      </c>
      <c r="E693" s="308">
        <v>160</v>
      </c>
      <c r="F693" s="41">
        <f t="shared" si="23"/>
        <v>0</v>
      </c>
      <c r="J693" s="308"/>
    </row>
    <row r="694" spans="2:10" ht="14.4" customHeight="1" x14ac:dyDescent="0.3">
      <c r="B694" s="60" t="s">
        <v>610</v>
      </c>
      <c r="C694" s="289" t="s">
        <v>27</v>
      </c>
      <c r="E694" s="308">
        <v>750</v>
      </c>
      <c r="F694" s="41">
        <f t="shared" si="23"/>
        <v>0</v>
      </c>
      <c r="J694" s="308"/>
    </row>
    <row r="695" spans="2:10" ht="14.4" customHeight="1" x14ac:dyDescent="0.3">
      <c r="B695" s="60" t="s">
        <v>611</v>
      </c>
      <c r="C695" s="289" t="s">
        <v>27</v>
      </c>
      <c r="E695" s="308">
        <v>450</v>
      </c>
      <c r="F695" s="41">
        <f t="shared" si="23"/>
        <v>0</v>
      </c>
      <c r="J695" s="308"/>
    </row>
    <row r="696" spans="2:10" ht="14.4" customHeight="1" x14ac:dyDescent="0.3">
      <c r="B696" s="60" t="s">
        <v>612</v>
      </c>
      <c r="C696" s="289" t="s">
        <v>27</v>
      </c>
      <c r="E696" s="308">
        <v>1250</v>
      </c>
      <c r="F696" s="41">
        <f t="shared" si="23"/>
        <v>0</v>
      </c>
      <c r="J696" s="308"/>
    </row>
    <row r="697" spans="2:10" ht="14.4" customHeight="1" x14ac:dyDescent="0.3">
      <c r="B697" t="s">
        <v>613</v>
      </c>
      <c r="C697" s="289" t="s">
        <v>27</v>
      </c>
      <c r="E697" s="308">
        <v>190</v>
      </c>
      <c r="F697" s="41">
        <f t="shared" si="23"/>
        <v>0</v>
      </c>
      <c r="J697" s="308"/>
    </row>
    <row r="698" spans="2:10" ht="14.4" customHeight="1" x14ac:dyDescent="0.3">
      <c r="B698" t="s">
        <v>614</v>
      </c>
      <c r="C698" s="289" t="s">
        <v>27</v>
      </c>
      <c r="E698" s="308">
        <v>412.59</v>
      </c>
      <c r="F698" s="41">
        <f t="shared" si="23"/>
        <v>0</v>
      </c>
      <c r="J698" s="308"/>
    </row>
    <row r="699" spans="2:10" ht="14.4" customHeight="1" x14ac:dyDescent="0.3">
      <c r="B699" t="s">
        <v>1051</v>
      </c>
      <c r="C699" s="289" t="s">
        <v>27</v>
      </c>
      <c r="D699" s="40">
        <v>4</v>
      </c>
      <c r="E699" s="308">
        <v>80</v>
      </c>
      <c r="F699" s="41">
        <f t="shared" si="23"/>
        <v>320</v>
      </c>
      <c r="J699" s="308"/>
    </row>
    <row r="700" spans="2:10" ht="14.4" customHeight="1" x14ac:dyDescent="0.3">
      <c r="B700" t="s">
        <v>615</v>
      </c>
      <c r="C700" s="289" t="s">
        <v>27</v>
      </c>
      <c r="D700" s="40">
        <v>3</v>
      </c>
      <c r="E700" s="308">
        <v>18.649999999999999</v>
      </c>
      <c r="F700" s="41">
        <f t="shared" si="23"/>
        <v>55.949999999999996</v>
      </c>
      <c r="J700" s="308"/>
    </row>
    <row r="701" spans="2:10" ht="14.4" customHeight="1" x14ac:dyDescent="0.3">
      <c r="B701" t="s">
        <v>1052</v>
      </c>
      <c r="C701" s="289" t="s">
        <v>27</v>
      </c>
      <c r="E701" s="308">
        <v>26.55</v>
      </c>
      <c r="F701" s="41">
        <f t="shared" si="23"/>
        <v>0</v>
      </c>
      <c r="J701" s="308"/>
    </row>
    <row r="702" spans="2:10" ht="14.4" customHeight="1" x14ac:dyDescent="0.3">
      <c r="B702" s="60" t="s">
        <v>1053</v>
      </c>
      <c r="C702" s="422" t="s">
        <v>27</v>
      </c>
      <c r="D702" s="40">
        <v>1</v>
      </c>
      <c r="E702" s="308">
        <v>60</v>
      </c>
      <c r="F702" s="41">
        <f t="shared" si="23"/>
        <v>60</v>
      </c>
      <c r="J702" s="308"/>
    </row>
    <row r="703" spans="2:10" ht="14.4" customHeight="1" x14ac:dyDescent="0.3">
      <c r="B703" t="s">
        <v>1054</v>
      </c>
      <c r="C703" s="289" t="s">
        <v>27</v>
      </c>
      <c r="E703" s="308">
        <v>92.1</v>
      </c>
      <c r="F703" s="41">
        <f t="shared" si="23"/>
        <v>0</v>
      </c>
      <c r="J703" s="308"/>
    </row>
    <row r="704" spans="2:10" ht="16.8" customHeight="1" x14ac:dyDescent="0.3">
      <c r="B704" s="313" t="s">
        <v>616</v>
      </c>
      <c r="C704" s="289" t="s">
        <v>27</v>
      </c>
      <c r="E704" s="308">
        <v>30</v>
      </c>
      <c r="F704" s="41">
        <f t="shared" si="23"/>
        <v>0</v>
      </c>
      <c r="J704" s="308"/>
    </row>
    <row r="705" spans="1:10" ht="14.4" customHeight="1" x14ac:dyDescent="0.3">
      <c r="B705" t="s">
        <v>617</v>
      </c>
      <c r="C705" s="289" t="s">
        <v>27</v>
      </c>
      <c r="E705" s="308">
        <v>1850</v>
      </c>
      <c r="F705" s="41">
        <f t="shared" si="23"/>
        <v>0</v>
      </c>
      <c r="J705" s="308"/>
    </row>
    <row r="706" spans="1:10" ht="14.4" customHeight="1" x14ac:dyDescent="0.3">
      <c r="B706" t="s">
        <v>618</v>
      </c>
      <c r="C706" s="289" t="s">
        <v>27</v>
      </c>
      <c r="E706" s="308">
        <v>1800</v>
      </c>
      <c r="F706" s="41">
        <f t="shared" si="23"/>
        <v>0</v>
      </c>
      <c r="J706" s="308"/>
    </row>
    <row r="707" spans="1:10" ht="14.4" customHeight="1" x14ac:dyDescent="0.3">
      <c r="C707" s="289"/>
      <c r="E707" s="308"/>
      <c r="F707" s="41">
        <f t="shared" si="23"/>
        <v>0</v>
      </c>
      <c r="J707" s="308"/>
    </row>
    <row r="708" spans="1:10" ht="14.4" customHeight="1" x14ac:dyDescent="0.3">
      <c r="A708" s="306"/>
      <c r="B708" s="387" t="s">
        <v>619</v>
      </c>
      <c r="C708" s="310" t="s">
        <v>27</v>
      </c>
      <c r="E708" s="308">
        <v>3800</v>
      </c>
      <c r="F708" s="41">
        <f t="shared" si="23"/>
        <v>0</v>
      </c>
      <c r="J708" s="308"/>
    </row>
    <row r="709" spans="1:10" ht="14.4" customHeight="1" x14ac:dyDescent="0.3">
      <c r="A709" s="306"/>
      <c r="B709" s="387" t="s">
        <v>620</v>
      </c>
      <c r="C709" s="386" t="s">
        <v>27</v>
      </c>
      <c r="E709" s="308">
        <v>371.37</v>
      </c>
      <c r="F709" s="41">
        <f t="shared" si="23"/>
        <v>0</v>
      </c>
      <c r="J709" s="308"/>
    </row>
    <row r="710" spans="1:10" ht="14.4" customHeight="1" x14ac:dyDescent="0.3">
      <c r="A710" s="306"/>
      <c r="B710" s="387" t="s">
        <v>621</v>
      </c>
      <c r="C710" s="386" t="s">
        <v>27</v>
      </c>
      <c r="E710" s="308">
        <f>430.67+38.37</f>
        <v>469.04</v>
      </c>
      <c r="F710" s="41">
        <f t="shared" si="23"/>
        <v>0</v>
      </c>
      <c r="J710" s="308"/>
    </row>
    <row r="711" spans="1:10" ht="14.4" customHeight="1" x14ac:dyDescent="0.3">
      <c r="A711" s="306"/>
      <c r="B711" s="387" t="s">
        <v>623</v>
      </c>
      <c r="C711" s="386" t="s">
        <v>27</v>
      </c>
      <c r="E711" s="308">
        <f>141.13+18.87+18.87+480.93</f>
        <v>659.8</v>
      </c>
      <c r="F711" s="41">
        <f t="shared" si="23"/>
        <v>0</v>
      </c>
      <c r="J711" s="308"/>
    </row>
    <row r="712" spans="1:10" ht="14.4" customHeight="1" x14ac:dyDescent="0.3">
      <c r="A712" s="306"/>
      <c r="B712" s="387" t="s">
        <v>624</v>
      </c>
      <c r="C712" s="310" t="s">
        <v>27</v>
      </c>
      <c r="D712" s="40">
        <v>10</v>
      </c>
      <c r="E712" s="308">
        <v>587.96</v>
      </c>
      <c r="F712" s="41">
        <f t="shared" si="23"/>
        <v>5879.6</v>
      </c>
      <c r="J712" s="308"/>
    </row>
    <row r="713" spans="1:10" ht="14.4" customHeight="1" x14ac:dyDescent="0.3">
      <c r="A713" s="306"/>
      <c r="B713" s="387" t="s">
        <v>625</v>
      </c>
      <c r="C713" s="310" t="s">
        <v>27</v>
      </c>
      <c r="E713" s="308">
        <v>641.58000000000004</v>
      </c>
      <c r="F713" s="41">
        <f t="shared" si="23"/>
        <v>0</v>
      </c>
      <c r="J713" s="308"/>
    </row>
    <row r="714" spans="1:10" ht="14.4" customHeight="1" x14ac:dyDescent="0.3">
      <c r="A714" s="306"/>
      <c r="B714" s="387" t="s">
        <v>627</v>
      </c>
      <c r="C714" s="386" t="s">
        <v>27</v>
      </c>
      <c r="E714" s="308">
        <v>50</v>
      </c>
      <c r="F714" s="41">
        <f t="shared" si="23"/>
        <v>0</v>
      </c>
      <c r="J714" s="308"/>
    </row>
    <row r="715" spans="1:10" ht="14.4" customHeight="1" x14ac:dyDescent="0.3">
      <c r="A715" s="306"/>
      <c r="B715" s="387" t="s">
        <v>628</v>
      </c>
      <c r="C715" s="310" t="s">
        <v>27</v>
      </c>
      <c r="E715" s="308">
        <v>31.71</v>
      </c>
      <c r="F715" s="41">
        <f t="shared" si="23"/>
        <v>0</v>
      </c>
      <c r="J715" s="308"/>
    </row>
    <row r="716" spans="1:10" ht="14.4" customHeight="1" x14ac:dyDescent="0.3">
      <c r="A716" s="306"/>
      <c r="B716" s="387" t="s">
        <v>629</v>
      </c>
      <c r="C716" s="310" t="s">
        <v>27</v>
      </c>
      <c r="E716" s="308">
        <v>146.09</v>
      </c>
      <c r="F716" s="41">
        <f t="shared" si="23"/>
        <v>0</v>
      </c>
    </row>
    <row r="717" spans="1:10" ht="14.4" customHeight="1" x14ac:dyDescent="0.3">
      <c r="A717" s="306"/>
      <c r="B717" s="388" t="s">
        <v>630</v>
      </c>
      <c r="C717" s="424" t="s">
        <v>27</v>
      </c>
      <c r="D717" s="379">
        <v>2</v>
      </c>
      <c r="E717" s="380">
        <v>99.49</v>
      </c>
      <c r="F717" s="381">
        <f t="shared" si="23"/>
        <v>198.98</v>
      </c>
    </row>
    <row r="718" spans="1:10" ht="14.4" customHeight="1" x14ac:dyDescent="0.3">
      <c r="B718" t="s">
        <v>1055</v>
      </c>
      <c r="C718" s="310" t="s">
        <v>27</v>
      </c>
      <c r="D718">
        <v>2</v>
      </c>
      <c r="E718" s="308">
        <v>250</v>
      </c>
      <c r="F718" s="41">
        <f t="shared" si="23"/>
        <v>500</v>
      </c>
      <c r="H718" s="457" t="s">
        <v>1056</v>
      </c>
    </row>
    <row r="720" spans="1:10" ht="14.4" customHeight="1" x14ac:dyDescent="0.3">
      <c r="B720" s="307" t="s">
        <v>631</v>
      </c>
    </row>
    <row r="721" spans="2:8" ht="14.4" customHeight="1" x14ac:dyDescent="0.3">
      <c r="B721" s="309" t="s">
        <v>234</v>
      </c>
    </row>
    <row r="722" spans="2:8" ht="14.4" customHeight="1" x14ac:dyDescent="0.3">
      <c r="B722" s="306"/>
    </row>
    <row r="723" spans="2:8" ht="14.4" customHeight="1" x14ac:dyDescent="0.3">
      <c r="B723" s="306" t="s">
        <v>632</v>
      </c>
      <c r="C723" s="310" t="s">
        <v>25</v>
      </c>
      <c r="E723" s="367">
        <v>14.49</v>
      </c>
      <c r="F723" s="41">
        <f t="shared" ref="F723:F754" si="24">E723*D723</f>
        <v>0</v>
      </c>
    </row>
    <row r="724" spans="2:8" ht="14.4" customHeight="1" x14ac:dyDescent="0.3">
      <c r="B724" s="387" t="s">
        <v>633</v>
      </c>
      <c r="C724" s="310" t="s">
        <v>25</v>
      </c>
      <c r="D724" s="40">
        <v>230.07</v>
      </c>
      <c r="E724" s="367">
        <v>9.5495999999999999</v>
      </c>
      <c r="F724" s="41">
        <f t="shared" si="24"/>
        <v>2197.0764719999997</v>
      </c>
      <c r="G724">
        <v>231</v>
      </c>
      <c r="H724" s="457" t="s">
        <v>1029</v>
      </c>
    </row>
    <row r="725" spans="2:8" ht="14.4" customHeight="1" x14ac:dyDescent="0.3">
      <c r="B725" s="387" t="s">
        <v>634</v>
      </c>
      <c r="C725" s="386" t="s">
        <v>27</v>
      </c>
      <c r="E725" s="367">
        <v>9.66</v>
      </c>
      <c r="F725" s="41">
        <f t="shared" si="24"/>
        <v>0</v>
      </c>
    </row>
    <row r="726" spans="2:8" ht="14.4" customHeight="1" x14ac:dyDescent="0.3">
      <c r="B726" s="387" t="s">
        <v>635</v>
      </c>
      <c r="C726" s="386" t="s">
        <v>27</v>
      </c>
      <c r="D726" s="40">
        <v>80</v>
      </c>
      <c r="E726" s="367">
        <v>4.7885999999999997</v>
      </c>
      <c r="F726" s="41">
        <f t="shared" si="24"/>
        <v>383.08799999999997</v>
      </c>
    </row>
    <row r="727" spans="2:8" ht="14.4" customHeight="1" x14ac:dyDescent="0.3">
      <c r="B727" s="387" t="s">
        <v>636</v>
      </c>
      <c r="C727" s="386" t="s">
        <v>27</v>
      </c>
      <c r="E727" s="367">
        <v>13.8</v>
      </c>
      <c r="F727" s="41">
        <f t="shared" si="24"/>
        <v>0</v>
      </c>
    </row>
    <row r="728" spans="2:8" ht="14.4" customHeight="1" x14ac:dyDescent="0.3">
      <c r="B728" s="417" t="s">
        <v>1057</v>
      </c>
      <c r="C728" s="386" t="s">
        <v>27</v>
      </c>
      <c r="D728" s="40">
        <v>2</v>
      </c>
      <c r="E728" s="367">
        <v>5</v>
      </c>
      <c r="F728" s="41">
        <f t="shared" si="24"/>
        <v>10</v>
      </c>
    </row>
    <row r="729" spans="2:8" ht="14.4" customHeight="1" x14ac:dyDescent="0.3">
      <c r="B729" s="387" t="s">
        <v>637</v>
      </c>
      <c r="C729" s="386" t="s">
        <v>27</v>
      </c>
      <c r="E729" s="367">
        <v>6.5274000000000001</v>
      </c>
      <c r="F729" s="41">
        <f t="shared" si="24"/>
        <v>0</v>
      </c>
    </row>
    <row r="730" spans="2:8" ht="14.4" customHeight="1" x14ac:dyDescent="0.3">
      <c r="B730" s="387" t="s">
        <v>638</v>
      </c>
      <c r="C730" s="386" t="s">
        <v>27</v>
      </c>
      <c r="E730" s="367">
        <v>8.5974000000000004</v>
      </c>
      <c r="F730" s="41">
        <f t="shared" si="24"/>
        <v>0</v>
      </c>
    </row>
    <row r="731" spans="2:8" ht="14.4" customHeight="1" x14ac:dyDescent="0.3">
      <c r="B731" s="387" t="s">
        <v>639</v>
      </c>
      <c r="C731" s="386" t="s">
        <v>27</v>
      </c>
      <c r="E731" s="367">
        <v>6.8999999999999986</v>
      </c>
      <c r="F731" s="41">
        <f t="shared" si="24"/>
        <v>0</v>
      </c>
    </row>
    <row r="732" spans="2:8" ht="14.4" customHeight="1" x14ac:dyDescent="0.3">
      <c r="B732" s="387" t="s">
        <v>640</v>
      </c>
      <c r="C732" s="386" t="s">
        <v>27</v>
      </c>
      <c r="E732" s="367">
        <v>6.8999999999999986</v>
      </c>
      <c r="F732" s="41">
        <f t="shared" si="24"/>
        <v>0</v>
      </c>
    </row>
    <row r="733" spans="2:8" ht="14.4" customHeight="1" x14ac:dyDescent="0.3">
      <c r="B733" s="387" t="s">
        <v>641</v>
      </c>
      <c r="C733" s="386" t="s">
        <v>27</v>
      </c>
      <c r="D733" s="40">
        <v>75</v>
      </c>
      <c r="E733" s="367">
        <v>2.5668000000000002</v>
      </c>
      <c r="F733" s="41">
        <f t="shared" si="24"/>
        <v>192.51000000000002</v>
      </c>
    </row>
    <row r="734" spans="2:8" ht="14.4" customHeight="1" x14ac:dyDescent="0.3">
      <c r="B734" s="387" t="s">
        <v>642</v>
      </c>
      <c r="C734" s="386" t="s">
        <v>27</v>
      </c>
      <c r="D734" s="40">
        <v>66</v>
      </c>
      <c r="E734" s="367">
        <v>2.3308200000000001</v>
      </c>
      <c r="F734" s="41">
        <f t="shared" si="24"/>
        <v>153.83412000000001</v>
      </c>
    </row>
    <row r="735" spans="2:8" ht="14.4" customHeight="1" x14ac:dyDescent="0.3">
      <c r="B735" s="387" t="s">
        <v>643</v>
      </c>
      <c r="C735" s="386" t="s">
        <v>27</v>
      </c>
      <c r="E735" s="367">
        <v>5.52</v>
      </c>
      <c r="F735" s="41">
        <f t="shared" si="24"/>
        <v>0</v>
      </c>
    </row>
    <row r="736" spans="2:8" ht="14.4" customHeight="1" x14ac:dyDescent="0.3">
      <c r="B736" s="387" t="s">
        <v>645</v>
      </c>
      <c r="C736" s="386" t="s">
        <v>27</v>
      </c>
      <c r="D736" s="40">
        <v>3</v>
      </c>
      <c r="E736" s="367">
        <v>2.6772</v>
      </c>
      <c r="F736" s="41">
        <f t="shared" si="24"/>
        <v>8.031600000000001</v>
      </c>
    </row>
    <row r="737" spans="2:8" ht="14.4" customHeight="1" x14ac:dyDescent="0.3">
      <c r="B737" s="417" t="s">
        <v>1058</v>
      </c>
      <c r="C737" s="386" t="s">
        <v>27</v>
      </c>
      <c r="D737" s="40">
        <v>1</v>
      </c>
      <c r="E737" s="367">
        <v>2</v>
      </c>
      <c r="F737" s="41">
        <f t="shared" si="24"/>
        <v>2</v>
      </c>
    </row>
    <row r="738" spans="2:8" ht="14.4" customHeight="1" x14ac:dyDescent="0.3">
      <c r="B738" s="306" t="s">
        <v>646</v>
      </c>
      <c r="C738" s="310" t="s">
        <v>25</v>
      </c>
      <c r="E738" s="367">
        <v>6.8999999999999986</v>
      </c>
      <c r="F738" s="41">
        <f t="shared" si="24"/>
        <v>0</v>
      </c>
    </row>
    <row r="739" spans="2:8" ht="14.4" customHeight="1" x14ac:dyDescent="0.3">
      <c r="B739" s="387" t="s">
        <v>647</v>
      </c>
      <c r="C739" s="310" t="s">
        <v>25</v>
      </c>
      <c r="E739" s="367">
        <v>5.52</v>
      </c>
      <c r="F739" s="41">
        <f t="shared" si="24"/>
        <v>0</v>
      </c>
    </row>
    <row r="740" spans="2:8" ht="14.4" customHeight="1" x14ac:dyDescent="0.3">
      <c r="B740" s="306" t="s">
        <v>648</v>
      </c>
      <c r="C740" s="310" t="s">
        <v>25</v>
      </c>
      <c r="E740" s="367">
        <v>8.7354000000000003</v>
      </c>
      <c r="F740" s="41">
        <f t="shared" si="24"/>
        <v>0</v>
      </c>
    </row>
    <row r="741" spans="2:8" ht="14.4" customHeight="1" x14ac:dyDescent="0.3">
      <c r="B741" s="387" t="s">
        <v>649</v>
      </c>
      <c r="C741" s="310" t="s">
        <v>25</v>
      </c>
      <c r="D741" s="40">
        <v>12.68</v>
      </c>
      <c r="E741" s="367">
        <v>3.726</v>
      </c>
      <c r="F741" s="41">
        <f t="shared" si="24"/>
        <v>47.24568</v>
      </c>
      <c r="G741">
        <v>13</v>
      </c>
      <c r="H741" s="457" t="s">
        <v>1029</v>
      </c>
    </row>
    <row r="742" spans="2:8" ht="14.4" customHeight="1" x14ac:dyDescent="0.3">
      <c r="B742" s="387" t="s">
        <v>650</v>
      </c>
      <c r="C742" s="310" t="s">
        <v>25</v>
      </c>
      <c r="D742" s="40">
        <v>25.61</v>
      </c>
      <c r="E742" s="367">
        <v>2.8980000000000001</v>
      </c>
      <c r="F742" s="41">
        <f t="shared" si="24"/>
        <v>74.217780000000005</v>
      </c>
      <c r="G742">
        <v>26</v>
      </c>
      <c r="H742" s="457" t="s">
        <v>1029</v>
      </c>
    </row>
    <row r="743" spans="2:8" ht="14.4" customHeight="1" x14ac:dyDescent="0.3">
      <c r="B743" s="387" t="s">
        <v>1059</v>
      </c>
      <c r="C743" s="386" t="s">
        <v>27</v>
      </c>
      <c r="E743" s="367">
        <v>3.5</v>
      </c>
      <c r="F743" s="41">
        <f t="shared" si="24"/>
        <v>0</v>
      </c>
    </row>
    <row r="744" spans="2:8" ht="14.4" customHeight="1" x14ac:dyDescent="0.3">
      <c r="B744" s="387" t="s">
        <v>1060</v>
      </c>
      <c r="C744" s="386" t="s">
        <v>27</v>
      </c>
      <c r="E744" s="367">
        <v>3</v>
      </c>
      <c r="F744" s="41">
        <f t="shared" si="24"/>
        <v>0</v>
      </c>
    </row>
    <row r="745" spans="2:8" ht="14.4" customHeight="1" x14ac:dyDescent="0.3">
      <c r="B745" s="417" t="s">
        <v>1061</v>
      </c>
      <c r="C745" s="386" t="s">
        <v>27</v>
      </c>
      <c r="E745" s="367">
        <v>2.3321999999999998</v>
      </c>
      <c r="F745" s="41">
        <f t="shared" si="24"/>
        <v>0</v>
      </c>
    </row>
    <row r="746" spans="2:8" ht="14.4" customHeight="1" x14ac:dyDescent="0.3">
      <c r="B746" s="417" t="s">
        <v>651</v>
      </c>
      <c r="C746" s="386" t="s">
        <v>27</v>
      </c>
      <c r="E746" s="367">
        <v>2.33</v>
      </c>
      <c r="F746" s="41">
        <f t="shared" si="24"/>
        <v>0</v>
      </c>
    </row>
    <row r="747" spans="2:8" ht="14.4" customHeight="1" x14ac:dyDescent="0.3">
      <c r="B747" s="417" t="s">
        <v>1062</v>
      </c>
      <c r="C747" s="386" t="s">
        <v>27</v>
      </c>
      <c r="D747" s="40">
        <v>18</v>
      </c>
      <c r="E747" s="367">
        <v>4</v>
      </c>
      <c r="F747" s="41">
        <f t="shared" si="24"/>
        <v>72</v>
      </c>
    </row>
    <row r="748" spans="2:8" ht="14.4" customHeight="1" x14ac:dyDescent="0.3">
      <c r="B748" s="387" t="s">
        <v>652</v>
      </c>
      <c r="C748" s="386" t="s">
        <v>27</v>
      </c>
      <c r="D748" s="40">
        <v>18</v>
      </c>
      <c r="E748" s="367">
        <v>4.1399999999999997</v>
      </c>
      <c r="F748" s="41">
        <f t="shared" si="24"/>
        <v>74.52</v>
      </c>
    </row>
    <row r="749" spans="2:8" ht="14.4" customHeight="1" x14ac:dyDescent="0.3">
      <c r="B749" s="387" t="s">
        <v>653</v>
      </c>
      <c r="C749" s="386" t="s">
        <v>27</v>
      </c>
      <c r="D749" s="40">
        <v>8</v>
      </c>
      <c r="E749" s="367">
        <v>0.93840000000000001</v>
      </c>
      <c r="F749" s="41">
        <f t="shared" si="24"/>
        <v>7.5072000000000001</v>
      </c>
    </row>
    <row r="750" spans="2:8" ht="14.4" customHeight="1" x14ac:dyDescent="0.3">
      <c r="B750" s="387" t="s">
        <v>654</v>
      </c>
      <c r="C750" s="386" t="s">
        <v>27</v>
      </c>
      <c r="D750" s="40">
        <v>7</v>
      </c>
      <c r="E750" s="367">
        <v>11.716200000000001</v>
      </c>
      <c r="F750" s="41">
        <f t="shared" si="24"/>
        <v>82.013400000000004</v>
      </c>
    </row>
    <row r="751" spans="2:8" ht="14.4" customHeight="1" x14ac:dyDescent="0.3">
      <c r="B751" s="306" t="s">
        <v>655</v>
      </c>
      <c r="C751" s="310" t="s">
        <v>25</v>
      </c>
      <c r="E751" s="308">
        <v>14</v>
      </c>
      <c r="F751" s="41">
        <f t="shared" si="24"/>
        <v>0</v>
      </c>
    </row>
    <row r="752" spans="2:8" ht="14.4" customHeight="1" x14ac:dyDescent="0.3">
      <c r="B752" s="387" t="s">
        <v>656</v>
      </c>
      <c r="C752" s="310" t="s">
        <v>25</v>
      </c>
      <c r="E752" s="308">
        <v>6</v>
      </c>
      <c r="F752" s="41">
        <f t="shared" si="24"/>
        <v>0</v>
      </c>
    </row>
    <row r="753" spans="2:6" ht="14.4" customHeight="1" x14ac:dyDescent="0.3">
      <c r="B753" s="306"/>
      <c r="C753" s="310"/>
      <c r="E753" s="310"/>
      <c r="F753" s="41">
        <f t="shared" si="24"/>
        <v>0</v>
      </c>
    </row>
    <row r="754" spans="2:6" ht="14.4" customHeight="1" x14ac:dyDescent="0.3">
      <c r="B754" s="306" t="s">
        <v>657</v>
      </c>
      <c r="C754" s="310" t="s">
        <v>27</v>
      </c>
      <c r="E754" s="308">
        <v>40</v>
      </c>
      <c r="F754" s="41">
        <f t="shared" si="24"/>
        <v>0</v>
      </c>
    </row>
    <row r="755" spans="2:6" ht="14.4" customHeight="1" x14ac:dyDescent="0.3">
      <c r="B755" s="387" t="s">
        <v>659</v>
      </c>
      <c r="C755" s="310" t="s">
        <v>27</v>
      </c>
      <c r="E755" s="308">
        <v>30</v>
      </c>
      <c r="F755" s="41">
        <f t="shared" ref="F755:F786" si="25">E755*D755</f>
        <v>0</v>
      </c>
    </row>
    <row r="756" spans="2:6" ht="14.4" customHeight="1" x14ac:dyDescent="0.3">
      <c r="B756" s="306" t="s">
        <v>661</v>
      </c>
      <c r="C756" s="310" t="s">
        <v>27</v>
      </c>
      <c r="D756" s="40">
        <v>18</v>
      </c>
      <c r="E756" s="308">
        <v>33</v>
      </c>
      <c r="F756" s="41">
        <f t="shared" si="25"/>
        <v>594</v>
      </c>
    </row>
    <row r="757" spans="2:6" ht="14.4" customHeight="1" x14ac:dyDescent="0.3">
      <c r="B757" s="387" t="s">
        <v>662</v>
      </c>
      <c r="C757" s="310" t="s">
        <v>27</v>
      </c>
      <c r="D757" s="40">
        <v>18</v>
      </c>
      <c r="E757" s="308">
        <v>23.26</v>
      </c>
      <c r="F757" s="41">
        <f t="shared" si="25"/>
        <v>418.68</v>
      </c>
    </row>
    <row r="758" spans="2:6" ht="14.4" customHeight="1" x14ac:dyDescent="0.3">
      <c r="B758" s="387" t="s">
        <v>663</v>
      </c>
      <c r="C758" s="310" t="s">
        <v>27</v>
      </c>
      <c r="D758" s="40">
        <v>10</v>
      </c>
      <c r="E758" s="308">
        <v>50</v>
      </c>
      <c r="F758" s="41">
        <f t="shared" si="25"/>
        <v>500</v>
      </c>
    </row>
    <row r="759" spans="2:6" ht="14.4" customHeight="1" x14ac:dyDescent="0.3">
      <c r="B759" s="306" t="s">
        <v>664</v>
      </c>
      <c r="C759" s="310" t="s">
        <v>27</v>
      </c>
      <c r="E759" s="308">
        <v>7.65</v>
      </c>
      <c r="F759" s="41">
        <f t="shared" si="25"/>
        <v>0</v>
      </c>
    </row>
    <row r="760" spans="2:6" ht="14.4" customHeight="1" x14ac:dyDescent="0.3">
      <c r="B760" s="306" t="s">
        <v>665</v>
      </c>
      <c r="C760" s="310" t="s">
        <v>27</v>
      </c>
      <c r="E760" s="308">
        <v>7.65</v>
      </c>
      <c r="F760" s="41">
        <f t="shared" si="25"/>
        <v>0</v>
      </c>
    </row>
    <row r="761" spans="2:6" ht="14.4" customHeight="1" x14ac:dyDescent="0.3">
      <c r="B761" s="306" t="s">
        <v>666</v>
      </c>
      <c r="C761" s="310" t="s">
        <v>27</v>
      </c>
      <c r="D761" s="40">
        <v>9</v>
      </c>
      <c r="E761" s="308">
        <v>13.59</v>
      </c>
      <c r="F761" s="41">
        <f t="shared" si="25"/>
        <v>122.31</v>
      </c>
    </row>
    <row r="762" spans="2:6" ht="14.4" customHeight="1" x14ac:dyDescent="0.3">
      <c r="B762" s="306" t="s">
        <v>667</v>
      </c>
      <c r="C762" s="310" t="s">
        <v>27</v>
      </c>
      <c r="E762" s="308">
        <v>0</v>
      </c>
      <c r="F762" s="41">
        <f t="shared" si="25"/>
        <v>0</v>
      </c>
    </row>
    <row r="763" spans="2:6" ht="14.4" customHeight="1" x14ac:dyDescent="0.3">
      <c r="B763" s="306" t="s">
        <v>668</v>
      </c>
      <c r="C763" s="310" t="s">
        <v>27</v>
      </c>
      <c r="D763" s="40">
        <v>2</v>
      </c>
      <c r="E763" s="308">
        <v>75</v>
      </c>
      <c r="F763" s="41">
        <f t="shared" si="25"/>
        <v>150</v>
      </c>
    </row>
    <row r="764" spans="2:6" ht="14.4" customHeight="1" x14ac:dyDescent="0.3">
      <c r="B764" s="306"/>
      <c r="C764" s="310"/>
      <c r="E764" s="306"/>
      <c r="F764" s="41">
        <f t="shared" si="25"/>
        <v>0</v>
      </c>
    </row>
    <row r="765" spans="2:6" ht="14.4" customHeight="1" x14ac:dyDescent="0.3">
      <c r="B765" s="306" t="s">
        <v>669</v>
      </c>
      <c r="C765" s="310" t="s">
        <v>27</v>
      </c>
      <c r="E765" s="308">
        <v>2</v>
      </c>
      <c r="F765" s="41">
        <f t="shared" si="25"/>
        <v>0</v>
      </c>
    </row>
    <row r="766" spans="2:6" ht="14.4" customHeight="1" x14ac:dyDescent="0.3">
      <c r="B766" s="306" t="s">
        <v>670</v>
      </c>
      <c r="C766" s="310" t="s">
        <v>27</v>
      </c>
      <c r="E766" s="308">
        <v>1.5</v>
      </c>
      <c r="F766" s="41">
        <f t="shared" si="25"/>
        <v>0</v>
      </c>
    </row>
    <row r="767" spans="2:6" ht="14.4" customHeight="1" x14ac:dyDescent="0.3">
      <c r="B767" s="306" t="s">
        <v>369</v>
      </c>
      <c r="C767" s="310" t="s">
        <v>25</v>
      </c>
      <c r="E767" s="308">
        <f>E645</f>
        <v>0</v>
      </c>
      <c r="F767" s="41">
        <f t="shared" si="25"/>
        <v>0</v>
      </c>
    </row>
    <row r="768" spans="2:6" ht="14.4" customHeight="1" x14ac:dyDescent="0.3">
      <c r="B768" s="306"/>
      <c r="C768" s="310"/>
      <c r="E768" s="308"/>
      <c r="F768" s="41">
        <f t="shared" si="25"/>
        <v>0</v>
      </c>
    </row>
    <row r="769" spans="2:8" ht="14.4" customHeight="1" x14ac:dyDescent="0.3">
      <c r="B769" s="306" t="s">
        <v>671</v>
      </c>
      <c r="C769" s="310" t="s">
        <v>27</v>
      </c>
      <c r="E769" s="308">
        <v>26.4</v>
      </c>
      <c r="F769" s="41">
        <f t="shared" si="25"/>
        <v>0</v>
      </c>
    </row>
    <row r="770" spans="2:8" ht="14.4" customHeight="1" x14ac:dyDescent="0.3">
      <c r="B770" s="306" t="s">
        <v>672</v>
      </c>
      <c r="C770" s="310" t="s">
        <v>27</v>
      </c>
      <c r="E770" s="308">
        <v>23</v>
      </c>
      <c r="F770" s="41">
        <f t="shared" si="25"/>
        <v>0</v>
      </c>
    </row>
    <row r="771" spans="2:8" ht="14.4" customHeight="1" x14ac:dyDescent="0.3">
      <c r="B771" s="306" t="s">
        <v>673</v>
      </c>
      <c r="C771" s="310" t="s">
        <v>27</v>
      </c>
      <c r="E771" s="308">
        <v>75</v>
      </c>
      <c r="F771" s="41">
        <f t="shared" si="25"/>
        <v>0</v>
      </c>
    </row>
    <row r="772" spans="2:8" ht="14.4" customHeight="1" x14ac:dyDescent="0.3">
      <c r="B772" s="306" t="s">
        <v>674</v>
      </c>
      <c r="C772" s="310" t="s">
        <v>27</v>
      </c>
      <c r="E772" s="308">
        <v>22</v>
      </c>
      <c r="F772" s="41">
        <f t="shared" si="25"/>
        <v>0</v>
      </c>
    </row>
    <row r="773" spans="2:8" ht="14.4" customHeight="1" x14ac:dyDescent="0.3">
      <c r="B773" s="306" t="s">
        <v>675</v>
      </c>
      <c r="C773" s="310" t="s">
        <v>27</v>
      </c>
      <c r="E773" s="308">
        <v>10</v>
      </c>
      <c r="F773" s="41">
        <f t="shared" si="25"/>
        <v>0</v>
      </c>
    </row>
    <row r="774" spans="2:8" ht="14.4" customHeight="1" x14ac:dyDescent="0.3">
      <c r="B774" s="306"/>
      <c r="C774" s="310"/>
      <c r="E774" s="308"/>
      <c r="F774" s="41">
        <f t="shared" si="25"/>
        <v>0</v>
      </c>
    </row>
    <row r="775" spans="2:8" ht="14.4" customHeight="1" x14ac:dyDescent="0.3">
      <c r="B775" s="387" t="s">
        <v>676</v>
      </c>
      <c r="C775" s="310" t="s">
        <v>27</v>
      </c>
      <c r="E775" s="308">
        <v>520</v>
      </c>
      <c r="F775" s="41">
        <f t="shared" si="25"/>
        <v>0</v>
      </c>
    </row>
    <row r="776" spans="2:8" ht="14.4" customHeight="1" x14ac:dyDescent="0.3">
      <c r="B776" s="387" t="s">
        <v>677</v>
      </c>
      <c r="C776" s="310" t="s">
        <v>27</v>
      </c>
      <c r="E776" s="308">
        <v>230</v>
      </c>
      <c r="F776" s="41">
        <f t="shared" si="25"/>
        <v>0</v>
      </c>
    </row>
    <row r="777" spans="2:8" ht="14.4" customHeight="1" x14ac:dyDescent="0.3">
      <c r="B777" s="387" t="s">
        <v>678</v>
      </c>
      <c r="C777" s="310" t="s">
        <v>27</v>
      </c>
      <c r="E777" s="308">
        <v>2800</v>
      </c>
      <c r="F777" s="41">
        <f t="shared" si="25"/>
        <v>0</v>
      </c>
    </row>
    <row r="778" spans="2:8" ht="14.4" customHeight="1" x14ac:dyDescent="0.3">
      <c r="B778" s="387" t="s">
        <v>679</v>
      </c>
      <c r="C778" s="310" t="s">
        <v>27</v>
      </c>
      <c r="E778" s="308">
        <v>950</v>
      </c>
      <c r="F778" s="41">
        <f t="shared" si="25"/>
        <v>0</v>
      </c>
    </row>
    <row r="779" spans="2:8" ht="14.4" customHeight="1" x14ac:dyDescent="0.3">
      <c r="B779" s="387" t="s">
        <v>619</v>
      </c>
      <c r="C779" s="310" t="s">
        <v>27</v>
      </c>
      <c r="E779" s="308">
        <v>1250</v>
      </c>
      <c r="F779" s="41">
        <f t="shared" si="25"/>
        <v>0</v>
      </c>
    </row>
    <row r="780" spans="2:8" ht="14.4" customHeight="1" x14ac:dyDescent="0.3">
      <c r="B780" s="387" t="s">
        <v>680</v>
      </c>
      <c r="C780" s="310" t="s">
        <v>27</v>
      </c>
      <c r="D780" s="40">
        <v>1</v>
      </c>
      <c r="E780" s="316">
        <v>200</v>
      </c>
      <c r="F780" s="41">
        <f t="shared" si="25"/>
        <v>200</v>
      </c>
    </row>
    <row r="781" spans="2:8" ht="14.4" customHeight="1" x14ac:dyDescent="0.3">
      <c r="B781" s="387" t="s">
        <v>681</v>
      </c>
      <c r="C781" s="310" t="s">
        <v>27</v>
      </c>
      <c r="E781" s="316">
        <v>120</v>
      </c>
      <c r="F781" s="41">
        <f t="shared" si="25"/>
        <v>0</v>
      </c>
    </row>
    <row r="782" spans="2:8" ht="14.4" customHeight="1" x14ac:dyDescent="0.3">
      <c r="B782" s="387" t="s">
        <v>1063</v>
      </c>
      <c r="C782" s="310" t="s">
        <v>132</v>
      </c>
      <c r="D782">
        <v>1</v>
      </c>
      <c r="E782" s="308">
        <v>2500</v>
      </c>
      <c r="F782" s="41">
        <f t="shared" si="25"/>
        <v>2500</v>
      </c>
      <c r="H782" s="457" t="s">
        <v>1064</v>
      </c>
    </row>
    <row r="783" spans="2:8" ht="14.4" customHeight="1" x14ac:dyDescent="0.3">
      <c r="B783" s="387" t="s">
        <v>684</v>
      </c>
      <c r="C783" s="310" t="s">
        <v>27</v>
      </c>
      <c r="D783" s="40">
        <v>1</v>
      </c>
      <c r="E783" s="316">
        <v>100</v>
      </c>
      <c r="F783" s="41">
        <f t="shared" si="25"/>
        <v>100</v>
      </c>
    </row>
    <row r="784" spans="2:8" ht="14.4" customHeight="1" x14ac:dyDescent="0.3">
      <c r="B784" s="418" t="s">
        <v>685</v>
      </c>
      <c r="C784" s="310" t="s">
        <v>27</v>
      </c>
      <c r="D784" s="40">
        <v>1</v>
      </c>
      <c r="E784" s="316">
        <v>250</v>
      </c>
      <c r="F784" s="41">
        <f t="shared" si="25"/>
        <v>250</v>
      </c>
    </row>
    <row r="785" spans="2:8" ht="14.4" customHeight="1" x14ac:dyDescent="0.3">
      <c r="B785" s="420" t="s">
        <v>1065</v>
      </c>
      <c r="C785" s="421" t="s">
        <v>27</v>
      </c>
      <c r="D785" s="379">
        <v>12</v>
      </c>
      <c r="E785" s="380">
        <v>250</v>
      </c>
      <c r="F785" s="381">
        <f t="shared" si="25"/>
        <v>3000</v>
      </c>
    </row>
    <row r="786" spans="2:8" ht="14.4" customHeight="1" x14ac:dyDescent="0.3">
      <c r="B786" s="390" t="s">
        <v>687</v>
      </c>
      <c r="C786" s="310" t="s">
        <v>27</v>
      </c>
      <c r="E786" s="308">
        <v>300</v>
      </c>
      <c r="F786" s="41">
        <f t="shared" si="25"/>
        <v>0</v>
      </c>
    </row>
    <row r="787" spans="2:8" ht="14.4" customHeight="1" x14ac:dyDescent="0.3">
      <c r="B787" s="390" t="s">
        <v>688</v>
      </c>
      <c r="C787" s="310" t="s">
        <v>27</v>
      </c>
      <c r="E787" s="316">
        <v>1200</v>
      </c>
      <c r="F787" s="41">
        <f t="shared" ref="F787:F788" si="26">E787*D787</f>
        <v>0</v>
      </c>
    </row>
    <row r="788" spans="2:8" ht="14.4" customHeight="1" x14ac:dyDescent="0.3">
      <c r="B788" s="390" t="s">
        <v>1066</v>
      </c>
      <c r="C788" s="386" t="s">
        <v>27</v>
      </c>
      <c r="E788" s="316">
        <v>350</v>
      </c>
      <c r="F788" s="41">
        <f t="shared" si="26"/>
        <v>0</v>
      </c>
    </row>
    <row r="789" spans="2:8" ht="14.4" customHeight="1" x14ac:dyDescent="0.3">
      <c r="B789" s="390"/>
      <c r="C789" s="386"/>
      <c r="E789" s="316"/>
    </row>
    <row r="790" spans="2:8" ht="14.4" customHeight="1" x14ac:dyDescent="0.3">
      <c r="B790" s="387"/>
      <c r="C790" s="386"/>
      <c r="E790" s="316"/>
    </row>
    <row r="791" spans="2:8" ht="14.4" customHeight="1" x14ac:dyDescent="0.3">
      <c r="B791" s="390"/>
      <c r="C791" s="386"/>
      <c r="E791" s="316"/>
    </row>
    <row r="793" spans="2:8" ht="14.4" customHeight="1" x14ac:dyDescent="0.3">
      <c r="B793" s="307" t="s">
        <v>689</v>
      </c>
    </row>
    <row r="794" spans="2:8" ht="14.4" customHeight="1" x14ac:dyDescent="0.3">
      <c r="B794" s="309" t="s">
        <v>234</v>
      </c>
    </row>
    <row r="795" spans="2:8" ht="12.45" customHeight="1" x14ac:dyDescent="0.25">
      <c r="B795" t="s">
        <v>1067</v>
      </c>
      <c r="C795" t="s">
        <v>371</v>
      </c>
      <c r="D795">
        <v>13</v>
      </c>
      <c r="E795">
        <v>95</v>
      </c>
      <c r="F795">
        <f t="shared" ref="F795:F807" si="27">E795*D795</f>
        <v>1235</v>
      </c>
      <c r="H795" s="457" t="s">
        <v>1068</v>
      </c>
    </row>
    <row r="796" spans="2:8" ht="14.4" customHeight="1" x14ac:dyDescent="0.3">
      <c r="B796" s="387" t="s">
        <v>633</v>
      </c>
      <c r="C796" s="310" t="s">
        <v>25</v>
      </c>
      <c r="D796" s="40">
        <v>17.059999999999999</v>
      </c>
      <c r="E796" s="367">
        <v>9.5495999999999999</v>
      </c>
      <c r="F796" s="41">
        <f t="shared" si="27"/>
        <v>162.91617599999998</v>
      </c>
      <c r="G796">
        <v>17</v>
      </c>
      <c r="H796" s="457" t="s">
        <v>1069</v>
      </c>
    </row>
    <row r="797" spans="2:8" ht="14.4" customHeight="1" x14ac:dyDescent="0.3">
      <c r="B797" s="387" t="s">
        <v>649</v>
      </c>
      <c r="C797" s="310" t="s">
        <v>25</v>
      </c>
      <c r="D797" s="40">
        <v>0.7</v>
      </c>
      <c r="E797" s="367">
        <v>3.726</v>
      </c>
      <c r="F797" s="41">
        <f t="shared" si="27"/>
        <v>2.6081999999999996</v>
      </c>
      <c r="G797">
        <v>1</v>
      </c>
      <c r="H797" s="457" t="s">
        <v>1029</v>
      </c>
    </row>
    <row r="798" spans="2:8" ht="14.4" customHeight="1" x14ac:dyDescent="0.3">
      <c r="B798" s="387" t="s">
        <v>641</v>
      </c>
      <c r="C798" s="386" t="s">
        <v>27</v>
      </c>
      <c r="D798" s="40">
        <v>12</v>
      </c>
      <c r="E798" s="367">
        <v>2.5668000000000002</v>
      </c>
      <c r="F798" s="41">
        <f t="shared" si="27"/>
        <v>30.801600000000001</v>
      </c>
    </row>
    <row r="799" spans="2:8" ht="14.4" customHeight="1" x14ac:dyDescent="0.3">
      <c r="B799" s="387" t="s">
        <v>642</v>
      </c>
      <c r="C799" s="386" t="s">
        <v>27</v>
      </c>
      <c r="D799" s="40">
        <v>6</v>
      </c>
      <c r="E799" s="367">
        <v>2.3308200000000001</v>
      </c>
      <c r="F799" s="41">
        <f t="shared" si="27"/>
        <v>13.984920000000001</v>
      </c>
    </row>
    <row r="800" spans="2:8" ht="14.4" customHeight="1" x14ac:dyDescent="0.3">
      <c r="B800" s="387" t="s">
        <v>635</v>
      </c>
      <c r="C800" s="386" t="s">
        <v>27</v>
      </c>
      <c r="D800" s="40">
        <v>1</v>
      </c>
      <c r="E800" s="367">
        <v>4.7885999999999997</v>
      </c>
      <c r="F800" s="41">
        <f t="shared" si="27"/>
        <v>4.7885999999999997</v>
      </c>
    </row>
    <row r="801" spans="2:9" ht="14.4" customHeight="1" x14ac:dyDescent="0.3">
      <c r="B801" s="387" t="s">
        <v>654</v>
      </c>
      <c r="C801" s="386" t="s">
        <v>27</v>
      </c>
      <c r="D801" s="40">
        <v>1</v>
      </c>
      <c r="E801" s="367">
        <v>11.716200000000001</v>
      </c>
      <c r="F801" s="41">
        <f t="shared" si="27"/>
        <v>11.716200000000001</v>
      </c>
    </row>
    <row r="802" spans="2:9" ht="14.4" customHeight="1" x14ac:dyDescent="0.3">
      <c r="B802" s="387" t="s">
        <v>645</v>
      </c>
      <c r="C802" s="386" t="s">
        <v>27</v>
      </c>
      <c r="D802" s="40">
        <v>1</v>
      </c>
      <c r="E802" s="367">
        <v>2.6772</v>
      </c>
      <c r="F802" s="41">
        <f t="shared" si="27"/>
        <v>2.6772</v>
      </c>
    </row>
    <row r="803" spans="2:9" ht="14.4" customHeight="1" x14ac:dyDescent="0.3">
      <c r="B803" s="387" t="s">
        <v>663</v>
      </c>
      <c r="C803" s="310" t="s">
        <v>27</v>
      </c>
      <c r="D803" s="40">
        <v>1</v>
      </c>
      <c r="E803" s="308">
        <v>50</v>
      </c>
      <c r="F803" s="41">
        <f t="shared" si="27"/>
        <v>50</v>
      </c>
    </row>
    <row r="804" spans="2:9" ht="14.4" customHeight="1" x14ac:dyDescent="0.3">
      <c r="B804" s="38" t="s">
        <v>1070</v>
      </c>
      <c r="C804" s="310" t="s">
        <v>25</v>
      </c>
      <c r="D804" s="40">
        <v>0</v>
      </c>
      <c r="E804" s="367">
        <f>58/5</f>
        <v>11.6</v>
      </c>
      <c r="F804" s="41">
        <f t="shared" si="27"/>
        <v>0</v>
      </c>
      <c r="G804">
        <v>2</v>
      </c>
      <c r="H804" s="457" t="s">
        <v>1071</v>
      </c>
    </row>
    <row r="805" spans="2:9" ht="12.45" customHeight="1" x14ac:dyDescent="0.25">
      <c r="B805" s="38" t="s">
        <v>1072</v>
      </c>
      <c r="C805" s="40" t="s">
        <v>27</v>
      </c>
      <c r="D805" s="40">
        <v>0</v>
      </c>
      <c r="E805" s="41">
        <v>10</v>
      </c>
      <c r="F805" s="41">
        <f t="shared" si="27"/>
        <v>0</v>
      </c>
      <c r="G805">
        <v>1</v>
      </c>
      <c r="H805" s="457" t="s">
        <v>1073</v>
      </c>
    </row>
    <row r="806" spans="2:9" ht="12.45" customHeight="1" x14ac:dyDescent="0.25">
      <c r="B806" s="38" t="s">
        <v>1074</v>
      </c>
      <c r="C806" s="40" t="s">
        <v>27</v>
      </c>
      <c r="D806" s="40">
        <v>0</v>
      </c>
      <c r="E806" s="41">
        <v>5.16</v>
      </c>
      <c r="F806" s="41">
        <f t="shared" si="27"/>
        <v>0</v>
      </c>
      <c r="G806">
        <v>1</v>
      </c>
      <c r="H806" s="457" t="s">
        <v>1075</v>
      </c>
    </row>
    <row r="807" spans="2:9" x14ac:dyDescent="0.2">
      <c r="B807" s="389" t="s">
        <v>1076</v>
      </c>
      <c r="C807" s="379" t="s">
        <v>25</v>
      </c>
      <c r="D807" s="379">
        <v>1</v>
      </c>
      <c r="E807" s="381">
        <v>500</v>
      </c>
      <c r="F807" s="381">
        <f t="shared" si="27"/>
        <v>500</v>
      </c>
      <c r="H807" s="20"/>
      <c r="I807" s="46"/>
    </row>
    <row r="809" spans="2:9" ht="14.4" customHeight="1" x14ac:dyDescent="0.3">
      <c r="B809" s="307" t="s">
        <v>1077</v>
      </c>
    </row>
    <row r="810" spans="2:9" ht="14.4" customHeight="1" x14ac:dyDescent="0.3">
      <c r="B810" s="309" t="s">
        <v>234</v>
      </c>
    </row>
    <row r="813" spans="2:9" ht="14.4" customHeight="1" x14ac:dyDescent="0.3">
      <c r="B813" s="38" t="s">
        <v>1078</v>
      </c>
      <c r="C813" s="310" t="s">
        <v>25</v>
      </c>
      <c r="D813" s="40">
        <v>54.78</v>
      </c>
      <c r="E813" s="367">
        <f>85/5</f>
        <v>17</v>
      </c>
      <c r="F813" s="41">
        <f t="shared" ref="F813:F838" si="28">E813*D813</f>
        <v>931.26</v>
      </c>
      <c r="G813">
        <v>53</v>
      </c>
      <c r="H813" s="457" t="s">
        <v>1079</v>
      </c>
    </row>
    <row r="814" spans="2:9" ht="15.75" customHeight="1" x14ac:dyDescent="0.25">
      <c r="B814" s="38" t="s">
        <v>1072</v>
      </c>
      <c r="C814" s="40" t="s">
        <v>27</v>
      </c>
      <c r="D814" s="40">
        <v>8</v>
      </c>
      <c r="E814" s="41">
        <v>5.55</v>
      </c>
      <c r="F814" s="41">
        <f t="shared" si="28"/>
        <v>44.4</v>
      </c>
      <c r="G814">
        <v>7</v>
      </c>
      <c r="H814" s="457" t="s">
        <v>1080</v>
      </c>
    </row>
    <row r="815" spans="2:9" ht="12.45" customHeight="1" x14ac:dyDescent="0.25">
      <c r="B815" s="38" t="s">
        <v>1074</v>
      </c>
      <c r="C815" s="40" t="s">
        <v>27</v>
      </c>
      <c r="D815" s="40">
        <v>24</v>
      </c>
      <c r="E815" s="41">
        <v>8.98</v>
      </c>
      <c r="F815" s="41">
        <f t="shared" si="28"/>
        <v>215.52</v>
      </c>
      <c r="G815">
        <v>23</v>
      </c>
      <c r="H815" s="457" t="s">
        <v>1081</v>
      </c>
    </row>
    <row r="816" spans="2:9" x14ac:dyDescent="0.2">
      <c r="B816" s="38" t="s">
        <v>1082</v>
      </c>
      <c r="C816" s="40" t="s">
        <v>27</v>
      </c>
      <c r="D816" s="40">
        <v>16</v>
      </c>
      <c r="E816" s="41">
        <v>4.7300000000000004</v>
      </c>
      <c r="F816" s="41">
        <f t="shared" si="28"/>
        <v>75.680000000000007</v>
      </c>
    </row>
    <row r="817" spans="2:8" x14ac:dyDescent="0.2">
      <c r="B817" s="389" t="s">
        <v>1083</v>
      </c>
      <c r="C817" s="379" t="s">
        <v>27</v>
      </c>
      <c r="D817" s="379">
        <v>2</v>
      </c>
      <c r="E817" s="381">
        <v>10</v>
      </c>
      <c r="F817" s="381">
        <f t="shared" si="28"/>
        <v>20</v>
      </c>
    </row>
    <row r="818" spans="2:8" x14ac:dyDescent="0.2">
      <c r="B818" s="38" t="s">
        <v>1084</v>
      </c>
      <c r="C818" s="40" t="s">
        <v>25</v>
      </c>
      <c r="E818" s="41">
        <v>10</v>
      </c>
      <c r="F818" s="41">
        <f t="shared" si="28"/>
        <v>0</v>
      </c>
    </row>
    <row r="819" spans="2:8" x14ac:dyDescent="0.2">
      <c r="B819" s="38" t="s">
        <v>1085</v>
      </c>
      <c r="C819" s="40" t="s">
        <v>27</v>
      </c>
      <c r="E819" s="41">
        <v>4</v>
      </c>
      <c r="F819" s="41">
        <f t="shared" si="28"/>
        <v>0</v>
      </c>
    </row>
    <row r="820" spans="2:8" x14ac:dyDescent="0.2">
      <c r="B820" s="38" t="s">
        <v>1086</v>
      </c>
      <c r="C820" s="40" t="s">
        <v>27</v>
      </c>
      <c r="E820" s="41">
        <v>15</v>
      </c>
      <c r="F820" s="41">
        <f t="shared" si="28"/>
        <v>0</v>
      </c>
    </row>
    <row r="821" spans="2:8" x14ac:dyDescent="0.2">
      <c r="B821" s="389" t="s">
        <v>1087</v>
      </c>
      <c r="C821" s="379" t="s">
        <v>27</v>
      </c>
      <c r="D821" s="379">
        <v>5</v>
      </c>
      <c r="E821" s="381">
        <v>12</v>
      </c>
      <c r="F821" s="381">
        <f t="shared" si="28"/>
        <v>60</v>
      </c>
    </row>
    <row r="822" spans="2:8" x14ac:dyDescent="0.2">
      <c r="B822" s="38" t="s">
        <v>1088</v>
      </c>
      <c r="C822" s="40" t="s">
        <v>27</v>
      </c>
      <c r="E822" s="41">
        <v>8</v>
      </c>
      <c r="F822" s="41">
        <f t="shared" si="28"/>
        <v>0</v>
      </c>
    </row>
    <row r="823" spans="2:8" x14ac:dyDescent="0.2">
      <c r="B823" s="38" t="s">
        <v>1089</v>
      </c>
      <c r="C823" s="40" t="s">
        <v>27</v>
      </c>
      <c r="E823" s="41">
        <v>5.16</v>
      </c>
      <c r="F823" s="41">
        <f t="shared" si="28"/>
        <v>0</v>
      </c>
    </row>
    <row r="824" spans="2:8" x14ac:dyDescent="0.2">
      <c r="B824" s="38" t="s">
        <v>1090</v>
      </c>
      <c r="C824" s="40" t="s">
        <v>25</v>
      </c>
      <c r="E824" s="41">
        <v>8</v>
      </c>
      <c r="F824" s="41">
        <f t="shared" si="28"/>
        <v>0</v>
      </c>
    </row>
    <row r="825" spans="2:8" x14ac:dyDescent="0.2">
      <c r="B825" s="38" t="s">
        <v>1091</v>
      </c>
      <c r="C825" s="40" t="s">
        <v>27</v>
      </c>
      <c r="E825" s="41">
        <v>4</v>
      </c>
      <c r="F825" s="41">
        <f t="shared" si="28"/>
        <v>0</v>
      </c>
    </row>
    <row r="826" spans="2:8" x14ac:dyDescent="0.2">
      <c r="B826" s="38" t="s">
        <v>1092</v>
      </c>
      <c r="C826" s="40" t="s">
        <v>27</v>
      </c>
      <c r="E826" s="41">
        <v>5</v>
      </c>
      <c r="F826" s="41">
        <f t="shared" si="28"/>
        <v>0</v>
      </c>
    </row>
    <row r="827" spans="2:8" ht="12.45" customHeight="1" x14ac:dyDescent="0.25">
      <c r="B827" s="38" t="s">
        <v>1093</v>
      </c>
      <c r="C827" s="40" t="s">
        <v>27</v>
      </c>
      <c r="D827" s="40">
        <v>12.47</v>
      </c>
      <c r="E827" s="41">
        <v>7</v>
      </c>
      <c r="F827" s="41">
        <f t="shared" si="28"/>
        <v>87.29</v>
      </c>
      <c r="G827">
        <v>13</v>
      </c>
      <c r="H827" s="457" t="s">
        <v>1029</v>
      </c>
    </row>
    <row r="828" spans="2:8" ht="12.45" customHeight="1" x14ac:dyDescent="0.25">
      <c r="B828" s="38" t="s">
        <v>1094</v>
      </c>
      <c r="C828" s="40" t="s">
        <v>27</v>
      </c>
      <c r="D828" s="40">
        <v>9</v>
      </c>
      <c r="E828" s="41">
        <v>4</v>
      </c>
      <c r="F828" s="41">
        <f t="shared" si="28"/>
        <v>36</v>
      </c>
      <c r="G828">
        <v>10</v>
      </c>
      <c r="H828" s="457" t="s">
        <v>1095</v>
      </c>
    </row>
    <row r="829" spans="2:8" x14ac:dyDescent="0.2">
      <c r="B829" s="38" t="s">
        <v>1096</v>
      </c>
      <c r="C829" s="40" t="s">
        <v>27</v>
      </c>
      <c r="D829" s="40">
        <v>5</v>
      </c>
      <c r="E829" s="41">
        <v>3.8</v>
      </c>
      <c r="F829" s="41">
        <f t="shared" si="28"/>
        <v>19</v>
      </c>
    </row>
    <row r="830" spans="2:8" x14ac:dyDescent="0.2">
      <c r="B830" s="38" t="s">
        <v>1097</v>
      </c>
      <c r="C830" s="40" t="s">
        <v>27</v>
      </c>
      <c r="D830" s="40">
        <v>1</v>
      </c>
      <c r="E830" s="41">
        <v>100</v>
      </c>
      <c r="F830" s="41">
        <f t="shared" si="28"/>
        <v>100</v>
      </c>
    </row>
    <row r="831" spans="2:8" x14ac:dyDescent="0.2">
      <c r="B831" s="38" t="s">
        <v>1098</v>
      </c>
      <c r="C831" s="40" t="s">
        <v>27</v>
      </c>
      <c r="D831" s="40">
        <v>1</v>
      </c>
      <c r="E831" s="41">
        <v>25</v>
      </c>
      <c r="F831" s="41">
        <f t="shared" si="28"/>
        <v>25</v>
      </c>
    </row>
    <row r="832" spans="2:8" x14ac:dyDescent="0.2">
      <c r="B832" s="38" t="s">
        <v>1099</v>
      </c>
      <c r="C832" s="40" t="s">
        <v>27</v>
      </c>
      <c r="D832" s="40">
        <v>2</v>
      </c>
      <c r="E832" s="41">
        <v>75</v>
      </c>
      <c r="F832" s="41">
        <f t="shared" si="28"/>
        <v>150</v>
      </c>
    </row>
    <row r="833" spans="2:8" x14ac:dyDescent="0.2">
      <c r="B833" s="38" t="s">
        <v>1100</v>
      </c>
      <c r="C833" s="40" t="s">
        <v>27</v>
      </c>
      <c r="D833" s="40">
        <v>4</v>
      </c>
      <c r="E833" s="41">
        <v>60</v>
      </c>
      <c r="F833" s="41">
        <f t="shared" si="28"/>
        <v>240</v>
      </c>
    </row>
    <row r="834" spans="2:8" ht="12.45" customHeight="1" x14ac:dyDescent="0.25">
      <c r="B834" s="389" t="s">
        <v>1101</v>
      </c>
      <c r="C834" s="379" t="s">
        <v>27</v>
      </c>
      <c r="D834" s="379">
        <v>2</v>
      </c>
      <c r="E834" s="381">
        <v>880</v>
      </c>
      <c r="F834" s="381">
        <f t="shared" si="28"/>
        <v>1760</v>
      </c>
      <c r="G834">
        <v>1</v>
      </c>
      <c r="H834" s="457" t="s">
        <v>1102</v>
      </c>
    </row>
    <row r="835" spans="2:8" x14ac:dyDescent="0.2">
      <c r="B835" s="389" t="s">
        <v>1103</v>
      </c>
      <c r="C835" s="379" t="s">
        <v>27</v>
      </c>
      <c r="D835" s="379">
        <v>1</v>
      </c>
      <c r="E835" s="381">
        <v>1200</v>
      </c>
      <c r="F835" s="381">
        <f t="shared" si="28"/>
        <v>1200</v>
      </c>
    </row>
    <row r="836" spans="2:8" x14ac:dyDescent="0.2">
      <c r="B836" s="38" t="s">
        <v>1104</v>
      </c>
      <c r="C836" s="40" t="s">
        <v>27</v>
      </c>
      <c r="D836" s="40">
        <v>6</v>
      </c>
      <c r="E836" s="41">
        <v>33</v>
      </c>
      <c r="F836" s="41">
        <f t="shared" si="28"/>
        <v>198</v>
      </c>
    </row>
    <row r="837" spans="2:8" x14ac:dyDescent="0.2">
      <c r="B837" s="38" t="s">
        <v>1105</v>
      </c>
      <c r="C837" s="40" t="s">
        <v>27</v>
      </c>
      <c r="D837" s="40">
        <v>2</v>
      </c>
      <c r="E837" s="41">
        <v>13</v>
      </c>
      <c r="F837" s="41">
        <f t="shared" si="28"/>
        <v>26</v>
      </c>
    </row>
    <row r="838" spans="2:8" x14ac:dyDescent="0.2">
      <c r="B838" s="38" t="s">
        <v>1106</v>
      </c>
      <c r="C838" s="40" t="s">
        <v>27</v>
      </c>
      <c r="D838" s="40">
        <v>6</v>
      </c>
      <c r="E838" s="41">
        <v>41.53</v>
      </c>
      <c r="F838" s="41">
        <f t="shared" si="28"/>
        <v>249.18</v>
      </c>
    </row>
    <row r="841" spans="2:8" ht="14.4" customHeight="1" x14ac:dyDescent="0.3">
      <c r="B841" s="307" t="s">
        <v>696</v>
      </c>
    </row>
    <row r="842" spans="2:8" ht="14.4" customHeight="1" x14ac:dyDescent="0.3">
      <c r="B842" s="309" t="s">
        <v>234</v>
      </c>
    </row>
    <row r="843" spans="2:8" ht="14.4" customHeight="1" x14ac:dyDescent="0.3">
      <c r="B843" s="306"/>
    </row>
    <row r="844" spans="2:8" ht="14.4" customHeight="1" x14ac:dyDescent="0.3">
      <c r="B844" s="306" t="s">
        <v>1107</v>
      </c>
      <c r="C844" t="s">
        <v>371</v>
      </c>
      <c r="D844">
        <v>19</v>
      </c>
      <c r="E844">
        <v>40</v>
      </c>
      <c r="F844">
        <f t="shared" ref="F844:F875" si="29">E844*D844</f>
        <v>760</v>
      </c>
      <c r="H844" s="457" t="s">
        <v>1108</v>
      </c>
    </row>
    <row r="845" spans="2:8" ht="14.4" customHeight="1" x14ac:dyDescent="0.3">
      <c r="B845" s="387" t="s">
        <v>699</v>
      </c>
      <c r="C845" s="310" t="s">
        <v>25</v>
      </c>
      <c r="E845" s="367">
        <v>165.6</v>
      </c>
      <c r="F845" s="41">
        <f t="shared" si="29"/>
        <v>0</v>
      </c>
    </row>
    <row r="846" spans="2:8" ht="14.4" customHeight="1" x14ac:dyDescent="0.3">
      <c r="B846" s="387" t="s">
        <v>700</v>
      </c>
      <c r="C846" s="310" t="s">
        <v>25</v>
      </c>
      <c r="E846" s="367">
        <v>89.699999999999989</v>
      </c>
      <c r="F846" s="41">
        <f t="shared" si="29"/>
        <v>0</v>
      </c>
    </row>
    <row r="847" spans="2:8" ht="14.4" customHeight="1" x14ac:dyDescent="0.3">
      <c r="B847" s="387" t="s">
        <v>701</v>
      </c>
      <c r="C847" s="310" t="s">
        <v>25</v>
      </c>
      <c r="E847" s="367">
        <v>66.239999999999995</v>
      </c>
      <c r="F847" s="41">
        <f t="shared" si="29"/>
        <v>0</v>
      </c>
    </row>
    <row r="848" spans="2:8" ht="14.4" customHeight="1" x14ac:dyDescent="0.3">
      <c r="B848" s="387" t="s">
        <v>702</v>
      </c>
      <c r="C848" s="310" t="s">
        <v>25</v>
      </c>
      <c r="E848" s="367">
        <v>0</v>
      </c>
      <c r="F848" s="41">
        <f t="shared" si="29"/>
        <v>0</v>
      </c>
    </row>
    <row r="849" spans="2:6" ht="14.4" customHeight="1" x14ac:dyDescent="0.3">
      <c r="B849" s="387" t="s">
        <v>703</v>
      </c>
      <c r="C849" s="310" t="s">
        <v>25</v>
      </c>
      <c r="E849" s="367">
        <v>85.104599999999991</v>
      </c>
      <c r="F849" s="41">
        <f t="shared" si="29"/>
        <v>0</v>
      </c>
    </row>
    <row r="850" spans="2:6" ht="14.4" customHeight="1" x14ac:dyDescent="0.3">
      <c r="B850" s="387" t="s">
        <v>704</v>
      </c>
      <c r="C850" s="310" t="s">
        <v>25</v>
      </c>
      <c r="E850" s="367">
        <v>84.179999999999993</v>
      </c>
      <c r="F850" s="41">
        <f t="shared" si="29"/>
        <v>0</v>
      </c>
    </row>
    <row r="851" spans="2:6" ht="14.4" customHeight="1" x14ac:dyDescent="0.3">
      <c r="B851" s="306" t="s">
        <v>705</v>
      </c>
      <c r="C851" s="310" t="s">
        <v>25</v>
      </c>
      <c r="E851" s="367">
        <v>68.77</v>
      </c>
      <c r="F851" s="41">
        <f t="shared" si="29"/>
        <v>0</v>
      </c>
    </row>
    <row r="852" spans="2:6" ht="14.4" customHeight="1" x14ac:dyDescent="0.3">
      <c r="B852" s="306" t="s">
        <v>706</v>
      </c>
      <c r="C852" s="310" t="s">
        <v>25</v>
      </c>
      <c r="E852" s="367">
        <v>55.2</v>
      </c>
      <c r="F852" s="41">
        <f t="shared" si="29"/>
        <v>0</v>
      </c>
    </row>
    <row r="853" spans="2:6" ht="14.4" customHeight="1" x14ac:dyDescent="0.3">
      <c r="B853" s="387" t="s">
        <v>707</v>
      </c>
      <c r="C853" s="310" t="s">
        <v>25</v>
      </c>
      <c r="E853" s="367">
        <v>55.2</v>
      </c>
      <c r="F853" s="41">
        <f t="shared" si="29"/>
        <v>0</v>
      </c>
    </row>
    <row r="854" spans="2:6" ht="14.4" customHeight="1" x14ac:dyDescent="0.3">
      <c r="B854" s="387" t="s">
        <v>708</v>
      </c>
      <c r="C854" s="310" t="s">
        <v>25</v>
      </c>
      <c r="E854" s="367">
        <v>42.779999999999987</v>
      </c>
      <c r="F854" s="41">
        <f t="shared" si="29"/>
        <v>0</v>
      </c>
    </row>
    <row r="855" spans="2:6" ht="14.4" customHeight="1" x14ac:dyDescent="0.3">
      <c r="B855" s="306" t="s">
        <v>709</v>
      </c>
      <c r="C855" s="310" t="s">
        <v>25</v>
      </c>
      <c r="E855" s="367">
        <v>32.659999999999997</v>
      </c>
      <c r="F855" s="41">
        <f t="shared" si="29"/>
        <v>0</v>
      </c>
    </row>
    <row r="856" spans="2:6" ht="14.4" customHeight="1" x14ac:dyDescent="0.3">
      <c r="B856" s="387" t="s">
        <v>710</v>
      </c>
      <c r="C856" s="310" t="s">
        <v>25</v>
      </c>
      <c r="E856" s="367">
        <v>19.55</v>
      </c>
      <c r="F856" s="41">
        <f t="shared" si="29"/>
        <v>0</v>
      </c>
    </row>
    <row r="857" spans="2:6" ht="14.4" customHeight="1" x14ac:dyDescent="0.3">
      <c r="B857" s="306" t="s">
        <v>711</v>
      </c>
      <c r="C857" s="310" t="s">
        <v>25</v>
      </c>
      <c r="E857" s="367">
        <v>16.100000000000001</v>
      </c>
      <c r="F857" s="41">
        <f t="shared" si="29"/>
        <v>0</v>
      </c>
    </row>
    <row r="858" spans="2:6" ht="14.4" customHeight="1" x14ac:dyDescent="0.3">
      <c r="B858" s="306" t="s">
        <v>712</v>
      </c>
      <c r="C858" s="310" t="s">
        <v>25</v>
      </c>
      <c r="E858" s="367">
        <v>19.55</v>
      </c>
      <c r="F858" s="41">
        <f t="shared" si="29"/>
        <v>0</v>
      </c>
    </row>
    <row r="859" spans="2:6" ht="14.4" customHeight="1" x14ac:dyDescent="0.3">
      <c r="B859" s="387" t="s">
        <v>711</v>
      </c>
      <c r="C859" s="386" t="s">
        <v>25</v>
      </c>
      <c r="E859" s="367">
        <v>16.559999999999999</v>
      </c>
      <c r="F859" s="41">
        <f t="shared" si="29"/>
        <v>0</v>
      </c>
    </row>
    <row r="860" spans="2:6" ht="14.4" customHeight="1" x14ac:dyDescent="0.3">
      <c r="B860" s="387" t="s">
        <v>633</v>
      </c>
      <c r="C860" s="386" t="s">
        <v>25</v>
      </c>
      <c r="E860" s="367">
        <f>(2415.3/(83*6))*1.38</f>
        <v>6.6930000000000005</v>
      </c>
      <c r="F860" s="41">
        <f t="shared" si="29"/>
        <v>0</v>
      </c>
    </row>
    <row r="861" spans="2:6" ht="14.4" customHeight="1" x14ac:dyDescent="0.3">
      <c r="B861" s="387" t="s">
        <v>713</v>
      </c>
      <c r="C861" s="386" t="s">
        <v>25</v>
      </c>
      <c r="E861" s="367">
        <v>6.8999999999999986</v>
      </c>
      <c r="F861" s="41">
        <f t="shared" si="29"/>
        <v>0</v>
      </c>
    </row>
    <row r="862" spans="2:6" ht="14.4" customHeight="1" x14ac:dyDescent="0.3">
      <c r="B862" s="387" t="s">
        <v>714</v>
      </c>
      <c r="C862" s="386" t="s">
        <v>25</v>
      </c>
      <c r="E862" s="367">
        <f>(2415.3/(83*6))*1.38</f>
        <v>6.6930000000000005</v>
      </c>
      <c r="F862" s="41">
        <f t="shared" si="29"/>
        <v>0</v>
      </c>
    </row>
    <row r="863" spans="2:6" ht="14.4" customHeight="1" x14ac:dyDescent="0.3">
      <c r="B863" s="387"/>
      <c r="C863" s="386"/>
      <c r="E863" s="367">
        <v>0</v>
      </c>
      <c r="F863" s="41">
        <f t="shared" si="29"/>
        <v>0</v>
      </c>
    </row>
    <row r="864" spans="2:6" ht="14.4" customHeight="1" x14ac:dyDescent="0.3">
      <c r="B864" s="317" t="s">
        <v>715</v>
      </c>
      <c r="C864" s="310"/>
      <c r="E864" s="367">
        <v>0</v>
      </c>
      <c r="F864" s="41">
        <f t="shared" si="29"/>
        <v>0</v>
      </c>
    </row>
    <row r="865" spans="2:6" ht="14.4" customHeight="1" x14ac:dyDescent="0.3">
      <c r="B865" s="387"/>
      <c r="C865" s="310" t="s">
        <v>27</v>
      </c>
      <c r="E865" s="367">
        <v>0</v>
      </c>
      <c r="F865" s="41">
        <f t="shared" si="29"/>
        <v>0</v>
      </c>
    </row>
    <row r="866" spans="2:6" ht="14.4" customHeight="1" x14ac:dyDescent="0.3">
      <c r="B866" t="s">
        <v>716</v>
      </c>
      <c r="C866" s="310" t="s">
        <v>27</v>
      </c>
      <c r="E866" s="367">
        <v>676.19999999999993</v>
      </c>
      <c r="F866" s="41">
        <f t="shared" si="29"/>
        <v>0</v>
      </c>
    </row>
    <row r="867" spans="2:6" ht="14.4" customHeight="1" x14ac:dyDescent="0.3">
      <c r="B867" t="s">
        <v>717</v>
      </c>
      <c r="C867" s="310" t="s">
        <v>27</v>
      </c>
      <c r="E867" s="367">
        <v>896.99999999999989</v>
      </c>
      <c r="F867" s="41">
        <f t="shared" si="29"/>
        <v>0</v>
      </c>
    </row>
    <row r="868" spans="2:6" ht="14.4" customHeight="1" x14ac:dyDescent="0.3">
      <c r="B868" t="s">
        <v>718</v>
      </c>
      <c r="C868" s="310" t="s">
        <v>27</v>
      </c>
      <c r="E868" s="367">
        <v>1518</v>
      </c>
      <c r="F868" s="41">
        <f t="shared" si="29"/>
        <v>0</v>
      </c>
    </row>
    <row r="869" spans="2:6" ht="14.4" customHeight="1" x14ac:dyDescent="0.3">
      <c r="B869" t="s">
        <v>719</v>
      </c>
      <c r="C869" s="310" t="s">
        <v>27</v>
      </c>
      <c r="E869" s="367">
        <v>634.79999999999995</v>
      </c>
      <c r="F869" s="41">
        <f t="shared" si="29"/>
        <v>0</v>
      </c>
    </row>
    <row r="870" spans="2:6" ht="14.4" customHeight="1" x14ac:dyDescent="0.3">
      <c r="B870" t="s">
        <v>720</v>
      </c>
      <c r="C870" s="310" t="s">
        <v>27</v>
      </c>
      <c r="E870" s="367">
        <v>800.4</v>
      </c>
      <c r="F870" s="41">
        <f t="shared" si="29"/>
        <v>0</v>
      </c>
    </row>
    <row r="871" spans="2:6" ht="14.4" customHeight="1" x14ac:dyDescent="0.3">
      <c r="B871" t="s">
        <v>721</v>
      </c>
      <c r="C871" s="310" t="s">
        <v>27</v>
      </c>
      <c r="E871" s="367">
        <v>441.6</v>
      </c>
      <c r="F871" s="41">
        <f t="shared" si="29"/>
        <v>0</v>
      </c>
    </row>
    <row r="872" spans="2:6" ht="14.4" customHeight="1" x14ac:dyDescent="0.3">
      <c r="B872" s="387" t="s">
        <v>722</v>
      </c>
      <c r="C872" s="310" t="s">
        <v>27</v>
      </c>
      <c r="E872" s="367">
        <v>579.59999999999991</v>
      </c>
      <c r="F872" s="41">
        <f t="shared" si="29"/>
        <v>0</v>
      </c>
    </row>
    <row r="873" spans="2:6" ht="14.4" customHeight="1" x14ac:dyDescent="0.3">
      <c r="B873" s="387" t="s">
        <v>723</v>
      </c>
      <c r="C873" s="310" t="s">
        <v>27</v>
      </c>
      <c r="E873" s="367">
        <v>776.09819999999991</v>
      </c>
      <c r="F873" s="41">
        <f t="shared" si="29"/>
        <v>0</v>
      </c>
    </row>
    <row r="874" spans="2:6" ht="14.4" customHeight="1" x14ac:dyDescent="0.3">
      <c r="B874" s="387" t="s">
        <v>724</v>
      </c>
      <c r="C874" s="310" t="s">
        <v>27</v>
      </c>
      <c r="E874" s="367">
        <v>777.4781999999999</v>
      </c>
      <c r="F874" s="41">
        <f t="shared" si="29"/>
        <v>0</v>
      </c>
    </row>
    <row r="875" spans="2:6" ht="14.4" customHeight="1" x14ac:dyDescent="0.3">
      <c r="B875" s="387" t="s">
        <v>725</v>
      </c>
      <c r="C875" s="310" t="s">
        <v>27</v>
      </c>
      <c r="E875" s="367">
        <v>524.4</v>
      </c>
      <c r="F875" s="41">
        <f t="shared" si="29"/>
        <v>0</v>
      </c>
    </row>
    <row r="876" spans="2:6" ht="14.4" customHeight="1" x14ac:dyDescent="0.3">
      <c r="B876" s="387" t="s">
        <v>726</v>
      </c>
      <c r="C876" s="310" t="s">
        <v>27</v>
      </c>
      <c r="E876" s="367">
        <v>496.8</v>
      </c>
      <c r="F876" s="41">
        <f t="shared" ref="F876:F907" si="30">E876*D876</f>
        <v>0</v>
      </c>
    </row>
    <row r="877" spans="2:6" ht="14.4" customHeight="1" x14ac:dyDescent="0.3">
      <c r="B877" s="387" t="s">
        <v>727</v>
      </c>
      <c r="C877" s="310" t="s">
        <v>27</v>
      </c>
      <c r="E877" s="367">
        <v>745.19999999999993</v>
      </c>
      <c r="F877" s="41">
        <f t="shared" si="30"/>
        <v>0</v>
      </c>
    </row>
    <row r="878" spans="2:6" ht="14.4" customHeight="1" x14ac:dyDescent="0.3">
      <c r="B878" s="387" t="s">
        <v>728</v>
      </c>
      <c r="C878" s="310" t="s">
        <v>27</v>
      </c>
      <c r="E878" s="367">
        <v>621</v>
      </c>
      <c r="F878" s="41">
        <f t="shared" si="30"/>
        <v>0</v>
      </c>
    </row>
    <row r="879" spans="2:6" ht="14.4" customHeight="1" x14ac:dyDescent="0.3">
      <c r="B879" s="387" t="s">
        <v>729</v>
      </c>
      <c r="C879" s="310" t="s">
        <v>27</v>
      </c>
      <c r="E879" s="367">
        <v>496.8</v>
      </c>
      <c r="F879" s="41">
        <f t="shared" si="30"/>
        <v>0</v>
      </c>
    </row>
    <row r="880" spans="2:6" ht="14.4" customHeight="1" x14ac:dyDescent="0.3">
      <c r="B880" s="387" t="s">
        <v>730</v>
      </c>
      <c r="C880" s="310" t="s">
        <v>27</v>
      </c>
      <c r="E880" s="367">
        <v>441.6</v>
      </c>
      <c r="F880" s="41">
        <f t="shared" si="30"/>
        <v>0</v>
      </c>
    </row>
    <row r="881" spans="2:6" ht="14.4" customHeight="1" x14ac:dyDescent="0.3">
      <c r="B881" s="387" t="s">
        <v>731</v>
      </c>
      <c r="C881" s="310" t="s">
        <v>27</v>
      </c>
      <c r="E881" s="367">
        <v>262.2</v>
      </c>
      <c r="F881" s="41">
        <f t="shared" si="30"/>
        <v>0</v>
      </c>
    </row>
    <row r="882" spans="2:6" ht="14.4" customHeight="1" x14ac:dyDescent="0.3">
      <c r="B882" s="387" t="s">
        <v>732</v>
      </c>
      <c r="C882" s="310" t="s">
        <v>27</v>
      </c>
      <c r="E882" s="367">
        <v>345</v>
      </c>
      <c r="F882" s="41">
        <f t="shared" si="30"/>
        <v>0</v>
      </c>
    </row>
    <row r="883" spans="2:6" ht="14.4" customHeight="1" x14ac:dyDescent="0.3">
      <c r="B883" s="387" t="s">
        <v>733</v>
      </c>
      <c r="C883" s="310" t="s">
        <v>27</v>
      </c>
      <c r="E883" s="367">
        <v>262.2</v>
      </c>
      <c r="F883" s="41">
        <f t="shared" si="30"/>
        <v>0</v>
      </c>
    </row>
    <row r="884" spans="2:6" ht="14.4" customHeight="1" x14ac:dyDescent="0.3">
      <c r="B884" s="387" t="s">
        <v>734</v>
      </c>
      <c r="C884" s="310" t="s">
        <v>27</v>
      </c>
      <c r="E884" s="367">
        <v>455.4</v>
      </c>
      <c r="F884" s="41">
        <f t="shared" si="30"/>
        <v>0</v>
      </c>
    </row>
    <row r="885" spans="2:6" ht="14.4" customHeight="1" x14ac:dyDescent="0.3">
      <c r="B885" s="387" t="s">
        <v>735</v>
      </c>
      <c r="C885" s="310" t="s">
        <v>27</v>
      </c>
      <c r="E885" s="367">
        <v>117.645</v>
      </c>
      <c r="F885" s="41">
        <f t="shared" si="30"/>
        <v>0</v>
      </c>
    </row>
    <row r="886" spans="2:6" ht="14.4" customHeight="1" x14ac:dyDescent="0.3">
      <c r="B886" s="387" t="s">
        <v>736</v>
      </c>
      <c r="C886" s="310" t="s">
        <v>27</v>
      </c>
      <c r="E886" s="367">
        <v>289.8</v>
      </c>
      <c r="F886" s="41">
        <f t="shared" si="30"/>
        <v>0</v>
      </c>
    </row>
    <row r="887" spans="2:6" ht="14.4" customHeight="1" x14ac:dyDescent="0.3">
      <c r="B887" s="387" t="s">
        <v>737</v>
      </c>
      <c r="C887" s="310" t="s">
        <v>27</v>
      </c>
      <c r="E887" s="367">
        <v>85.559999999999988</v>
      </c>
      <c r="F887" s="41">
        <f t="shared" si="30"/>
        <v>0</v>
      </c>
    </row>
    <row r="888" spans="2:6" ht="14.4" customHeight="1" x14ac:dyDescent="0.3">
      <c r="B888" s="387" t="s">
        <v>738</v>
      </c>
      <c r="C888" s="310" t="s">
        <v>27</v>
      </c>
      <c r="E888" s="367">
        <v>84.179999999999993</v>
      </c>
      <c r="F888" s="41">
        <f t="shared" si="30"/>
        <v>0</v>
      </c>
    </row>
    <row r="889" spans="2:6" ht="14.4" customHeight="1" x14ac:dyDescent="0.3">
      <c r="B889" s="387" t="s">
        <v>739</v>
      </c>
      <c r="C889" s="386" t="s">
        <v>27</v>
      </c>
      <c r="E889" s="367">
        <v>62.099999999999987</v>
      </c>
      <c r="F889" s="41">
        <f t="shared" si="30"/>
        <v>0</v>
      </c>
    </row>
    <row r="890" spans="2:6" ht="14.4" customHeight="1" x14ac:dyDescent="0.3">
      <c r="B890" s="387" t="s">
        <v>740</v>
      </c>
      <c r="C890" s="310" t="s">
        <v>27</v>
      </c>
      <c r="E890" s="367">
        <v>24.84</v>
      </c>
      <c r="F890" s="41">
        <f t="shared" si="30"/>
        <v>0</v>
      </c>
    </row>
    <row r="891" spans="2:6" ht="14.4" customHeight="1" x14ac:dyDescent="0.3">
      <c r="B891" s="387" t="s">
        <v>741</v>
      </c>
      <c r="C891" s="310" t="s">
        <v>27</v>
      </c>
      <c r="E891" s="367">
        <v>22.08</v>
      </c>
      <c r="F891" s="41">
        <f t="shared" si="30"/>
        <v>0</v>
      </c>
    </row>
    <row r="892" spans="2:6" ht="14.4" customHeight="1" x14ac:dyDescent="0.3">
      <c r="B892" s="387" t="s">
        <v>742</v>
      </c>
      <c r="C892" s="310" t="s">
        <v>27</v>
      </c>
      <c r="E892" s="367">
        <v>16.559999999999999</v>
      </c>
      <c r="F892" s="41">
        <f t="shared" si="30"/>
        <v>0</v>
      </c>
    </row>
    <row r="893" spans="2:6" ht="14.4" customHeight="1" x14ac:dyDescent="0.3">
      <c r="B893" s="387" t="s">
        <v>743</v>
      </c>
      <c r="C893" s="386" t="s">
        <v>27</v>
      </c>
      <c r="E893" s="367">
        <v>22.08</v>
      </c>
      <c r="F893" s="41">
        <f t="shared" si="30"/>
        <v>0</v>
      </c>
    </row>
    <row r="894" spans="2:6" ht="14.4" customHeight="1" x14ac:dyDescent="0.3">
      <c r="B894" s="387" t="s">
        <v>744</v>
      </c>
      <c r="C894" s="386" t="s">
        <v>27</v>
      </c>
      <c r="E894" s="367">
        <v>22.08</v>
      </c>
      <c r="F894" s="41">
        <f t="shared" si="30"/>
        <v>0</v>
      </c>
    </row>
    <row r="895" spans="2:6" ht="14.4" customHeight="1" x14ac:dyDescent="0.3">
      <c r="B895" s="387" t="s">
        <v>635</v>
      </c>
      <c r="C895" s="386" t="s">
        <v>27</v>
      </c>
      <c r="E895" s="367">
        <v>6.4859999999999998</v>
      </c>
      <c r="F895" s="41">
        <f t="shared" si="30"/>
        <v>0</v>
      </c>
    </row>
    <row r="896" spans="2:6" ht="14.4" customHeight="1" x14ac:dyDescent="0.3">
      <c r="B896" s="387" t="s">
        <v>745</v>
      </c>
      <c r="C896" s="386" t="s">
        <v>27</v>
      </c>
      <c r="E896" s="367">
        <v>22.08</v>
      </c>
      <c r="F896" s="41">
        <f t="shared" si="30"/>
        <v>0</v>
      </c>
    </row>
    <row r="897" spans="2:6" ht="14.4" customHeight="1" x14ac:dyDescent="0.3">
      <c r="B897" s="387" t="s">
        <v>746</v>
      </c>
      <c r="C897" s="386" t="s">
        <v>27</v>
      </c>
      <c r="E897" s="367">
        <v>22.08</v>
      </c>
      <c r="F897" s="41">
        <f t="shared" si="30"/>
        <v>0</v>
      </c>
    </row>
    <row r="898" spans="2:6" ht="14.4" customHeight="1" x14ac:dyDescent="0.3">
      <c r="B898" s="387" t="s">
        <v>641</v>
      </c>
      <c r="C898" s="386" t="s">
        <v>27</v>
      </c>
      <c r="E898" s="367">
        <v>16.559999999999999</v>
      </c>
      <c r="F898" s="41">
        <f t="shared" si="30"/>
        <v>0</v>
      </c>
    </row>
    <row r="899" spans="2:6" ht="14.4" customHeight="1" x14ac:dyDescent="0.3">
      <c r="B899" s="387" t="s">
        <v>642</v>
      </c>
      <c r="C899" s="386" t="s">
        <v>27</v>
      </c>
      <c r="E899" s="367">
        <v>16.559999999999999</v>
      </c>
      <c r="F899" s="41">
        <f t="shared" si="30"/>
        <v>0</v>
      </c>
    </row>
    <row r="900" spans="2:6" ht="14.4" customHeight="1" x14ac:dyDescent="0.3">
      <c r="B900" s="387" t="s">
        <v>747</v>
      </c>
      <c r="C900" s="386" t="s">
        <v>27</v>
      </c>
      <c r="E900" s="367">
        <v>19.32</v>
      </c>
      <c r="F900" s="41">
        <f t="shared" si="30"/>
        <v>0</v>
      </c>
    </row>
    <row r="901" spans="2:6" ht="14.4" customHeight="1" x14ac:dyDescent="0.3">
      <c r="B901" s="387" t="s">
        <v>748</v>
      </c>
      <c r="C901" s="386" t="s">
        <v>27</v>
      </c>
      <c r="E901" s="367">
        <v>0.89699999999999991</v>
      </c>
      <c r="F901" s="41">
        <f t="shared" si="30"/>
        <v>0</v>
      </c>
    </row>
    <row r="902" spans="2:6" ht="14.4" customHeight="1" x14ac:dyDescent="0.3">
      <c r="B902" s="387" t="s">
        <v>749</v>
      </c>
      <c r="C902" s="386" t="s">
        <v>27</v>
      </c>
      <c r="E902" s="367">
        <v>0.89699999999999991</v>
      </c>
      <c r="F902" s="41">
        <f t="shared" si="30"/>
        <v>0</v>
      </c>
    </row>
    <row r="903" spans="2:6" ht="14.4" customHeight="1" x14ac:dyDescent="0.3">
      <c r="B903" s="387"/>
      <c r="C903" s="386"/>
      <c r="E903" s="367">
        <v>0</v>
      </c>
      <c r="F903" s="41">
        <f t="shared" si="30"/>
        <v>0</v>
      </c>
    </row>
    <row r="904" spans="2:6" ht="14.4" customHeight="1" x14ac:dyDescent="0.3">
      <c r="B904" s="387"/>
      <c r="C904" s="386"/>
      <c r="E904" s="367">
        <v>0</v>
      </c>
      <c r="F904" s="41">
        <f t="shared" si="30"/>
        <v>0</v>
      </c>
    </row>
    <row r="905" spans="2:6" ht="14.4" customHeight="1" x14ac:dyDescent="0.3">
      <c r="B905" s="306" t="s">
        <v>750</v>
      </c>
      <c r="C905" s="310" t="s">
        <v>27</v>
      </c>
      <c r="E905" s="367">
        <v>2.6219999999999999</v>
      </c>
      <c r="F905" s="41">
        <f t="shared" si="30"/>
        <v>0</v>
      </c>
    </row>
    <row r="906" spans="2:6" ht="14.4" customHeight="1" x14ac:dyDescent="0.3">
      <c r="B906" s="306" t="s">
        <v>369</v>
      </c>
      <c r="C906" s="310" t="s">
        <v>25</v>
      </c>
      <c r="E906" s="367">
        <v>2.76</v>
      </c>
      <c r="F906" s="41">
        <f t="shared" si="30"/>
        <v>0</v>
      </c>
    </row>
    <row r="907" spans="2:6" ht="14.4" customHeight="1" x14ac:dyDescent="0.3">
      <c r="B907" s="306" t="s">
        <v>671</v>
      </c>
      <c r="C907" s="310" t="s">
        <v>27</v>
      </c>
      <c r="E907" s="367">
        <v>36.432000000000002</v>
      </c>
      <c r="F907" s="41">
        <f t="shared" si="30"/>
        <v>0</v>
      </c>
    </row>
    <row r="908" spans="2:6" ht="14.4" customHeight="1" x14ac:dyDescent="0.3">
      <c r="B908" s="306" t="s">
        <v>672</v>
      </c>
      <c r="C908" s="310" t="s">
        <v>27</v>
      </c>
      <c r="E908" s="367">
        <v>31.74</v>
      </c>
      <c r="F908" s="41">
        <f t="shared" ref="F908:F925" si="31">E908*D908</f>
        <v>0</v>
      </c>
    </row>
    <row r="909" spans="2:6" ht="14.4" customHeight="1" x14ac:dyDescent="0.3">
      <c r="B909" s="306"/>
      <c r="C909" s="310"/>
      <c r="E909" s="367">
        <v>0</v>
      </c>
      <c r="F909" s="41">
        <f t="shared" si="31"/>
        <v>0</v>
      </c>
    </row>
    <row r="910" spans="2:6" ht="14.4" customHeight="1" x14ac:dyDescent="0.3">
      <c r="B910" s="391" t="s">
        <v>751</v>
      </c>
      <c r="C910" s="310"/>
      <c r="E910" s="367">
        <v>0</v>
      </c>
      <c r="F910" s="41">
        <f t="shared" si="31"/>
        <v>0</v>
      </c>
    </row>
    <row r="911" spans="2:6" ht="14.4" customHeight="1" x14ac:dyDescent="0.3">
      <c r="B911" s="306"/>
      <c r="C911" s="310"/>
      <c r="E911" s="367">
        <v>0</v>
      </c>
      <c r="F911" s="41">
        <f t="shared" si="31"/>
        <v>0</v>
      </c>
    </row>
    <row r="912" spans="2:6" ht="14.4" customHeight="1" x14ac:dyDescent="0.3">
      <c r="B912" s="387" t="s">
        <v>752</v>
      </c>
      <c r="C912" s="310" t="s">
        <v>27</v>
      </c>
      <c r="E912" s="367">
        <v>362.13959999999997</v>
      </c>
      <c r="F912" s="41">
        <f t="shared" si="31"/>
        <v>0</v>
      </c>
    </row>
    <row r="913" spans="2:6" ht="14.4" customHeight="1" x14ac:dyDescent="0.3">
      <c r="B913" s="387" t="s">
        <v>753</v>
      </c>
      <c r="C913" s="310" t="s">
        <v>27</v>
      </c>
      <c r="E913" s="367">
        <v>827.99999999999989</v>
      </c>
      <c r="F913" s="41">
        <f t="shared" si="31"/>
        <v>0</v>
      </c>
    </row>
    <row r="914" spans="2:6" ht="14.4" customHeight="1" x14ac:dyDescent="0.3">
      <c r="B914" s="387" t="s">
        <v>754</v>
      </c>
      <c r="C914" s="310" t="s">
        <v>27</v>
      </c>
      <c r="E914" s="367">
        <v>552</v>
      </c>
      <c r="F914" s="41">
        <f t="shared" si="31"/>
        <v>0</v>
      </c>
    </row>
    <row r="915" spans="2:6" ht="14.4" customHeight="1" x14ac:dyDescent="0.3">
      <c r="B915" s="387"/>
      <c r="C915" s="310"/>
      <c r="E915" s="367">
        <v>0</v>
      </c>
      <c r="F915" s="41">
        <f t="shared" si="31"/>
        <v>0</v>
      </c>
    </row>
    <row r="916" spans="2:6" ht="14.4" customHeight="1" x14ac:dyDescent="0.3">
      <c r="B916" s="387" t="s">
        <v>755</v>
      </c>
      <c r="C916" s="310" t="s">
        <v>27</v>
      </c>
      <c r="E916" s="367">
        <v>690</v>
      </c>
      <c r="F916" s="41">
        <f t="shared" si="31"/>
        <v>0</v>
      </c>
    </row>
    <row r="917" spans="2:6" ht="14.4" customHeight="1" x14ac:dyDescent="0.3">
      <c r="B917" s="387" t="s">
        <v>756</v>
      </c>
      <c r="C917" s="310" t="s">
        <v>27</v>
      </c>
      <c r="E917" s="367">
        <v>413.99999999999989</v>
      </c>
      <c r="F917" s="41">
        <f t="shared" si="31"/>
        <v>0</v>
      </c>
    </row>
    <row r="918" spans="2:6" ht="14.4" customHeight="1" x14ac:dyDescent="0.3">
      <c r="B918" s="387" t="s">
        <v>757</v>
      </c>
      <c r="C918" s="310" t="s">
        <v>27</v>
      </c>
      <c r="E918" s="367">
        <v>413.99999999999989</v>
      </c>
      <c r="F918" s="41">
        <f t="shared" si="31"/>
        <v>0</v>
      </c>
    </row>
    <row r="919" spans="2:6" ht="14.4" customHeight="1" x14ac:dyDescent="0.3">
      <c r="B919" s="387" t="s">
        <v>756</v>
      </c>
      <c r="C919" s="310" t="s">
        <v>27</v>
      </c>
      <c r="E919" s="367">
        <v>413.99999999999989</v>
      </c>
      <c r="F919" s="41">
        <f t="shared" si="31"/>
        <v>0</v>
      </c>
    </row>
    <row r="920" spans="2:6" ht="14.4" customHeight="1" x14ac:dyDescent="0.3">
      <c r="B920" s="387" t="s">
        <v>1109</v>
      </c>
      <c r="C920" s="386" t="s">
        <v>27</v>
      </c>
      <c r="E920" s="367">
        <f>89.62+37.92</f>
        <v>127.54</v>
      </c>
      <c r="F920" s="41">
        <f t="shared" si="31"/>
        <v>0</v>
      </c>
    </row>
    <row r="921" spans="2:6" ht="14.4" customHeight="1" x14ac:dyDescent="0.3">
      <c r="B921" s="387" t="s">
        <v>1110</v>
      </c>
      <c r="C921" s="386" t="s">
        <v>27</v>
      </c>
      <c r="E921" s="367">
        <f>228+147</f>
        <v>375</v>
      </c>
      <c r="F921" s="41">
        <f t="shared" si="31"/>
        <v>0</v>
      </c>
    </row>
    <row r="922" spans="2:6" ht="14.4" customHeight="1" x14ac:dyDescent="0.3">
      <c r="B922" s="387" t="s">
        <v>1111</v>
      </c>
      <c r="C922" s="386" t="s">
        <v>27</v>
      </c>
      <c r="E922" s="367">
        <f>166+84</f>
        <v>250</v>
      </c>
      <c r="F922" s="41">
        <f t="shared" si="31"/>
        <v>0</v>
      </c>
    </row>
    <row r="923" spans="2:6" ht="14.4" customHeight="1" x14ac:dyDescent="0.3">
      <c r="B923" s="387" t="s">
        <v>758</v>
      </c>
      <c r="C923" s="310" t="s">
        <v>27</v>
      </c>
      <c r="E923" s="367">
        <v>20.7</v>
      </c>
      <c r="F923" s="41">
        <f t="shared" si="31"/>
        <v>0</v>
      </c>
    </row>
    <row r="924" spans="2:6" ht="14.4" customHeight="1" x14ac:dyDescent="0.3">
      <c r="B924" s="387" t="s">
        <v>759</v>
      </c>
      <c r="C924" s="386" t="s">
        <v>27</v>
      </c>
      <c r="E924" s="367">
        <v>110.4</v>
      </c>
      <c r="F924" s="41">
        <f t="shared" si="31"/>
        <v>0</v>
      </c>
    </row>
    <row r="925" spans="2:6" ht="14.4" customHeight="1" x14ac:dyDescent="0.3">
      <c r="B925" s="387" t="s">
        <v>760</v>
      </c>
      <c r="C925" s="386" t="s">
        <v>27</v>
      </c>
      <c r="E925" s="308">
        <v>180</v>
      </c>
      <c r="F925" s="41">
        <f t="shared" si="31"/>
        <v>0</v>
      </c>
    </row>
    <row r="928" spans="2:6" ht="14.4" customHeight="1" x14ac:dyDescent="0.3">
      <c r="B928" s="307" t="s">
        <v>761</v>
      </c>
    </row>
    <row r="930" spans="2:8" ht="14.4" customHeight="1" x14ac:dyDescent="0.3">
      <c r="B930" t="s">
        <v>1112</v>
      </c>
      <c r="C930" s="386" t="s">
        <v>27</v>
      </c>
      <c r="D930" s="40">
        <v>93</v>
      </c>
      <c r="E930" s="308">
        <v>30</v>
      </c>
      <c r="F930" s="41">
        <f>E930*D930</f>
        <v>2790</v>
      </c>
      <c r="G930">
        <v>1</v>
      </c>
      <c r="H930" s="457" t="s">
        <v>1113</v>
      </c>
    </row>
    <row r="931" spans="2:8" ht="14.4" customHeight="1" x14ac:dyDescent="0.3">
      <c r="B931" t="s">
        <v>765</v>
      </c>
      <c r="C931" s="386" t="s">
        <v>27</v>
      </c>
      <c r="E931" s="308">
        <v>0</v>
      </c>
      <c r="F931" s="41">
        <f>E931*D931</f>
        <v>0</v>
      </c>
      <c r="H931" s="457" t="s">
        <v>1114</v>
      </c>
    </row>
    <row r="932" spans="2:8" ht="12.45" customHeight="1" x14ac:dyDescent="0.25">
      <c r="B932" t="s">
        <v>1115</v>
      </c>
      <c r="C932" t="s">
        <v>132</v>
      </c>
      <c r="D932">
        <v>1</v>
      </c>
      <c r="E932">
        <v>3500</v>
      </c>
      <c r="F932">
        <f>E932*D932</f>
        <v>3500</v>
      </c>
      <c r="H932" s="457" t="s">
        <v>1116</v>
      </c>
    </row>
    <row r="933" spans="2:8" ht="13.2" x14ac:dyDescent="0.25">
      <c r="B933" t="s">
        <v>1117</v>
      </c>
      <c r="C933" t="s">
        <v>371</v>
      </c>
      <c r="D933">
        <v>2</v>
      </c>
      <c r="E933">
        <v>260</v>
      </c>
      <c r="F933">
        <f>E933*D933</f>
        <v>520</v>
      </c>
      <c r="H933" s="484" t="s">
        <v>1118</v>
      </c>
    </row>
    <row r="935" spans="2:8" x14ac:dyDescent="0.2">
      <c r="C935" s="487" t="s">
        <v>770</v>
      </c>
      <c r="D935" s="486"/>
      <c r="E935" s="488"/>
    </row>
    <row r="936" spans="2:8" x14ac:dyDescent="0.2">
      <c r="C936" s="486"/>
      <c r="D936" s="486"/>
      <c r="E936" s="488"/>
      <c r="F936" s="41">
        <f>SUM(F15:F935)</f>
        <v>414596.51455716923</v>
      </c>
    </row>
    <row r="937" spans="2:8" x14ac:dyDescent="0.2">
      <c r="C937" s="486"/>
      <c r="D937" s="486"/>
      <c r="E937" s="488"/>
    </row>
    <row r="939" spans="2:8" x14ac:dyDescent="0.2">
      <c r="E939" s="374" t="s">
        <v>771</v>
      </c>
      <c r="F939" s="183">
        <v>0.12</v>
      </c>
    </row>
    <row r="940" spans="2:8" x14ac:dyDescent="0.2">
      <c r="E940" s="374" t="s">
        <v>772</v>
      </c>
      <c r="F940" s="41">
        <v>6500</v>
      </c>
    </row>
    <row r="942" spans="2:8" x14ac:dyDescent="0.2">
      <c r="C942" s="487" t="s">
        <v>773</v>
      </c>
      <c r="D942" s="486"/>
      <c r="E942" s="488"/>
    </row>
    <row r="943" spans="2:8" x14ac:dyDescent="0.2">
      <c r="C943" s="486"/>
      <c r="D943" s="486"/>
      <c r="E943" s="488"/>
      <c r="F943" s="41">
        <f>F936+(F936*F939)+F940</f>
        <v>470848.09630402952</v>
      </c>
    </row>
    <row r="944" spans="2:8" x14ac:dyDescent="0.2">
      <c r="C944" s="486"/>
      <c r="D944" s="486"/>
      <c r="E944" s="488"/>
    </row>
    <row r="948" spans="2:11" ht="10.8" customHeight="1" thickBot="1" x14ac:dyDescent="0.25"/>
    <row r="949" spans="2:11" s="114" customFormat="1" ht="15" customHeight="1" thickBot="1" x14ac:dyDescent="0.35">
      <c r="B949" s="167" t="s">
        <v>774</v>
      </c>
      <c r="C949" s="115"/>
      <c r="D949" s="116"/>
      <c r="E949" s="119"/>
      <c r="F949" s="119"/>
      <c r="G949" s="119"/>
      <c r="H949" s="118"/>
      <c r="K949" s="190"/>
    </row>
    <row r="950" spans="2:11" s="114" customFormat="1" ht="14.4" customHeight="1" x14ac:dyDescent="0.3">
      <c r="B950" s="120"/>
      <c r="C950" s="187" t="s">
        <v>775</v>
      </c>
      <c r="D950" s="187" t="s">
        <v>776</v>
      </c>
      <c r="E950" s="188"/>
      <c r="F950" s="188"/>
      <c r="G950" s="119"/>
      <c r="H950" s="118"/>
      <c r="K950" s="190"/>
    </row>
    <row r="951" spans="2:11" s="114" customFormat="1" ht="14.4" customHeight="1" x14ac:dyDescent="0.3">
      <c r="B951" s="392" t="s">
        <v>777</v>
      </c>
      <c r="C951" s="190">
        <f>C955</f>
        <v>387.68000000000006</v>
      </c>
      <c r="D951" s="190" t="s">
        <v>25</v>
      </c>
      <c r="E951" s="119"/>
      <c r="F951" s="119"/>
      <c r="G951" s="119"/>
      <c r="H951" s="118"/>
      <c r="K951" s="190"/>
    </row>
    <row r="952" spans="2:11" s="114" customFormat="1" ht="14.4" customHeight="1" x14ac:dyDescent="0.3">
      <c r="B952" s="318" t="s">
        <v>778</v>
      </c>
      <c r="C952" s="190">
        <v>0</v>
      </c>
      <c r="D952" s="190" t="s">
        <v>25</v>
      </c>
      <c r="E952" s="119"/>
      <c r="F952" s="119"/>
      <c r="G952" s="119"/>
      <c r="H952" s="118"/>
      <c r="K952" s="190"/>
    </row>
    <row r="953" spans="2:11" s="114" customFormat="1" ht="14.4" customHeight="1" x14ac:dyDescent="0.3">
      <c r="B953" s="318" t="s">
        <v>779</v>
      </c>
      <c r="C953" s="190">
        <v>0</v>
      </c>
      <c r="D953" s="190" t="s">
        <v>31</v>
      </c>
      <c r="E953" s="119"/>
      <c r="F953" s="119"/>
      <c r="G953" s="119"/>
      <c r="H953" s="118"/>
      <c r="K953" s="190"/>
    </row>
    <row r="954" spans="2:11" s="114" customFormat="1" ht="14.4" customHeight="1" x14ac:dyDescent="0.3">
      <c r="B954" s="318" t="s">
        <v>780</v>
      </c>
      <c r="C954" s="190">
        <v>0</v>
      </c>
      <c r="D954" s="190" t="s">
        <v>25</v>
      </c>
      <c r="E954" s="119"/>
      <c r="F954" s="119"/>
      <c r="G954" s="119"/>
      <c r="H954" s="118"/>
      <c r="K954" s="190"/>
    </row>
    <row r="955" spans="2:11" s="114" customFormat="1" ht="14.4" customHeight="1" x14ac:dyDescent="0.3">
      <c r="B955" s="392" t="s">
        <v>781</v>
      </c>
      <c r="C955" s="393">
        <f>SUM(D366:D370)+D724+D741+D742+D813</f>
        <v>387.68000000000006</v>
      </c>
      <c r="D955" s="190" t="s">
        <v>25</v>
      </c>
      <c r="E955" s="119"/>
      <c r="F955" s="119"/>
      <c r="G955" s="119"/>
      <c r="H955" s="118"/>
      <c r="K955" s="190"/>
    </row>
    <row r="956" spans="2:11" s="114" customFormat="1" ht="14.4" customHeight="1" x14ac:dyDescent="0.3">
      <c r="B956" s="392" t="s">
        <v>782</v>
      </c>
      <c r="C956" s="320"/>
      <c r="D956" s="190" t="s">
        <v>25</v>
      </c>
      <c r="E956" s="119"/>
      <c r="F956" s="119"/>
      <c r="G956" s="119"/>
      <c r="H956" s="118"/>
      <c r="K956" s="190"/>
    </row>
    <row r="957" spans="2:11" s="114" customFormat="1" ht="14.4" customHeight="1" x14ac:dyDescent="0.3">
      <c r="B957" s="392" t="s">
        <v>783</v>
      </c>
      <c r="C957" s="321">
        <v>0.1</v>
      </c>
      <c r="D957" s="190" t="s">
        <v>25</v>
      </c>
      <c r="F957" s="119"/>
      <c r="G957" s="119"/>
      <c r="H957" s="118"/>
      <c r="K957" s="190"/>
    </row>
    <row r="958" spans="2:11" s="114" customFormat="1" ht="14.4" customHeight="1" x14ac:dyDescent="0.3">
      <c r="B958" s="392" t="s">
        <v>784</v>
      </c>
      <c r="C958" s="321"/>
      <c r="D958" s="190" t="s">
        <v>25</v>
      </c>
      <c r="E958" s="394">
        <f>C958/(C955+C956)</f>
        <v>0</v>
      </c>
      <c r="F958" s="119"/>
      <c r="G958" s="119"/>
      <c r="H958" s="118"/>
      <c r="K958" s="190"/>
    </row>
    <row r="959" spans="2:11" s="114" customFormat="1" ht="14.4" customHeight="1" x14ac:dyDescent="0.3">
      <c r="B959" s="392" t="s">
        <v>785</v>
      </c>
      <c r="C959" s="321"/>
      <c r="D959" s="190" t="s">
        <v>25</v>
      </c>
      <c r="E959" s="394">
        <f>C959/(C955+C956)</f>
        <v>0</v>
      </c>
      <c r="F959" s="119"/>
      <c r="G959" s="119"/>
      <c r="H959" s="118"/>
      <c r="K959" s="190"/>
    </row>
    <row r="960" spans="2:11" s="114" customFormat="1" ht="14.4" customHeight="1" x14ac:dyDescent="0.3">
      <c r="B960" s="392" t="s">
        <v>786</v>
      </c>
      <c r="C960" s="321"/>
      <c r="D960" s="190" t="s">
        <v>25</v>
      </c>
      <c r="E960" s="394">
        <f>C960/(C955+C956)</f>
        <v>0</v>
      </c>
      <c r="F960" s="119"/>
      <c r="G960" s="119"/>
      <c r="H960" s="118"/>
      <c r="K960" s="190"/>
    </row>
    <row r="961" spans="2:15" s="114" customFormat="1" ht="14.4" customHeight="1" x14ac:dyDescent="0.3">
      <c r="B961" s="318"/>
      <c r="F961" s="119"/>
      <c r="G961" s="119"/>
      <c r="H961" s="118"/>
      <c r="K961" s="190"/>
    </row>
    <row r="962" spans="2:15" s="114" customFormat="1" ht="14.4" customHeight="1" x14ac:dyDescent="0.3">
      <c r="B962" s="120"/>
      <c r="E962" s="119"/>
      <c r="F962" s="119"/>
      <c r="G962" s="119"/>
      <c r="H962" s="118"/>
      <c r="K962" s="190"/>
    </row>
    <row r="963" spans="2:15" s="322" customFormat="1" ht="72" customHeight="1" x14ac:dyDescent="0.25">
      <c r="B963" s="323"/>
      <c r="C963" s="324" t="s">
        <v>787</v>
      </c>
      <c r="D963" s="324" t="s">
        <v>788</v>
      </c>
      <c r="E963" s="119" t="s">
        <v>789</v>
      </c>
      <c r="F963" s="395" t="s">
        <v>790</v>
      </c>
      <c r="G963" s="396" t="s">
        <v>791</v>
      </c>
      <c r="H963" s="325" t="s">
        <v>792</v>
      </c>
      <c r="I963" s="326" t="s">
        <v>793</v>
      </c>
      <c r="J963" s="326" t="s">
        <v>794</v>
      </c>
      <c r="K963" s="326" t="s">
        <v>795</v>
      </c>
      <c r="L963" s="396" t="s">
        <v>796</v>
      </c>
    </row>
    <row r="964" spans="2:15" s="114" customFormat="1" ht="14.4" customHeight="1" x14ac:dyDescent="0.3">
      <c r="B964" s="318" t="str">
        <f>B955</f>
        <v>L/M of Inground Pipe (Average Depth)</v>
      </c>
      <c r="C964" s="327">
        <v>0.95</v>
      </c>
      <c r="D964" s="327">
        <v>0.6</v>
      </c>
      <c r="E964" s="319">
        <f>C955</f>
        <v>387.68000000000006</v>
      </c>
      <c r="F964" s="397">
        <v>1.3</v>
      </c>
      <c r="G964" s="328">
        <f>C957</f>
        <v>0.1</v>
      </c>
      <c r="H964" s="192">
        <f>(C964*D964*E964)*F964-(C964*D964*E964*G964)</f>
        <v>265.17312000000004</v>
      </c>
      <c r="I964" s="329"/>
      <c r="J964" s="329"/>
      <c r="K964" s="330"/>
    </row>
    <row r="965" spans="2:15" s="114" customFormat="1" ht="14.4" customHeight="1" x14ac:dyDescent="0.3">
      <c r="B965" s="392" t="str">
        <f>B956</f>
        <v>L/M of Inground Pipe (Deeper Than Average Depth)</v>
      </c>
      <c r="C965" s="327">
        <v>1.1000000000000001</v>
      </c>
      <c r="D965" s="327">
        <v>0.5</v>
      </c>
      <c r="E965" s="319">
        <f>C956</f>
        <v>0</v>
      </c>
      <c r="F965" s="397">
        <v>1.3</v>
      </c>
      <c r="G965" s="327">
        <v>0</v>
      </c>
      <c r="H965" s="192">
        <f>(C965*D965*E965)*F965</f>
        <v>0</v>
      </c>
      <c r="I965" s="329"/>
      <c r="J965" s="329"/>
      <c r="K965" s="330"/>
    </row>
    <row r="966" spans="2:15" s="114" customFormat="1" ht="14.4" customHeight="1" x14ac:dyDescent="0.3">
      <c r="B966" s="392" t="s">
        <v>797</v>
      </c>
      <c r="C966" s="327">
        <v>0.35</v>
      </c>
      <c r="D966" s="328">
        <f>D964</f>
        <v>0.6</v>
      </c>
      <c r="E966" s="328">
        <f>E964</f>
        <v>387.68000000000006</v>
      </c>
      <c r="F966" s="397">
        <v>0</v>
      </c>
      <c r="G966" s="328">
        <f>C957</f>
        <v>0.1</v>
      </c>
      <c r="H966" s="192"/>
      <c r="I966" s="192">
        <f>(C966*D966*E966)-(C966*D966*E966*G966)</f>
        <v>73.27152000000001</v>
      </c>
      <c r="J966" s="192"/>
      <c r="K966" s="330"/>
    </row>
    <row r="967" spans="2:15" s="114" customFormat="1" ht="14.4" customHeight="1" x14ac:dyDescent="0.3">
      <c r="B967" s="392" t="s">
        <v>798</v>
      </c>
      <c r="C967" s="327">
        <v>0.2</v>
      </c>
      <c r="D967" s="328">
        <f>D965</f>
        <v>0.5</v>
      </c>
      <c r="E967" s="331">
        <f>E965</f>
        <v>0</v>
      </c>
      <c r="F967" s="397">
        <v>0</v>
      </c>
      <c r="G967" s="328">
        <f>G965</f>
        <v>0</v>
      </c>
      <c r="H967" s="192"/>
      <c r="I967" s="192">
        <f>(C967*D967*E967)-(C967*D967*E967*G967)</f>
        <v>0</v>
      </c>
      <c r="J967" s="192"/>
      <c r="K967" s="330"/>
    </row>
    <row r="968" spans="2:15" s="114" customFormat="1" ht="14.4" customHeight="1" x14ac:dyDescent="0.3">
      <c r="B968" s="392" t="s">
        <v>799</v>
      </c>
      <c r="C968" s="328">
        <f t="shared" ref="C968:E969" si="32">C964</f>
        <v>0.95</v>
      </c>
      <c r="D968" s="328">
        <f t="shared" si="32"/>
        <v>0.6</v>
      </c>
      <c r="E968" s="331">
        <f t="shared" si="32"/>
        <v>387.68000000000006</v>
      </c>
      <c r="F968" s="397">
        <v>1.3</v>
      </c>
      <c r="G968" s="328">
        <f>C957</f>
        <v>0.1</v>
      </c>
      <c r="H968" s="192"/>
      <c r="I968" s="192"/>
      <c r="J968" s="192">
        <f>(C968*D968*E968*F968)-(C968*D968*E968*G968)-I966</f>
        <v>191.90160000000003</v>
      </c>
      <c r="K968" s="330"/>
    </row>
    <row r="969" spans="2:15" s="114" customFormat="1" ht="14.4" customHeight="1" x14ac:dyDescent="0.3">
      <c r="B969" s="392" t="s">
        <v>800</v>
      </c>
      <c r="C969" s="328">
        <f t="shared" si="32"/>
        <v>1.1000000000000001</v>
      </c>
      <c r="D969" s="328">
        <f t="shared" si="32"/>
        <v>0.5</v>
      </c>
      <c r="E969" s="328">
        <f t="shared" si="32"/>
        <v>0</v>
      </c>
      <c r="F969" s="397">
        <v>1.3</v>
      </c>
      <c r="G969" s="328">
        <f>G965</f>
        <v>0</v>
      </c>
      <c r="H969" s="192"/>
      <c r="I969" s="192"/>
      <c r="J969" s="192">
        <f>(C969*D969*E969*F969)-(C969*D969*E969*G969)-I967</f>
        <v>0</v>
      </c>
      <c r="K969" s="330"/>
    </row>
    <row r="970" spans="2:15" s="114" customFormat="1" ht="15" customHeight="1" thickBot="1" x14ac:dyDescent="0.35">
      <c r="B970" s="318"/>
      <c r="C970" s="330"/>
      <c r="D970" s="330"/>
      <c r="E970" s="330"/>
      <c r="F970" s="398"/>
      <c r="G970" s="192"/>
      <c r="H970" s="330"/>
      <c r="I970" s="329"/>
      <c r="J970" s="329"/>
      <c r="K970" s="192" t="s">
        <v>801</v>
      </c>
      <c r="L970" s="332" t="s">
        <v>802</v>
      </c>
      <c r="M970" s="332" t="s">
        <v>803</v>
      </c>
    </row>
    <row r="971" spans="2:15" s="114" customFormat="1" ht="15" customHeight="1" thickBot="1" x14ac:dyDescent="0.35">
      <c r="B971" s="318"/>
      <c r="C971" s="330"/>
      <c r="D971" s="330"/>
      <c r="E971" s="330"/>
      <c r="F971" s="398"/>
      <c r="G971" s="192"/>
      <c r="H971" s="333">
        <f>SUM(H964:H970)</f>
        <v>265.17312000000004</v>
      </c>
      <c r="I971" s="333">
        <f>SUM(I964:I970)</f>
        <v>73.27152000000001</v>
      </c>
      <c r="J971" s="333">
        <f>SUM(J964:J970)</f>
        <v>191.90160000000003</v>
      </c>
      <c r="K971" s="334">
        <f>H971-J971</f>
        <v>73.27152000000001</v>
      </c>
      <c r="L971" s="335">
        <v>15</v>
      </c>
      <c r="M971" s="336">
        <f>K971*L971</f>
        <v>1099.0728000000001</v>
      </c>
      <c r="O971" s="186"/>
    </row>
    <row r="972" spans="2:15" s="114" customFormat="1" ht="14.4" customHeight="1" x14ac:dyDescent="0.3">
      <c r="B972" s="318"/>
      <c r="C972" s="190"/>
      <c r="D972" s="190"/>
      <c r="E972" s="190"/>
      <c r="F972" s="398"/>
      <c r="G972" s="192"/>
      <c r="H972" s="118"/>
      <c r="K972" s="190"/>
      <c r="O972" s="329"/>
    </row>
    <row r="973" spans="2:15" s="114" customFormat="1" ht="14.4" customHeight="1" x14ac:dyDescent="0.3">
      <c r="B973" s="318"/>
      <c r="C973" s="190"/>
      <c r="D973" s="190"/>
      <c r="E973" s="190"/>
      <c r="F973" s="398"/>
      <c r="G973" s="192"/>
      <c r="H973" s="118"/>
      <c r="K973" s="190"/>
      <c r="O973" s="329"/>
    </row>
    <row r="974" spans="2:15" s="114" customFormat="1" ht="14.4" customHeight="1" x14ac:dyDescent="0.3">
      <c r="B974" s="318"/>
      <c r="C974" s="190"/>
      <c r="D974" s="190"/>
      <c r="E974" s="190"/>
      <c r="F974" s="398"/>
      <c r="G974" s="192"/>
      <c r="H974" s="118"/>
      <c r="K974" s="190"/>
      <c r="O974" s="329"/>
    </row>
    <row r="975" spans="2:15" s="114" customFormat="1" ht="14.4" customHeight="1" x14ac:dyDescent="0.3">
      <c r="B975" s="318"/>
      <c r="C975" s="190"/>
      <c r="D975" s="190"/>
      <c r="E975" s="190"/>
      <c r="F975" s="398"/>
      <c r="G975" s="192"/>
      <c r="H975" s="118"/>
      <c r="K975" s="190"/>
      <c r="O975" s="329"/>
    </row>
    <row r="976" spans="2:15" s="114" customFormat="1" ht="7.2" customHeight="1" x14ac:dyDescent="0.3">
      <c r="B976" s="337"/>
      <c r="C976" s="222"/>
      <c r="D976" s="222"/>
      <c r="E976" s="222"/>
      <c r="F976" s="223"/>
      <c r="G976" s="223"/>
      <c r="H976" s="224"/>
      <c r="I976" s="222"/>
      <c r="K976" s="190"/>
    </row>
    <row r="977" spans="2:18" s="114" customFormat="1" ht="14.4" customHeight="1" x14ac:dyDescent="0.3">
      <c r="B977" s="120" t="s">
        <v>804</v>
      </c>
      <c r="C977" s="190" t="s">
        <v>805</v>
      </c>
      <c r="D977" s="190" t="s">
        <v>775</v>
      </c>
      <c r="E977" s="119" t="s">
        <v>806</v>
      </c>
      <c r="F977" s="114" t="s">
        <v>771</v>
      </c>
      <c r="G977" s="188" t="s">
        <v>806</v>
      </c>
      <c r="H977" s="193" t="s">
        <v>807</v>
      </c>
      <c r="K977" s="190"/>
    </row>
    <row r="978" spans="2:18" s="114" customFormat="1" ht="14.4" customHeight="1" x14ac:dyDescent="0.3">
      <c r="B978" s="318"/>
      <c r="C978" s="190">
        <v>0.1</v>
      </c>
      <c r="D978" s="321"/>
      <c r="E978" s="190">
        <f>D978*C978</f>
        <v>0</v>
      </c>
      <c r="F978" s="398">
        <v>1.1000000000000001</v>
      </c>
      <c r="G978" s="191">
        <f>E978*F978</f>
        <v>0</v>
      </c>
      <c r="H978" s="118">
        <f>G978*E1003</f>
        <v>0</v>
      </c>
      <c r="I978" s="189"/>
      <c r="K978" s="190"/>
    </row>
    <row r="979" spans="2:18" s="306" customFormat="1" ht="14.4" customHeight="1" x14ac:dyDescent="0.3">
      <c r="C979" s="310"/>
      <c r="D979" s="310"/>
      <c r="E979" s="308"/>
      <c r="F979" s="308"/>
    </row>
    <row r="980" spans="2:18" s="306" customFormat="1" ht="15" customHeight="1" thickBot="1" x14ac:dyDescent="0.35">
      <c r="C980" s="310"/>
      <c r="D980" s="310"/>
      <c r="E980" s="308"/>
      <c r="F980" s="308"/>
    </row>
    <row r="981" spans="2:18" s="306" customFormat="1" ht="15" customHeight="1" thickBot="1" x14ac:dyDescent="0.35">
      <c r="B981" s="167" t="s">
        <v>808</v>
      </c>
      <c r="C981" s="115"/>
      <c r="D981" s="116"/>
      <c r="E981" s="119"/>
      <c r="F981" s="119"/>
      <c r="G981" s="119"/>
      <c r="H981" s="118"/>
      <c r="I981" s="114"/>
      <c r="J981" s="114"/>
      <c r="K981" s="114"/>
      <c r="L981" s="114"/>
      <c r="M981" s="114"/>
      <c r="N981" s="114"/>
      <c r="O981" s="114"/>
      <c r="P981" s="114"/>
    </row>
    <row r="982" spans="2:18" s="306" customFormat="1" ht="15" customHeight="1" thickBot="1" x14ac:dyDescent="0.35">
      <c r="B982" s="186"/>
      <c r="C982" s="114"/>
      <c r="D982" s="114"/>
      <c r="E982" s="119"/>
      <c r="F982" s="119"/>
      <c r="G982" s="119"/>
      <c r="H982" s="118"/>
      <c r="I982" s="114"/>
      <c r="J982" s="114"/>
      <c r="K982" s="114"/>
      <c r="L982" s="114"/>
      <c r="M982" s="324">
        <v>1.1200000000000001</v>
      </c>
      <c r="N982" s="114"/>
      <c r="O982" s="114"/>
      <c r="P982" s="114"/>
    </row>
    <row r="983" spans="2:18" s="338" customFormat="1" ht="29.4" customHeight="1" thickBot="1" x14ac:dyDescent="0.3">
      <c r="B983" s="339" t="s">
        <v>234</v>
      </c>
      <c r="C983" s="332" t="s">
        <v>809</v>
      </c>
      <c r="D983" s="332" t="s">
        <v>776</v>
      </c>
      <c r="E983" s="188" t="s">
        <v>802</v>
      </c>
      <c r="F983" s="188" t="s">
        <v>810</v>
      </c>
      <c r="G983" s="119"/>
      <c r="H983" s="119"/>
      <c r="I983" s="332" t="s">
        <v>801</v>
      </c>
      <c r="J983" s="326" t="s">
        <v>791</v>
      </c>
      <c r="K983" s="332" t="s">
        <v>811</v>
      </c>
      <c r="L983" s="332" t="s">
        <v>803</v>
      </c>
      <c r="M983" s="332" t="s">
        <v>771</v>
      </c>
      <c r="N983" s="340" t="s">
        <v>812</v>
      </c>
      <c r="O983" s="399" t="s">
        <v>813</v>
      </c>
      <c r="P983" s="396" t="s">
        <v>814</v>
      </c>
      <c r="Q983" s="400" t="s">
        <v>815</v>
      </c>
    </row>
    <row r="984" spans="2:18" s="306" customFormat="1" ht="15" customHeight="1" thickBot="1" x14ac:dyDescent="0.35">
      <c r="B984" s="114" t="s">
        <v>816</v>
      </c>
      <c r="C984" s="341">
        <v>0.20300000000000001</v>
      </c>
      <c r="D984" s="342" t="s">
        <v>817</v>
      </c>
      <c r="E984" s="343">
        <f>E996</f>
        <v>62</v>
      </c>
      <c r="F984" s="343">
        <f>E984*C984</f>
        <v>12.586</v>
      </c>
      <c r="G984" s="119"/>
      <c r="H984" s="118"/>
      <c r="I984" s="344">
        <f>C984*(C955+C956)</f>
        <v>78.699040000000025</v>
      </c>
      <c r="J984" s="328">
        <f>C957</f>
        <v>0.1</v>
      </c>
      <c r="K984" s="345">
        <f>I984-(I984*J984)</f>
        <v>70.82913600000002</v>
      </c>
      <c r="L984" s="189">
        <f>K984*E984</f>
        <v>4391.4064320000016</v>
      </c>
      <c r="M984" s="308">
        <f>(L984*M982)-L984</f>
        <v>526.96877184000095</v>
      </c>
      <c r="N984" s="346">
        <f>L984*M982</f>
        <v>4918.3752038400025</v>
      </c>
      <c r="O984" s="189">
        <f>N984*E958</f>
        <v>0</v>
      </c>
      <c r="P984" s="114"/>
      <c r="Q984" s="308"/>
      <c r="R984" s="308"/>
    </row>
    <row r="985" spans="2:18" s="306" customFormat="1" ht="14.4" customHeight="1" x14ac:dyDescent="0.3">
      <c r="B985" s="114" t="s">
        <v>816</v>
      </c>
      <c r="C985" s="341">
        <v>0.14000000000000001</v>
      </c>
      <c r="D985" s="190" t="s">
        <v>818</v>
      </c>
      <c r="E985" s="119">
        <f>E996</f>
        <v>62</v>
      </c>
      <c r="F985" s="119">
        <f>(E985*C985)*1.95</f>
        <v>16.926000000000002</v>
      </c>
      <c r="G985" s="119"/>
      <c r="H985" s="118"/>
      <c r="I985" s="114"/>
      <c r="J985" s="114"/>
      <c r="L985" s="189"/>
      <c r="N985" s="347"/>
      <c r="O985" s="114"/>
      <c r="P985" s="114"/>
    </row>
    <row r="986" spans="2:18" s="306" customFormat="1" ht="14.4" customHeight="1" x14ac:dyDescent="0.3">
      <c r="B986" s="114" t="s">
        <v>819</v>
      </c>
      <c r="C986" s="341">
        <v>0.45</v>
      </c>
      <c r="D986" s="190" t="s">
        <v>817</v>
      </c>
      <c r="E986" s="119">
        <f>E997</f>
        <v>62</v>
      </c>
      <c r="F986" s="119">
        <f>E986*C986</f>
        <v>27.900000000000002</v>
      </c>
      <c r="G986" s="119"/>
      <c r="H986" s="118"/>
      <c r="I986" s="114">
        <v>0</v>
      </c>
      <c r="J986" s="114"/>
      <c r="L986" s="189">
        <f>I986*E986</f>
        <v>0</v>
      </c>
      <c r="N986" s="348">
        <f>L986*$L$297</f>
        <v>0</v>
      </c>
      <c r="O986" s="114"/>
      <c r="P986" s="114"/>
    </row>
    <row r="987" spans="2:18" s="306" customFormat="1" ht="15" customHeight="1" thickBot="1" x14ac:dyDescent="0.35">
      <c r="B987" s="114" t="s">
        <v>820</v>
      </c>
      <c r="C987" s="114">
        <v>0</v>
      </c>
      <c r="D987" s="190" t="s">
        <v>817</v>
      </c>
      <c r="E987" s="119">
        <f>E998</f>
        <v>25</v>
      </c>
      <c r="F987" s="119">
        <f>E987*C987</f>
        <v>0</v>
      </c>
      <c r="G987" s="119"/>
      <c r="H987" s="118"/>
      <c r="I987" s="114">
        <v>0</v>
      </c>
      <c r="J987" s="114"/>
      <c r="L987" s="189">
        <f>I987*E987</f>
        <v>0</v>
      </c>
      <c r="N987" s="348">
        <f>L987*$L$297</f>
        <v>0</v>
      </c>
      <c r="O987" s="114"/>
      <c r="P987" s="114"/>
    </row>
    <row r="988" spans="2:18" s="306" customFormat="1" ht="15" customHeight="1" thickBot="1" x14ac:dyDescent="0.35">
      <c r="B988" s="114" t="s">
        <v>821</v>
      </c>
      <c r="C988" s="341">
        <v>0.22500000000000001</v>
      </c>
      <c r="D988" s="342" t="s">
        <v>817</v>
      </c>
      <c r="E988" s="343">
        <f>E999</f>
        <v>62</v>
      </c>
      <c r="F988" s="343">
        <f>E988*C988</f>
        <v>13.950000000000001</v>
      </c>
      <c r="G988" s="119"/>
      <c r="H988" s="118"/>
      <c r="I988" s="344">
        <f>C988*(C955+C956)</f>
        <v>87.228000000000023</v>
      </c>
      <c r="J988" s="328">
        <f>C957</f>
        <v>0.1</v>
      </c>
      <c r="K988" s="345">
        <f>I988-(I988*J988)</f>
        <v>78.505200000000016</v>
      </c>
      <c r="L988" s="189">
        <f>K988*E988</f>
        <v>4867.3224000000009</v>
      </c>
      <c r="M988" s="308">
        <f>(L988*M982)-L988</f>
        <v>584.07868800000051</v>
      </c>
      <c r="N988" s="346">
        <f>L988*M982</f>
        <v>5451.4010880000014</v>
      </c>
      <c r="O988" s="114"/>
      <c r="P988" s="189">
        <f>N988*E959</f>
        <v>0</v>
      </c>
      <c r="Q988" s="308">
        <f>N988*E960</f>
        <v>0</v>
      </c>
    </row>
    <row r="989" spans="2:18" s="306" customFormat="1" ht="14.4" customHeight="1" x14ac:dyDescent="0.3">
      <c r="B989" s="114" t="s">
        <v>821</v>
      </c>
      <c r="C989" s="341">
        <v>0.14000000000000001</v>
      </c>
      <c r="D989" s="190" t="s">
        <v>818</v>
      </c>
      <c r="E989" s="119">
        <f>E999</f>
        <v>62</v>
      </c>
      <c r="F989" s="119">
        <f>(E989*C989)*1.5</f>
        <v>13.020000000000003</v>
      </c>
      <c r="G989" s="119"/>
      <c r="H989" s="118"/>
      <c r="I989" s="114"/>
      <c r="J989" s="114"/>
      <c r="L989" s="189"/>
      <c r="N989" s="347"/>
      <c r="O989" s="114"/>
      <c r="P989" s="114"/>
    </row>
    <row r="990" spans="2:18" s="306" customFormat="1" ht="14.4" customHeight="1" x14ac:dyDescent="0.3">
      <c r="B990" s="114" t="s">
        <v>822</v>
      </c>
      <c r="C990" s="341">
        <v>0.36</v>
      </c>
      <c r="D990" s="190" t="s">
        <v>817</v>
      </c>
      <c r="E990" s="119">
        <f>F1000</f>
        <v>27</v>
      </c>
      <c r="F990" s="119">
        <f>E990*C990</f>
        <v>9.7199999999999989</v>
      </c>
      <c r="G990" s="119"/>
      <c r="H990" s="118"/>
      <c r="I990" s="114">
        <f>C954*C990</f>
        <v>0</v>
      </c>
      <c r="J990" s="114"/>
      <c r="L990" s="189">
        <f>I990*E990</f>
        <v>0</v>
      </c>
      <c r="N990" s="348">
        <f>L990*$L$297</f>
        <v>0</v>
      </c>
      <c r="O990" s="114"/>
      <c r="P990" s="114"/>
    </row>
    <row r="991" spans="2:18" s="306" customFormat="1" ht="14.4" customHeight="1" x14ac:dyDescent="0.3">
      <c r="B991" s="114" t="s">
        <v>823</v>
      </c>
      <c r="C991" s="341">
        <v>0.36</v>
      </c>
      <c r="D991" s="190" t="s">
        <v>817</v>
      </c>
      <c r="E991" s="119">
        <f>F1001</f>
        <v>30</v>
      </c>
      <c r="F991" s="119">
        <f>E991*C991</f>
        <v>10.799999999999999</v>
      </c>
      <c r="G991" s="119"/>
      <c r="H991" s="118"/>
      <c r="I991" s="114">
        <f>C991*C954</f>
        <v>0</v>
      </c>
      <c r="J991" s="114"/>
      <c r="L991" s="189">
        <f>I991*E991</f>
        <v>0</v>
      </c>
      <c r="N991" s="348">
        <f>L991*$L$297</f>
        <v>0</v>
      </c>
      <c r="O991" s="114"/>
      <c r="P991" s="114"/>
    </row>
    <row r="992" spans="2:18" s="306" customFormat="1" ht="15" customHeight="1" thickBot="1" x14ac:dyDescent="0.35">
      <c r="B992" s="114" t="s">
        <v>824</v>
      </c>
      <c r="C992" s="341">
        <v>0.3</v>
      </c>
      <c r="D992" s="190" t="s">
        <v>818</v>
      </c>
      <c r="E992" s="119">
        <f>N1002</f>
        <v>0</v>
      </c>
      <c r="F992" s="119">
        <f>E992*C992</f>
        <v>0</v>
      </c>
      <c r="G992" s="119"/>
      <c r="H992" s="118"/>
      <c r="I992" s="114">
        <f>C992*C952</f>
        <v>0</v>
      </c>
      <c r="J992" s="114"/>
      <c r="L992" s="189">
        <f>E992*I992</f>
        <v>0</v>
      </c>
      <c r="N992" s="349">
        <f>L992*$L$297</f>
        <v>0</v>
      </c>
      <c r="O992" s="114"/>
      <c r="P992" s="114"/>
    </row>
    <row r="993" spans="2:16" s="306" customFormat="1" ht="15" customHeight="1" thickBot="1" x14ac:dyDescent="0.35">
      <c r="B993" s="114"/>
      <c r="C993" s="114"/>
      <c r="D993" s="190"/>
      <c r="E993" s="350"/>
      <c r="F993" s="350"/>
      <c r="G993" s="119"/>
      <c r="H993" s="118"/>
      <c r="I993" s="114"/>
      <c r="J993" s="114"/>
      <c r="K993" s="114"/>
      <c r="L993" s="114"/>
      <c r="M993" s="114"/>
      <c r="N993" s="114"/>
      <c r="O993" s="114"/>
      <c r="P993" s="114"/>
    </row>
    <row r="994" spans="2:16" s="306" customFormat="1" ht="14.4" customHeight="1" x14ac:dyDescent="0.3">
      <c r="B994" s="117"/>
      <c r="C994" s="351"/>
      <c r="D994" s="352"/>
      <c r="E994" s="353" t="s">
        <v>825</v>
      </c>
      <c r="F994" s="354" t="s">
        <v>826</v>
      </c>
      <c r="G994" s="118"/>
      <c r="H994" s="119"/>
      <c r="I994" s="119"/>
      <c r="J994" s="119"/>
      <c r="K994" s="119"/>
      <c r="L994" s="119"/>
      <c r="M994" s="119"/>
      <c r="N994" s="119"/>
      <c r="O994" s="119"/>
    </row>
    <row r="995" spans="2:16" s="306" customFormat="1" ht="15" customHeight="1" thickBot="1" x14ac:dyDescent="0.35">
      <c r="B995" s="355" t="s">
        <v>234</v>
      </c>
      <c r="C995" s="356"/>
      <c r="D995" s="357" t="s">
        <v>776</v>
      </c>
      <c r="E995" s="358" t="s">
        <v>802</v>
      </c>
      <c r="F995" s="358" t="s">
        <v>802</v>
      </c>
      <c r="G995" s="359"/>
      <c r="H995" s="119"/>
      <c r="I995" s="118"/>
      <c r="J995" s="119"/>
      <c r="K995" s="118"/>
      <c r="L995" s="119"/>
      <c r="M995" s="118"/>
      <c r="N995" s="119"/>
      <c r="O995" s="118"/>
    </row>
    <row r="996" spans="2:16" s="306" customFormat="1" ht="14.4" customHeight="1" x14ac:dyDescent="0.3">
      <c r="B996" s="114" t="s">
        <v>816</v>
      </c>
      <c r="C996" s="190"/>
      <c r="D996" s="360" t="s">
        <v>827</v>
      </c>
      <c r="E996" s="361">
        <v>62</v>
      </c>
      <c r="F996" s="362">
        <v>31</v>
      </c>
      <c r="G996" s="118"/>
      <c r="H996" s="119"/>
      <c r="I996" s="118"/>
      <c r="J996" s="119"/>
      <c r="K996" s="118"/>
      <c r="L996" s="119"/>
      <c r="M996" s="118"/>
      <c r="N996" s="119"/>
      <c r="O996" s="118"/>
    </row>
    <row r="997" spans="2:16" s="306" customFormat="1" ht="14.4" customHeight="1" x14ac:dyDescent="0.3">
      <c r="B997" s="114" t="s">
        <v>819</v>
      </c>
      <c r="C997" s="190"/>
      <c r="D997" s="360" t="s">
        <v>827</v>
      </c>
      <c r="E997" s="361">
        <v>62</v>
      </c>
      <c r="F997" s="363">
        <v>39</v>
      </c>
      <c r="G997" s="118"/>
      <c r="H997" s="119"/>
      <c r="I997" s="118"/>
      <c r="J997" s="119"/>
      <c r="K997" s="118"/>
      <c r="L997" s="119"/>
      <c r="M997" s="118"/>
      <c r="N997" s="119"/>
      <c r="O997" s="118"/>
    </row>
    <row r="998" spans="2:16" s="306" customFormat="1" ht="14.4" customHeight="1" x14ac:dyDescent="0.3">
      <c r="B998" s="114" t="s">
        <v>820</v>
      </c>
      <c r="C998" s="190"/>
      <c r="D998" s="360" t="s">
        <v>827</v>
      </c>
      <c r="E998" s="364">
        <v>25</v>
      </c>
      <c r="F998" s="363">
        <v>29</v>
      </c>
      <c r="G998" s="118"/>
      <c r="H998" s="119"/>
      <c r="I998" s="118"/>
      <c r="J998" s="401"/>
      <c r="K998" s="118"/>
      <c r="L998" s="119"/>
      <c r="M998" s="118"/>
      <c r="N998" s="119"/>
      <c r="O998" s="118"/>
    </row>
    <row r="999" spans="2:16" s="306" customFormat="1" ht="14.4" customHeight="1" x14ac:dyDescent="0.3">
      <c r="B999" s="114" t="s">
        <v>821</v>
      </c>
      <c r="C999" s="190"/>
      <c r="D999" s="360" t="s">
        <v>827</v>
      </c>
      <c r="E999" s="361">
        <v>62</v>
      </c>
      <c r="F999" s="363">
        <v>26</v>
      </c>
      <c r="G999" s="118"/>
      <c r="H999" s="119"/>
      <c r="I999" s="118"/>
      <c r="J999" s="119"/>
      <c r="K999" s="330"/>
      <c r="L999" s="401"/>
      <c r="M999" s="118"/>
      <c r="N999" s="119"/>
      <c r="O999" s="118"/>
    </row>
    <row r="1000" spans="2:16" s="306" customFormat="1" ht="14.4" customHeight="1" x14ac:dyDescent="0.3">
      <c r="B1000" s="114" t="s">
        <v>822</v>
      </c>
      <c r="C1000" s="190"/>
      <c r="D1000" s="360" t="s">
        <v>827</v>
      </c>
      <c r="E1000" s="364">
        <v>48</v>
      </c>
      <c r="F1000" s="363">
        <v>27</v>
      </c>
      <c r="G1000" s="118"/>
      <c r="H1000" s="119"/>
      <c r="I1000" s="118"/>
      <c r="J1000" s="119"/>
      <c r="K1000" s="330"/>
      <c r="L1000" s="401"/>
      <c r="M1000" s="118"/>
      <c r="N1000" s="119"/>
      <c r="O1000" s="118"/>
    </row>
    <row r="1001" spans="2:16" s="306" customFormat="1" ht="14.4" customHeight="1" x14ac:dyDescent="0.3">
      <c r="B1001" s="114" t="s">
        <v>823</v>
      </c>
      <c r="C1001" s="190"/>
      <c r="D1001" s="360" t="s">
        <v>827</v>
      </c>
      <c r="E1001" s="364">
        <v>50</v>
      </c>
      <c r="F1001" s="363">
        <v>30</v>
      </c>
      <c r="G1001" s="118"/>
      <c r="H1001" s="119"/>
      <c r="I1001" s="118"/>
      <c r="J1001" s="119"/>
      <c r="K1001" s="330"/>
      <c r="L1001" s="401"/>
      <c r="M1001" s="118"/>
      <c r="N1001" s="119"/>
      <c r="O1001" s="118"/>
    </row>
    <row r="1002" spans="2:16" s="306" customFormat="1" ht="14.4" customHeight="1" x14ac:dyDescent="0.3">
      <c r="B1002" s="114" t="s">
        <v>828</v>
      </c>
      <c r="C1002" s="190"/>
      <c r="D1002" s="360" t="s">
        <v>829</v>
      </c>
      <c r="E1002" s="365">
        <v>168</v>
      </c>
      <c r="F1002" s="363">
        <v>0</v>
      </c>
      <c r="G1002" s="118"/>
      <c r="H1002" s="119"/>
      <c r="I1002" s="118"/>
      <c r="J1002" s="119"/>
      <c r="K1002" s="118"/>
      <c r="L1002" s="119"/>
      <c r="M1002" s="118"/>
      <c r="N1002" s="119"/>
      <c r="O1002" s="118"/>
    </row>
    <row r="1003" spans="2:16" s="306" customFormat="1" ht="15" customHeight="1" thickBot="1" x14ac:dyDescent="0.35">
      <c r="B1003" s="114" t="s">
        <v>830</v>
      </c>
      <c r="C1003" s="330"/>
      <c r="D1003" s="360" t="s">
        <v>829</v>
      </c>
      <c r="E1003" s="366">
        <v>153</v>
      </c>
      <c r="F1003" s="366">
        <v>0</v>
      </c>
      <c r="G1003" s="118"/>
      <c r="H1003" s="119"/>
      <c r="I1003" s="118"/>
      <c r="J1003" s="119"/>
      <c r="K1003" s="330"/>
      <c r="L1003" s="401"/>
      <c r="M1003" s="118"/>
      <c r="N1003" s="119"/>
      <c r="O1003" s="118"/>
    </row>
  </sheetData>
  <mergeCells count="6">
    <mergeCell ref="C942:E944"/>
    <mergeCell ref="J14:P14"/>
    <mergeCell ref="C935:E937"/>
    <mergeCell ref="B9:G9"/>
    <mergeCell ref="A6:F6"/>
    <mergeCell ref="D14:E14"/>
  </mergeCells>
  <printOptions gridLines="1"/>
  <pageMargins left="0.46" right="0.42" top="0.37" bottom="0.4" header="0.39" footer="0.38"/>
  <pageSetup paperSize="8" scale="80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R924"/>
  <sheetViews>
    <sheetView tabSelected="1" topLeftCell="A122" zoomScale="115" zoomScaleNormal="115" workbookViewId="0">
      <selection activeCell="F134" sqref="F134"/>
    </sheetView>
  </sheetViews>
  <sheetFormatPr defaultColWidth="9.21875" defaultRowHeight="10.199999999999999" x14ac:dyDescent="0.2"/>
  <cols>
    <col min="1" max="1" width="8.21875" style="38" customWidth="1"/>
    <col min="2" max="2" width="72.21875" style="38" customWidth="1"/>
    <col min="3" max="3" width="23.5546875" style="40" customWidth="1"/>
    <col min="4" max="4" width="10.44140625" style="40" customWidth="1"/>
    <col min="5" max="5" width="17.21875" style="41" customWidth="1"/>
    <col min="6" max="6" width="14.21875" style="41" customWidth="1"/>
    <col min="7" max="237" width="9.21875" style="38" customWidth="1"/>
    <col min="238" max="238" width="8.21875" style="38" customWidth="1"/>
    <col min="239" max="239" width="70.44140625" style="38" bestFit="1" customWidth="1"/>
    <col min="240" max="240" width="11.44140625" style="38" customWidth="1"/>
    <col min="241" max="241" width="10.44140625" style="38" customWidth="1"/>
    <col min="242" max="242" width="13.21875" style="38" customWidth="1"/>
    <col min="243" max="243" width="14.21875" style="38" customWidth="1"/>
    <col min="244" max="244" width="12.21875" style="38" customWidth="1"/>
    <col min="245" max="493" width="9.21875" style="38" customWidth="1"/>
    <col min="494" max="494" width="8.21875" style="38" customWidth="1"/>
    <col min="495" max="495" width="70.44140625" style="38" bestFit="1" customWidth="1"/>
    <col min="496" max="496" width="11.44140625" style="38" customWidth="1"/>
    <col min="497" max="497" width="10.44140625" style="38" customWidth="1"/>
    <col min="498" max="498" width="13.21875" style="38" customWidth="1"/>
    <col min="499" max="499" width="14.21875" style="38" customWidth="1"/>
    <col min="500" max="500" width="12.21875" style="38" customWidth="1"/>
    <col min="501" max="749" width="9.21875" style="38" customWidth="1"/>
    <col min="750" max="750" width="8.21875" style="38" customWidth="1"/>
    <col min="751" max="751" width="70.44140625" style="38" bestFit="1" customWidth="1"/>
    <col min="752" max="752" width="11.44140625" style="38" customWidth="1"/>
    <col min="753" max="753" width="10.44140625" style="38" customWidth="1"/>
    <col min="754" max="754" width="13.21875" style="38" customWidth="1"/>
    <col min="755" max="755" width="14.21875" style="38" customWidth="1"/>
    <col min="756" max="756" width="12.21875" style="38" customWidth="1"/>
    <col min="757" max="1005" width="9.21875" style="38" customWidth="1"/>
    <col min="1006" max="1006" width="8.21875" style="38" customWidth="1"/>
    <col min="1007" max="1007" width="70.44140625" style="38" bestFit="1" customWidth="1"/>
    <col min="1008" max="1008" width="11.44140625" style="38" customWidth="1"/>
    <col min="1009" max="1009" width="10.44140625" style="38" customWidth="1"/>
    <col min="1010" max="1010" width="13.21875" style="38" customWidth="1"/>
    <col min="1011" max="1011" width="14.21875" style="38" customWidth="1"/>
    <col min="1012" max="1012" width="12.21875" style="38" customWidth="1"/>
    <col min="1013" max="1261" width="9.21875" style="38" customWidth="1"/>
    <col min="1262" max="1262" width="8.21875" style="38" customWidth="1"/>
    <col min="1263" max="1263" width="70.44140625" style="38" bestFit="1" customWidth="1"/>
    <col min="1264" max="1264" width="11.44140625" style="38" customWidth="1"/>
    <col min="1265" max="1265" width="10.44140625" style="38" customWidth="1"/>
    <col min="1266" max="1266" width="13.21875" style="38" customWidth="1"/>
    <col min="1267" max="1267" width="14.21875" style="38" customWidth="1"/>
    <col min="1268" max="1268" width="12.21875" style="38" customWidth="1"/>
    <col min="1269" max="1517" width="9.21875" style="38" customWidth="1"/>
    <col min="1518" max="1518" width="8.21875" style="38" customWidth="1"/>
    <col min="1519" max="1519" width="70.44140625" style="38" bestFit="1" customWidth="1"/>
    <col min="1520" max="1520" width="11.44140625" style="38" customWidth="1"/>
    <col min="1521" max="1521" width="10.44140625" style="38" customWidth="1"/>
    <col min="1522" max="1522" width="13.21875" style="38" customWidth="1"/>
    <col min="1523" max="1523" width="14.21875" style="38" customWidth="1"/>
    <col min="1524" max="1524" width="12.21875" style="38" customWidth="1"/>
    <col min="1525" max="1773" width="9.21875" style="38" customWidth="1"/>
    <col min="1774" max="1774" width="8.21875" style="38" customWidth="1"/>
    <col min="1775" max="1775" width="70.44140625" style="38" bestFit="1" customWidth="1"/>
    <col min="1776" max="1776" width="11.44140625" style="38" customWidth="1"/>
    <col min="1777" max="1777" width="10.44140625" style="38" customWidth="1"/>
    <col min="1778" max="1778" width="13.21875" style="38" customWidth="1"/>
    <col min="1779" max="1779" width="14.21875" style="38" customWidth="1"/>
    <col min="1780" max="1780" width="12.21875" style="38" customWidth="1"/>
    <col min="1781" max="2029" width="9.21875" style="38" customWidth="1"/>
    <col min="2030" max="2030" width="8.21875" style="38" customWidth="1"/>
    <col min="2031" max="2031" width="70.44140625" style="38" bestFit="1" customWidth="1"/>
    <col min="2032" max="2032" width="11.44140625" style="38" customWidth="1"/>
    <col min="2033" max="2033" width="10.44140625" style="38" customWidth="1"/>
    <col min="2034" max="2034" width="13.21875" style="38" customWidth="1"/>
    <col min="2035" max="2035" width="14.21875" style="38" customWidth="1"/>
    <col min="2036" max="2036" width="12.21875" style="38" customWidth="1"/>
    <col min="2037" max="2285" width="9.21875" style="38" customWidth="1"/>
    <col min="2286" max="2286" width="8.21875" style="38" customWidth="1"/>
    <col min="2287" max="2287" width="70.44140625" style="38" bestFit="1" customWidth="1"/>
    <col min="2288" max="2288" width="11.44140625" style="38" customWidth="1"/>
    <col min="2289" max="2289" width="10.44140625" style="38" customWidth="1"/>
    <col min="2290" max="2290" width="13.21875" style="38" customWidth="1"/>
    <col min="2291" max="2291" width="14.21875" style="38" customWidth="1"/>
    <col min="2292" max="2292" width="12.21875" style="38" customWidth="1"/>
    <col min="2293" max="2541" width="9.21875" style="38" customWidth="1"/>
    <col min="2542" max="2542" width="8.21875" style="38" customWidth="1"/>
    <col min="2543" max="2543" width="70.44140625" style="38" bestFit="1" customWidth="1"/>
    <col min="2544" max="2544" width="11.44140625" style="38" customWidth="1"/>
    <col min="2545" max="2545" width="10.44140625" style="38" customWidth="1"/>
    <col min="2546" max="2546" width="13.21875" style="38" customWidth="1"/>
    <col min="2547" max="2547" width="14.21875" style="38" customWidth="1"/>
    <col min="2548" max="2548" width="12.21875" style="38" customWidth="1"/>
    <col min="2549" max="2797" width="9.21875" style="38" customWidth="1"/>
    <col min="2798" max="2798" width="8.21875" style="38" customWidth="1"/>
    <col min="2799" max="2799" width="70.44140625" style="38" bestFit="1" customWidth="1"/>
    <col min="2800" max="2800" width="11.44140625" style="38" customWidth="1"/>
    <col min="2801" max="2801" width="10.44140625" style="38" customWidth="1"/>
    <col min="2802" max="2802" width="13.21875" style="38" customWidth="1"/>
    <col min="2803" max="2803" width="14.21875" style="38" customWidth="1"/>
    <col min="2804" max="2804" width="12.21875" style="38" customWidth="1"/>
    <col min="2805" max="3053" width="9.21875" style="38" customWidth="1"/>
    <col min="3054" max="3054" width="8.21875" style="38" customWidth="1"/>
    <col min="3055" max="3055" width="70.44140625" style="38" bestFit="1" customWidth="1"/>
    <col min="3056" max="3056" width="11.44140625" style="38" customWidth="1"/>
    <col min="3057" max="3057" width="10.44140625" style="38" customWidth="1"/>
    <col min="3058" max="3058" width="13.21875" style="38" customWidth="1"/>
    <col min="3059" max="3059" width="14.21875" style="38" customWidth="1"/>
    <col min="3060" max="3060" width="12.21875" style="38" customWidth="1"/>
    <col min="3061" max="3309" width="9.21875" style="38" customWidth="1"/>
    <col min="3310" max="3310" width="8.21875" style="38" customWidth="1"/>
    <col min="3311" max="3311" width="70.44140625" style="38" bestFit="1" customWidth="1"/>
    <col min="3312" max="3312" width="11.44140625" style="38" customWidth="1"/>
    <col min="3313" max="3313" width="10.44140625" style="38" customWidth="1"/>
    <col min="3314" max="3314" width="13.21875" style="38" customWidth="1"/>
    <col min="3315" max="3315" width="14.21875" style="38" customWidth="1"/>
    <col min="3316" max="3316" width="12.21875" style="38" customWidth="1"/>
    <col min="3317" max="3565" width="9.21875" style="38" customWidth="1"/>
    <col min="3566" max="3566" width="8.21875" style="38" customWidth="1"/>
    <col min="3567" max="3567" width="70.44140625" style="38" bestFit="1" customWidth="1"/>
    <col min="3568" max="3568" width="11.44140625" style="38" customWidth="1"/>
    <col min="3569" max="3569" width="10.44140625" style="38" customWidth="1"/>
    <col min="3570" max="3570" width="13.21875" style="38" customWidth="1"/>
    <col min="3571" max="3571" width="14.21875" style="38" customWidth="1"/>
    <col min="3572" max="3572" width="12.21875" style="38" customWidth="1"/>
    <col min="3573" max="3821" width="9.21875" style="38" customWidth="1"/>
    <col min="3822" max="3822" width="8.21875" style="38" customWidth="1"/>
    <col min="3823" max="3823" width="70.44140625" style="38" bestFit="1" customWidth="1"/>
    <col min="3824" max="3824" width="11.44140625" style="38" customWidth="1"/>
    <col min="3825" max="3825" width="10.44140625" style="38" customWidth="1"/>
    <col min="3826" max="3826" width="13.21875" style="38" customWidth="1"/>
    <col min="3827" max="3827" width="14.21875" style="38" customWidth="1"/>
    <col min="3828" max="3828" width="12.21875" style="38" customWidth="1"/>
    <col min="3829" max="4077" width="9.21875" style="38" customWidth="1"/>
    <col min="4078" max="4078" width="8.21875" style="38" customWidth="1"/>
    <col min="4079" max="4079" width="70.44140625" style="38" bestFit="1" customWidth="1"/>
    <col min="4080" max="4080" width="11.44140625" style="38" customWidth="1"/>
    <col min="4081" max="4081" width="10.44140625" style="38" customWidth="1"/>
    <col min="4082" max="4082" width="13.21875" style="38" customWidth="1"/>
    <col min="4083" max="4083" width="14.21875" style="38" customWidth="1"/>
    <col min="4084" max="4084" width="12.21875" style="38" customWidth="1"/>
    <col min="4085" max="4333" width="9.21875" style="38" customWidth="1"/>
    <col min="4334" max="4334" width="8.21875" style="38" customWidth="1"/>
    <col min="4335" max="4335" width="70.44140625" style="38" bestFit="1" customWidth="1"/>
    <col min="4336" max="4336" width="11.44140625" style="38" customWidth="1"/>
    <col min="4337" max="4337" width="10.44140625" style="38" customWidth="1"/>
    <col min="4338" max="4338" width="13.21875" style="38" customWidth="1"/>
    <col min="4339" max="4339" width="14.21875" style="38" customWidth="1"/>
    <col min="4340" max="4340" width="12.21875" style="38" customWidth="1"/>
    <col min="4341" max="4589" width="9.21875" style="38" customWidth="1"/>
    <col min="4590" max="4590" width="8.21875" style="38" customWidth="1"/>
    <col min="4591" max="4591" width="70.44140625" style="38" bestFit="1" customWidth="1"/>
    <col min="4592" max="4592" width="11.44140625" style="38" customWidth="1"/>
    <col min="4593" max="4593" width="10.44140625" style="38" customWidth="1"/>
    <col min="4594" max="4594" width="13.21875" style="38" customWidth="1"/>
    <col min="4595" max="4595" width="14.21875" style="38" customWidth="1"/>
    <col min="4596" max="4596" width="12.21875" style="38" customWidth="1"/>
    <col min="4597" max="4845" width="9.21875" style="38" customWidth="1"/>
    <col min="4846" max="4846" width="8.21875" style="38" customWidth="1"/>
    <col min="4847" max="4847" width="70.44140625" style="38" bestFit="1" customWidth="1"/>
    <col min="4848" max="4848" width="11.44140625" style="38" customWidth="1"/>
    <col min="4849" max="4849" width="10.44140625" style="38" customWidth="1"/>
    <col min="4850" max="4850" width="13.21875" style="38" customWidth="1"/>
    <col min="4851" max="4851" width="14.21875" style="38" customWidth="1"/>
    <col min="4852" max="4852" width="12.21875" style="38" customWidth="1"/>
    <col min="4853" max="5101" width="9.21875" style="38" customWidth="1"/>
    <col min="5102" max="5102" width="8.21875" style="38" customWidth="1"/>
    <col min="5103" max="5103" width="70.44140625" style="38" bestFit="1" customWidth="1"/>
    <col min="5104" max="5104" width="11.44140625" style="38" customWidth="1"/>
    <col min="5105" max="5105" width="10.44140625" style="38" customWidth="1"/>
    <col min="5106" max="5106" width="13.21875" style="38" customWidth="1"/>
    <col min="5107" max="5107" width="14.21875" style="38" customWidth="1"/>
    <col min="5108" max="5108" width="12.21875" style="38" customWidth="1"/>
    <col min="5109" max="5357" width="9.21875" style="38" customWidth="1"/>
    <col min="5358" max="5358" width="8.21875" style="38" customWidth="1"/>
    <col min="5359" max="5359" width="70.44140625" style="38" bestFit="1" customWidth="1"/>
    <col min="5360" max="5360" width="11.44140625" style="38" customWidth="1"/>
    <col min="5361" max="5361" width="10.44140625" style="38" customWidth="1"/>
    <col min="5362" max="5362" width="13.21875" style="38" customWidth="1"/>
    <col min="5363" max="5363" width="14.21875" style="38" customWidth="1"/>
    <col min="5364" max="5364" width="12.21875" style="38" customWidth="1"/>
    <col min="5365" max="5613" width="9.21875" style="38" customWidth="1"/>
    <col min="5614" max="5614" width="8.21875" style="38" customWidth="1"/>
    <col min="5615" max="5615" width="70.44140625" style="38" bestFit="1" customWidth="1"/>
    <col min="5616" max="5616" width="11.44140625" style="38" customWidth="1"/>
    <col min="5617" max="5617" width="10.44140625" style="38" customWidth="1"/>
    <col min="5618" max="5618" width="13.21875" style="38" customWidth="1"/>
    <col min="5619" max="5619" width="14.21875" style="38" customWidth="1"/>
    <col min="5620" max="5620" width="12.21875" style="38" customWidth="1"/>
    <col min="5621" max="5869" width="9.21875" style="38" customWidth="1"/>
    <col min="5870" max="5870" width="8.21875" style="38" customWidth="1"/>
    <col min="5871" max="5871" width="70.44140625" style="38" bestFit="1" customWidth="1"/>
    <col min="5872" max="5872" width="11.44140625" style="38" customWidth="1"/>
    <col min="5873" max="5873" width="10.44140625" style="38" customWidth="1"/>
    <col min="5874" max="5874" width="13.21875" style="38" customWidth="1"/>
    <col min="5875" max="5875" width="14.21875" style="38" customWidth="1"/>
    <col min="5876" max="5876" width="12.21875" style="38" customWidth="1"/>
    <col min="5877" max="6125" width="9.21875" style="38" customWidth="1"/>
    <col min="6126" max="6126" width="8.21875" style="38" customWidth="1"/>
    <col min="6127" max="6127" width="70.44140625" style="38" bestFit="1" customWidth="1"/>
    <col min="6128" max="6128" width="11.44140625" style="38" customWidth="1"/>
    <col min="6129" max="6129" width="10.44140625" style="38" customWidth="1"/>
    <col min="6130" max="6130" width="13.21875" style="38" customWidth="1"/>
    <col min="6131" max="6131" width="14.21875" style="38" customWidth="1"/>
    <col min="6132" max="6132" width="12.21875" style="38" customWidth="1"/>
    <col min="6133" max="6381" width="9.21875" style="38" customWidth="1"/>
    <col min="6382" max="6382" width="8.21875" style="38" customWidth="1"/>
    <col min="6383" max="6383" width="70.44140625" style="38" bestFit="1" customWidth="1"/>
    <col min="6384" max="6384" width="11.44140625" style="38" customWidth="1"/>
    <col min="6385" max="6385" width="10.44140625" style="38" customWidth="1"/>
    <col min="6386" max="6386" width="13.21875" style="38" customWidth="1"/>
    <col min="6387" max="6387" width="14.21875" style="38" customWidth="1"/>
    <col min="6388" max="6388" width="12.21875" style="38" customWidth="1"/>
    <col min="6389" max="6637" width="9.21875" style="38" customWidth="1"/>
    <col min="6638" max="6638" width="8.21875" style="38" customWidth="1"/>
    <col min="6639" max="6639" width="70.44140625" style="38" bestFit="1" customWidth="1"/>
    <col min="6640" max="6640" width="11.44140625" style="38" customWidth="1"/>
    <col min="6641" max="6641" width="10.44140625" style="38" customWidth="1"/>
    <col min="6642" max="6642" width="13.21875" style="38" customWidth="1"/>
    <col min="6643" max="6643" width="14.21875" style="38" customWidth="1"/>
    <col min="6644" max="6644" width="12.21875" style="38" customWidth="1"/>
    <col min="6645" max="6893" width="9.21875" style="38" customWidth="1"/>
    <col min="6894" max="6894" width="8.21875" style="38" customWidth="1"/>
    <col min="6895" max="6895" width="70.44140625" style="38" bestFit="1" customWidth="1"/>
    <col min="6896" max="6896" width="11.44140625" style="38" customWidth="1"/>
    <col min="6897" max="6897" width="10.44140625" style="38" customWidth="1"/>
    <col min="6898" max="6898" width="13.21875" style="38" customWidth="1"/>
    <col min="6899" max="6899" width="14.21875" style="38" customWidth="1"/>
    <col min="6900" max="6900" width="12.21875" style="38" customWidth="1"/>
    <col min="6901" max="7149" width="9.21875" style="38" customWidth="1"/>
    <col min="7150" max="7150" width="8.21875" style="38" customWidth="1"/>
    <col min="7151" max="7151" width="70.44140625" style="38" bestFit="1" customWidth="1"/>
    <col min="7152" max="7152" width="11.44140625" style="38" customWidth="1"/>
    <col min="7153" max="7153" width="10.44140625" style="38" customWidth="1"/>
    <col min="7154" max="7154" width="13.21875" style="38" customWidth="1"/>
    <col min="7155" max="7155" width="14.21875" style="38" customWidth="1"/>
    <col min="7156" max="7156" width="12.21875" style="38" customWidth="1"/>
    <col min="7157" max="7405" width="9.21875" style="38" customWidth="1"/>
    <col min="7406" max="7406" width="8.21875" style="38" customWidth="1"/>
    <col min="7407" max="7407" width="70.44140625" style="38" bestFit="1" customWidth="1"/>
    <col min="7408" max="7408" width="11.44140625" style="38" customWidth="1"/>
    <col min="7409" max="7409" width="10.44140625" style="38" customWidth="1"/>
    <col min="7410" max="7410" width="13.21875" style="38" customWidth="1"/>
    <col min="7411" max="7411" width="14.21875" style="38" customWidth="1"/>
    <col min="7412" max="7412" width="12.21875" style="38" customWidth="1"/>
    <col min="7413" max="7661" width="9.21875" style="38" customWidth="1"/>
    <col min="7662" max="7662" width="8.21875" style="38" customWidth="1"/>
    <col min="7663" max="7663" width="70.44140625" style="38" bestFit="1" customWidth="1"/>
    <col min="7664" max="7664" width="11.44140625" style="38" customWidth="1"/>
    <col min="7665" max="7665" width="10.44140625" style="38" customWidth="1"/>
    <col min="7666" max="7666" width="13.21875" style="38" customWidth="1"/>
    <col min="7667" max="7667" width="14.21875" style="38" customWidth="1"/>
    <col min="7668" max="7668" width="12.21875" style="38" customWidth="1"/>
    <col min="7669" max="7917" width="9.21875" style="38" customWidth="1"/>
    <col min="7918" max="7918" width="8.21875" style="38" customWidth="1"/>
    <col min="7919" max="7919" width="70.44140625" style="38" bestFit="1" customWidth="1"/>
    <col min="7920" max="7920" width="11.44140625" style="38" customWidth="1"/>
    <col min="7921" max="7921" width="10.44140625" style="38" customWidth="1"/>
    <col min="7922" max="7922" width="13.21875" style="38" customWidth="1"/>
    <col min="7923" max="7923" width="14.21875" style="38" customWidth="1"/>
    <col min="7924" max="7924" width="12.21875" style="38" customWidth="1"/>
    <col min="7925" max="8173" width="9.21875" style="38" customWidth="1"/>
    <col min="8174" max="8174" width="8.21875" style="38" customWidth="1"/>
    <col min="8175" max="8175" width="70.44140625" style="38" bestFit="1" customWidth="1"/>
    <col min="8176" max="8176" width="11.44140625" style="38" customWidth="1"/>
    <col min="8177" max="8177" width="10.44140625" style="38" customWidth="1"/>
    <col min="8178" max="8178" width="13.21875" style="38" customWidth="1"/>
    <col min="8179" max="8179" width="14.21875" style="38" customWidth="1"/>
    <col min="8180" max="8180" width="12.21875" style="38" customWidth="1"/>
    <col min="8181" max="8429" width="9.21875" style="38" customWidth="1"/>
    <col min="8430" max="8430" width="8.21875" style="38" customWidth="1"/>
    <col min="8431" max="8431" width="70.44140625" style="38" bestFit="1" customWidth="1"/>
    <col min="8432" max="8432" width="11.44140625" style="38" customWidth="1"/>
    <col min="8433" max="8433" width="10.44140625" style="38" customWidth="1"/>
    <col min="8434" max="8434" width="13.21875" style="38" customWidth="1"/>
    <col min="8435" max="8435" width="14.21875" style="38" customWidth="1"/>
    <col min="8436" max="8436" width="12.21875" style="38" customWidth="1"/>
    <col min="8437" max="8685" width="9.21875" style="38" customWidth="1"/>
    <col min="8686" max="8686" width="8.21875" style="38" customWidth="1"/>
    <col min="8687" max="8687" width="70.44140625" style="38" bestFit="1" customWidth="1"/>
    <col min="8688" max="8688" width="11.44140625" style="38" customWidth="1"/>
    <col min="8689" max="8689" width="10.44140625" style="38" customWidth="1"/>
    <col min="8690" max="8690" width="13.21875" style="38" customWidth="1"/>
    <col min="8691" max="8691" width="14.21875" style="38" customWidth="1"/>
    <col min="8692" max="8692" width="12.21875" style="38" customWidth="1"/>
    <col min="8693" max="8941" width="9.21875" style="38" customWidth="1"/>
    <col min="8942" max="8942" width="8.21875" style="38" customWidth="1"/>
    <col min="8943" max="8943" width="70.44140625" style="38" bestFit="1" customWidth="1"/>
    <col min="8944" max="8944" width="11.44140625" style="38" customWidth="1"/>
    <col min="8945" max="8945" width="10.44140625" style="38" customWidth="1"/>
    <col min="8946" max="8946" width="13.21875" style="38" customWidth="1"/>
    <col min="8947" max="8947" width="14.21875" style="38" customWidth="1"/>
    <col min="8948" max="8948" width="12.21875" style="38" customWidth="1"/>
    <col min="8949" max="9197" width="9.21875" style="38" customWidth="1"/>
    <col min="9198" max="9198" width="8.21875" style="38" customWidth="1"/>
    <col min="9199" max="9199" width="70.44140625" style="38" bestFit="1" customWidth="1"/>
    <col min="9200" max="9200" width="11.44140625" style="38" customWidth="1"/>
    <col min="9201" max="9201" width="10.44140625" style="38" customWidth="1"/>
    <col min="9202" max="9202" width="13.21875" style="38" customWidth="1"/>
    <col min="9203" max="9203" width="14.21875" style="38" customWidth="1"/>
    <col min="9204" max="9204" width="12.21875" style="38" customWidth="1"/>
    <col min="9205" max="9453" width="9.21875" style="38" customWidth="1"/>
    <col min="9454" max="9454" width="8.21875" style="38" customWidth="1"/>
    <col min="9455" max="9455" width="70.44140625" style="38" bestFit="1" customWidth="1"/>
    <col min="9456" max="9456" width="11.44140625" style="38" customWidth="1"/>
    <col min="9457" max="9457" width="10.44140625" style="38" customWidth="1"/>
    <col min="9458" max="9458" width="13.21875" style="38" customWidth="1"/>
    <col min="9459" max="9459" width="14.21875" style="38" customWidth="1"/>
    <col min="9460" max="9460" width="12.21875" style="38" customWidth="1"/>
    <col min="9461" max="9709" width="9.21875" style="38" customWidth="1"/>
    <col min="9710" max="9710" width="8.21875" style="38" customWidth="1"/>
    <col min="9711" max="9711" width="70.44140625" style="38" bestFit="1" customWidth="1"/>
    <col min="9712" max="9712" width="11.44140625" style="38" customWidth="1"/>
    <col min="9713" max="9713" width="10.44140625" style="38" customWidth="1"/>
    <col min="9714" max="9714" width="13.21875" style="38" customWidth="1"/>
    <col min="9715" max="9715" width="14.21875" style="38" customWidth="1"/>
    <col min="9716" max="9716" width="12.21875" style="38" customWidth="1"/>
    <col min="9717" max="9965" width="9.21875" style="38" customWidth="1"/>
    <col min="9966" max="9966" width="8.21875" style="38" customWidth="1"/>
    <col min="9967" max="9967" width="70.44140625" style="38" bestFit="1" customWidth="1"/>
    <col min="9968" max="9968" width="11.44140625" style="38" customWidth="1"/>
    <col min="9969" max="9969" width="10.44140625" style="38" customWidth="1"/>
    <col min="9970" max="9970" width="13.21875" style="38" customWidth="1"/>
    <col min="9971" max="9971" width="14.21875" style="38" customWidth="1"/>
    <col min="9972" max="9972" width="12.21875" style="38" customWidth="1"/>
    <col min="9973" max="10221" width="9.21875" style="38" customWidth="1"/>
    <col min="10222" max="10222" width="8.21875" style="38" customWidth="1"/>
    <col min="10223" max="10223" width="70.44140625" style="38" bestFit="1" customWidth="1"/>
    <col min="10224" max="10224" width="11.44140625" style="38" customWidth="1"/>
    <col min="10225" max="10225" width="10.44140625" style="38" customWidth="1"/>
    <col min="10226" max="10226" width="13.21875" style="38" customWidth="1"/>
    <col min="10227" max="10227" width="14.21875" style="38" customWidth="1"/>
    <col min="10228" max="10228" width="12.21875" style="38" customWidth="1"/>
    <col min="10229" max="10477" width="9.21875" style="38" customWidth="1"/>
    <col min="10478" max="10478" width="8.21875" style="38" customWidth="1"/>
    <col min="10479" max="10479" width="70.44140625" style="38" bestFit="1" customWidth="1"/>
    <col min="10480" max="10480" width="11.44140625" style="38" customWidth="1"/>
    <col min="10481" max="10481" width="10.44140625" style="38" customWidth="1"/>
    <col min="10482" max="10482" width="13.21875" style="38" customWidth="1"/>
    <col min="10483" max="10483" width="14.21875" style="38" customWidth="1"/>
    <col min="10484" max="10484" width="12.21875" style="38" customWidth="1"/>
    <col min="10485" max="10733" width="9.21875" style="38" customWidth="1"/>
    <col min="10734" max="10734" width="8.21875" style="38" customWidth="1"/>
    <col min="10735" max="10735" width="70.44140625" style="38" bestFit="1" customWidth="1"/>
    <col min="10736" max="10736" width="11.44140625" style="38" customWidth="1"/>
    <col min="10737" max="10737" width="10.44140625" style="38" customWidth="1"/>
    <col min="10738" max="10738" width="13.21875" style="38" customWidth="1"/>
    <col min="10739" max="10739" width="14.21875" style="38" customWidth="1"/>
    <col min="10740" max="10740" width="12.21875" style="38" customWidth="1"/>
    <col min="10741" max="10989" width="9.21875" style="38" customWidth="1"/>
    <col min="10990" max="10990" width="8.21875" style="38" customWidth="1"/>
    <col min="10991" max="10991" width="70.44140625" style="38" bestFit="1" customWidth="1"/>
    <col min="10992" max="10992" width="11.44140625" style="38" customWidth="1"/>
    <col min="10993" max="10993" width="10.44140625" style="38" customWidth="1"/>
    <col min="10994" max="10994" width="13.21875" style="38" customWidth="1"/>
    <col min="10995" max="10995" width="14.21875" style="38" customWidth="1"/>
    <col min="10996" max="10996" width="12.21875" style="38" customWidth="1"/>
    <col min="10997" max="11245" width="9.21875" style="38" customWidth="1"/>
    <col min="11246" max="11246" width="8.21875" style="38" customWidth="1"/>
    <col min="11247" max="11247" width="70.44140625" style="38" bestFit="1" customWidth="1"/>
    <col min="11248" max="11248" width="11.44140625" style="38" customWidth="1"/>
    <col min="11249" max="11249" width="10.44140625" style="38" customWidth="1"/>
    <col min="11250" max="11250" width="13.21875" style="38" customWidth="1"/>
    <col min="11251" max="11251" width="14.21875" style="38" customWidth="1"/>
    <col min="11252" max="11252" width="12.21875" style="38" customWidth="1"/>
    <col min="11253" max="11501" width="9.21875" style="38" customWidth="1"/>
    <col min="11502" max="11502" width="8.21875" style="38" customWidth="1"/>
    <col min="11503" max="11503" width="70.44140625" style="38" bestFit="1" customWidth="1"/>
    <col min="11504" max="11504" width="11.44140625" style="38" customWidth="1"/>
    <col min="11505" max="11505" width="10.44140625" style="38" customWidth="1"/>
    <col min="11506" max="11506" width="13.21875" style="38" customWidth="1"/>
    <col min="11507" max="11507" width="14.21875" style="38" customWidth="1"/>
    <col min="11508" max="11508" width="12.21875" style="38" customWidth="1"/>
    <col min="11509" max="11757" width="9.21875" style="38" customWidth="1"/>
    <col min="11758" max="11758" width="8.21875" style="38" customWidth="1"/>
    <col min="11759" max="11759" width="70.44140625" style="38" bestFit="1" customWidth="1"/>
    <col min="11760" max="11760" width="11.44140625" style="38" customWidth="1"/>
    <col min="11761" max="11761" width="10.44140625" style="38" customWidth="1"/>
    <col min="11762" max="11762" width="13.21875" style="38" customWidth="1"/>
    <col min="11763" max="11763" width="14.21875" style="38" customWidth="1"/>
    <col min="11764" max="11764" width="12.21875" style="38" customWidth="1"/>
    <col min="11765" max="12013" width="9.21875" style="38" customWidth="1"/>
    <col min="12014" max="12014" width="8.21875" style="38" customWidth="1"/>
    <col min="12015" max="12015" width="70.44140625" style="38" bestFit="1" customWidth="1"/>
    <col min="12016" max="12016" width="11.44140625" style="38" customWidth="1"/>
    <col min="12017" max="12017" width="10.44140625" style="38" customWidth="1"/>
    <col min="12018" max="12018" width="13.21875" style="38" customWidth="1"/>
    <col min="12019" max="12019" width="14.21875" style="38" customWidth="1"/>
    <col min="12020" max="12020" width="12.21875" style="38" customWidth="1"/>
    <col min="12021" max="12269" width="9.21875" style="38" customWidth="1"/>
    <col min="12270" max="12270" width="8.21875" style="38" customWidth="1"/>
    <col min="12271" max="12271" width="70.44140625" style="38" bestFit="1" customWidth="1"/>
    <col min="12272" max="12272" width="11.44140625" style="38" customWidth="1"/>
    <col min="12273" max="12273" width="10.44140625" style="38" customWidth="1"/>
    <col min="12274" max="12274" width="13.21875" style="38" customWidth="1"/>
    <col min="12275" max="12275" width="14.21875" style="38" customWidth="1"/>
    <col min="12276" max="12276" width="12.21875" style="38" customWidth="1"/>
    <col min="12277" max="12525" width="9.21875" style="38" customWidth="1"/>
    <col min="12526" max="12526" width="8.21875" style="38" customWidth="1"/>
    <col min="12527" max="12527" width="70.44140625" style="38" bestFit="1" customWidth="1"/>
    <col min="12528" max="12528" width="11.44140625" style="38" customWidth="1"/>
    <col min="12529" max="12529" width="10.44140625" style="38" customWidth="1"/>
    <col min="12530" max="12530" width="13.21875" style="38" customWidth="1"/>
    <col min="12531" max="12531" width="14.21875" style="38" customWidth="1"/>
    <col min="12532" max="12532" width="12.21875" style="38" customWidth="1"/>
    <col min="12533" max="12781" width="9.21875" style="38" customWidth="1"/>
    <col min="12782" max="12782" width="8.21875" style="38" customWidth="1"/>
    <col min="12783" max="12783" width="70.44140625" style="38" bestFit="1" customWidth="1"/>
    <col min="12784" max="12784" width="11.44140625" style="38" customWidth="1"/>
    <col min="12785" max="12785" width="10.44140625" style="38" customWidth="1"/>
    <col min="12786" max="12786" width="13.21875" style="38" customWidth="1"/>
    <col min="12787" max="12787" width="14.21875" style="38" customWidth="1"/>
    <col min="12788" max="12788" width="12.21875" style="38" customWidth="1"/>
    <col min="12789" max="13037" width="9.21875" style="38" customWidth="1"/>
    <col min="13038" max="13038" width="8.21875" style="38" customWidth="1"/>
    <col min="13039" max="13039" width="70.44140625" style="38" bestFit="1" customWidth="1"/>
    <col min="13040" max="13040" width="11.44140625" style="38" customWidth="1"/>
    <col min="13041" max="13041" width="10.44140625" style="38" customWidth="1"/>
    <col min="13042" max="13042" width="13.21875" style="38" customWidth="1"/>
    <col min="13043" max="13043" width="14.21875" style="38" customWidth="1"/>
    <col min="13044" max="13044" width="12.21875" style="38" customWidth="1"/>
    <col min="13045" max="13293" width="9.21875" style="38" customWidth="1"/>
    <col min="13294" max="13294" width="8.21875" style="38" customWidth="1"/>
    <col min="13295" max="13295" width="70.44140625" style="38" bestFit="1" customWidth="1"/>
    <col min="13296" max="13296" width="11.44140625" style="38" customWidth="1"/>
    <col min="13297" max="13297" width="10.44140625" style="38" customWidth="1"/>
    <col min="13298" max="13298" width="13.21875" style="38" customWidth="1"/>
    <col min="13299" max="13299" width="14.21875" style="38" customWidth="1"/>
    <col min="13300" max="13300" width="12.21875" style="38" customWidth="1"/>
    <col min="13301" max="13549" width="9.21875" style="38" customWidth="1"/>
    <col min="13550" max="13550" width="8.21875" style="38" customWidth="1"/>
    <col min="13551" max="13551" width="70.44140625" style="38" bestFit="1" customWidth="1"/>
    <col min="13552" max="13552" width="11.44140625" style="38" customWidth="1"/>
    <col min="13553" max="13553" width="10.44140625" style="38" customWidth="1"/>
    <col min="13554" max="13554" width="13.21875" style="38" customWidth="1"/>
    <col min="13555" max="13555" width="14.21875" style="38" customWidth="1"/>
    <col min="13556" max="13556" width="12.21875" style="38" customWidth="1"/>
    <col min="13557" max="13805" width="9.21875" style="38" customWidth="1"/>
    <col min="13806" max="13806" width="8.21875" style="38" customWidth="1"/>
    <col min="13807" max="13807" width="70.44140625" style="38" bestFit="1" customWidth="1"/>
    <col min="13808" max="13808" width="11.44140625" style="38" customWidth="1"/>
    <col min="13809" max="13809" width="10.44140625" style="38" customWidth="1"/>
    <col min="13810" max="13810" width="13.21875" style="38" customWidth="1"/>
    <col min="13811" max="13811" width="14.21875" style="38" customWidth="1"/>
    <col min="13812" max="13812" width="12.21875" style="38" customWidth="1"/>
    <col min="13813" max="14061" width="9.21875" style="38" customWidth="1"/>
    <col min="14062" max="14062" width="8.21875" style="38" customWidth="1"/>
    <col min="14063" max="14063" width="70.44140625" style="38" bestFit="1" customWidth="1"/>
    <col min="14064" max="14064" width="11.44140625" style="38" customWidth="1"/>
    <col min="14065" max="14065" width="10.44140625" style="38" customWidth="1"/>
    <col min="14066" max="14066" width="13.21875" style="38" customWidth="1"/>
    <col min="14067" max="14067" width="14.21875" style="38" customWidth="1"/>
    <col min="14068" max="14068" width="12.21875" style="38" customWidth="1"/>
    <col min="14069" max="14317" width="9.21875" style="38" customWidth="1"/>
    <col min="14318" max="14318" width="8.21875" style="38" customWidth="1"/>
    <col min="14319" max="14319" width="70.44140625" style="38" bestFit="1" customWidth="1"/>
    <col min="14320" max="14320" width="11.44140625" style="38" customWidth="1"/>
    <col min="14321" max="14321" width="10.44140625" style="38" customWidth="1"/>
    <col min="14322" max="14322" width="13.21875" style="38" customWidth="1"/>
    <col min="14323" max="14323" width="14.21875" style="38" customWidth="1"/>
    <col min="14324" max="14324" width="12.21875" style="38" customWidth="1"/>
    <col min="14325" max="14573" width="9.21875" style="38" customWidth="1"/>
    <col min="14574" max="14574" width="8.21875" style="38" customWidth="1"/>
    <col min="14575" max="14575" width="70.44140625" style="38" bestFit="1" customWidth="1"/>
    <col min="14576" max="14576" width="11.44140625" style="38" customWidth="1"/>
    <col min="14577" max="14577" width="10.44140625" style="38" customWidth="1"/>
    <col min="14578" max="14578" width="13.21875" style="38" customWidth="1"/>
    <col min="14579" max="14579" width="14.21875" style="38" customWidth="1"/>
    <col min="14580" max="14580" width="12.21875" style="38" customWidth="1"/>
    <col min="14581" max="14829" width="9.21875" style="38" customWidth="1"/>
    <col min="14830" max="14830" width="8.21875" style="38" customWidth="1"/>
    <col min="14831" max="14831" width="70.44140625" style="38" bestFit="1" customWidth="1"/>
    <col min="14832" max="14832" width="11.44140625" style="38" customWidth="1"/>
    <col min="14833" max="14833" width="10.44140625" style="38" customWidth="1"/>
    <col min="14834" max="14834" width="13.21875" style="38" customWidth="1"/>
    <col min="14835" max="14835" width="14.21875" style="38" customWidth="1"/>
    <col min="14836" max="14836" width="12.21875" style="38" customWidth="1"/>
    <col min="14837" max="15085" width="9.21875" style="38" customWidth="1"/>
    <col min="15086" max="15086" width="8.21875" style="38" customWidth="1"/>
    <col min="15087" max="15087" width="70.44140625" style="38" bestFit="1" customWidth="1"/>
    <col min="15088" max="15088" width="11.44140625" style="38" customWidth="1"/>
    <col min="15089" max="15089" width="10.44140625" style="38" customWidth="1"/>
    <col min="15090" max="15090" width="13.21875" style="38" customWidth="1"/>
    <col min="15091" max="15091" width="14.21875" style="38" customWidth="1"/>
    <col min="15092" max="15092" width="12.21875" style="38" customWidth="1"/>
    <col min="15093" max="15341" width="9.21875" style="38" customWidth="1"/>
    <col min="15342" max="15342" width="8.21875" style="38" customWidth="1"/>
    <col min="15343" max="15343" width="70.44140625" style="38" bestFit="1" customWidth="1"/>
    <col min="15344" max="15344" width="11.44140625" style="38" customWidth="1"/>
    <col min="15345" max="15345" width="10.44140625" style="38" customWidth="1"/>
    <col min="15346" max="15346" width="13.21875" style="38" customWidth="1"/>
    <col min="15347" max="15347" width="14.21875" style="38" customWidth="1"/>
    <col min="15348" max="15348" width="12.21875" style="38" customWidth="1"/>
    <col min="15349" max="15597" width="9.21875" style="38" customWidth="1"/>
    <col min="15598" max="15598" width="8.21875" style="38" customWidth="1"/>
    <col min="15599" max="15599" width="70.44140625" style="38" bestFit="1" customWidth="1"/>
    <col min="15600" max="15600" width="11.44140625" style="38" customWidth="1"/>
    <col min="15601" max="15601" width="10.44140625" style="38" customWidth="1"/>
    <col min="15602" max="15602" width="13.21875" style="38" customWidth="1"/>
    <col min="15603" max="15603" width="14.21875" style="38" customWidth="1"/>
    <col min="15604" max="15604" width="12.21875" style="38" customWidth="1"/>
    <col min="15605" max="15853" width="9.21875" style="38" customWidth="1"/>
    <col min="15854" max="15854" width="8.21875" style="38" customWidth="1"/>
    <col min="15855" max="15855" width="70.44140625" style="38" bestFit="1" customWidth="1"/>
    <col min="15856" max="15856" width="11.44140625" style="38" customWidth="1"/>
    <col min="15857" max="15857" width="10.44140625" style="38" customWidth="1"/>
    <col min="15858" max="15858" width="13.21875" style="38" customWidth="1"/>
    <col min="15859" max="15859" width="14.21875" style="38" customWidth="1"/>
    <col min="15860" max="15860" width="12.21875" style="38" customWidth="1"/>
    <col min="15861" max="16109" width="9.21875" style="38" customWidth="1"/>
    <col min="16110" max="16110" width="8.21875" style="38" customWidth="1"/>
    <col min="16111" max="16111" width="70.44140625" style="38" bestFit="1" customWidth="1"/>
    <col min="16112" max="16112" width="11.44140625" style="38" customWidth="1"/>
    <col min="16113" max="16113" width="10.44140625" style="38" customWidth="1"/>
    <col min="16114" max="16114" width="13.21875" style="38" customWidth="1"/>
    <col min="16115" max="16115" width="14.21875" style="38" customWidth="1"/>
    <col min="16116" max="16116" width="12.21875" style="38" customWidth="1"/>
    <col min="16117" max="16384" width="9.21875" style="38" customWidth="1"/>
  </cols>
  <sheetData>
    <row r="1" spans="1:16" ht="10.5" customHeight="1" x14ac:dyDescent="0.2">
      <c r="B1" s="39" t="s">
        <v>0</v>
      </c>
    </row>
    <row r="2" spans="1:16" ht="10.5" customHeight="1" x14ac:dyDescent="0.2">
      <c r="B2" s="39" t="s">
        <v>1</v>
      </c>
    </row>
    <row r="3" spans="1:16" x14ac:dyDescent="0.2">
      <c r="B3" s="38" t="s">
        <v>2</v>
      </c>
    </row>
    <row r="4" spans="1:16" ht="13.8" customHeight="1" x14ac:dyDescent="0.25">
      <c r="A4" s="42" t="s">
        <v>3</v>
      </c>
      <c r="B4" s="43"/>
    </row>
    <row r="5" spans="1:16" ht="10.8" customHeight="1" thickBot="1" x14ac:dyDescent="0.25">
      <c r="A5" s="42"/>
      <c r="B5" s="126"/>
    </row>
    <row r="6" spans="1:16" ht="6" customHeight="1" x14ac:dyDescent="0.2">
      <c r="A6" s="491"/>
      <c r="B6" s="492"/>
      <c r="C6" s="486"/>
      <c r="D6" s="486"/>
      <c r="E6" s="488"/>
      <c r="F6" s="488"/>
    </row>
    <row r="7" spans="1:16" s="40" customFormat="1" ht="10.5" customHeight="1" x14ac:dyDescent="0.2">
      <c r="A7" s="38"/>
      <c r="B7" s="153"/>
      <c r="E7" s="41"/>
      <c r="F7" s="41"/>
    </row>
    <row r="8" spans="1:16" s="40" customFormat="1" ht="10.5" customHeight="1" x14ac:dyDescent="0.2">
      <c r="A8" s="42"/>
      <c r="B8" s="39"/>
      <c r="C8" s="42"/>
      <c r="D8" s="42"/>
      <c r="E8" s="41"/>
      <c r="F8" s="41"/>
    </row>
    <row r="9" spans="1:16" s="40" customFormat="1" ht="15.6" customHeight="1" x14ac:dyDescent="0.3">
      <c r="A9" s="255">
        <v>1</v>
      </c>
      <c r="B9" s="489" t="s">
        <v>4</v>
      </c>
      <c r="C9" s="486"/>
      <c r="D9" s="486"/>
      <c r="E9" s="486"/>
      <c r="F9" s="486"/>
      <c r="G9" s="486"/>
    </row>
    <row r="10" spans="1:16" s="40" customFormat="1" ht="10.5" customHeight="1" x14ac:dyDescent="0.2">
      <c r="A10" s="42"/>
      <c r="B10" s="39"/>
      <c r="C10" s="42"/>
      <c r="D10" s="42"/>
      <c r="E10" s="41"/>
      <c r="F10" s="41"/>
    </row>
    <row r="11" spans="1:16" s="40" customFormat="1" ht="10.8" customHeight="1" thickBot="1" x14ac:dyDescent="0.25">
      <c r="A11" s="42"/>
      <c r="B11" s="39"/>
      <c r="C11" s="42"/>
      <c r="D11" s="42"/>
      <c r="E11" s="41"/>
      <c r="F11" s="41"/>
    </row>
    <row r="12" spans="1:16" s="40" customFormat="1" ht="10.8" customHeight="1" thickBot="1" x14ac:dyDescent="0.25">
      <c r="A12" s="42"/>
      <c r="B12" s="47" t="s">
        <v>5</v>
      </c>
      <c r="C12" s="42"/>
      <c r="D12" s="42"/>
      <c r="E12" s="41"/>
      <c r="F12" s="41"/>
    </row>
    <row r="13" spans="1:16" s="40" customFormat="1" ht="5.25" customHeight="1" x14ac:dyDescent="0.25">
      <c r="A13" s="42"/>
      <c r="B13" s="39"/>
      <c r="C13" s="42"/>
      <c r="D13" s="42"/>
      <c r="E13" s="41"/>
      <c r="F13" s="41"/>
      <c r="G13" s="473" t="s">
        <v>6</v>
      </c>
      <c r="H13" s="473" t="s">
        <v>7</v>
      </c>
    </row>
    <row r="14" spans="1:16" s="40" customFormat="1" ht="12.75" customHeight="1" x14ac:dyDescent="0.2">
      <c r="A14" s="38"/>
      <c r="B14" s="185" t="s">
        <v>8</v>
      </c>
      <c r="C14" s="42"/>
      <c r="D14" s="490"/>
      <c r="E14" s="486"/>
      <c r="F14" s="41"/>
      <c r="J14" s="485" t="s">
        <v>9</v>
      </c>
      <c r="K14" s="486"/>
      <c r="L14" s="486"/>
      <c r="M14" s="486"/>
      <c r="N14" s="486"/>
      <c r="O14" s="486"/>
      <c r="P14" s="486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10</v>
      </c>
      <c r="D15" s="315"/>
      <c r="E15" s="41">
        <f>'LabourProject Rates_Master'!$E$15</f>
        <v>1329.6342857142856</v>
      </c>
      <c r="F15" s="41">
        <f t="shared" ref="F15:F23" si="0">E15*D15</f>
        <v>0</v>
      </c>
    </row>
    <row r="16" spans="1:16" s="40" customFormat="1" ht="11.55" customHeight="1" x14ac:dyDescent="0.2">
      <c r="A16" s="38"/>
      <c r="B16" s="38" t="str">
        <f>'LabourProject Rates_Master'!$B$23</f>
        <v>TRADESMAN_PLUMBER_OPERATOR</v>
      </c>
      <c r="C16" s="40" t="s">
        <v>10</v>
      </c>
      <c r="D16" s="315"/>
      <c r="E16" s="41">
        <f>'LabourProject Rates_Master'!$E$22</f>
        <v>1016.4579067669171</v>
      </c>
      <c r="F16" s="41">
        <f t="shared" si="0"/>
        <v>0</v>
      </c>
      <c r="K16" s="143" t="s">
        <v>11</v>
      </c>
      <c r="L16" s="183">
        <v>0.38</v>
      </c>
      <c r="M16" s="40">
        <v>1.38</v>
      </c>
    </row>
    <row r="17" spans="1:13" s="40" customFormat="1" ht="11.55" customHeight="1" x14ac:dyDescent="0.2">
      <c r="A17" s="42"/>
      <c r="B17" s="38" t="str">
        <f>'LabourProject Rates_Master'!$B$30</f>
        <v>T/A &amp; Apprentice</v>
      </c>
      <c r="C17" s="40" t="s">
        <v>10</v>
      </c>
      <c r="D17" s="315"/>
      <c r="E17" s="41">
        <f>'LabourProject Rates_Master'!$E$29</f>
        <v>829.51028571428571</v>
      </c>
      <c r="F17" s="41">
        <f t="shared" si="0"/>
        <v>0</v>
      </c>
      <c r="K17" s="143" t="s">
        <v>12</v>
      </c>
      <c r="L17" s="183">
        <v>0.38</v>
      </c>
      <c r="M17" s="40">
        <v>1.38</v>
      </c>
    </row>
    <row r="18" spans="1:13" s="40" customFormat="1" ht="11.55" customHeight="1" x14ac:dyDescent="0.2">
      <c r="A18" s="42"/>
      <c r="B18" s="38" t="str">
        <f>'LabourProject Rates_Master'!$B$36</f>
        <v>Crew #1 - InGround Drainage</v>
      </c>
      <c r="C18" s="40" t="s">
        <v>10</v>
      </c>
      <c r="D18" s="315">
        <v>4</v>
      </c>
      <c r="E18" s="41">
        <f>'LabourProject Rates_Master'!$E$37</f>
        <v>2862.42609924812</v>
      </c>
      <c r="F18" s="41">
        <f t="shared" si="0"/>
        <v>11449.70439699248</v>
      </c>
      <c r="H18" s="457" t="s">
        <v>13</v>
      </c>
      <c r="K18" s="143" t="s">
        <v>14</v>
      </c>
      <c r="L18" s="183">
        <v>0.15</v>
      </c>
      <c r="M18" s="40">
        <v>1.1499999999999999</v>
      </c>
    </row>
    <row r="19" spans="1:13" s="40" customFormat="1" ht="10.5" customHeight="1" x14ac:dyDescent="0.2">
      <c r="A19" s="42"/>
      <c r="B19" s="38" t="str">
        <f>'LabourProject Rates_Master'!$B$43</f>
        <v>Crew #2 - InGround Water/Fire</v>
      </c>
      <c r="C19" s="40" t="s">
        <v>10</v>
      </c>
      <c r="D19" s="315">
        <v>4</v>
      </c>
      <c r="E19" s="41">
        <f>'LabourProject Rates_Master'!$E$44</f>
        <v>2862.42609924812</v>
      </c>
      <c r="F19" s="41">
        <f t="shared" si="0"/>
        <v>11449.70439699248</v>
      </c>
      <c r="H19" s="457" t="s">
        <v>15</v>
      </c>
      <c r="K19" s="143" t="s">
        <v>16</v>
      </c>
      <c r="L19" s="183">
        <v>0.2</v>
      </c>
      <c r="M19" s="40">
        <v>1.2</v>
      </c>
    </row>
    <row r="20" spans="1:13" s="40" customFormat="1" ht="10.5" customHeight="1" x14ac:dyDescent="0.2">
      <c r="A20" s="42"/>
      <c r="B20" s="38" t="str">
        <f>'LabourProject Rates_Master'!B51</f>
        <v>Crew #3 - Above Ground Drainage</v>
      </c>
      <c r="C20" s="40" t="s">
        <v>10</v>
      </c>
      <c r="D20" s="315">
        <v>2</v>
      </c>
      <c r="E20" s="41">
        <f>'LabourProject Rates_Master'!E52</f>
        <v>2862.42609924812</v>
      </c>
      <c r="F20" s="41">
        <f t="shared" si="0"/>
        <v>5724.8521984962399</v>
      </c>
      <c r="H20" s="457" t="s">
        <v>17</v>
      </c>
      <c r="K20" s="143"/>
      <c r="L20" s="183"/>
    </row>
    <row r="21" spans="1:13" s="40" customFormat="1" ht="10.5" customHeight="1" x14ac:dyDescent="0.2">
      <c r="A21" s="42"/>
      <c r="B21" s="38" t="str">
        <f>'LabourProject Rates_Master'!B59</f>
        <v>Crew #4 - Above Ground WATER/FIRE</v>
      </c>
      <c r="C21" s="40" t="s">
        <v>10</v>
      </c>
      <c r="D21" s="315">
        <v>5</v>
      </c>
      <c r="E21" s="41">
        <f>'LabourProject Rates_Master'!E60</f>
        <v>2862.42609924812</v>
      </c>
      <c r="F21" s="41">
        <f t="shared" si="0"/>
        <v>14312.130496240599</v>
      </c>
      <c r="H21" s="457" t="s">
        <v>18</v>
      </c>
      <c r="K21" s="143"/>
      <c r="L21" s="183"/>
    </row>
    <row r="22" spans="1:13" s="40" customFormat="1" ht="10.5" customHeight="1" x14ac:dyDescent="0.2">
      <c r="A22" s="42"/>
      <c r="B22" s="38" t="str">
        <f>'LabourProject Rates_Master'!B67</f>
        <v>Crew #5 - Above Ground FitOff / Misc</v>
      </c>
      <c r="C22" s="40" t="s">
        <v>10</v>
      </c>
      <c r="D22" s="315">
        <v>5</v>
      </c>
      <c r="E22" s="41">
        <f>'LabourProject Rates_Master'!E68</f>
        <v>2862.42609924812</v>
      </c>
      <c r="F22" s="41">
        <f t="shared" si="0"/>
        <v>14312.130496240599</v>
      </c>
      <c r="H22" s="457" t="s">
        <v>19</v>
      </c>
      <c r="K22" s="143"/>
      <c r="L22" s="183"/>
    </row>
    <row r="23" spans="1:13" s="40" customFormat="1" ht="10.5" customHeight="1" x14ac:dyDescent="0.2">
      <c r="A23" s="42"/>
      <c r="B23" s="38" t="str">
        <f>'LabourProject Rates_Master'!B75</f>
        <v>Crew #6 - DEMO</v>
      </c>
      <c r="C23" s="40" t="s">
        <v>10</v>
      </c>
      <c r="D23" s="315"/>
      <c r="E23" s="41">
        <f>'LabourProject Rates_Master'!E76</f>
        <v>1845.968192481203</v>
      </c>
      <c r="F23" s="41">
        <f t="shared" si="0"/>
        <v>0</v>
      </c>
      <c r="K23" s="143"/>
      <c r="L23" s="183"/>
    </row>
    <row r="24" spans="1:13" s="40" customFormat="1" ht="6.6" customHeight="1" x14ac:dyDescent="0.2">
      <c r="A24" s="42"/>
      <c r="B24" s="38"/>
      <c r="E24" s="48"/>
      <c r="F24" s="41"/>
    </row>
    <row r="25" spans="1:13" s="40" customFormat="1" ht="10.5" customHeight="1" x14ac:dyDescent="0.2">
      <c r="A25" s="38"/>
      <c r="B25" s="185" t="s">
        <v>20</v>
      </c>
      <c r="C25" s="42"/>
      <c r="D25" s="42"/>
      <c r="E25" s="41"/>
      <c r="F25" s="41"/>
    </row>
    <row r="26" spans="1:13" s="40" customFormat="1" x14ac:dyDescent="0.2">
      <c r="A26" s="38"/>
      <c r="B26" s="38" t="str">
        <f>'LabourProject Rates_Master'!$B$14</f>
        <v>TRADESMAN_LEADING HAND</v>
      </c>
      <c r="C26" s="40" t="s">
        <v>21</v>
      </c>
      <c r="D26" s="40">
        <v>168.5</v>
      </c>
      <c r="E26" s="41">
        <f>'LabourProject Rates_Master'!$E$14</f>
        <v>132.96342857142858</v>
      </c>
      <c r="F26" s="41">
        <f>E26*D26</f>
        <v>22404.337714285717</v>
      </c>
      <c r="H26" s="457" t="s">
        <v>22</v>
      </c>
    </row>
    <row r="27" spans="1:13" s="40" customFormat="1" ht="11.55" customHeight="1" x14ac:dyDescent="0.2">
      <c r="A27" s="38"/>
      <c r="B27" s="38" t="str">
        <f>'LabourProject Rates_Master'!$B$23</f>
        <v>TRADESMAN_PLUMBER_OPERATOR</v>
      </c>
      <c r="C27" s="40" t="s">
        <v>21</v>
      </c>
      <c r="D27" s="40">
        <v>0</v>
      </c>
      <c r="E27" s="41">
        <f>'LabourProject Rates_Master'!$E$21</f>
        <v>101.6457906766917</v>
      </c>
      <c r="F27" s="41">
        <f>E27*D27</f>
        <v>0</v>
      </c>
    </row>
    <row r="28" spans="1:13" s="40" customFormat="1" ht="11.55" customHeight="1" x14ac:dyDescent="0.2">
      <c r="A28" s="42"/>
      <c r="B28" s="38" t="str">
        <f>'LabourProject Rates_Master'!$B$30</f>
        <v>T/A &amp; Apprentice</v>
      </c>
      <c r="C28" s="40" t="s">
        <v>21</v>
      </c>
      <c r="D28" s="40">
        <v>0</v>
      </c>
      <c r="E28" s="41">
        <f>'LabourProject Rates_Master'!$E$28</f>
        <v>82.95102857142858</v>
      </c>
      <c r="F28" s="41">
        <f>E28*D28</f>
        <v>0</v>
      </c>
    </row>
    <row r="29" spans="1:13" s="40" customFormat="1" ht="11.55" customHeight="1" x14ac:dyDescent="0.2">
      <c r="A29" s="42"/>
      <c r="B29" s="38" t="str">
        <f>'LabourProject Rates_Master'!$B$36</f>
        <v>Crew #1 - InGround Drainage</v>
      </c>
      <c r="C29" s="40" t="s">
        <v>21</v>
      </c>
      <c r="D29" s="40">
        <v>0</v>
      </c>
      <c r="E29" s="41">
        <f>'LabourProject Rates_Master'!$E$36</f>
        <v>286.24260992481197</v>
      </c>
      <c r="F29" s="41">
        <f>E29*D29</f>
        <v>0</v>
      </c>
    </row>
    <row r="30" spans="1:13" s="40" customFormat="1" ht="10.5" customHeight="1" x14ac:dyDescent="0.2">
      <c r="A30" s="42"/>
      <c r="B30" s="38" t="str">
        <f>'LabourProject Rates_Master'!$B$43</f>
        <v>Crew #2 - InGround Water/Fire</v>
      </c>
      <c r="C30" s="40" t="s">
        <v>21</v>
      </c>
      <c r="D30" s="40">
        <v>0</v>
      </c>
      <c r="E30" s="41">
        <f>'LabourProject Rates_Master'!$E$43</f>
        <v>286.24260992481197</v>
      </c>
      <c r="F30" s="41">
        <f>E30*D30</f>
        <v>0</v>
      </c>
    </row>
    <row r="31" spans="1:13" ht="7.5" customHeight="1" x14ac:dyDescent="0.2"/>
    <row r="32" spans="1:13" ht="10.8" customHeight="1" thickBot="1" x14ac:dyDescent="0.25">
      <c r="A32" s="40"/>
    </row>
    <row r="33" spans="1:6" ht="10.8" customHeight="1" thickBot="1" x14ac:dyDescent="0.25">
      <c r="A33" s="42"/>
      <c r="B33" s="368" t="s">
        <v>23</v>
      </c>
      <c r="C33" s="369"/>
      <c r="D33" s="369"/>
      <c r="E33" s="370"/>
      <c r="F33" s="370"/>
    </row>
    <row r="34" spans="1:6" ht="10.5" customHeight="1" x14ac:dyDescent="0.2">
      <c r="A34" s="40"/>
      <c r="B34" s="371" t="s">
        <v>24</v>
      </c>
      <c r="C34" s="369"/>
      <c r="D34" s="369"/>
      <c r="E34" s="370"/>
      <c r="F34" s="370"/>
    </row>
    <row r="35" spans="1:6" x14ac:dyDescent="0.2">
      <c r="A35" s="40"/>
      <c r="B35" s="372" t="str">
        <f>'Misc Subbie Rates_Master'!A49</f>
        <v>Asphalt Cutting</v>
      </c>
      <c r="C35" s="369" t="s">
        <v>25</v>
      </c>
      <c r="D35" s="373"/>
      <c r="E35" s="370">
        <f>'Misc Subbie Rates_Master'!D49+('Misc Subbie Rates_Master'!D49*$L$18)</f>
        <v>15.525</v>
      </c>
      <c r="F35" s="370">
        <f>E35*D35</f>
        <v>0</v>
      </c>
    </row>
    <row r="36" spans="1:6" x14ac:dyDescent="0.2">
      <c r="A36" s="40"/>
      <c r="B36" s="372" t="str">
        <f>'Misc Subbie Rates_Master'!A50</f>
        <v>Concrete Cutting</v>
      </c>
      <c r="C36" s="369" t="s">
        <v>25</v>
      </c>
      <c r="D36" s="369"/>
      <c r="E36" s="370">
        <f>'Misc Subbie Rates_Master'!D50+('Misc Subbie Rates_Master'!D50*$L$18)</f>
        <v>18.399999999999999</v>
      </c>
      <c r="F36" s="370">
        <f>E36*D36</f>
        <v>0</v>
      </c>
    </row>
    <row r="37" spans="1:6" x14ac:dyDescent="0.2">
      <c r="A37" s="40"/>
      <c r="B37" s="372" t="s">
        <v>26</v>
      </c>
      <c r="C37" s="369" t="s">
        <v>27</v>
      </c>
      <c r="D37" s="369"/>
      <c r="E37" s="370">
        <f>'Misc Subbie Rates_Master'!D51+('Misc Subbie Rates_Master'!D51*$L$18)</f>
        <v>92</v>
      </c>
      <c r="F37" s="370">
        <f>E37*D37</f>
        <v>0</v>
      </c>
    </row>
    <row r="38" spans="1:6" ht="10.5" customHeight="1" x14ac:dyDescent="0.2">
      <c r="A38" s="40"/>
      <c r="B38" s="371" t="s">
        <v>28</v>
      </c>
      <c r="C38" s="369"/>
      <c r="D38" s="369"/>
      <c r="E38" s="370"/>
      <c r="F38" s="370"/>
    </row>
    <row r="39" spans="1:6" x14ac:dyDescent="0.2">
      <c r="A39" s="40"/>
      <c r="B39" s="372" t="str">
        <f>'Misc Subbie Rates_Master'!A56</f>
        <v>Road/Drveway Reinstate; 1mW x 150 Thck, N25/20/80, Incl Reinforcement</v>
      </c>
      <c r="C39" s="369" t="s">
        <v>25</v>
      </c>
      <c r="D39" s="369"/>
      <c r="E39" s="370">
        <f>'Misc Subbie Rates_Master'!D56</f>
        <v>145</v>
      </c>
      <c r="F39" s="370">
        <f>E39*D39</f>
        <v>0</v>
      </c>
    </row>
    <row r="40" spans="1:6" x14ac:dyDescent="0.2">
      <c r="A40" s="40"/>
      <c r="B40" s="372" t="str">
        <f>'Misc Subbie Rates_Master'!A57</f>
        <v>Kerb &amp; Channel - 1m Wide</v>
      </c>
      <c r="C40" s="369" t="s">
        <v>27</v>
      </c>
      <c r="D40" s="369"/>
      <c r="E40" s="370">
        <f>'Misc Subbie Rates_Master'!D57</f>
        <v>155</v>
      </c>
      <c r="F40" s="370">
        <f>E40*D40</f>
        <v>0</v>
      </c>
    </row>
    <row r="41" spans="1:6" x14ac:dyDescent="0.2">
      <c r="A41" s="40"/>
      <c r="B41" s="372" t="str">
        <f>'Misc Subbie Rates_Master'!A58</f>
        <v>Footpath - 1.5mW, N25/20/80, Incl Reinforcement</v>
      </c>
      <c r="C41" s="369" t="s">
        <v>29</v>
      </c>
      <c r="D41" s="369"/>
      <c r="E41" s="370">
        <f>'Misc Subbie Rates_Master'!D58</f>
        <v>180</v>
      </c>
      <c r="F41" s="370">
        <f>E41*D41</f>
        <v>0</v>
      </c>
    </row>
    <row r="42" spans="1:6" x14ac:dyDescent="0.2">
      <c r="A42" s="40"/>
      <c r="B42" s="372" t="str">
        <f>'Misc Subbie Rates_Master'!A59</f>
        <v>Footpath - 1.5mW, EXPOSED AGG, N25/20/80, Incl Reinforcement</v>
      </c>
      <c r="C42" s="369" t="s">
        <v>29</v>
      </c>
      <c r="D42" s="369"/>
      <c r="E42" s="370">
        <f>'Misc Subbie Rates_Master'!D59</f>
        <v>185</v>
      </c>
      <c r="F42" s="370">
        <f>E42*D42</f>
        <v>0</v>
      </c>
    </row>
    <row r="43" spans="1:6" ht="10.5" customHeight="1" x14ac:dyDescent="0.2">
      <c r="A43" s="40"/>
      <c r="B43" s="371" t="s">
        <v>30</v>
      </c>
      <c r="C43" s="369"/>
      <c r="D43" s="369"/>
      <c r="E43" s="370"/>
      <c r="F43" s="370"/>
    </row>
    <row r="44" spans="1:6" x14ac:dyDescent="0.2">
      <c r="A44" s="40"/>
      <c r="B44" s="372" t="str">
        <f>'Misc Subbie Rates_Master'!A64</f>
        <v xml:space="preserve">50mm Thck - Trench Reinstatement Through Road/Driveway </v>
      </c>
      <c r="C44" s="369" t="s">
        <v>31</v>
      </c>
      <c r="D44" s="369"/>
      <c r="E44" s="370">
        <f>'Misc Subbie Rates_Master'!D64</f>
        <v>97</v>
      </c>
      <c r="F44" s="370">
        <f>E44*D44</f>
        <v>0</v>
      </c>
    </row>
    <row r="45" spans="1:6" x14ac:dyDescent="0.2">
      <c r="A45" s="40"/>
      <c r="B45" s="372" t="str">
        <f>'Misc Subbie Rates_Master'!A65</f>
        <v xml:space="preserve">50mm Thck - 1.5-2m Wide Footpath reinstatements </v>
      </c>
      <c r="C45" s="369" t="s">
        <v>31</v>
      </c>
      <c r="D45" s="369"/>
      <c r="E45" s="370">
        <f>'Misc Subbie Rates_Master'!D65</f>
        <v>97</v>
      </c>
      <c r="F45" s="370">
        <f>E45*D45</f>
        <v>0</v>
      </c>
    </row>
    <row r="46" spans="1:6" x14ac:dyDescent="0.2">
      <c r="A46" s="40"/>
      <c r="B46" s="372" t="str">
        <f>'Misc Subbie Rates_Master'!A66</f>
        <v>Establishment Fee (1 per stage)</v>
      </c>
      <c r="C46" s="369" t="s">
        <v>32</v>
      </c>
      <c r="D46" s="369"/>
      <c r="E46" s="370">
        <f>'Misc Subbie Rates_Master'!D66</f>
        <v>5500</v>
      </c>
      <c r="F46" s="370">
        <f>E46*D46</f>
        <v>0</v>
      </c>
    </row>
    <row r="47" spans="1:6" ht="10.8" customHeight="1" thickBot="1" x14ac:dyDescent="0.25">
      <c r="A47" s="40"/>
    </row>
    <row r="48" spans="1:6" ht="10.8" customHeight="1" thickBot="1" x14ac:dyDescent="0.25">
      <c r="A48" s="42"/>
      <c r="B48" s="47" t="s">
        <v>33</v>
      </c>
    </row>
    <row r="49" spans="1:6" x14ac:dyDescent="0.2">
      <c r="A49" s="40"/>
    </row>
    <row r="50" spans="1:6" ht="10.5" customHeight="1" x14ac:dyDescent="0.2">
      <c r="B50" s="273" t="s">
        <v>34</v>
      </c>
    </row>
    <row r="51" spans="1:6" hidden="1" x14ac:dyDescent="0.2">
      <c r="B51" s="38" t="s">
        <v>35</v>
      </c>
      <c r="C51" s="40" t="s">
        <v>36</v>
      </c>
      <c r="E51" s="41">
        <f>'Misc Subbie Rates_Master'!D10</f>
        <v>100</v>
      </c>
      <c r="F51" s="41">
        <f t="shared" ref="F51:F69" si="1">E51*D51</f>
        <v>0</v>
      </c>
    </row>
    <row r="52" spans="1:6" hidden="1" x14ac:dyDescent="0.2">
      <c r="B52" s="38" t="s">
        <v>37</v>
      </c>
      <c r="C52" s="40" t="s">
        <v>36</v>
      </c>
      <c r="E52" s="41">
        <f>'Misc Subbie Rates_Master'!D11</f>
        <v>115</v>
      </c>
      <c r="F52" s="41">
        <f t="shared" si="1"/>
        <v>0</v>
      </c>
    </row>
    <row r="53" spans="1:6" hidden="1" x14ac:dyDescent="0.2">
      <c r="B53" s="38" t="s">
        <v>38</v>
      </c>
      <c r="C53" s="40" t="s">
        <v>36</v>
      </c>
      <c r="E53" s="41">
        <f>'Misc Subbie Rates_Master'!D12</f>
        <v>154</v>
      </c>
      <c r="F53" s="41">
        <f t="shared" si="1"/>
        <v>0</v>
      </c>
    </row>
    <row r="54" spans="1:6" hidden="1" x14ac:dyDescent="0.2">
      <c r="B54" s="38" t="s">
        <v>39</v>
      </c>
      <c r="C54" s="40" t="s">
        <v>36</v>
      </c>
      <c r="E54" s="41">
        <f>'Misc Subbie Rates_Master'!D13</f>
        <v>21</v>
      </c>
      <c r="F54" s="41">
        <f t="shared" si="1"/>
        <v>0</v>
      </c>
    </row>
    <row r="55" spans="1:6" hidden="1" x14ac:dyDescent="0.2">
      <c r="B55" s="38" t="s">
        <v>40</v>
      </c>
      <c r="C55" s="40" t="s">
        <v>36</v>
      </c>
      <c r="E55" s="41">
        <f>'Misc Subbie Rates_Master'!D14</f>
        <v>10</v>
      </c>
      <c r="F55" s="41">
        <f t="shared" si="1"/>
        <v>0</v>
      </c>
    </row>
    <row r="56" spans="1:6" hidden="1" x14ac:dyDescent="0.2">
      <c r="B56" s="38" t="s">
        <v>41</v>
      </c>
      <c r="C56" s="40" t="s">
        <v>36</v>
      </c>
      <c r="E56" s="41">
        <f>'Misc Subbie Rates_Master'!D15</f>
        <v>150</v>
      </c>
      <c r="F56" s="41">
        <f t="shared" si="1"/>
        <v>0</v>
      </c>
    </row>
    <row r="57" spans="1:6" hidden="1" x14ac:dyDescent="0.2">
      <c r="B57" s="38" t="s">
        <v>42</v>
      </c>
      <c r="C57" s="40" t="s">
        <v>36</v>
      </c>
      <c r="E57" s="41">
        <f>'Misc Subbie Rates_Master'!D16</f>
        <v>50</v>
      </c>
      <c r="F57" s="41">
        <f t="shared" si="1"/>
        <v>0</v>
      </c>
    </row>
    <row r="58" spans="1:6" hidden="1" x14ac:dyDescent="0.2">
      <c r="B58" s="38" t="s">
        <v>43</v>
      </c>
      <c r="C58" s="40" t="s">
        <v>36</v>
      </c>
      <c r="E58" s="41">
        <f>'Misc Subbie Rates_Master'!D17</f>
        <v>140</v>
      </c>
      <c r="F58" s="41">
        <f t="shared" si="1"/>
        <v>0</v>
      </c>
    </row>
    <row r="59" spans="1:6" hidden="1" x14ac:dyDescent="0.2">
      <c r="B59" s="38" t="s">
        <v>44</v>
      </c>
      <c r="C59" s="40" t="s">
        <v>36</v>
      </c>
      <c r="E59" s="41">
        <f>'Misc Subbie Rates_Master'!D18</f>
        <v>128</v>
      </c>
      <c r="F59" s="41">
        <f t="shared" si="1"/>
        <v>0</v>
      </c>
    </row>
    <row r="60" spans="1:6" hidden="1" x14ac:dyDescent="0.2">
      <c r="B60" s="38" t="s">
        <v>45</v>
      </c>
      <c r="C60" s="40" t="s">
        <v>36</v>
      </c>
      <c r="E60" s="41">
        <f>'Misc Subbie Rates_Master'!D19</f>
        <v>26</v>
      </c>
      <c r="F60" s="41">
        <f t="shared" si="1"/>
        <v>0</v>
      </c>
    </row>
    <row r="61" spans="1:6" hidden="1" x14ac:dyDescent="0.2">
      <c r="B61" s="38" t="s">
        <v>46</v>
      </c>
      <c r="C61" s="40" t="s">
        <v>36</v>
      </c>
      <c r="E61" s="41">
        <f>'Misc Subbie Rates_Master'!D20</f>
        <v>10</v>
      </c>
      <c r="F61" s="41">
        <f t="shared" si="1"/>
        <v>0</v>
      </c>
    </row>
    <row r="62" spans="1:6" hidden="1" x14ac:dyDescent="0.2">
      <c r="B62" s="38" t="s">
        <v>47</v>
      </c>
      <c r="C62" s="40" t="s">
        <v>36</v>
      </c>
      <c r="E62" s="41">
        <f>'Misc Subbie Rates_Master'!D21</f>
        <v>153</v>
      </c>
      <c r="F62" s="41">
        <f t="shared" si="1"/>
        <v>0</v>
      </c>
    </row>
    <row r="63" spans="1:6" hidden="1" x14ac:dyDescent="0.2">
      <c r="B63" s="38" t="s">
        <v>48</v>
      </c>
      <c r="C63" s="40" t="s">
        <v>36</v>
      </c>
      <c r="E63" s="41">
        <f>'Misc Subbie Rates_Master'!D22</f>
        <v>36</v>
      </c>
      <c r="F63" s="41">
        <f t="shared" si="1"/>
        <v>0</v>
      </c>
    </row>
    <row r="64" spans="1:6" hidden="1" x14ac:dyDescent="0.2">
      <c r="B64" s="38" t="s">
        <v>49</v>
      </c>
      <c r="C64" s="40" t="s">
        <v>36</v>
      </c>
      <c r="E64" s="41">
        <f>'Misc Subbie Rates_Master'!D23</f>
        <v>10</v>
      </c>
      <c r="F64" s="41">
        <f t="shared" si="1"/>
        <v>0</v>
      </c>
    </row>
    <row r="65" spans="1:8" hidden="1" x14ac:dyDescent="0.2">
      <c r="B65" s="38" t="s">
        <v>50</v>
      </c>
      <c r="C65" s="40" t="s">
        <v>36</v>
      </c>
      <c r="E65" s="41">
        <f>'Misc Subbie Rates_Master'!D24</f>
        <v>190</v>
      </c>
      <c r="F65" s="41">
        <f t="shared" si="1"/>
        <v>0</v>
      </c>
    </row>
    <row r="66" spans="1:8" hidden="1" x14ac:dyDescent="0.2">
      <c r="B66" s="38" t="s">
        <v>51</v>
      </c>
      <c r="C66" s="40" t="s">
        <v>36</v>
      </c>
      <c r="E66" s="41">
        <f>'Misc Subbie Rates_Master'!D25</f>
        <v>220</v>
      </c>
      <c r="F66" s="41">
        <f t="shared" si="1"/>
        <v>0</v>
      </c>
    </row>
    <row r="67" spans="1:8" hidden="1" x14ac:dyDescent="0.2">
      <c r="B67" s="38" t="s">
        <v>52</v>
      </c>
      <c r="C67" s="40" t="s">
        <v>36</v>
      </c>
      <c r="E67" s="41">
        <f>'Misc Subbie Rates_Master'!D26</f>
        <v>250</v>
      </c>
      <c r="F67" s="41">
        <f t="shared" si="1"/>
        <v>0</v>
      </c>
    </row>
    <row r="68" spans="1:8" hidden="1" x14ac:dyDescent="0.2">
      <c r="B68" s="38" t="s">
        <v>53</v>
      </c>
      <c r="C68" s="40" t="s">
        <v>36</v>
      </c>
      <c r="E68" s="41">
        <f>'Misc Subbie Rates_Master'!D27</f>
        <v>110</v>
      </c>
      <c r="F68" s="41">
        <f t="shared" si="1"/>
        <v>0</v>
      </c>
    </row>
    <row r="69" spans="1:8" hidden="1" x14ac:dyDescent="0.2">
      <c r="B69" s="38" t="s">
        <v>54</v>
      </c>
      <c r="C69" s="40" t="s">
        <v>36</v>
      </c>
      <c r="E69" s="41">
        <f>'Misc Subbie Rates_Master'!D28</f>
        <v>110</v>
      </c>
      <c r="F69" s="41">
        <f t="shared" si="1"/>
        <v>0</v>
      </c>
    </row>
    <row r="71" spans="1:8" ht="10.5" customHeight="1" x14ac:dyDescent="0.2">
      <c r="B71" s="273" t="s">
        <v>55</v>
      </c>
    </row>
    <row r="72" spans="1:8" x14ac:dyDescent="0.2">
      <c r="A72" s="40"/>
      <c r="B72" s="194" t="s">
        <v>56</v>
      </c>
      <c r="C72" s="40" t="s">
        <v>10</v>
      </c>
      <c r="E72" s="41">
        <f>'Equip&amp;HIRE_Master'!D4</f>
        <v>225.43333333333331</v>
      </c>
      <c r="F72" s="41">
        <f t="shared" ref="F72:F103" si="2">E72*D72</f>
        <v>0</v>
      </c>
    </row>
    <row r="73" spans="1:8" x14ac:dyDescent="0.2">
      <c r="A73" s="40"/>
      <c r="B73" s="194" t="s">
        <v>57</v>
      </c>
      <c r="C73" s="40" t="s">
        <v>10</v>
      </c>
      <c r="E73" s="41">
        <f>'Equip&amp;HIRE_Master'!D5</f>
        <v>163.9666666666667</v>
      </c>
      <c r="F73" s="41">
        <f t="shared" si="2"/>
        <v>0</v>
      </c>
    </row>
    <row r="74" spans="1:8" x14ac:dyDescent="0.2">
      <c r="A74" s="40"/>
      <c r="B74" s="194" t="s">
        <v>58</v>
      </c>
      <c r="C74" s="40" t="s">
        <v>10</v>
      </c>
      <c r="E74" s="41">
        <f>'Equip&amp;HIRE_Master'!D6</f>
        <v>180</v>
      </c>
      <c r="F74" s="41">
        <f t="shared" si="2"/>
        <v>0</v>
      </c>
    </row>
    <row r="75" spans="1:8" ht="6" customHeight="1" x14ac:dyDescent="0.2">
      <c r="A75" s="40"/>
      <c r="B75" s="194"/>
      <c r="E75" s="41">
        <f>'Equip&amp;HIRE_Master'!D7</f>
        <v>0</v>
      </c>
      <c r="F75" s="41">
        <f t="shared" si="2"/>
        <v>0</v>
      </c>
    </row>
    <row r="76" spans="1:8" ht="12.45" customHeight="1" x14ac:dyDescent="0.25">
      <c r="A76" s="40"/>
      <c r="B76" s="194" t="s">
        <v>59</v>
      </c>
      <c r="C76" s="40" t="s">
        <v>10</v>
      </c>
      <c r="D76">
        <v>8</v>
      </c>
      <c r="E76" s="41">
        <f>'Equip&amp;HIRE_Master'!D8</f>
        <v>137.14285714285711</v>
      </c>
      <c r="F76" s="41">
        <f t="shared" si="2"/>
        <v>1097.1428571428569</v>
      </c>
      <c r="H76" s="457" t="s">
        <v>60</v>
      </c>
    </row>
    <row r="77" spans="1:8" x14ac:dyDescent="0.2">
      <c r="A77" s="40"/>
      <c r="B77" s="194" t="s">
        <v>61</v>
      </c>
      <c r="C77" s="40" t="s">
        <v>10</v>
      </c>
      <c r="E77" s="41">
        <f>'Equip&amp;HIRE_Master'!D9</f>
        <v>0</v>
      </c>
      <c r="F77" s="41">
        <f t="shared" si="2"/>
        <v>0</v>
      </c>
    </row>
    <row r="78" spans="1:8" x14ac:dyDescent="0.2">
      <c r="A78" s="40"/>
      <c r="B78" s="194" t="s">
        <v>62</v>
      </c>
      <c r="C78" s="40" t="s">
        <v>10</v>
      </c>
      <c r="E78" s="41">
        <f>'Equip&amp;HIRE_Master'!D10</f>
        <v>238.66666666666671</v>
      </c>
      <c r="F78" s="41">
        <f t="shared" si="2"/>
        <v>0</v>
      </c>
    </row>
    <row r="79" spans="1:8" x14ac:dyDescent="0.2">
      <c r="A79" s="40"/>
      <c r="B79" s="194" t="s">
        <v>63</v>
      </c>
      <c r="C79" s="40" t="s">
        <v>10</v>
      </c>
      <c r="E79" s="41">
        <f>'Equip&amp;HIRE_Master'!D11</f>
        <v>261.16666666666669</v>
      </c>
      <c r="F79" s="41">
        <f t="shared" si="2"/>
        <v>0</v>
      </c>
    </row>
    <row r="80" spans="1:8" x14ac:dyDescent="0.2">
      <c r="A80" s="40"/>
      <c r="B80" s="194" t="s">
        <v>64</v>
      </c>
      <c r="C80" s="40" t="s">
        <v>10</v>
      </c>
      <c r="E80" s="41">
        <f>'Equip&amp;HIRE_Master'!D12</f>
        <v>0</v>
      </c>
      <c r="F80" s="41">
        <f t="shared" si="2"/>
        <v>0</v>
      </c>
    </row>
    <row r="81" spans="1:6" x14ac:dyDescent="0.2">
      <c r="A81" s="40"/>
      <c r="B81" s="194" t="s">
        <v>65</v>
      </c>
      <c r="C81" s="40" t="s">
        <v>10</v>
      </c>
      <c r="E81" s="41">
        <f>'Equip&amp;HIRE_Master'!D13</f>
        <v>317.2</v>
      </c>
      <c r="F81" s="41">
        <f t="shared" si="2"/>
        <v>0</v>
      </c>
    </row>
    <row r="82" spans="1:6" x14ac:dyDescent="0.2">
      <c r="A82" s="40"/>
      <c r="B82" s="194" t="s">
        <v>66</v>
      </c>
      <c r="C82" s="40" t="s">
        <v>10</v>
      </c>
      <c r="E82" s="41">
        <f>'Equip&amp;HIRE_Master'!D14</f>
        <v>314.28571428571428</v>
      </c>
      <c r="F82" s="41">
        <f t="shared" si="2"/>
        <v>0</v>
      </c>
    </row>
    <row r="83" spans="1:6" ht="6.6" customHeight="1" x14ac:dyDescent="0.2">
      <c r="A83" s="40"/>
      <c r="B83" s="194"/>
      <c r="E83" s="41">
        <f>'Equip&amp;HIRE_Master'!D15</f>
        <v>0</v>
      </c>
      <c r="F83" s="41">
        <f t="shared" si="2"/>
        <v>0</v>
      </c>
    </row>
    <row r="84" spans="1:6" x14ac:dyDescent="0.2">
      <c r="A84" s="40"/>
      <c r="B84" s="194" t="s">
        <v>67</v>
      </c>
      <c r="C84" s="40" t="s">
        <v>10</v>
      </c>
      <c r="E84" s="41">
        <f>'Equip&amp;HIRE_Master'!D16</f>
        <v>0</v>
      </c>
      <c r="F84" s="41">
        <f t="shared" si="2"/>
        <v>0</v>
      </c>
    </row>
    <row r="85" spans="1:6" x14ac:dyDescent="0.2">
      <c r="A85" s="40"/>
      <c r="B85" s="194" t="s">
        <v>68</v>
      </c>
      <c r="C85" s="40" t="s">
        <v>10</v>
      </c>
      <c r="E85" s="41">
        <f>'Equip&amp;HIRE_Master'!D17</f>
        <v>32.74</v>
      </c>
      <c r="F85" s="41">
        <f t="shared" si="2"/>
        <v>0</v>
      </c>
    </row>
    <row r="86" spans="1:6" x14ac:dyDescent="0.2">
      <c r="A86" s="40"/>
      <c r="B86" s="194" t="s">
        <v>69</v>
      </c>
      <c r="C86" s="40" t="s">
        <v>10</v>
      </c>
      <c r="E86" s="41">
        <f>'Equip&amp;HIRE_Master'!D18</f>
        <v>0</v>
      </c>
      <c r="F86" s="41">
        <f t="shared" si="2"/>
        <v>0</v>
      </c>
    </row>
    <row r="87" spans="1:6" x14ac:dyDescent="0.2">
      <c r="A87" s="40"/>
      <c r="B87" s="194" t="s">
        <v>70</v>
      </c>
      <c r="C87" s="40" t="s">
        <v>10</v>
      </c>
      <c r="E87" s="41">
        <f>'Equip&amp;HIRE_Master'!D19</f>
        <v>40.380000000000003</v>
      </c>
      <c r="F87" s="41">
        <f t="shared" si="2"/>
        <v>0</v>
      </c>
    </row>
    <row r="88" spans="1:6" x14ac:dyDescent="0.2">
      <c r="A88" s="40"/>
      <c r="B88" s="194" t="s">
        <v>71</v>
      </c>
      <c r="C88" s="40" t="s">
        <v>10</v>
      </c>
      <c r="E88" s="41">
        <f>'Equip&amp;HIRE_Master'!D20</f>
        <v>123.33</v>
      </c>
      <c r="F88" s="41">
        <f t="shared" si="2"/>
        <v>0</v>
      </c>
    </row>
    <row r="89" spans="1:6" x14ac:dyDescent="0.2">
      <c r="A89" s="40"/>
      <c r="B89" s="194" t="s">
        <v>72</v>
      </c>
      <c r="C89" s="40" t="s">
        <v>10</v>
      </c>
      <c r="E89" s="41">
        <f>'Equip&amp;HIRE_Master'!D21</f>
        <v>165.89</v>
      </c>
      <c r="F89" s="41">
        <f t="shared" si="2"/>
        <v>0</v>
      </c>
    </row>
    <row r="90" spans="1:6" x14ac:dyDescent="0.2">
      <c r="A90" s="40"/>
      <c r="B90" s="194" t="s">
        <v>73</v>
      </c>
      <c r="C90" s="40" t="s">
        <v>10</v>
      </c>
      <c r="E90" s="41">
        <f>'Equip&amp;HIRE_Master'!D22</f>
        <v>165.89</v>
      </c>
      <c r="F90" s="41">
        <f t="shared" si="2"/>
        <v>0</v>
      </c>
    </row>
    <row r="91" spans="1:6" x14ac:dyDescent="0.2">
      <c r="A91" s="40"/>
      <c r="B91" s="194" t="s">
        <v>74</v>
      </c>
      <c r="C91" s="40" t="s">
        <v>10</v>
      </c>
      <c r="E91" s="41">
        <f>'Equip&amp;HIRE_Master'!D23</f>
        <v>0</v>
      </c>
      <c r="F91" s="41">
        <f t="shared" si="2"/>
        <v>0</v>
      </c>
    </row>
    <row r="92" spans="1:6" x14ac:dyDescent="0.2">
      <c r="A92" s="40"/>
      <c r="B92" s="194" t="s">
        <v>75</v>
      </c>
      <c r="C92" s="40" t="s">
        <v>10</v>
      </c>
      <c r="E92" s="41">
        <f>'Equip&amp;HIRE_Master'!D24</f>
        <v>203</v>
      </c>
      <c r="F92" s="41">
        <f t="shared" si="2"/>
        <v>0</v>
      </c>
    </row>
    <row r="93" spans="1:6" x14ac:dyDescent="0.2">
      <c r="A93" s="40"/>
      <c r="B93" s="194" t="s">
        <v>76</v>
      </c>
      <c r="E93" s="41">
        <f>'Equip&amp;HIRE_Master'!D25</f>
        <v>0</v>
      </c>
      <c r="F93" s="41">
        <f t="shared" si="2"/>
        <v>0</v>
      </c>
    </row>
    <row r="94" spans="1:6" x14ac:dyDescent="0.2">
      <c r="A94" s="40"/>
      <c r="B94" s="194" t="s">
        <v>77</v>
      </c>
      <c r="E94" s="41">
        <f>'Equip&amp;HIRE_Master'!D26</f>
        <v>0</v>
      </c>
      <c r="F94" s="41">
        <f t="shared" si="2"/>
        <v>0</v>
      </c>
    </row>
    <row r="95" spans="1:6" ht="4.95" customHeight="1" x14ac:dyDescent="0.2">
      <c r="A95" s="40"/>
      <c r="B95" s="194"/>
      <c r="E95" s="41">
        <f>'Equip&amp;HIRE_Master'!D27</f>
        <v>0</v>
      </c>
      <c r="F95" s="41">
        <f t="shared" si="2"/>
        <v>0</v>
      </c>
    </row>
    <row r="96" spans="1:6" x14ac:dyDescent="0.2">
      <c r="A96" s="40"/>
      <c r="B96" s="194" t="s">
        <v>78</v>
      </c>
      <c r="C96" s="40" t="s">
        <v>10</v>
      </c>
      <c r="E96" s="41">
        <f>'Equip&amp;HIRE_Master'!D28</f>
        <v>205</v>
      </c>
      <c r="F96" s="41">
        <f t="shared" si="2"/>
        <v>0</v>
      </c>
    </row>
    <row r="97" spans="1:8" x14ac:dyDescent="0.2">
      <c r="A97" s="40"/>
      <c r="B97" s="194" t="s">
        <v>79</v>
      </c>
      <c r="C97" s="40" t="s">
        <v>10</v>
      </c>
      <c r="E97" s="41">
        <f>'Equip&amp;HIRE_Master'!D29</f>
        <v>166.98</v>
      </c>
      <c r="F97" s="41">
        <f t="shared" si="2"/>
        <v>0</v>
      </c>
    </row>
    <row r="98" spans="1:8" x14ac:dyDescent="0.2">
      <c r="A98" s="40"/>
      <c r="B98" s="194" t="s">
        <v>80</v>
      </c>
      <c r="C98" s="40" t="s">
        <v>10</v>
      </c>
      <c r="E98" s="41">
        <f>'Equip&amp;HIRE_Master'!D30</f>
        <v>171.42857142857139</v>
      </c>
      <c r="F98" s="41">
        <f t="shared" si="2"/>
        <v>0</v>
      </c>
    </row>
    <row r="99" spans="1:8" ht="4.2" customHeight="1" x14ac:dyDescent="0.2">
      <c r="A99" s="40"/>
      <c r="B99" s="194"/>
      <c r="E99" s="41">
        <f>'Equip&amp;HIRE_Master'!D31</f>
        <v>0</v>
      </c>
      <c r="F99" s="41">
        <f t="shared" si="2"/>
        <v>0</v>
      </c>
    </row>
    <row r="100" spans="1:8" x14ac:dyDescent="0.2">
      <c r="A100" s="40"/>
      <c r="B100" s="194" t="s">
        <v>81</v>
      </c>
      <c r="C100" s="40" t="s">
        <v>10</v>
      </c>
      <c r="E100" s="41">
        <f>'Equip&amp;HIRE_Master'!D32</f>
        <v>0</v>
      </c>
      <c r="F100" s="41">
        <f t="shared" si="2"/>
        <v>0</v>
      </c>
    </row>
    <row r="101" spans="1:8" ht="12.45" customHeight="1" x14ac:dyDescent="0.25">
      <c r="A101" s="40"/>
      <c r="B101" s="194" t="s">
        <v>82</v>
      </c>
      <c r="C101" s="40" t="s">
        <v>10</v>
      </c>
      <c r="D101">
        <v>4</v>
      </c>
      <c r="E101" s="41">
        <f>'Equip&amp;HIRE_Master'!D33</f>
        <v>34.285714285714278</v>
      </c>
      <c r="F101" s="41">
        <f t="shared" si="2"/>
        <v>137.14285714285711</v>
      </c>
      <c r="H101" s="457" t="s">
        <v>83</v>
      </c>
    </row>
    <row r="102" spans="1:8" x14ac:dyDescent="0.2">
      <c r="A102" s="40"/>
      <c r="B102" s="194" t="s">
        <v>84</v>
      </c>
      <c r="C102" s="40" t="s">
        <v>10</v>
      </c>
      <c r="E102" s="41">
        <f>'Equip&amp;HIRE_Master'!D34</f>
        <v>165</v>
      </c>
      <c r="F102" s="41">
        <f t="shared" si="2"/>
        <v>0</v>
      </c>
    </row>
    <row r="103" spans="1:8" x14ac:dyDescent="0.2">
      <c r="A103" s="40"/>
      <c r="B103" s="194" t="s">
        <v>85</v>
      </c>
      <c r="C103" s="40" t="s">
        <v>10</v>
      </c>
      <c r="E103" s="41">
        <f>'Equip&amp;HIRE_Master'!D35</f>
        <v>0</v>
      </c>
      <c r="F103" s="41">
        <f t="shared" si="2"/>
        <v>0</v>
      </c>
    </row>
    <row r="104" spans="1:8" x14ac:dyDescent="0.2">
      <c r="A104" s="40"/>
      <c r="B104" s="194" t="s">
        <v>86</v>
      </c>
      <c r="C104" s="40" t="s">
        <v>10</v>
      </c>
      <c r="E104" s="41">
        <f>'Equip&amp;HIRE_Master'!D36</f>
        <v>0</v>
      </c>
      <c r="F104" s="41">
        <f t="shared" ref="F104:F135" si="3">E104*D104</f>
        <v>0</v>
      </c>
    </row>
    <row r="105" spans="1:8" x14ac:dyDescent="0.2">
      <c r="A105" s="40"/>
      <c r="B105" s="194" t="s">
        <v>87</v>
      </c>
      <c r="C105" s="40" t="s">
        <v>10</v>
      </c>
      <c r="E105" s="41">
        <f>'Equip&amp;HIRE_Master'!D37</f>
        <v>0</v>
      </c>
      <c r="F105" s="41">
        <f t="shared" si="3"/>
        <v>0</v>
      </c>
    </row>
    <row r="106" spans="1:8" x14ac:dyDescent="0.2">
      <c r="A106" s="40"/>
      <c r="B106" s="194" t="s">
        <v>88</v>
      </c>
      <c r="C106" s="40" t="s">
        <v>10</v>
      </c>
      <c r="E106" s="41">
        <f>'Equip&amp;HIRE_Master'!D38</f>
        <v>0</v>
      </c>
      <c r="F106" s="41">
        <f t="shared" si="3"/>
        <v>0</v>
      </c>
    </row>
    <row r="107" spans="1:8" ht="6" customHeight="1" x14ac:dyDescent="0.2">
      <c r="A107" s="40"/>
      <c r="B107" s="194"/>
      <c r="E107" s="41">
        <f>'Equip&amp;HIRE_Master'!D39</f>
        <v>0</v>
      </c>
      <c r="F107" s="41">
        <f t="shared" si="3"/>
        <v>0</v>
      </c>
    </row>
    <row r="108" spans="1:8" x14ac:dyDescent="0.2">
      <c r="A108" s="40"/>
      <c r="B108" s="194" t="s">
        <v>89</v>
      </c>
      <c r="C108" s="40" t="s">
        <v>10</v>
      </c>
      <c r="E108" s="41">
        <f>'Equip&amp;HIRE_Master'!D40</f>
        <v>5.46</v>
      </c>
      <c r="F108" s="41">
        <f t="shared" si="3"/>
        <v>0</v>
      </c>
    </row>
    <row r="109" spans="1:8" x14ac:dyDescent="0.2">
      <c r="A109" s="40"/>
      <c r="B109" s="194" t="s">
        <v>90</v>
      </c>
      <c r="C109" s="40" t="s">
        <v>10</v>
      </c>
      <c r="E109" s="41">
        <f>'Equip&amp;HIRE_Master'!D41</f>
        <v>23</v>
      </c>
      <c r="F109" s="41">
        <f t="shared" si="3"/>
        <v>0</v>
      </c>
    </row>
    <row r="110" spans="1:8" x14ac:dyDescent="0.2">
      <c r="A110" s="40"/>
      <c r="B110" s="194" t="s">
        <v>91</v>
      </c>
      <c r="C110" s="40" t="s">
        <v>10</v>
      </c>
      <c r="E110" s="41">
        <f>'Equip&amp;HIRE_Master'!D42</f>
        <v>23</v>
      </c>
      <c r="F110" s="41">
        <f t="shared" si="3"/>
        <v>0</v>
      </c>
    </row>
    <row r="111" spans="1:8" hidden="1" x14ac:dyDescent="0.2">
      <c r="A111" s="40"/>
      <c r="B111" s="194" t="s">
        <v>92</v>
      </c>
      <c r="C111" s="40" t="s">
        <v>10</v>
      </c>
      <c r="E111" s="41">
        <f>'Equip&amp;HIRE_Master'!D43</f>
        <v>0</v>
      </c>
      <c r="F111" s="41">
        <f t="shared" si="3"/>
        <v>0</v>
      </c>
    </row>
    <row r="112" spans="1:8" hidden="1" x14ac:dyDescent="0.2">
      <c r="A112" s="40"/>
      <c r="B112" s="194" t="s">
        <v>93</v>
      </c>
      <c r="C112" s="40" t="s">
        <v>10</v>
      </c>
      <c r="E112" s="41">
        <f>'Equip&amp;HIRE_Master'!D44</f>
        <v>0</v>
      </c>
      <c r="F112" s="41">
        <f t="shared" si="3"/>
        <v>0</v>
      </c>
    </row>
    <row r="113" spans="1:6" hidden="1" x14ac:dyDescent="0.2">
      <c r="A113" s="40"/>
      <c r="B113" s="194" t="s">
        <v>94</v>
      </c>
      <c r="C113" s="40" t="s">
        <v>10</v>
      </c>
      <c r="E113" s="41">
        <f>'Equip&amp;HIRE_Master'!D45</f>
        <v>0</v>
      </c>
      <c r="F113" s="41">
        <f t="shared" si="3"/>
        <v>0</v>
      </c>
    </row>
    <row r="114" spans="1:6" hidden="1" x14ac:dyDescent="0.2">
      <c r="A114" s="40"/>
      <c r="B114" s="194" t="s">
        <v>95</v>
      </c>
      <c r="C114" s="40" t="s">
        <v>10</v>
      </c>
      <c r="E114" s="41">
        <f>'Equip&amp;HIRE_Master'!D46</f>
        <v>0</v>
      </c>
      <c r="F114" s="41">
        <f t="shared" si="3"/>
        <v>0</v>
      </c>
    </row>
    <row r="115" spans="1:6" hidden="1" x14ac:dyDescent="0.2">
      <c r="A115" s="40"/>
      <c r="B115" s="194" t="s">
        <v>96</v>
      </c>
      <c r="C115" s="40" t="s">
        <v>10</v>
      </c>
      <c r="E115" s="41">
        <f>'Equip&amp;HIRE_Master'!D47</f>
        <v>0</v>
      </c>
      <c r="F115" s="41">
        <f t="shared" si="3"/>
        <v>0</v>
      </c>
    </row>
    <row r="116" spans="1:6" hidden="1" x14ac:dyDescent="0.2">
      <c r="A116" s="40"/>
      <c r="B116" s="194" t="s">
        <v>97</v>
      </c>
      <c r="C116" s="40" t="s">
        <v>10</v>
      </c>
      <c r="E116" s="41">
        <f>'Equip&amp;HIRE_Master'!D48</f>
        <v>0</v>
      </c>
      <c r="F116" s="41">
        <f t="shared" si="3"/>
        <v>0</v>
      </c>
    </row>
    <row r="117" spans="1:6" hidden="1" x14ac:dyDescent="0.2">
      <c r="A117" s="40"/>
      <c r="B117" s="194" t="s">
        <v>98</v>
      </c>
      <c r="C117" s="40" t="s">
        <v>10</v>
      </c>
      <c r="E117" s="41">
        <f>'Equip&amp;HIRE_Master'!D49</f>
        <v>0</v>
      </c>
      <c r="F117" s="41">
        <f t="shared" si="3"/>
        <v>0</v>
      </c>
    </row>
    <row r="118" spans="1:6" hidden="1" x14ac:dyDescent="0.2">
      <c r="A118" s="40"/>
      <c r="B118" s="194" t="s">
        <v>99</v>
      </c>
      <c r="C118" s="40" t="s">
        <v>10</v>
      </c>
      <c r="E118" s="41">
        <f>'Equip&amp;HIRE_Master'!D50</f>
        <v>0</v>
      </c>
      <c r="F118" s="41">
        <f t="shared" si="3"/>
        <v>0</v>
      </c>
    </row>
    <row r="119" spans="1:6" hidden="1" x14ac:dyDescent="0.2">
      <c r="A119" s="40"/>
      <c r="B119" s="194" t="s">
        <v>100</v>
      </c>
      <c r="C119" s="40" t="s">
        <v>10</v>
      </c>
      <c r="E119" s="41">
        <f>'Equip&amp;HIRE_Master'!D51</f>
        <v>0</v>
      </c>
      <c r="F119" s="41">
        <f t="shared" si="3"/>
        <v>0</v>
      </c>
    </row>
    <row r="120" spans="1:6" hidden="1" x14ac:dyDescent="0.2">
      <c r="A120" s="40"/>
      <c r="B120" s="194" t="s">
        <v>101</v>
      </c>
      <c r="C120" s="40" t="s">
        <v>10</v>
      </c>
      <c r="E120" s="41">
        <f>'Equip&amp;HIRE_Master'!D52</f>
        <v>0</v>
      </c>
      <c r="F120" s="41">
        <f t="shared" si="3"/>
        <v>0</v>
      </c>
    </row>
    <row r="121" spans="1:6" ht="6" customHeight="1" x14ac:dyDescent="0.2">
      <c r="A121" s="40"/>
      <c r="B121" s="194"/>
      <c r="E121" s="41">
        <f>'Equip&amp;HIRE_Master'!D53</f>
        <v>0</v>
      </c>
      <c r="F121" s="41">
        <f t="shared" si="3"/>
        <v>0</v>
      </c>
    </row>
    <row r="122" spans="1:6" x14ac:dyDescent="0.2">
      <c r="A122" s="40"/>
      <c r="B122" s="194" t="s">
        <v>102</v>
      </c>
      <c r="C122" s="40" t="s">
        <v>10</v>
      </c>
      <c r="E122" s="41">
        <f>'Equip&amp;HIRE_Master'!D54</f>
        <v>0</v>
      </c>
      <c r="F122" s="41">
        <f t="shared" si="3"/>
        <v>0</v>
      </c>
    </row>
    <row r="123" spans="1:6" x14ac:dyDescent="0.2">
      <c r="A123" s="40"/>
      <c r="B123" s="194" t="s">
        <v>103</v>
      </c>
      <c r="C123" s="40" t="s">
        <v>104</v>
      </c>
      <c r="E123" s="41">
        <f>'Equip&amp;HIRE_Master'!D55</f>
        <v>230</v>
      </c>
      <c r="F123" s="41">
        <f t="shared" si="3"/>
        <v>0</v>
      </c>
    </row>
    <row r="124" spans="1:6" x14ac:dyDescent="0.2">
      <c r="A124" s="40"/>
      <c r="B124" s="194" t="s">
        <v>105</v>
      </c>
      <c r="C124" s="40" t="s">
        <v>106</v>
      </c>
      <c r="E124" s="41">
        <f>'Equip&amp;HIRE_Master'!D56</f>
        <v>309</v>
      </c>
      <c r="F124" s="41">
        <f t="shared" si="3"/>
        <v>0</v>
      </c>
    </row>
    <row r="125" spans="1:6" x14ac:dyDescent="0.2">
      <c r="A125" s="40"/>
      <c r="B125" s="194" t="s">
        <v>107</v>
      </c>
      <c r="C125" s="40" t="s">
        <v>108</v>
      </c>
      <c r="E125" s="41">
        <f>'Equip&amp;HIRE_Master'!D57</f>
        <v>35</v>
      </c>
      <c r="F125" s="41">
        <f t="shared" si="3"/>
        <v>0</v>
      </c>
    </row>
    <row r="126" spans="1:6" x14ac:dyDescent="0.2">
      <c r="A126" s="40"/>
      <c r="B126" s="194" t="s">
        <v>109</v>
      </c>
      <c r="C126" s="40" t="s">
        <v>110</v>
      </c>
      <c r="E126" s="41">
        <f>'Equip&amp;HIRE_Master'!D58</f>
        <v>229.9</v>
      </c>
      <c r="F126" s="41">
        <f t="shared" si="3"/>
        <v>0</v>
      </c>
    </row>
    <row r="127" spans="1:6" x14ac:dyDescent="0.2">
      <c r="A127" s="40"/>
      <c r="B127" s="194" t="s">
        <v>111</v>
      </c>
      <c r="C127" s="40" t="s">
        <v>110</v>
      </c>
      <c r="E127" s="41">
        <f>'Equip&amp;HIRE_Master'!D59</f>
        <v>239.8</v>
      </c>
      <c r="F127" s="41">
        <f t="shared" si="3"/>
        <v>0</v>
      </c>
    </row>
    <row r="128" spans="1:6" x14ac:dyDescent="0.2">
      <c r="A128" s="40"/>
      <c r="B128" s="194" t="s">
        <v>112</v>
      </c>
      <c r="C128" s="40" t="s">
        <v>106</v>
      </c>
      <c r="E128" s="41">
        <f>'Equip&amp;HIRE_Master'!D60</f>
        <v>309</v>
      </c>
      <c r="F128" s="41">
        <f t="shared" si="3"/>
        <v>0</v>
      </c>
    </row>
    <row r="129" spans="1:6" x14ac:dyDescent="0.2">
      <c r="A129" s="40"/>
      <c r="B129" s="194" t="s">
        <v>113</v>
      </c>
      <c r="C129" s="40" t="s">
        <v>108</v>
      </c>
      <c r="E129" s="41">
        <f>'Equip&amp;HIRE_Master'!D61</f>
        <v>35</v>
      </c>
      <c r="F129" s="41">
        <f t="shared" si="3"/>
        <v>0</v>
      </c>
    </row>
    <row r="130" spans="1:6" x14ac:dyDescent="0.2">
      <c r="A130" s="40"/>
      <c r="B130" s="194" t="s">
        <v>114</v>
      </c>
      <c r="C130" s="40" t="s">
        <v>10</v>
      </c>
      <c r="E130" s="41">
        <f>'Equip&amp;HIRE_Master'!D62</f>
        <v>295.77</v>
      </c>
      <c r="F130" s="41">
        <f t="shared" si="3"/>
        <v>0</v>
      </c>
    </row>
    <row r="131" spans="1:6" x14ac:dyDescent="0.2">
      <c r="A131" s="40"/>
      <c r="B131" s="194" t="s">
        <v>115</v>
      </c>
      <c r="C131" s="40" t="s">
        <v>10</v>
      </c>
      <c r="E131" s="41">
        <f>'Equip&amp;HIRE_Master'!D63</f>
        <v>355</v>
      </c>
      <c r="F131" s="41">
        <f t="shared" si="3"/>
        <v>0</v>
      </c>
    </row>
    <row r="132" spans="1:6" ht="6" customHeight="1" x14ac:dyDescent="0.2">
      <c r="A132" s="40"/>
      <c r="B132" s="194"/>
      <c r="E132" s="41">
        <f>'Equip&amp;HIRE_Master'!D64</f>
        <v>0</v>
      </c>
      <c r="F132" s="41">
        <f t="shared" si="3"/>
        <v>0</v>
      </c>
    </row>
    <row r="133" spans="1:6" x14ac:dyDescent="0.2">
      <c r="A133" s="40"/>
      <c r="B133" s="194" t="s">
        <v>116</v>
      </c>
      <c r="C133" s="40" t="s">
        <v>10</v>
      </c>
      <c r="E133" s="41">
        <f>'Equip&amp;HIRE_Master'!D65</f>
        <v>0</v>
      </c>
      <c r="F133" s="41">
        <f t="shared" si="3"/>
        <v>0</v>
      </c>
    </row>
    <row r="134" spans="1:6" x14ac:dyDescent="0.2">
      <c r="A134" s="40"/>
      <c r="B134" s="194" t="s">
        <v>117</v>
      </c>
      <c r="C134" s="40" t="s">
        <v>118</v>
      </c>
      <c r="E134" s="41">
        <f>'Equip&amp;HIRE_Master'!D66</f>
        <v>180</v>
      </c>
      <c r="F134" s="41">
        <f t="shared" si="3"/>
        <v>0</v>
      </c>
    </row>
    <row r="135" spans="1:6" x14ac:dyDescent="0.2">
      <c r="A135" s="40"/>
      <c r="B135" s="194" t="s">
        <v>119</v>
      </c>
      <c r="C135" s="40" t="s">
        <v>118</v>
      </c>
      <c r="E135" s="41">
        <f>'Equip&amp;HIRE_Master'!D67</f>
        <v>125</v>
      </c>
      <c r="F135" s="41">
        <f t="shared" si="3"/>
        <v>0</v>
      </c>
    </row>
    <row r="136" spans="1:6" x14ac:dyDescent="0.2">
      <c r="A136" s="40"/>
      <c r="B136" s="194" t="s">
        <v>120</v>
      </c>
      <c r="C136" s="40" t="s">
        <v>118</v>
      </c>
      <c r="E136" s="41">
        <f>'Equip&amp;HIRE_Master'!D68</f>
        <v>160</v>
      </c>
      <c r="F136" s="41">
        <f t="shared" ref="F136:F137" si="4">E136*D136</f>
        <v>0</v>
      </c>
    </row>
    <row r="137" spans="1:6" x14ac:dyDescent="0.2">
      <c r="A137" s="40"/>
      <c r="B137" s="194" t="s">
        <v>121</v>
      </c>
      <c r="C137" s="40" t="s">
        <v>118</v>
      </c>
      <c r="E137" s="41">
        <f>'Equip&amp;HIRE_Master'!D69</f>
        <v>200</v>
      </c>
      <c r="F137" s="41">
        <f t="shared" si="4"/>
        <v>0</v>
      </c>
    </row>
    <row r="138" spans="1:6" x14ac:dyDescent="0.2">
      <c r="A138" s="40"/>
    </row>
    <row r="139" spans="1:6" x14ac:dyDescent="0.2">
      <c r="A139" s="40"/>
      <c r="B139" s="194" t="s">
        <v>122</v>
      </c>
      <c r="C139" s="40" t="s">
        <v>108</v>
      </c>
      <c r="E139" s="41">
        <v>1850</v>
      </c>
      <c r="F139" s="41">
        <f>E139*D139</f>
        <v>0</v>
      </c>
    </row>
    <row r="140" spans="1:6" ht="10.8" customHeight="1" thickBot="1" x14ac:dyDescent="0.25">
      <c r="A140" s="40"/>
    </row>
    <row r="141" spans="1:6" ht="10.8" customHeight="1" thickBot="1" x14ac:dyDescent="0.25">
      <c r="A141" s="42"/>
      <c r="B141" s="47" t="s">
        <v>123</v>
      </c>
    </row>
    <row r="143" spans="1:6" x14ac:dyDescent="0.2">
      <c r="B143" s="38" t="s">
        <v>124</v>
      </c>
      <c r="C143" s="40" t="s">
        <v>27</v>
      </c>
      <c r="E143" s="41">
        <f>'Misc Subbie Rates_Master'!D35</f>
        <v>180</v>
      </c>
      <c r="F143" s="41">
        <f t="shared" ref="F143:F152" si="5">E143*D143</f>
        <v>0</v>
      </c>
    </row>
    <row r="144" spans="1:6" x14ac:dyDescent="0.2">
      <c r="B144" s="38" t="s">
        <v>125</v>
      </c>
      <c r="C144" s="40" t="s">
        <v>27</v>
      </c>
      <c r="E144" s="41">
        <f>'Misc Subbie Rates_Master'!D42</f>
        <v>130</v>
      </c>
      <c r="F144" s="41">
        <f t="shared" si="5"/>
        <v>0</v>
      </c>
    </row>
    <row r="145" spans="1:8" x14ac:dyDescent="0.2">
      <c r="B145" s="38" t="s">
        <v>126</v>
      </c>
      <c r="C145" s="40" t="s">
        <v>27</v>
      </c>
      <c r="D145" s="40">
        <f>ROUNDUP(C876*'ClubHouse (NBC )'!$D$147/'ClubHouse (NBC )'!$C$955,0)</f>
        <v>3</v>
      </c>
      <c r="E145" s="41">
        <f>'Misc Subbie Rates_Master'!D72</f>
        <v>115</v>
      </c>
      <c r="F145" s="41">
        <f t="shared" si="5"/>
        <v>345</v>
      </c>
      <c r="H145" s="38" t="s">
        <v>1541</v>
      </c>
    </row>
    <row r="146" spans="1:8" x14ac:dyDescent="0.2">
      <c r="B146" s="38" t="s">
        <v>127</v>
      </c>
      <c r="C146" s="40" t="s">
        <v>27</v>
      </c>
      <c r="D146" s="40">
        <f>ROUNDUP(D145/('ClubHouse (NBC )'!$D$147/'ClubHouse (NBC )'!$D$148),0)</f>
        <v>1</v>
      </c>
      <c r="E146" s="41">
        <f>'Misc Subbie Rates_Master'!D73</f>
        <v>90</v>
      </c>
      <c r="F146" s="41">
        <f t="shared" si="5"/>
        <v>90</v>
      </c>
      <c r="H146" s="38" t="s">
        <v>1542</v>
      </c>
    </row>
    <row r="147" spans="1:8" x14ac:dyDescent="0.2">
      <c r="C147" s="40" t="s">
        <v>27</v>
      </c>
      <c r="F147" s="41">
        <f t="shared" si="5"/>
        <v>0</v>
      </c>
    </row>
    <row r="148" spans="1:8" x14ac:dyDescent="0.2">
      <c r="C148" s="40" t="s">
        <v>27</v>
      </c>
      <c r="F148" s="41">
        <f t="shared" si="5"/>
        <v>0</v>
      </c>
    </row>
    <row r="149" spans="1:8" ht="10.5" customHeight="1" x14ac:dyDescent="0.2">
      <c r="B149" s="273" t="s">
        <v>128</v>
      </c>
      <c r="C149" s="40" t="s">
        <v>27</v>
      </c>
      <c r="F149" s="41">
        <f t="shared" si="5"/>
        <v>0</v>
      </c>
    </row>
    <row r="150" spans="1:8" x14ac:dyDescent="0.2">
      <c r="B150" s="1" t="s">
        <v>129</v>
      </c>
      <c r="C150" s="40" t="s">
        <v>27</v>
      </c>
      <c r="E150" s="41">
        <f>'Misc Subbie Rates_Master'!D84</f>
        <v>1945</v>
      </c>
      <c r="F150" s="41">
        <f t="shared" si="5"/>
        <v>0</v>
      </c>
    </row>
    <row r="151" spans="1:8" x14ac:dyDescent="0.2">
      <c r="B151" s="38" t="s">
        <v>130</v>
      </c>
      <c r="C151" s="40" t="s">
        <v>27</v>
      </c>
      <c r="E151" s="41">
        <f>'Misc Subbie Rates_Master'!D86</f>
        <v>350</v>
      </c>
      <c r="F151" s="41">
        <f t="shared" si="5"/>
        <v>0</v>
      </c>
    </row>
    <row r="152" spans="1:8" ht="12.45" customHeight="1" x14ac:dyDescent="0.25">
      <c r="B152" t="s">
        <v>131</v>
      </c>
      <c r="C152" t="s">
        <v>132</v>
      </c>
      <c r="D152">
        <v>1</v>
      </c>
      <c r="E152" s="41">
        <v>800</v>
      </c>
      <c r="F152" s="41">
        <f t="shared" si="5"/>
        <v>800</v>
      </c>
      <c r="H152" s="457" t="s">
        <v>133</v>
      </c>
    </row>
    <row r="153" spans="1:8" ht="10.8" customHeight="1" thickBot="1" x14ac:dyDescent="0.25"/>
    <row r="154" spans="1:8" ht="10.8" customHeight="1" thickBot="1" x14ac:dyDescent="0.25">
      <c r="A154" s="42"/>
      <c r="B154" s="47" t="s">
        <v>134</v>
      </c>
    </row>
    <row r="156" spans="1:8" ht="12.45" hidden="1" customHeight="1" x14ac:dyDescent="0.25">
      <c r="B156" s="38" t="str">
        <f>'Material Rates_Master'!A185</f>
        <v>Bedding / Fill Sand</v>
      </c>
      <c r="C156" s="40" t="str">
        <f>'Material Rates_Master'!B185</f>
        <v>m3</v>
      </c>
      <c r="D156">
        <f>I892</f>
        <v>13.487039999999997</v>
      </c>
      <c r="E156" s="41">
        <f>'Material Rates_Master'!D185</f>
        <v>39.75</v>
      </c>
      <c r="F156" s="41">
        <f t="shared" ref="F156:F164" si="6">E156*D156</f>
        <v>536.10983999999985</v>
      </c>
      <c r="H156" s="457" t="s">
        <v>135</v>
      </c>
    </row>
    <row r="157" spans="1:8" hidden="1" x14ac:dyDescent="0.2">
      <c r="B157" s="38" t="str">
        <f>'Material Rates_Master'!A186</f>
        <v>CBR 45/2.5 Roadbase</v>
      </c>
      <c r="C157" s="40" t="str">
        <f>'Material Rates_Master'!B186</f>
        <v>m3</v>
      </c>
      <c r="E157" s="41">
        <f>'Material Rates_Master'!D186</f>
        <v>41.9</v>
      </c>
      <c r="F157" s="41">
        <f t="shared" si="6"/>
        <v>0</v>
      </c>
    </row>
    <row r="158" spans="1:8" hidden="1" x14ac:dyDescent="0.2">
      <c r="B158" s="38" t="str">
        <f>'Material Rates_Master'!A187</f>
        <v>Turf Underlay/Topsoil</v>
      </c>
      <c r="C158" s="40" t="str">
        <f>'Material Rates_Master'!B187</f>
        <v>m3</v>
      </c>
      <c r="E158" s="41">
        <f>'Material Rates_Master'!D187</f>
        <v>45.25</v>
      </c>
      <c r="F158" s="41">
        <f t="shared" si="6"/>
        <v>0</v>
      </c>
    </row>
    <row r="159" spans="1:8" hidden="1" x14ac:dyDescent="0.2">
      <c r="B159" s="38" t="str">
        <f>'Material Rates_Master'!A188</f>
        <v>Standard Garden Woodchip</v>
      </c>
      <c r="C159" s="40" t="str">
        <f>'Material Rates_Master'!B188</f>
        <v>m3</v>
      </c>
      <c r="E159" s="41">
        <f>'Material Rates_Master'!D188</f>
        <v>87</v>
      </c>
      <c r="F159" s="41">
        <f t="shared" si="6"/>
        <v>0</v>
      </c>
    </row>
    <row r="160" spans="1:8" hidden="1" x14ac:dyDescent="0.2">
      <c r="B160" s="38" t="str">
        <f>'Material Rates_Master'!A189</f>
        <v>Turf - Standard Couch or Similar</v>
      </c>
      <c r="C160" s="40" t="str">
        <f>'Material Rates_Master'!B189</f>
        <v>Slab (.5m2)</v>
      </c>
      <c r="E160" s="41">
        <f>'Material Rates_Master'!D189</f>
        <v>6.48</v>
      </c>
      <c r="F160" s="41">
        <f t="shared" si="6"/>
        <v>0</v>
      </c>
    </row>
    <row r="161" spans="1:10" ht="4.2" hidden="1" customHeight="1" x14ac:dyDescent="0.25">
      <c r="B161" t="s">
        <v>136</v>
      </c>
      <c r="C161" t="s">
        <v>132</v>
      </c>
      <c r="D161">
        <v>1</v>
      </c>
      <c r="E161" s="41">
        <f>M892</f>
        <v>202.3056</v>
      </c>
      <c r="F161" s="41">
        <f t="shared" si="6"/>
        <v>202.3056</v>
      </c>
      <c r="H161" s="457" t="s">
        <v>137</v>
      </c>
    </row>
    <row r="162" spans="1:10" hidden="1" x14ac:dyDescent="0.2">
      <c r="B162" s="38" t="str">
        <f>'Material Rates_Master'!A193</f>
        <v>Cement Stabalized Sand (3-5%)</v>
      </c>
      <c r="C162" s="40" t="str">
        <f>'Material Rates_Master'!B193</f>
        <v>m3</v>
      </c>
      <c r="E162" s="41">
        <f>'Material Rates_Master'!D193</f>
        <v>169</v>
      </c>
      <c r="F162" s="41">
        <f t="shared" si="6"/>
        <v>0</v>
      </c>
    </row>
    <row r="163" spans="1:10" hidden="1" x14ac:dyDescent="0.2">
      <c r="B163" s="38" t="str">
        <f>'Material Rates_Master'!A194</f>
        <v>Exposed Agg Concrete - Standard/Cheapest Exposed Agg Stone</v>
      </c>
      <c r="C163" s="40" t="str">
        <f>'Material Rates_Master'!B194</f>
        <v>m3</v>
      </c>
      <c r="E163" s="41">
        <f>'Material Rates_Master'!D194</f>
        <v>252</v>
      </c>
      <c r="F163" s="41">
        <f t="shared" si="6"/>
        <v>0</v>
      </c>
    </row>
    <row r="164" spans="1:10" hidden="1" x14ac:dyDescent="0.2">
      <c r="B164" s="38" t="str">
        <f>'Material Rates_Master'!A195</f>
        <v>N25 20mm 80 Slump Concrete</v>
      </c>
      <c r="C164" s="40" t="str">
        <f>'Material Rates_Master'!B195</f>
        <v>m3</v>
      </c>
      <c r="E164" s="41">
        <f>'Material Rates_Master'!D195</f>
        <v>263</v>
      </c>
      <c r="F164" s="41">
        <f t="shared" si="6"/>
        <v>0</v>
      </c>
    </row>
    <row r="165" spans="1:10" hidden="1" x14ac:dyDescent="0.2"/>
    <row r="166" spans="1:10" hidden="1" x14ac:dyDescent="0.2">
      <c r="B166" s="38" t="s">
        <v>138</v>
      </c>
      <c r="C166" s="40" t="s">
        <v>27</v>
      </c>
      <c r="E166" s="41">
        <v>380</v>
      </c>
      <c r="F166" s="41">
        <f>E166*D166</f>
        <v>0</v>
      </c>
    </row>
    <row r="168" spans="1:10" x14ac:dyDescent="0.2">
      <c r="B168" s="194"/>
      <c r="C168" s="38"/>
      <c r="D168" s="38"/>
      <c r="E168" s="38"/>
      <c r="F168" s="38"/>
    </row>
    <row r="169" spans="1:10" ht="10.5" customHeight="1" x14ac:dyDescent="0.2">
      <c r="A169" s="42"/>
      <c r="B169" s="314" t="s">
        <v>139</v>
      </c>
    </row>
    <row r="171" spans="1:10" ht="13.2" customHeight="1" x14ac:dyDescent="0.2">
      <c r="A171" s="40"/>
      <c r="B171" s="287" t="s">
        <v>140</v>
      </c>
      <c r="C171" s="40" t="str">
        <f>'Material Rates_Master'!B5</f>
        <v>m</v>
      </c>
      <c r="D171" s="281"/>
      <c r="E171" s="41">
        <f>'Material Rates_Master'!D5*$M$16</f>
        <v>46.810749999999985</v>
      </c>
      <c r="F171" s="41">
        <f>E171*D171</f>
        <v>0</v>
      </c>
      <c r="H171" s="20"/>
      <c r="I171" s="46"/>
      <c r="J171" s="46"/>
    </row>
    <row r="172" spans="1:10" x14ac:dyDescent="0.2">
      <c r="A172" s="40"/>
      <c r="B172" s="287" t="s">
        <v>141</v>
      </c>
      <c r="C172" s="40" t="str">
        <f>'Material Rates_Master'!B6</f>
        <v>m</v>
      </c>
      <c r="D172" s="229"/>
      <c r="E172" s="41">
        <f>'Material Rates_Master'!D6*$M$16</f>
        <v>35.143999999999998</v>
      </c>
      <c r="F172" s="41">
        <f>E172*D172</f>
        <v>0</v>
      </c>
      <c r="H172" s="20"/>
    </row>
    <row r="173" spans="1:10" x14ac:dyDescent="0.2">
      <c r="A173" s="40"/>
      <c r="B173" s="287" t="s">
        <v>142</v>
      </c>
      <c r="C173" s="40" t="str">
        <f>'Material Rates_Master'!B7</f>
        <v>m</v>
      </c>
      <c r="D173" s="37"/>
      <c r="E173" s="41">
        <f>'Material Rates_Master'!D7*$M$16</f>
        <v>16.993550000000003</v>
      </c>
      <c r="F173" s="41">
        <f>E173*D173</f>
        <v>0</v>
      </c>
      <c r="H173" s="20"/>
    </row>
    <row r="174" spans="1:10" x14ac:dyDescent="0.2">
      <c r="A174" s="40"/>
      <c r="B174" s="287" t="s">
        <v>143</v>
      </c>
      <c r="C174" s="40" t="str">
        <f>'Material Rates_Master'!B8</f>
        <v>m</v>
      </c>
      <c r="D174" s="37"/>
      <c r="E174" s="41">
        <f>'Material Rates_Master'!D8*$M$16</f>
        <v>1.6779419999999998</v>
      </c>
      <c r="F174" s="41">
        <f>E174*D174</f>
        <v>0</v>
      </c>
      <c r="H174" s="20"/>
    </row>
    <row r="175" spans="1:10" ht="4.2" customHeight="1" x14ac:dyDescent="0.2">
      <c r="A175" s="40"/>
      <c r="B175" s="287"/>
      <c r="E175" s="41">
        <f>'Material Rates_Master'!D9*$M$16</f>
        <v>0</v>
      </c>
      <c r="H175" s="20"/>
    </row>
    <row r="176" spans="1:10" x14ac:dyDescent="0.2">
      <c r="A176" s="40"/>
      <c r="B176" s="287" t="s">
        <v>144</v>
      </c>
      <c r="C176" s="40" t="str">
        <f>'Material Rates_Master'!B10</f>
        <v>ea</v>
      </c>
      <c r="D176" s="229"/>
      <c r="E176" s="41">
        <f>'Material Rates_Master'!D10*$M$16</f>
        <v>60.802799999999998</v>
      </c>
      <c r="F176" s="41">
        <f t="shared" ref="F176:F207" si="7">E176*D176</f>
        <v>0</v>
      </c>
      <c r="H176" s="20"/>
    </row>
    <row r="177" spans="1:8" x14ac:dyDescent="0.2">
      <c r="A177" s="40"/>
      <c r="B177" s="287" t="s">
        <v>145</v>
      </c>
      <c r="C177" s="40" t="str">
        <f>'Material Rates_Master'!B11</f>
        <v>ea</v>
      </c>
      <c r="D177" s="37"/>
      <c r="E177" s="41">
        <f>'Material Rates_Master'!D11*$M$16</f>
        <v>35.493599999999994</v>
      </c>
      <c r="F177" s="41">
        <f t="shared" si="7"/>
        <v>0</v>
      </c>
      <c r="H177" s="20"/>
    </row>
    <row r="178" spans="1:8" x14ac:dyDescent="0.2">
      <c r="A178" s="40"/>
      <c r="B178" s="287" t="s">
        <v>146</v>
      </c>
      <c r="C178" s="40" t="str">
        <f>'Material Rates_Master'!B12</f>
        <v>ea</v>
      </c>
      <c r="D178" s="229"/>
      <c r="E178" s="41">
        <f>'Material Rates_Master'!D12*$M$16</f>
        <v>19.471799999999998</v>
      </c>
      <c r="F178" s="41">
        <f t="shared" si="7"/>
        <v>0</v>
      </c>
      <c r="H178" s="20"/>
    </row>
    <row r="179" spans="1:8" x14ac:dyDescent="0.2">
      <c r="A179" s="40"/>
      <c r="B179" s="287" t="s">
        <v>147</v>
      </c>
      <c r="C179" s="40" t="str">
        <f>'Material Rates_Master'!B13</f>
        <v>ea</v>
      </c>
      <c r="D179" s="229"/>
      <c r="E179" s="41">
        <f>'Material Rates_Master'!D13*$M$16</f>
        <v>150.64079999999998</v>
      </c>
      <c r="F179" s="41">
        <f t="shared" si="7"/>
        <v>0</v>
      </c>
      <c r="H179" s="20"/>
    </row>
    <row r="180" spans="1:8" x14ac:dyDescent="0.2">
      <c r="A180" s="40"/>
      <c r="B180" s="287" t="s">
        <v>148</v>
      </c>
      <c r="C180" s="40" t="str">
        <f>'Material Rates_Master'!B14</f>
        <v>ea</v>
      </c>
      <c r="D180" s="229"/>
      <c r="E180" s="41">
        <f>'Material Rates_Master'!D14*$M$16</f>
        <v>135.1986</v>
      </c>
      <c r="F180" s="41">
        <f t="shared" si="7"/>
        <v>0</v>
      </c>
      <c r="H180" s="20"/>
    </row>
    <row r="181" spans="1:8" x14ac:dyDescent="0.2">
      <c r="A181" s="40"/>
      <c r="B181" s="287" t="s">
        <v>149</v>
      </c>
      <c r="C181" s="40" t="str">
        <f>'Material Rates_Master'!B15</f>
        <v>ea</v>
      </c>
      <c r="D181" s="229"/>
      <c r="E181" s="41">
        <f>'Material Rates_Master'!D15*$M$16</f>
        <v>61.672199999999989</v>
      </c>
      <c r="F181" s="41">
        <f t="shared" si="7"/>
        <v>0</v>
      </c>
      <c r="H181" s="20"/>
    </row>
    <row r="182" spans="1:8" x14ac:dyDescent="0.2">
      <c r="A182" s="40"/>
      <c r="B182" s="287" t="s">
        <v>150</v>
      </c>
      <c r="C182" s="40" t="str">
        <f>'Material Rates_Master'!B16</f>
        <v>ea</v>
      </c>
      <c r="D182" s="229"/>
      <c r="E182" s="41">
        <f>'Material Rates_Master'!D16*$M$16</f>
        <v>150.64079999999998</v>
      </c>
      <c r="F182" s="41">
        <f t="shared" si="7"/>
        <v>0</v>
      </c>
      <c r="H182" s="20"/>
    </row>
    <row r="183" spans="1:8" x14ac:dyDescent="0.2">
      <c r="A183" s="40"/>
      <c r="B183" s="287" t="s">
        <v>151</v>
      </c>
      <c r="C183" s="40" t="str">
        <f>'Material Rates_Master'!B17</f>
        <v>ea</v>
      </c>
      <c r="D183" s="229"/>
      <c r="E183" s="41">
        <f>'Material Rates_Master'!D17*$M$16</f>
        <v>134.9778</v>
      </c>
      <c r="F183" s="41">
        <f t="shared" si="7"/>
        <v>0</v>
      </c>
      <c r="H183" s="20"/>
    </row>
    <row r="184" spans="1:8" x14ac:dyDescent="0.2">
      <c r="A184" s="40"/>
      <c r="B184" s="287" t="s">
        <v>152</v>
      </c>
      <c r="C184" s="40" t="str">
        <f>'Material Rates_Master'!B18</f>
        <v>ea</v>
      </c>
      <c r="D184" s="229"/>
      <c r="E184" s="41">
        <f>'Material Rates_Master'!D18*$M$16</f>
        <v>61.61699999999999</v>
      </c>
      <c r="F184" s="41">
        <f t="shared" si="7"/>
        <v>0</v>
      </c>
      <c r="H184" s="20"/>
    </row>
    <row r="185" spans="1:8" x14ac:dyDescent="0.2">
      <c r="A185" s="40"/>
      <c r="B185" s="287" t="s">
        <v>153</v>
      </c>
      <c r="C185" s="40" t="str">
        <f>'Material Rates_Master'!B19</f>
        <v>ea</v>
      </c>
      <c r="D185" s="229"/>
      <c r="E185" s="41">
        <f>'Material Rates_Master'!D19*$M$16</f>
        <v>151.45499999999998</v>
      </c>
      <c r="F185" s="41">
        <f t="shared" si="7"/>
        <v>0</v>
      </c>
      <c r="H185" s="20"/>
    </row>
    <row r="186" spans="1:8" x14ac:dyDescent="0.2">
      <c r="A186" s="40"/>
      <c r="B186" s="287" t="s">
        <v>154</v>
      </c>
      <c r="C186" s="40" t="str">
        <f>'Material Rates_Master'!B20</f>
        <v>ea</v>
      </c>
      <c r="D186" s="229"/>
      <c r="E186" s="41">
        <f>'Material Rates_Master'!D20*$M$16</f>
        <v>157.7064</v>
      </c>
      <c r="F186" s="41">
        <f t="shared" si="7"/>
        <v>0</v>
      </c>
      <c r="H186" s="20"/>
    </row>
    <row r="187" spans="1:8" x14ac:dyDescent="0.2">
      <c r="A187" s="40"/>
      <c r="B187" s="287" t="s">
        <v>155</v>
      </c>
      <c r="C187" s="40" t="str">
        <f>'Material Rates_Master'!B21</f>
        <v>ea</v>
      </c>
      <c r="D187" s="229"/>
      <c r="E187" s="41">
        <f>'Material Rates_Master'!D21*$M$16</f>
        <v>67.964999999999989</v>
      </c>
      <c r="F187" s="41">
        <f t="shared" si="7"/>
        <v>0</v>
      </c>
      <c r="H187" s="20"/>
    </row>
    <row r="188" spans="1:8" x14ac:dyDescent="0.2">
      <c r="A188" s="40"/>
      <c r="B188" s="287" t="s">
        <v>156</v>
      </c>
      <c r="C188" s="40" t="str">
        <f>'Material Rates_Master'!B22</f>
        <v>ea</v>
      </c>
      <c r="D188" s="229"/>
      <c r="E188" s="41">
        <f>'Material Rates_Master'!D22*$M$16</f>
        <v>289.0686</v>
      </c>
      <c r="F188" s="41">
        <f t="shared" si="7"/>
        <v>0</v>
      </c>
      <c r="H188" s="20"/>
    </row>
    <row r="189" spans="1:8" x14ac:dyDescent="0.2">
      <c r="A189" s="40"/>
      <c r="B189" s="287" t="s">
        <v>157</v>
      </c>
      <c r="C189" s="40" t="str">
        <f>'Material Rates_Master'!B23</f>
        <v>ea</v>
      </c>
      <c r="D189" s="229"/>
      <c r="E189" s="41">
        <f>'Material Rates_Master'!D23*$M$16</f>
        <v>301.41959999999995</v>
      </c>
      <c r="F189" s="41">
        <f t="shared" si="7"/>
        <v>0</v>
      </c>
      <c r="H189" s="20"/>
    </row>
    <row r="190" spans="1:8" x14ac:dyDescent="0.2">
      <c r="A190" s="40"/>
      <c r="B190" s="287" t="s">
        <v>158</v>
      </c>
      <c r="C190" s="40" t="str">
        <f>'Material Rates_Master'!B24</f>
        <v>ea</v>
      </c>
      <c r="D190" s="229"/>
      <c r="E190" s="41">
        <f>'Material Rates_Master'!D24*$M$16</f>
        <v>168.53939999999997</v>
      </c>
      <c r="F190" s="41">
        <f t="shared" si="7"/>
        <v>0</v>
      </c>
      <c r="H190" s="20"/>
    </row>
    <row r="191" spans="1:8" x14ac:dyDescent="0.2">
      <c r="A191" s="40"/>
      <c r="B191" s="287" t="s">
        <v>159</v>
      </c>
      <c r="C191" s="40" t="str">
        <f>'Material Rates_Master'!B25</f>
        <v>ea</v>
      </c>
      <c r="D191" s="229"/>
      <c r="E191" s="41">
        <f>'Material Rates_Master'!D25*$M$16</f>
        <v>173.35559999999998</v>
      </c>
      <c r="F191" s="41">
        <f t="shared" si="7"/>
        <v>0</v>
      </c>
      <c r="H191" s="20"/>
    </row>
    <row r="192" spans="1:8" x14ac:dyDescent="0.2">
      <c r="A192" s="40"/>
      <c r="B192" s="287" t="s">
        <v>160</v>
      </c>
      <c r="C192" s="40" t="str">
        <f>'Material Rates_Master'!B26</f>
        <v>ea</v>
      </c>
      <c r="D192" s="229"/>
      <c r="E192" s="41">
        <f>'Material Rates_Master'!D26*$M$16</f>
        <v>82.938000000000002</v>
      </c>
      <c r="F192" s="41">
        <f t="shared" si="7"/>
        <v>0</v>
      </c>
      <c r="H192" s="20"/>
    </row>
    <row r="193" spans="1:8" x14ac:dyDescent="0.2">
      <c r="A193" s="40"/>
      <c r="B193" s="287" t="s">
        <v>161</v>
      </c>
      <c r="C193" s="40" t="str">
        <f>'Material Rates_Master'!B27</f>
        <v>ea</v>
      </c>
      <c r="D193" s="229"/>
      <c r="E193" s="41">
        <f>'Material Rates_Master'!D27*$M$16</f>
        <v>472.44299999999998</v>
      </c>
      <c r="F193" s="41">
        <f t="shared" si="7"/>
        <v>0</v>
      </c>
      <c r="H193" s="20"/>
    </row>
    <row r="194" spans="1:8" x14ac:dyDescent="0.2">
      <c r="A194" s="40"/>
      <c r="B194" s="287" t="s">
        <v>162</v>
      </c>
      <c r="C194" s="40" t="str">
        <f>'Material Rates_Master'!B28</f>
        <v>ea</v>
      </c>
      <c r="D194" s="229"/>
      <c r="E194" s="41">
        <f>'Material Rates_Master'!D28*$M$16</f>
        <v>179.08260000000001</v>
      </c>
      <c r="F194" s="41">
        <f t="shared" si="7"/>
        <v>0</v>
      </c>
      <c r="H194" s="20"/>
    </row>
    <row r="195" spans="1:8" x14ac:dyDescent="0.2">
      <c r="A195" s="40"/>
      <c r="B195" s="287" t="s">
        <v>163</v>
      </c>
      <c r="C195" s="40" t="str">
        <f>'Material Rates_Master'!B29</f>
        <v>ea</v>
      </c>
      <c r="D195" s="229"/>
      <c r="E195" s="41">
        <f>'Material Rates_Master'!D29*$M$16</f>
        <v>127.88459999999999</v>
      </c>
      <c r="F195" s="41">
        <f t="shared" si="7"/>
        <v>0</v>
      </c>
      <c r="H195" s="20"/>
    </row>
    <row r="196" spans="1:8" x14ac:dyDescent="0.2">
      <c r="A196" s="40"/>
      <c r="B196" s="287" t="s">
        <v>164</v>
      </c>
      <c r="C196" s="40" t="str">
        <f>'Material Rates_Master'!B30</f>
        <v>ea</v>
      </c>
      <c r="D196" s="229"/>
      <c r="E196" s="41">
        <f>'Material Rates_Master'!D30*$M$16</f>
        <v>432.20219999999995</v>
      </c>
      <c r="F196" s="41">
        <f t="shared" si="7"/>
        <v>0</v>
      </c>
      <c r="H196" s="20"/>
    </row>
    <row r="197" spans="1:8" x14ac:dyDescent="0.2">
      <c r="A197" s="40"/>
      <c r="B197" s="287" t="s">
        <v>165</v>
      </c>
      <c r="C197" s="40" t="str">
        <f>'Material Rates_Master'!B31</f>
        <v>ea</v>
      </c>
      <c r="D197" s="229"/>
      <c r="E197" s="41">
        <f>'Material Rates_Master'!D31*$M$16</f>
        <v>281.67180000000002</v>
      </c>
      <c r="F197" s="41">
        <f t="shared" si="7"/>
        <v>0</v>
      </c>
      <c r="H197" s="20"/>
    </row>
    <row r="198" spans="1:8" ht="6" customHeight="1" x14ac:dyDescent="0.2">
      <c r="A198" s="40"/>
      <c r="B198" s="287"/>
      <c r="C198" s="40">
        <f>'Material Rates_Master'!B32</f>
        <v>0</v>
      </c>
      <c r="E198" s="41">
        <f>'Material Rates_Master'!D32*$M$16</f>
        <v>0</v>
      </c>
      <c r="F198" s="41">
        <f t="shared" si="7"/>
        <v>0</v>
      </c>
      <c r="H198" s="20"/>
    </row>
    <row r="199" spans="1:8" x14ac:dyDescent="0.2">
      <c r="A199" s="40"/>
      <c r="B199" s="1" t="s">
        <v>166</v>
      </c>
      <c r="C199" s="40" t="str">
        <f>'Material Rates_Master'!B33</f>
        <v>ea</v>
      </c>
      <c r="E199" s="41">
        <f>'Material Rates_Master'!D33*$M$16</f>
        <v>435.67979999999994</v>
      </c>
      <c r="F199" s="41">
        <f t="shared" si="7"/>
        <v>0</v>
      </c>
      <c r="H199" s="20"/>
    </row>
    <row r="200" spans="1:8" x14ac:dyDescent="0.2">
      <c r="A200" s="40"/>
      <c r="B200" s="1" t="s">
        <v>167</v>
      </c>
      <c r="C200" s="40" t="str">
        <f>'Material Rates_Master'!B34</f>
        <v>ea</v>
      </c>
      <c r="E200" s="41">
        <f>'Material Rates_Master'!D34*$M$16</f>
        <v>277.97339999999997</v>
      </c>
      <c r="F200" s="41">
        <f t="shared" si="7"/>
        <v>0</v>
      </c>
      <c r="H200" s="20"/>
    </row>
    <row r="201" spans="1:8" x14ac:dyDescent="0.2">
      <c r="A201" s="40"/>
      <c r="B201" s="287" t="s">
        <v>168</v>
      </c>
      <c r="C201" s="40" t="str">
        <f>'Material Rates_Master'!B35</f>
        <v>ea</v>
      </c>
      <c r="D201" s="229"/>
      <c r="E201" s="41">
        <f>'Material Rates_Master'!D35*$M$16</f>
        <v>94.5852</v>
      </c>
      <c r="F201" s="41">
        <f t="shared" si="7"/>
        <v>0</v>
      </c>
      <c r="H201" s="20"/>
    </row>
    <row r="202" spans="1:8" x14ac:dyDescent="0.2">
      <c r="A202" s="40"/>
      <c r="B202" s="287" t="s">
        <v>169</v>
      </c>
      <c r="C202" s="40" t="str">
        <f>'Material Rates_Master'!B36</f>
        <v>ea</v>
      </c>
      <c r="D202" s="229"/>
      <c r="E202" s="41">
        <f>'Material Rates_Master'!D36*$M$16</f>
        <v>88.954799999999977</v>
      </c>
      <c r="F202" s="41">
        <f t="shared" si="7"/>
        <v>0</v>
      </c>
      <c r="H202" s="20"/>
    </row>
    <row r="203" spans="1:8" x14ac:dyDescent="0.2">
      <c r="A203" s="40"/>
      <c r="B203" s="287" t="s">
        <v>170</v>
      </c>
      <c r="C203" s="40" t="str">
        <f>'Material Rates_Master'!B37</f>
        <v>ea</v>
      </c>
      <c r="D203" s="229"/>
      <c r="E203" s="41">
        <f>'Material Rates_Master'!D37*$M$16</f>
        <v>53.488799999999991</v>
      </c>
      <c r="F203" s="41">
        <f t="shared" si="7"/>
        <v>0</v>
      </c>
      <c r="H203" s="20"/>
    </row>
    <row r="204" spans="1:8" x14ac:dyDescent="0.2">
      <c r="A204" s="40"/>
      <c r="B204" s="287" t="s">
        <v>171</v>
      </c>
      <c r="C204" s="40" t="str">
        <f>'Material Rates_Master'!B38</f>
        <v>ea</v>
      </c>
      <c r="D204" s="229"/>
      <c r="E204" s="41">
        <f>'Material Rates_Master'!D38*$M$16</f>
        <v>118.91459999999999</v>
      </c>
      <c r="F204" s="41">
        <f t="shared" si="7"/>
        <v>0</v>
      </c>
      <c r="H204" s="20"/>
    </row>
    <row r="205" spans="1:8" x14ac:dyDescent="0.2">
      <c r="A205" s="40"/>
      <c r="B205" s="287" t="s">
        <v>172</v>
      </c>
      <c r="C205" s="40" t="str">
        <f>'Material Rates_Master'!B39</f>
        <v>ea</v>
      </c>
      <c r="D205" s="229"/>
      <c r="E205" s="41">
        <f>'Material Rates_Master'!D39*$M$16</f>
        <v>93.991799999999998</v>
      </c>
      <c r="F205" s="41">
        <f t="shared" si="7"/>
        <v>0</v>
      </c>
      <c r="H205" s="20"/>
    </row>
    <row r="206" spans="1:8" x14ac:dyDescent="0.2">
      <c r="A206" s="40"/>
      <c r="B206" s="287" t="s">
        <v>173</v>
      </c>
      <c r="C206" s="40" t="str">
        <f>'Material Rates_Master'!B40</f>
        <v>ea</v>
      </c>
      <c r="D206" s="229"/>
      <c r="E206" s="41">
        <f>'Material Rates_Master'!D40*$M$16</f>
        <v>43.676999999999992</v>
      </c>
      <c r="F206" s="41">
        <f t="shared" si="7"/>
        <v>0</v>
      </c>
      <c r="H206" s="20"/>
    </row>
    <row r="207" spans="1:8" x14ac:dyDescent="0.2">
      <c r="A207" s="40"/>
      <c r="B207" s="287" t="s">
        <v>174</v>
      </c>
      <c r="C207" s="40" t="str">
        <f>'Material Rates_Master'!B41</f>
        <v>ea</v>
      </c>
      <c r="D207" s="229"/>
      <c r="E207" s="41">
        <f>'Material Rates_Master'!D41*$M$16</f>
        <v>176.14319999999998</v>
      </c>
      <c r="F207" s="41">
        <f t="shared" si="7"/>
        <v>0</v>
      </c>
      <c r="H207" s="20"/>
    </row>
    <row r="208" spans="1:8" x14ac:dyDescent="0.2">
      <c r="A208" s="40"/>
      <c r="B208" s="287" t="s">
        <v>175</v>
      </c>
      <c r="C208" s="40" t="str">
        <f>'Material Rates_Master'!B42</f>
        <v>ea</v>
      </c>
      <c r="D208" s="229"/>
      <c r="E208" s="41">
        <f>'Material Rates_Master'!D42*$M$16</f>
        <v>157.62359999999998</v>
      </c>
      <c r="F208" s="41">
        <f t="shared" ref="F208:F239" si="8">E208*D208</f>
        <v>0</v>
      </c>
      <c r="H208" s="20"/>
    </row>
    <row r="209" spans="1:8" x14ac:dyDescent="0.2">
      <c r="A209" s="40"/>
      <c r="B209" s="287" t="s">
        <v>176</v>
      </c>
      <c r="C209" s="40" t="str">
        <f>'Material Rates_Master'!B43</f>
        <v>ea</v>
      </c>
      <c r="D209" s="229"/>
      <c r="E209" s="41">
        <f>'Material Rates_Master'!D43*$M$16</f>
        <v>52.798799999999993</v>
      </c>
      <c r="F209" s="41">
        <f t="shared" si="8"/>
        <v>0</v>
      </c>
      <c r="H209" s="20"/>
    </row>
    <row r="210" spans="1:8" x14ac:dyDescent="0.2">
      <c r="A210" s="40"/>
      <c r="B210" s="287" t="s">
        <v>177</v>
      </c>
      <c r="C210" s="40" t="str">
        <f>'Material Rates_Master'!B44</f>
        <v>ea</v>
      </c>
      <c r="D210" s="229"/>
      <c r="E210" s="41">
        <f>'Material Rates_Master'!D44*$M$16</f>
        <v>253.20239999999995</v>
      </c>
      <c r="F210" s="41">
        <f t="shared" si="8"/>
        <v>0</v>
      </c>
      <c r="H210" s="20"/>
    </row>
    <row r="211" spans="1:8" x14ac:dyDescent="0.2">
      <c r="A211" s="40"/>
      <c r="B211" s="287" t="s">
        <v>178</v>
      </c>
      <c r="C211" s="40" t="str">
        <f>'Material Rates_Master'!B45</f>
        <v>ea</v>
      </c>
      <c r="D211" s="229"/>
      <c r="E211" s="41">
        <f>'Material Rates_Master'!D45*$M$16</f>
        <v>265.55340000000001</v>
      </c>
      <c r="F211" s="41">
        <f t="shared" si="8"/>
        <v>0</v>
      </c>
      <c r="H211" s="20"/>
    </row>
    <row r="212" spans="1:8" x14ac:dyDescent="0.2">
      <c r="A212" s="40"/>
      <c r="B212" s="287" t="s">
        <v>179</v>
      </c>
      <c r="C212" s="40" t="str">
        <f>'Material Rates_Master'!B46</f>
        <v>ea</v>
      </c>
      <c r="D212" s="229"/>
      <c r="E212" s="41">
        <f>'Material Rates_Master'!D46*$M$16</f>
        <v>256.27979999999997</v>
      </c>
      <c r="F212" s="41">
        <f t="shared" si="8"/>
        <v>0</v>
      </c>
      <c r="H212" s="20"/>
    </row>
    <row r="213" spans="1:8" x14ac:dyDescent="0.2">
      <c r="A213" s="40"/>
      <c r="B213" s="287" t="s">
        <v>180</v>
      </c>
      <c r="C213" s="40" t="str">
        <f>'Material Rates_Master'!B47</f>
        <v>ea</v>
      </c>
      <c r="D213" s="229"/>
      <c r="E213" s="41">
        <f>'Material Rates_Master'!D47*$M$16</f>
        <v>77.059200000000004</v>
      </c>
      <c r="F213" s="41">
        <f t="shared" si="8"/>
        <v>0</v>
      </c>
      <c r="H213" s="20"/>
    </row>
    <row r="214" spans="1:8" x14ac:dyDescent="0.2">
      <c r="A214" s="40"/>
      <c r="B214" s="287" t="s">
        <v>181</v>
      </c>
      <c r="C214" s="40" t="str">
        <f>'Material Rates_Master'!B48</f>
        <v>ea</v>
      </c>
      <c r="D214" s="229"/>
      <c r="E214" s="41">
        <f>'Material Rates_Master'!D48*$M$16</f>
        <v>54.965399999999995</v>
      </c>
      <c r="F214" s="41">
        <f t="shared" si="8"/>
        <v>0</v>
      </c>
      <c r="H214" s="20"/>
    </row>
    <row r="215" spans="1:8" ht="6.6" customHeight="1" x14ac:dyDescent="0.2">
      <c r="A215" s="40"/>
      <c r="B215" s="287"/>
      <c r="C215" s="40">
        <f>'Material Rates_Master'!B49</f>
        <v>0</v>
      </c>
      <c r="E215" s="41">
        <f>'Material Rates_Master'!D49</f>
        <v>0</v>
      </c>
      <c r="F215" s="41">
        <f t="shared" si="8"/>
        <v>0</v>
      </c>
    </row>
    <row r="216" spans="1:8" x14ac:dyDescent="0.2">
      <c r="A216" s="40"/>
      <c r="B216" s="287" t="s">
        <v>182</v>
      </c>
      <c r="C216" s="40" t="str">
        <f>'Material Rates_Master'!B50</f>
        <v>ea</v>
      </c>
      <c r="D216" s="229"/>
      <c r="E216" s="41">
        <f>'Material Rates_Master'!D50</f>
        <v>679.41</v>
      </c>
      <c r="F216" s="41">
        <f t="shared" si="8"/>
        <v>0</v>
      </c>
    </row>
    <row r="217" spans="1:8" x14ac:dyDescent="0.2">
      <c r="A217" s="40"/>
      <c r="B217" s="287" t="s">
        <v>183</v>
      </c>
      <c r="C217" s="40" t="str">
        <f>'Material Rates_Master'!B51</f>
        <v>ea</v>
      </c>
      <c r="D217" s="229"/>
      <c r="E217" s="41">
        <f>'Material Rates_Master'!D51</f>
        <v>323.52999999999997</v>
      </c>
      <c r="F217" s="41">
        <f t="shared" si="8"/>
        <v>0</v>
      </c>
    </row>
    <row r="218" spans="1:8" x14ac:dyDescent="0.2">
      <c r="A218" s="40"/>
      <c r="B218" s="287" t="s">
        <v>184</v>
      </c>
      <c r="C218" s="40" t="str">
        <f>'Material Rates_Master'!B52</f>
        <v>ea</v>
      </c>
      <c r="D218" s="229"/>
      <c r="E218" s="41">
        <f>'Material Rates_Master'!D52</f>
        <v>202.94</v>
      </c>
      <c r="F218" s="41">
        <f t="shared" si="8"/>
        <v>0</v>
      </c>
    </row>
    <row r="219" spans="1:8" x14ac:dyDescent="0.2">
      <c r="A219" s="40"/>
      <c r="B219" s="287" t="s">
        <v>185</v>
      </c>
      <c r="C219" s="40" t="str">
        <f>'Material Rates_Master'!B53</f>
        <v>ea</v>
      </c>
      <c r="D219" s="229"/>
      <c r="E219" s="41">
        <f>'Material Rates_Master'!D53</f>
        <v>136.94</v>
      </c>
      <c r="F219" s="41">
        <f t="shared" si="8"/>
        <v>0</v>
      </c>
    </row>
    <row r="220" spans="1:8" x14ac:dyDescent="0.2">
      <c r="A220" s="40"/>
      <c r="B220" s="287" t="s">
        <v>186</v>
      </c>
      <c r="C220" s="40" t="str">
        <f>'Material Rates_Master'!B54</f>
        <v>ea</v>
      </c>
      <c r="D220" s="229"/>
      <c r="E220" s="41">
        <f>'Material Rates_Master'!D54</f>
        <v>123.53</v>
      </c>
      <c r="F220" s="41">
        <f t="shared" si="8"/>
        <v>0</v>
      </c>
    </row>
    <row r="221" spans="1:8" x14ac:dyDescent="0.2">
      <c r="A221" s="40"/>
      <c r="B221" s="287" t="s">
        <v>187</v>
      </c>
      <c r="C221" s="40" t="str">
        <f>'Material Rates_Master'!B55</f>
        <v>ea</v>
      </c>
      <c r="D221" s="229"/>
      <c r="E221" s="41">
        <f>'Material Rates_Master'!D55</f>
        <v>98.82</v>
      </c>
      <c r="F221" s="41">
        <f t="shared" si="8"/>
        <v>0</v>
      </c>
    </row>
    <row r="222" spans="1:8" ht="4.95" customHeight="1" x14ac:dyDescent="0.2">
      <c r="A222" s="40"/>
      <c r="B222" s="287"/>
      <c r="C222" s="40">
        <f>'Material Rates_Master'!B56</f>
        <v>0</v>
      </c>
      <c r="E222" s="41">
        <f>'Material Rates_Master'!D56</f>
        <v>0</v>
      </c>
      <c r="F222" s="41">
        <f t="shared" si="8"/>
        <v>0</v>
      </c>
    </row>
    <row r="223" spans="1:8" x14ac:dyDescent="0.2">
      <c r="A223" s="40"/>
      <c r="B223" s="287" t="s">
        <v>188</v>
      </c>
      <c r="C223" s="40" t="str">
        <f>'Material Rates_Master'!B57</f>
        <v>ea</v>
      </c>
      <c r="D223" s="229"/>
      <c r="E223" s="41">
        <f>'Material Rates_Master'!D57</f>
        <v>291.18</v>
      </c>
      <c r="F223" s="41">
        <f t="shared" si="8"/>
        <v>0</v>
      </c>
    </row>
    <row r="224" spans="1:8" x14ac:dyDescent="0.2">
      <c r="A224" s="40"/>
      <c r="B224" s="287" t="s">
        <v>189</v>
      </c>
      <c r="C224" s="40" t="str">
        <f>'Material Rates_Master'!B58</f>
        <v>ea</v>
      </c>
      <c r="D224" s="229"/>
      <c r="E224" s="41">
        <f>'Material Rates_Master'!D58</f>
        <v>330</v>
      </c>
      <c r="F224" s="41">
        <f t="shared" si="8"/>
        <v>0</v>
      </c>
    </row>
    <row r="225" spans="1:6" x14ac:dyDescent="0.2">
      <c r="A225" s="40"/>
      <c r="B225" s="287" t="s">
        <v>190</v>
      </c>
      <c r="C225" s="40" t="str">
        <f>'Material Rates_Master'!B59</f>
        <v>ea</v>
      </c>
      <c r="D225" s="229"/>
      <c r="E225" s="41">
        <f>'Material Rates_Master'!D59</f>
        <v>156</v>
      </c>
      <c r="F225" s="41">
        <f t="shared" si="8"/>
        <v>0</v>
      </c>
    </row>
    <row r="226" spans="1:6" x14ac:dyDescent="0.2">
      <c r="A226" s="40"/>
      <c r="B226" s="287" t="s">
        <v>191</v>
      </c>
      <c r="C226" s="40" t="str">
        <f>'Material Rates_Master'!B60</f>
        <v>ea</v>
      </c>
      <c r="D226" s="229"/>
      <c r="E226" s="41">
        <f>'Material Rates_Master'!D60</f>
        <v>106.24</v>
      </c>
      <c r="F226" s="41">
        <f t="shared" si="8"/>
        <v>0</v>
      </c>
    </row>
    <row r="227" spans="1:6" x14ac:dyDescent="0.2">
      <c r="A227" s="40"/>
      <c r="B227" s="287" t="s">
        <v>192</v>
      </c>
      <c r="C227" s="40" t="str">
        <f>'Material Rates_Master'!B61</f>
        <v>ea</v>
      </c>
      <c r="D227" s="229"/>
      <c r="E227" s="41">
        <f>'Material Rates_Master'!D61</f>
        <v>70.59</v>
      </c>
      <c r="F227" s="41">
        <f t="shared" si="8"/>
        <v>0</v>
      </c>
    </row>
    <row r="228" spans="1:6" x14ac:dyDescent="0.2">
      <c r="A228" s="40"/>
      <c r="B228" s="287" t="s">
        <v>193</v>
      </c>
      <c r="C228" s="40" t="str">
        <f>'Material Rates_Master'!B62</f>
        <v>ea</v>
      </c>
      <c r="D228" s="229"/>
      <c r="E228" s="41">
        <f>'Material Rates_Master'!D62</f>
        <v>516.35</v>
      </c>
      <c r="F228" s="41">
        <f t="shared" si="8"/>
        <v>0</v>
      </c>
    </row>
    <row r="229" spans="1:6" x14ac:dyDescent="0.2">
      <c r="A229" s="40"/>
      <c r="B229" s="287" t="s">
        <v>194</v>
      </c>
      <c r="C229" s="40" t="str">
        <f>'Material Rates_Master'!B63</f>
        <v>ea</v>
      </c>
      <c r="D229" s="229"/>
      <c r="E229" s="41">
        <f>'Material Rates_Master'!D63</f>
        <v>198.88</v>
      </c>
      <c r="F229" s="41">
        <f t="shared" si="8"/>
        <v>0</v>
      </c>
    </row>
    <row r="230" spans="1:6" x14ac:dyDescent="0.2">
      <c r="A230" s="40"/>
      <c r="B230" s="287" t="s">
        <v>195</v>
      </c>
      <c r="C230" s="40" t="str">
        <f>'Material Rates_Master'!B64</f>
        <v>ea</v>
      </c>
      <c r="D230" s="229"/>
      <c r="E230" s="41">
        <f>'Material Rates_Master'!D64</f>
        <v>108.71</v>
      </c>
      <c r="F230" s="41">
        <f t="shared" si="8"/>
        <v>0</v>
      </c>
    </row>
    <row r="231" spans="1:6" x14ac:dyDescent="0.2">
      <c r="A231" s="40"/>
      <c r="B231" s="287" t="s">
        <v>196</v>
      </c>
      <c r="C231" s="40" t="str">
        <f>'Material Rates_Master'!B65</f>
        <v>ea</v>
      </c>
      <c r="D231" s="229"/>
      <c r="E231" s="41">
        <f>'Material Rates_Master'!D65</f>
        <v>672.65</v>
      </c>
      <c r="F231" s="41">
        <f t="shared" si="8"/>
        <v>0</v>
      </c>
    </row>
    <row r="232" spans="1:6" x14ac:dyDescent="0.2">
      <c r="A232" s="40"/>
      <c r="B232" s="287" t="s">
        <v>197</v>
      </c>
      <c r="C232" s="40" t="str">
        <f>'Material Rates_Master'!B66</f>
        <v>ea</v>
      </c>
      <c r="D232" s="229"/>
      <c r="E232" s="41">
        <f>'Material Rates_Master'!D66</f>
        <v>228.24</v>
      </c>
      <c r="F232" s="41">
        <f t="shared" si="8"/>
        <v>0</v>
      </c>
    </row>
    <row r="233" spans="1:6" x14ac:dyDescent="0.2">
      <c r="A233" s="40"/>
      <c r="B233" s="287" t="s">
        <v>198</v>
      </c>
      <c r="C233" s="40" t="str">
        <f>'Material Rates_Master'!B67</f>
        <v>ea</v>
      </c>
      <c r="D233" s="229"/>
      <c r="E233" s="41">
        <f>'Material Rates_Master'!D67</f>
        <v>128.24</v>
      </c>
      <c r="F233" s="41">
        <f t="shared" si="8"/>
        <v>0</v>
      </c>
    </row>
    <row r="234" spans="1:6" x14ac:dyDescent="0.2">
      <c r="A234" s="40"/>
      <c r="B234" s="287" t="s">
        <v>199</v>
      </c>
      <c r="C234" s="40" t="str">
        <f>'Material Rates_Master'!B68</f>
        <v>ea</v>
      </c>
      <c r="D234" s="229"/>
      <c r="E234" s="41">
        <f>'Material Rates_Master'!D68</f>
        <v>536.76</v>
      </c>
      <c r="F234" s="41">
        <f t="shared" si="8"/>
        <v>0</v>
      </c>
    </row>
    <row r="235" spans="1:6" x14ac:dyDescent="0.2">
      <c r="A235" s="40"/>
      <c r="B235" s="287" t="s">
        <v>200</v>
      </c>
      <c r="C235" s="40" t="str">
        <f>'Material Rates_Master'!B69</f>
        <v>ea</v>
      </c>
      <c r="D235" s="229"/>
      <c r="E235" s="41">
        <f>'Material Rates_Master'!D69</f>
        <v>576.47</v>
      </c>
      <c r="F235" s="41">
        <f t="shared" si="8"/>
        <v>0</v>
      </c>
    </row>
    <row r="236" spans="1:6" x14ac:dyDescent="0.2">
      <c r="A236" s="40"/>
      <c r="B236" s="287" t="s">
        <v>201</v>
      </c>
      <c r="C236" s="40" t="str">
        <f>'Material Rates_Master'!B70</f>
        <v>ea</v>
      </c>
      <c r="D236" s="229"/>
      <c r="E236" s="41">
        <f>'Material Rates_Master'!D70</f>
        <v>198.82</v>
      </c>
      <c r="F236" s="41">
        <f t="shared" si="8"/>
        <v>0</v>
      </c>
    </row>
    <row r="237" spans="1:6" x14ac:dyDescent="0.2">
      <c r="A237" s="40"/>
      <c r="B237" s="287" t="s">
        <v>202</v>
      </c>
      <c r="C237" s="40" t="str">
        <f>'Material Rates_Master'!B71</f>
        <v>ea</v>
      </c>
      <c r="D237" s="229"/>
      <c r="E237" s="41">
        <f>'Material Rates_Master'!D71</f>
        <v>898.82</v>
      </c>
      <c r="F237" s="41">
        <f t="shared" si="8"/>
        <v>0</v>
      </c>
    </row>
    <row r="238" spans="1:6" x14ac:dyDescent="0.2">
      <c r="A238" s="40"/>
      <c r="B238" s="287" t="s">
        <v>203</v>
      </c>
      <c r="C238" s="40" t="str">
        <f>'Material Rates_Master'!B72</f>
        <v>ea</v>
      </c>
      <c r="D238" s="229"/>
      <c r="E238" s="41">
        <f>'Material Rates_Master'!D72</f>
        <v>640</v>
      </c>
      <c r="F238" s="41">
        <f t="shared" si="8"/>
        <v>0</v>
      </c>
    </row>
    <row r="239" spans="1:6" x14ac:dyDescent="0.2">
      <c r="A239" s="40"/>
      <c r="B239" s="287" t="s">
        <v>204</v>
      </c>
      <c r="C239" s="40" t="str">
        <f>'Material Rates_Master'!B73</f>
        <v>ea</v>
      </c>
      <c r="D239" s="229"/>
      <c r="E239" s="41">
        <f>'Material Rates_Master'!D73</f>
        <v>355.29</v>
      </c>
      <c r="F239" s="41">
        <f t="shared" si="8"/>
        <v>0</v>
      </c>
    </row>
    <row r="240" spans="1:6" x14ac:dyDescent="0.2">
      <c r="A240" s="40"/>
      <c r="B240" s="287" t="s">
        <v>205</v>
      </c>
      <c r="C240" s="40" t="str">
        <f>'Material Rates_Master'!B74</f>
        <v>ea</v>
      </c>
      <c r="D240" s="229"/>
      <c r="E240" s="41">
        <f>'Material Rates_Master'!D74</f>
        <v>534.41</v>
      </c>
      <c r="F240" s="41">
        <f t="shared" ref="F240:F271" si="9">E240*D240</f>
        <v>0</v>
      </c>
    </row>
    <row r="241" spans="1:6" x14ac:dyDescent="0.2">
      <c r="A241" s="40"/>
      <c r="B241" s="287" t="s">
        <v>206</v>
      </c>
      <c r="C241" s="40" t="str">
        <f>'Material Rates_Master'!B75</f>
        <v>ea</v>
      </c>
      <c r="D241" s="229"/>
      <c r="E241" s="41">
        <f>'Material Rates_Master'!D75</f>
        <v>280</v>
      </c>
      <c r="F241" s="41">
        <f t="shared" si="9"/>
        <v>0</v>
      </c>
    </row>
    <row r="242" spans="1:6" x14ac:dyDescent="0.2">
      <c r="A242" s="40"/>
      <c r="B242" s="287" t="s">
        <v>207</v>
      </c>
      <c r="C242" s="40" t="str">
        <f>'Material Rates_Master'!B76</f>
        <v>ea</v>
      </c>
      <c r="D242" s="229"/>
      <c r="E242" s="41">
        <f>'Material Rates_Master'!D76</f>
        <v>236.47</v>
      </c>
      <c r="F242" s="41">
        <f t="shared" si="9"/>
        <v>0</v>
      </c>
    </row>
    <row r="243" spans="1:6" x14ac:dyDescent="0.2">
      <c r="A243" s="40"/>
      <c r="B243" s="287" t="s">
        <v>208</v>
      </c>
      <c r="C243" s="40" t="str">
        <f>'Material Rates_Master'!B77</f>
        <v>ea</v>
      </c>
      <c r="D243" s="229"/>
      <c r="E243" s="41">
        <f>'Material Rates_Master'!D77</f>
        <v>178.8</v>
      </c>
      <c r="F243" s="41">
        <f t="shared" si="9"/>
        <v>0</v>
      </c>
    </row>
    <row r="244" spans="1:6" x14ac:dyDescent="0.2">
      <c r="A244" s="40"/>
      <c r="B244" s="287" t="s">
        <v>209</v>
      </c>
      <c r="C244" s="40" t="str">
        <f>'Material Rates_Master'!B78</f>
        <v>ea</v>
      </c>
      <c r="D244" s="229"/>
      <c r="E244" s="41">
        <f>'Material Rates_Master'!D78</f>
        <v>362.35</v>
      </c>
      <c r="F244" s="41">
        <f t="shared" si="9"/>
        <v>0</v>
      </c>
    </row>
    <row r="245" spans="1:6" x14ac:dyDescent="0.2">
      <c r="A245" s="40"/>
      <c r="B245" s="287" t="s">
        <v>210</v>
      </c>
      <c r="C245" s="40" t="str">
        <f>'Material Rates_Master'!B79</f>
        <v>ea</v>
      </c>
      <c r="D245" s="229"/>
      <c r="E245" s="41">
        <f>'Material Rates_Master'!D79</f>
        <v>144.71</v>
      </c>
      <c r="F245" s="41">
        <f t="shared" si="9"/>
        <v>0</v>
      </c>
    </row>
    <row r="246" spans="1:6" x14ac:dyDescent="0.2">
      <c r="A246" s="40"/>
      <c r="B246" s="287" t="s">
        <v>211</v>
      </c>
      <c r="C246" s="40" t="str">
        <f>'Material Rates_Master'!B80</f>
        <v>ea</v>
      </c>
      <c r="D246" s="229"/>
      <c r="E246" s="41">
        <f>'Material Rates_Master'!D80</f>
        <v>135.88</v>
      </c>
      <c r="F246" s="41">
        <f t="shared" si="9"/>
        <v>0</v>
      </c>
    </row>
    <row r="247" spans="1:6" x14ac:dyDescent="0.2">
      <c r="A247" s="40"/>
      <c r="B247" s="287" t="s">
        <v>212</v>
      </c>
      <c r="C247" s="40" t="str">
        <f>'Material Rates_Master'!B81</f>
        <v>ea</v>
      </c>
      <c r="D247" s="229"/>
      <c r="E247" s="41">
        <f>'Material Rates_Master'!D81</f>
        <v>76.47</v>
      </c>
      <c r="F247" s="41">
        <f t="shared" si="9"/>
        <v>0</v>
      </c>
    </row>
    <row r="248" spans="1:6" x14ac:dyDescent="0.2">
      <c r="A248" s="40"/>
      <c r="B248" s="287" t="s">
        <v>213</v>
      </c>
      <c r="C248" s="40" t="str">
        <f>'Material Rates_Master'!B82</f>
        <v>ea</v>
      </c>
      <c r="D248" s="229"/>
      <c r="E248" s="41">
        <f>'Material Rates_Master'!D82</f>
        <v>67.650000000000006</v>
      </c>
      <c r="F248" s="41">
        <f t="shared" si="9"/>
        <v>0</v>
      </c>
    </row>
    <row r="249" spans="1:6" x14ac:dyDescent="0.2">
      <c r="A249" s="40"/>
      <c r="B249" s="287" t="s">
        <v>214</v>
      </c>
      <c r="C249" s="40" t="str">
        <f>'Material Rates_Master'!B83</f>
        <v>ea</v>
      </c>
      <c r="D249" s="229"/>
      <c r="E249" s="41">
        <f>'Material Rates_Master'!D83</f>
        <v>43.53</v>
      </c>
      <c r="F249" s="41">
        <f t="shared" si="9"/>
        <v>0</v>
      </c>
    </row>
    <row r="250" spans="1:6" ht="6.6" customHeight="1" x14ac:dyDescent="0.2">
      <c r="A250" s="40"/>
      <c r="B250" s="287"/>
      <c r="C250" s="40">
        <f>'Material Rates_Master'!B84</f>
        <v>0</v>
      </c>
      <c r="E250" s="41">
        <f>'Material Rates_Master'!D84</f>
        <v>0</v>
      </c>
      <c r="F250" s="41">
        <f t="shared" si="9"/>
        <v>0</v>
      </c>
    </row>
    <row r="251" spans="1:6" x14ac:dyDescent="0.2">
      <c r="A251" s="40"/>
      <c r="B251" s="287" t="s">
        <v>215</v>
      </c>
      <c r="C251" s="40" t="str">
        <f>'Material Rates_Master'!B85</f>
        <v>ea</v>
      </c>
      <c r="D251" s="229"/>
      <c r="E251" s="41">
        <f>'Material Rates_Master'!D85</f>
        <v>67.06</v>
      </c>
      <c r="F251" s="41">
        <f t="shared" si="9"/>
        <v>0</v>
      </c>
    </row>
    <row r="252" spans="1:6" x14ac:dyDescent="0.2">
      <c r="A252" s="40"/>
      <c r="B252" s="287" t="s">
        <v>216</v>
      </c>
      <c r="C252" s="40" t="str">
        <f>'Material Rates_Master'!B86</f>
        <v>ea</v>
      </c>
      <c r="D252" s="229"/>
      <c r="E252" s="41">
        <f>'Material Rates_Master'!D86</f>
        <v>46.71</v>
      </c>
      <c r="F252" s="41">
        <f t="shared" si="9"/>
        <v>0</v>
      </c>
    </row>
    <row r="253" spans="1:6" x14ac:dyDescent="0.2">
      <c r="A253" s="40"/>
      <c r="B253" s="287" t="s">
        <v>217</v>
      </c>
      <c r="C253" s="40" t="str">
        <f>'Material Rates_Master'!B87</f>
        <v>ea</v>
      </c>
      <c r="D253" s="229"/>
      <c r="E253" s="41">
        <f>'Material Rates_Master'!D87</f>
        <v>60</v>
      </c>
      <c r="F253" s="41">
        <f t="shared" si="9"/>
        <v>0</v>
      </c>
    </row>
    <row r="254" spans="1:6" x14ac:dyDescent="0.2">
      <c r="A254" s="40"/>
      <c r="B254" s="287" t="s">
        <v>218</v>
      </c>
      <c r="C254" s="40" t="str">
        <f>'Material Rates_Master'!B88</f>
        <v>ea</v>
      </c>
      <c r="D254" s="229"/>
      <c r="E254" s="41">
        <f>'Material Rates_Master'!D88</f>
        <v>42.35</v>
      </c>
      <c r="F254" s="41">
        <f t="shared" si="9"/>
        <v>0</v>
      </c>
    </row>
    <row r="255" spans="1:6" x14ac:dyDescent="0.2">
      <c r="A255" s="40"/>
      <c r="B255" s="287" t="s">
        <v>219</v>
      </c>
      <c r="C255" s="40" t="str">
        <f>'Material Rates_Master'!B89</f>
        <v>ea</v>
      </c>
      <c r="D255" s="229"/>
      <c r="E255" s="41">
        <f>'Material Rates_Master'!D89</f>
        <v>24.71</v>
      </c>
      <c r="F255" s="41">
        <f t="shared" si="9"/>
        <v>0</v>
      </c>
    </row>
    <row r="256" spans="1:6" x14ac:dyDescent="0.2">
      <c r="A256" s="40"/>
      <c r="B256" s="287" t="s">
        <v>220</v>
      </c>
      <c r="C256" s="40" t="str">
        <f>'Material Rates_Master'!B90</f>
        <v>ea</v>
      </c>
      <c r="D256" s="229"/>
      <c r="E256" s="41">
        <f>'Material Rates_Master'!D90</f>
        <v>20</v>
      </c>
      <c r="F256" s="41">
        <f t="shared" si="9"/>
        <v>0</v>
      </c>
    </row>
    <row r="257" spans="1:6" ht="6.6" customHeight="1" x14ac:dyDescent="0.2">
      <c r="A257" s="40"/>
      <c r="B257" s="287"/>
      <c r="C257" s="40">
        <f>'Material Rates_Master'!B91</f>
        <v>0</v>
      </c>
      <c r="E257" s="41">
        <f>'Material Rates_Master'!D91</f>
        <v>0</v>
      </c>
      <c r="F257" s="41">
        <f t="shared" si="9"/>
        <v>0</v>
      </c>
    </row>
    <row r="258" spans="1:6" x14ac:dyDescent="0.2">
      <c r="A258" s="40"/>
      <c r="B258" s="287" t="s">
        <v>221</v>
      </c>
      <c r="C258" s="40" t="str">
        <f>'Material Rates_Master'!B92</f>
        <v>ea</v>
      </c>
      <c r="D258" s="229"/>
      <c r="E258" s="41">
        <f>'Material Rates_Master'!D92</f>
        <v>108.71</v>
      </c>
      <c r="F258" s="41">
        <f t="shared" si="9"/>
        <v>0</v>
      </c>
    </row>
    <row r="259" spans="1:6" x14ac:dyDescent="0.2">
      <c r="A259" s="40"/>
      <c r="B259" s="287" t="s">
        <v>222</v>
      </c>
      <c r="C259" s="40" t="str">
        <f>'Material Rates_Master'!B93</f>
        <v>ea</v>
      </c>
      <c r="D259" s="229"/>
      <c r="E259" s="41">
        <f>'Material Rates_Master'!D93</f>
        <v>87.06</v>
      </c>
      <c r="F259" s="41">
        <f t="shared" si="9"/>
        <v>0</v>
      </c>
    </row>
    <row r="260" spans="1:6" x14ac:dyDescent="0.2">
      <c r="A260" s="40"/>
      <c r="B260" s="287" t="s">
        <v>223</v>
      </c>
      <c r="C260" s="40" t="str">
        <f>'Material Rates_Master'!B94</f>
        <v>ea</v>
      </c>
      <c r="D260" s="229"/>
      <c r="E260" s="41">
        <f>'Material Rates_Master'!D94</f>
        <v>305.88</v>
      </c>
      <c r="F260" s="41">
        <f t="shared" si="9"/>
        <v>0</v>
      </c>
    </row>
    <row r="261" spans="1:6" x14ac:dyDescent="0.2">
      <c r="A261" s="40"/>
      <c r="B261" s="287" t="s">
        <v>224</v>
      </c>
      <c r="C261" s="40" t="str">
        <f>'Material Rates_Master'!B95</f>
        <v>ea</v>
      </c>
      <c r="D261" s="229"/>
      <c r="E261" s="41">
        <f>'Material Rates_Master'!D95</f>
        <v>182.35</v>
      </c>
      <c r="F261" s="41">
        <f t="shared" si="9"/>
        <v>0</v>
      </c>
    </row>
    <row r="262" spans="1:6" x14ac:dyDescent="0.2">
      <c r="A262" s="40"/>
      <c r="B262" s="287" t="s">
        <v>225</v>
      </c>
      <c r="C262" s="40" t="str">
        <f>'Material Rates_Master'!B96</f>
        <v>ea</v>
      </c>
      <c r="D262" s="229"/>
      <c r="E262" s="41">
        <f>'Material Rates_Master'!D96</f>
        <v>229.41</v>
      </c>
      <c r="F262" s="41">
        <f t="shared" si="9"/>
        <v>0</v>
      </c>
    </row>
    <row r="263" spans="1:6" x14ac:dyDescent="0.2">
      <c r="A263" s="40"/>
      <c r="B263" s="287" t="s">
        <v>226</v>
      </c>
      <c r="C263" s="40" t="str">
        <f>'Material Rates_Master'!B97</f>
        <v>ea</v>
      </c>
      <c r="D263" s="229"/>
      <c r="E263" s="41">
        <f>'Material Rates_Master'!D97</f>
        <v>152.94</v>
      </c>
      <c r="F263" s="41">
        <f t="shared" si="9"/>
        <v>0</v>
      </c>
    </row>
    <row r="264" spans="1:6" x14ac:dyDescent="0.2">
      <c r="A264" s="40"/>
      <c r="B264" s="287" t="s">
        <v>227</v>
      </c>
      <c r="C264" s="40" t="str">
        <f>'Material Rates_Master'!B98</f>
        <v>ea</v>
      </c>
      <c r="D264" s="229"/>
      <c r="E264" s="41">
        <f>'Material Rates_Master'!D98</f>
        <v>690</v>
      </c>
      <c r="F264" s="41">
        <f t="shared" si="9"/>
        <v>0</v>
      </c>
    </row>
    <row r="265" spans="1:6" x14ac:dyDescent="0.2">
      <c r="A265" s="40"/>
      <c r="B265" s="287" t="s">
        <v>228</v>
      </c>
      <c r="C265" s="40" t="str">
        <f>'Material Rates_Master'!B99</f>
        <v>ea</v>
      </c>
      <c r="D265" s="229"/>
      <c r="E265" s="41">
        <f>'Material Rates_Master'!D99</f>
        <v>408.47</v>
      </c>
      <c r="F265" s="41">
        <f t="shared" si="9"/>
        <v>0</v>
      </c>
    </row>
    <row r="266" spans="1:6" ht="6.6" customHeight="1" x14ac:dyDescent="0.2">
      <c r="A266" s="40"/>
      <c r="B266" s="287"/>
      <c r="C266" s="40">
        <f>'Material Rates_Master'!B100</f>
        <v>0</v>
      </c>
      <c r="E266" s="41">
        <f>'Material Rates_Master'!D100</f>
        <v>0</v>
      </c>
      <c r="F266" s="41">
        <f t="shared" si="9"/>
        <v>0</v>
      </c>
    </row>
    <row r="267" spans="1:6" x14ac:dyDescent="0.2">
      <c r="A267" s="40"/>
      <c r="B267" s="287" t="s">
        <v>229</v>
      </c>
      <c r="C267" s="40" t="str">
        <f>'Material Rates_Master'!B101</f>
        <v>ea</v>
      </c>
      <c r="D267" s="229"/>
      <c r="E267" s="41">
        <f>'Material Rates_Master'!D101</f>
        <v>90</v>
      </c>
      <c r="F267" s="41">
        <f t="shared" si="9"/>
        <v>0</v>
      </c>
    </row>
    <row r="268" spans="1:6" x14ac:dyDescent="0.2">
      <c r="A268" s="40"/>
      <c r="B268" s="287" t="s">
        <v>230</v>
      </c>
      <c r="C268" s="40" t="str">
        <f>'Material Rates_Master'!B102</f>
        <v>ea</v>
      </c>
      <c r="D268" s="229"/>
      <c r="E268" s="41">
        <f>'Material Rates_Master'!D102</f>
        <v>13.5</v>
      </c>
      <c r="F268" s="41">
        <f t="shared" si="9"/>
        <v>0</v>
      </c>
    </row>
    <row r="269" spans="1:6" x14ac:dyDescent="0.2">
      <c r="A269" s="40"/>
      <c r="B269" s="287" t="s">
        <v>231</v>
      </c>
      <c r="C269" s="40" t="str">
        <f>'Material Rates_Master'!B103</f>
        <v>ea</v>
      </c>
      <c r="D269" s="229"/>
      <c r="E269" s="41">
        <f>'Material Rates_Master'!D103</f>
        <v>27.14</v>
      </c>
      <c r="F269" s="41">
        <f t="shared" si="9"/>
        <v>0</v>
      </c>
    </row>
    <row r="270" spans="1:6" x14ac:dyDescent="0.2">
      <c r="A270" s="40"/>
      <c r="B270" s="287" t="s">
        <v>232</v>
      </c>
      <c r="C270" s="40" t="str">
        <f>'Material Rates_Master'!B104</f>
        <v>ea</v>
      </c>
      <c r="D270" s="229"/>
      <c r="E270" s="41">
        <f>'Material Rates_Master'!D104</f>
        <v>27.14</v>
      </c>
      <c r="F270" s="41">
        <f t="shared" si="9"/>
        <v>0</v>
      </c>
    </row>
    <row r="271" spans="1:6" x14ac:dyDescent="0.2">
      <c r="A271" s="40"/>
      <c r="B271" s="287"/>
      <c r="F271" s="41">
        <f t="shared" si="9"/>
        <v>0</v>
      </c>
    </row>
    <row r="272" spans="1:6" ht="10.5" customHeight="1" x14ac:dyDescent="0.2">
      <c r="A272" s="40"/>
      <c r="B272" s="314" t="s">
        <v>233</v>
      </c>
      <c r="F272" s="41">
        <f t="shared" ref="F272" si="10">E272*D272</f>
        <v>0</v>
      </c>
    </row>
    <row r="273" spans="1:6" ht="10.5" customHeight="1" x14ac:dyDescent="0.2">
      <c r="A273" s="40"/>
      <c r="B273" s="288" t="s">
        <v>234</v>
      </c>
      <c r="C273" s="40" t="str">
        <f>'Material Rates_Master'!B107</f>
        <v>Unit</v>
      </c>
    </row>
    <row r="274" spans="1:6" x14ac:dyDescent="0.2">
      <c r="A274" s="40"/>
      <c r="B274" s="287" t="s">
        <v>235</v>
      </c>
      <c r="C274" s="40" t="str">
        <f>'Material Rates_Master'!B108</f>
        <v>m</v>
      </c>
      <c r="D274" s="37"/>
      <c r="E274" s="41">
        <f>'Material Rates_Master'!D108</f>
        <v>43.846153846153847</v>
      </c>
      <c r="F274" s="41">
        <f t="shared" ref="F274:F305" si="11">E274*D274</f>
        <v>0</v>
      </c>
    </row>
    <row r="275" spans="1:6" x14ac:dyDescent="0.2">
      <c r="A275" s="40"/>
      <c r="B275" s="287" t="s">
        <v>236</v>
      </c>
      <c r="C275" s="40" t="str">
        <f>'Material Rates_Master'!B109</f>
        <v>m</v>
      </c>
      <c r="D275" s="37"/>
      <c r="E275" s="41">
        <f>'Material Rates_Master'!D109</f>
        <v>28.46153846153846</v>
      </c>
      <c r="F275" s="41">
        <f t="shared" si="11"/>
        <v>0</v>
      </c>
    </row>
    <row r="276" spans="1:6" x14ac:dyDescent="0.2">
      <c r="A276" s="40"/>
      <c r="B276" s="287" t="s">
        <v>237</v>
      </c>
      <c r="C276" s="40" t="str">
        <f>'Material Rates_Master'!B110</f>
        <v>m</v>
      </c>
      <c r="D276" s="37"/>
      <c r="E276" s="41">
        <f>'Material Rates_Master'!D110</f>
        <v>106.2416666666667</v>
      </c>
      <c r="F276" s="41">
        <f t="shared" si="11"/>
        <v>0</v>
      </c>
    </row>
    <row r="277" spans="1:6" x14ac:dyDescent="0.2">
      <c r="A277" s="40"/>
      <c r="B277" s="287" t="s">
        <v>238</v>
      </c>
      <c r="C277" s="40" t="str">
        <f>'Material Rates_Master'!B111</f>
        <v>m</v>
      </c>
      <c r="D277" s="37"/>
      <c r="E277" s="41">
        <f>'Material Rates_Master'!D111</f>
        <v>59.82</v>
      </c>
      <c r="F277" s="41">
        <f t="shared" si="11"/>
        <v>0</v>
      </c>
    </row>
    <row r="278" spans="1:6" ht="8.25" customHeight="1" x14ac:dyDescent="0.2">
      <c r="A278" s="40"/>
      <c r="B278" s="287"/>
      <c r="C278" s="40">
        <f>'Material Rates_Master'!B112</f>
        <v>0</v>
      </c>
      <c r="D278" s="37"/>
      <c r="E278" s="41">
        <f>'Material Rates_Master'!D112</f>
        <v>0</v>
      </c>
      <c r="F278" s="41">
        <f t="shared" si="11"/>
        <v>0</v>
      </c>
    </row>
    <row r="279" spans="1:6" x14ac:dyDescent="0.2">
      <c r="A279" s="40"/>
      <c r="B279" s="287" t="s">
        <v>239</v>
      </c>
      <c r="C279" s="40" t="str">
        <f>'Material Rates_Master'!B113</f>
        <v>ea</v>
      </c>
      <c r="D279" s="37"/>
      <c r="E279" s="41">
        <f>'Material Rates_Master'!D113</f>
        <v>12.83</v>
      </c>
      <c r="F279" s="41">
        <f t="shared" si="11"/>
        <v>0</v>
      </c>
    </row>
    <row r="280" spans="1:6" x14ac:dyDescent="0.2">
      <c r="A280" s="40"/>
      <c r="B280" s="287" t="s">
        <v>240</v>
      </c>
      <c r="C280" s="40" t="str">
        <f>'Material Rates_Master'!B114</f>
        <v>ea</v>
      </c>
      <c r="D280" s="37"/>
      <c r="E280" s="41">
        <f>'Material Rates_Master'!D114</f>
        <v>7.55</v>
      </c>
      <c r="F280" s="41">
        <f t="shared" si="11"/>
        <v>0</v>
      </c>
    </row>
    <row r="281" spans="1:6" x14ac:dyDescent="0.2">
      <c r="A281" s="40"/>
      <c r="B281" s="287" t="s">
        <v>241</v>
      </c>
      <c r="C281" s="40" t="str">
        <f>'Material Rates_Master'!B115</f>
        <v>ea</v>
      </c>
      <c r="D281" s="37"/>
      <c r="E281" s="41">
        <f>'Material Rates_Master'!D115</f>
        <v>35.5</v>
      </c>
      <c r="F281" s="41">
        <f t="shared" si="11"/>
        <v>0</v>
      </c>
    </row>
    <row r="282" spans="1:6" x14ac:dyDescent="0.2">
      <c r="A282" s="40"/>
      <c r="B282" s="287" t="s">
        <v>242</v>
      </c>
      <c r="C282" s="40" t="str">
        <f>'Material Rates_Master'!B116</f>
        <v>ea</v>
      </c>
      <c r="D282" s="37"/>
      <c r="E282" s="41">
        <f>'Material Rates_Master'!D116</f>
        <v>16.93</v>
      </c>
      <c r="F282" s="41">
        <f t="shared" si="11"/>
        <v>0</v>
      </c>
    </row>
    <row r="283" spans="1:6" x14ac:dyDescent="0.2">
      <c r="A283" s="40"/>
      <c r="B283" s="287" t="s">
        <v>243</v>
      </c>
      <c r="C283" s="40" t="str">
        <f>'Material Rates_Master'!B117</f>
        <v>ea</v>
      </c>
      <c r="D283" s="37"/>
      <c r="E283" s="41">
        <f>'Material Rates_Master'!D117</f>
        <v>22.85</v>
      </c>
      <c r="F283" s="41">
        <f t="shared" si="11"/>
        <v>0</v>
      </c>
    </row>
    <row r="284" spans="1:6" x14ac:dyDescent="0.2">
      <c r="A284" s="40"/>
      <c r="B284" s="287" t="s">
        <v>244</v>
      </c>
      <c r="C284" s="40" t="str">
        <f>'Material Rates_Master'!B118</f>
        <v>ea</v>
      </c>
      <c r="D284" s="37"/>
      <c r="E284" s="41">
        <f>'Material Rates_Master'!D118</f>
        <v>10.62</v>
      </c>
      <c r="F284" s="41">
        <f t="shared" si="11"/>
        <v>0</v>
      </c>
    </row>
    <row r="285" spans="1:6" x14ac:dyDescent="0.2">
      <c r="A285" s="40"/>
      <c r="B285" s="287" t="s">
        <v>245</v>
      </c>
      <c r="C285" s="40" t="str">
        <f>'Material Rates_Master'!B119</f>
        <v>ea</v>
      </c>
      <c r="D285" s="37"/>
      <c r="E285" s="41">
        <f>'Material Rates_Master'!D119</f>
        <v>23.5</v>
      </c>
      <c r="F285" s="41">
        <f t="shared" si="11"/>
        <v>0</v>
      </c>
    </row>
    <row r="286" spans="1:6" x14ac:dyDescent="0.2">
      <c r="A286" s="40"/>
      <c r="B286" s="287" t="s">
        <v>246</v>
      </c>
      <c r="C286" s="40" t="str">
        <f>'Material Rates_Master'!B120</f>
        <v>ea</v>
      </c>
      <c r="D286" s="37"/>
      <c r="E286" s="41">
        <f>'Material Rates_Master'!D120</f>
        <v>11.4</v>
      </c>
      <c r="F286" s="41">
        <f t="shared" si="11"/>
        <v>0</v>
      </c>
    </row>
    <row r="287" spans="1:6" x14ac:dyDescent="0.2">
      <c r="A287" s="40"/>
      <c r="B287" s="287" t="s">
        <v>247</v>
      </c>
      <c r="C287" s="40" t="str">
        <f>'Material Rates_Master'!B121</f>
        <v>ea</v>
      </c>
      <c r="D287" s="37"/>
      <c r="E287" s="41">
        <f>'Material Rates_Master'!D121</f>
        <v>30.75</v>
      </c>
      <c r="F287" s="41">
        <f t="shared" si="11"/>
        <v>0</v>
      </c>
    </row>
    <row r="288" spans="1:6" x14ac:dyDescent="0.2">
      <c r="A288" s="40"/>
      <c r="B288" s="287" t="s">
        <v>248</v>
      </c>
      <c r="C288" s="40" t="str">
        <f>'Material Rates_Master'!B122</f>
        <v>ea</v>
      </c>
      <c r="D288" s="37"/>
      <c r="E288" s="41">
        <f>'Material Rates_Master'!D122</f>
        <v>23.21</v>
      </c>
      <c r="F288" s="41">
        <f t="shared" si="11"/>
        <v>0</v>
      </c>
    </row>
    <row r="289" spans="1:6" x14ac:dyDescent="0.2">
      <c r="A289" s="40"/>
      <c r="B289" s="287" t="s">
        <v>249</v>
      </c>
      <c r="C289" s="40" t="str">
        <f>'Material Rates_Master'!B123</f>
        <v>ea</v>
      </c>
      <c r="D289" s="37"/>
      <c r="E289" s="41">
        <f>'Material Rates_Master'!D123</f>
        <v>217.8</v>
      </c>
      <c r="F289" s="41">
        <f t="shared" si="11"/>
        <v>0</v>
      </c>
    </row>
    <row r="290" spans="1:6" x14ac:dyDescent="0.2">
      <c r="A290" s="40"/>
      <c r="B290" s="287" t="s">
        <v>250</v>
      </c>
      <c r="C290" s="40" t="str">
        <f>'Material Rates_Master'!B124</f>
        <v>ea</v>
      </c>
      <c r="D290" s="37"/>
      <c r="E290" s="41">
        <f>'Material Rates_Master'!D124</f>
        <v>169.4</v>
      </c>
      <c r="F290" s="41">
        <f t="shared" si="11"/>
        <v>0</v>
      </c>
    </row>
    <row r="291" spans="1:6" ht="5.55" customHeight="1" x14ac:dyDescent="0.2">
      <c r="A291" s="40"/>
      <c r="B291" s="287"/>
      <c r="C291" s="40">
        <f>'Material Rates_Master'!B125</f>
        <v>0</v>
      </c>
      <c r="D291" s="37"/>
      <c r="E291" s="41">
        <f>'Material Rates_Master'!D125</f>
        <v>0</v>
      </c>
      <c r="F291" s="41">
        <f t="shared" si="11"/>
        <v>0</v>
      </c>
    </row>
    <row r="292" spans="1:6" x14ac:dyDescent="0.2">
      <c r="A292" s="40"/>
      <c r="B292" s="287" t="s">
        <v>251</v>
      </c>
      <c r="C292" s="40" t="str">
        <f>'Material Rates_Master'!B126</f>
        <v>ea</v>
      </c>
      <c r="D292" s="37"/>
      <c r="E292" s="41">
        <f>'Material Rates_Master'!D126</f>
        <v>2350</v>
      </c>
      <c r="F292" s="41">
        <f t="shared" si="11"/>
        <v>0</v>
      </c>
    </row>
    <row r="293" spans="1:6" x14ac:dyDescent="0.2">
      <c r="A293" s="40"/>
      <c r="B293" s="287" t="s">
        <v>252</v>
      </c>
      <c r="C293" s="40" t="str">
        <f>'Material Rates_Master'!B127</f>
        <v>ea</v>
      </c>
      <c r="D293" s="37"/>
      <c r="E293" s="41">
        <f>'Material Rates_Master'!D127</f>
        <v>1155</v>
      </c>
      <c r="F293" s="41">
        <f t="shared" si="11"/>
        <v>0</v>
      </c>
    </row>
    <row r="294" spans="1:6" ht="6.6" customHeight="1" x14ac:dyDescent="0.2">
      <c r="A294" s="40"/>
      <c r="B294" s="287"/>
      <c r="C294" s="40">
        <f>'Material Rates_Master'!B128</f>
        <v>0</v>
      </c>
      <c r="D294" s="37"/>
      <c r="E294" s="41">
        <f>'Material Rates_Master'!D128</f>
        <v>0</v>
      </c>
      <c r="F294" s="41">
        <f t="shared" si="11"/>
        <v>0</v>
      </c>
    </row>
    <row r="295" spans="1:6" x14ac:dyDescent="0.2">
      <c r="A295" s="40"/>
      <c r="B295" s="287" t="s">
        <v>253</v>
      </c>
      <c r="C295" s="40" t="str">
        <f>'Material Rates_Master'!B129</f>
        <v>ea</v>
      </c>
      <c r="D295" s="229"/>
      <c r="E295" s="41">
        <f>'Material Rates_Master'!D129</f>
        <v>365</v>
      </c>
      <c r="F295" s="41">
        <f t="shared" si="11"/>
        <v>0</v>
      </c>
    </row>
    <row r="296" spans="1:6" x14ac:dyDescent="0.2">
      <c r="A296" s="40"/>
      <c r="B296" s="287" t="s">
        <v>254</v>
      </c>
      <c r="C296" s="40" t="str">
        <f>'Material Rates_Master'!B130</f>
        <v>ea</v>
      </c>
      <c r="D296" s="229"/>
      <c r="E296" s="41">
        <f>'Material Rates_Master'!D130</f>
        <v>365</v>
      </c>
      <c r="F296" s="41">
        <f t="shared" si="11"/>
        <v>0</v>
      </c>
    </row>
    <row r="297" spans="1:6" x14ac:dyDescent="0.2">
      <c r="A297" s="40"/>
      <c r="B297" s="287" t="s">
        <v>255</v>
      </c>
      <c r="C297" s="40" t="str">
        <f>'Material Rates_Master'!B131</f>
        <v>ea</v>
      </c>
      <c r="D297" s="229"/>
      <c r="E297" s="41">
        <f>'Material Rates_Master'!D131</f>
        <v>90</v>
      </c>
      <c r="F297" s="41">
        <f t="shared" si="11"/>
        <v>0</v>
      </c>
    </row>
    <row r="298" spans="1:6" x14ac:dyDescent="0.2">
      <c r="A298" s="40"/>
      <c r="B298" s="287" t="s">
        <v>256</v>
      </c>
      <c r="C298" s="40" t="str">
        <f>'Material Rates_Master'!B132</f>
        <v>ea</v>
      </c>
      <c r="D298" s="229"/>
      <c r="E298" s="41">
        <f>'Material Rates_Master'!D132</f>
        <v>5</v>
      </c>
      <c r="F298" s="41">
        <f t="shared" si="11"/>
        <v>0</v>
      </c>
    </row>
    <row r="299" spans="1:6" x14ac:dyDescent="0.2">
      <c r="A299" s="40"/>
      <c r="B299" s="287" t="s">
        <v>257</v>
      </c>
      <c r="C299" s="40" t="str">
        <f>'Material Rates_Master'!B133</f>
        <v>ea</v>
      </c>
      <c r="D299" s="229"/>
      <c r="E299" s="41">
        <f>'Material Rates_Master'!D133</f>
        <v>125</v>
      </c>
      <c r="F299" s="41">
        <f t="shared" si="11"/>
        <v>0</v>
      </c>
    </row>
    <row r="300" spans="1:6" x14ac:dyDescent="0.2">
      <c r="A300" s="40"/>
      <c r="B300" s="287" t="s">
        <v>258</v>
      </c>
      <c r="C300" s="40" t="str">
        <f>'Material Rates_Master'!B134</f>
        <v>ea</v>
      </c>
      <c r="D300" s="229"/>
      <c r="E300" s="41">
        <f>'Material Rates_Master'!D134</f>
        <v>39</v>
      </c>
      <c r="F300" s="41">
        <f t="shared" si="11"/>
        <v>0</v>
      </c>
    </row>
    <row r="301" spans="1:6" ht="6.6" customHeight="1" x14ac:dyDescent="0.2">
      <c r="A301" s="40"/>
      <c r="B301" s="287"/>
      <c r="C301" s="40">
        <f>'Material Rates_Master'!B135</f>
        <v>0</v>
      </c>
      <c r="D301" s="37"/>
      <c r="E301" s="41">
        <f>'Material Rates_Master'!D135</f>
        <v>0</v>
      </c>
      <c r="F301" s="41">
        <f t="shared" si="11"/>
        <v>0</v>
      </c>
    </row>
    <row r="302" spans="1:6" x14ac:dyDescent="0.2">
      <c r="A302" s="40"/>
      <c r="B302" s="287" t="s">
        <v>259</v>
      </c>
      <c r="C302" s="40" t="str">
        <f>'Material Rates_Master'!B136</f>
        <v>ea</v>
      </c>
      <c r="D302" s="37"/>
      <c r="E302" s="41">
        <f>'Material Rates_Master'!D136</f>
        <v>3100.7</v>
      </c>
      <c r="F302" s="41">
        <f t="shared" si="11"/>
        <v>0</v>
      </c>
    </row>
    <row r="303" spans="1:6" x14ac:dyDescent="0.2">
      <c r="A303" s="40"/>
      <c r="B303" s="287" t="s">
        <v>260</v>
      </c>
      <c r="C303" s="40" t="str">
        <f>'Material Rates_Master'!B137</f>
        <v>ea</v>
      </c>
      <c r="D303" s="37"/>
      <c r="E303" s="41">
        <f>'Material Rates_Master'!D137</f>
        <v>4237.09</v>
      </c>
      <c r="F303" s="41">
        <f t="shared" si="11"/>
        <v>0</v>
      </c>
    </row>
    <row r="304" spans="1:6" ht="7.2" customHeight="1" x14ac:dyDescent="0.2">
      <c r="A304" s="40"/>
      <c r="B304" s="287"/>
      <c r="C304" s="40">
        <f>'Material Rates_Master'!B138</f>
        <v>0</v>
      </c>
      <c r="D304" s="37"/>
      <c r="E304" s="41">
        <f>'Material Rates_Master'!D138</f>
        <v>0</v>
      </c>
      <c r="F304" s="41">
        <f t="shared" si="11"/>
        <v>0</v>
      </c>
    </row>
    <row r="305" spans="1:6" x14ac:dyDescent="0.2">
      <c r="A305" s="40"/>
      <c r="B305" s="287" t="s">
        <v>261</v>
      </c>
      <c r="C305" s="40" t="str">
        <f>'Material Rates_Master'!B139</f>
        <v>ea</v>
      </c>
      <c r="D305" s="37"/>
      <c r="E305" s="41">
        <f>'Material Rates_Master'!D139</f>
        <v>114.44</v>
      </c>
      <c r="F305" s="41">
        <f t="shared" si="11"/>
        <v>0</v>
      </c>
    </row>
    <row r="306" spans="1:6" x14ac:dyDescent="0.2">
      <c r="A306" s="40"/>
      <c r="B306" s="287" t="s">
        <v>262</v>
      </c>
      <c r="C306" s="40" t="str">
        <f>'Material Rates_Master'!B140</f>
        <v>ea</v>
      </c>
      <c r="D306" s="37"/>
      <c r="E306" s="41">
        <f>'Material Rates_Master'!D140</f>
        <v>219.36</v>
      </c>
      <c r="F306" s="41">
        <f t="shared" ref="F306:F333" si="12">E306*D306</f>
        <v>0</v>
      </c>
    </row>
    <row r="307" spans="1:6" x14ac:dyDescent="0.2">
      <c r="A307" s="40"/>
      <c r="B307" s="287" t="s">
        <v>263</v>
      </c>
      <c r="C307" s="40" t="str">
        <f>'Material Rates_Master'!B141</f>
        <v>ea</v>
      </c>
      <c r="D307" s="37"/>
      <c r="E307" s="41">
        <f>'Material Rates_Master'!D141</f>
        <v>135.09</v>
      </c>
      <c r="F307" s="41">
        <f t="shared" si="12"/>
        <v>0</v>
      </c>
    </row>
    <row r="308" spans="1:6" x14ac:dyDescent="0.2">
      <c r="A308" s="40"/>
      <c r="B308" s="287" t="s">
        <v>264</v>
      </c>
      <c r="C308" s="40" t="str">
        <f>'Material Rates_Master'!B142</f>
        <v>ea</v>
      </c>
      <c r="D308" s="37"/>
      <c r="E308" s="41">
        <f>'Material Rates_Master'!D142</f>
        <v>125.77</v>
      </c>
      <c r="F308" s="41">
        <f t="shared" si="12"/>
        <v>0</v>
      </c>
    </row>
    <row r="309" spans="1:6" x14ac:dyDescent="0.2">
      <c r="A309" s="40"/>
      <c r="B309" s="287" t="s">
        <v>265</v>
      </c>
      <c r="C309" s="40" t="str">
        <f>'Material Rates_Master'!B143</f>
        <v>ea</v>
      </c>
      <c r="D309" s="37"/>
      <c r="E309" s="41">
        <f>'Material Rates_Master'!D143</f>
        <v>83.25</v>
      </c>
      <c r="F309" s="41">
        <f t="shared" si="12"/>
        <v>0</v>
      </c>
    </row>
    <row r="310" spans="1:6" x14ac:dyDescent="0.2">
      <c r="A310" s="40"/>
      <c r="B310" s="287" t="s">
        <v>266</v>
      </c>
      <c r="C310" s="40" t="str">
        <f>'Material Rates_Master'!B144</f>
        <v>ea</v>
      </c>
      <c r="D310" s="37"/>
      <c r="E310" s="41">
        <f>'Material Rates_Master'!D144</f>
        <v>52.25</v>
      </c>
      <c r="F310" s="41">
        <f t="shared" si="12"/>
        <v>0</v>
      </c>
    </row>
    <row r="311" spans="1:6" x14ac:dyDescent="0.2">
      <c r="A311" s="40"/>
      <c r="B311" s="287" t="s">
        <v>267</v>
      </c>
      <c r="C311" s="40" t="str">
        <f>'Material Rates_Master'!B145</f>
        <v>ea</v>
      </c>
      <c r="D311" s="37"/>
      <c r="E311" s="41">
        <f>'Material Rates_Master'!D145</f>
        <v>175.66</v>
      </c>
      <c r="F311" s="41">
        <f t="shared" si="12"/>
        <v>0</v>
      </c>
    </row>
    <row r="312" spans="1:6" x14ac:dyDescent="0.2">
      <c r="A312" s="40"/>
      <c r="B312" s="287" t="s">
        <v>268</v>
      </c>
      <c r="C312" s="40" t="str">
        <f>'Material Rates_Master'!B146</f>
        <v>ea</v>
      </c>
      <c r="D312" s="37"/>
      <c r="E312" s="41">
        <f>'Material Rates_Master'!D146</f>
        <v>164.08</v>
      </c>
      <c r="F312" s="41">
        <f t="shared" si="12"/>
        <v>0</v>
      </c>
    </row>
    <row r="313" spans="1:6" ht="7.2" customHeight="1" x14ac:dyDescent="0.2">
      <c r="A313" s="40"/>
      <c r="B313" s="287"/>
      <c r="C313" s="40">
        <f>'Material Rates_Master'!B147</f>
        <v>0</v>
      </c>
      <c r="D313" s="229"/>
      <c r="E313" s="41">
        <f>'Material Rates_Master'!D147</f>
        <v>0</v>
      </c>
      <c r="F313" s="41">
        <f t="shared" si="12"/>
        <v>0</v>
      </c>
    </row>
    <row r="314" spans="1:6" x14ac:dyDescent="0.2">
      <c r="A314" s="40"/>
      <c r="B314" s="287" t="s">
        <v>269</v>
      </c>
      <c r="C314" s="40" t="str">
        <f>'Material Rates_Master'!B148</f>
        <v>ea</v>
      </c>
      <c r="D314" s="229"/>
      <c r="E314" s="41">
        <f>'Material Rates_Master'!D148</f>
        <v>77.95</v>
      </c>
      <c r="F314" s="41">
        <f t="shared" si="12"/>
        <v>0</v>
      </c>
    </row>
    <row r="315" spans="1:6" x14ac:dyDescent="0.2">
      <c r="A315" s="40"/>
      <c r="B315" s="287" t="s">
        <v>270</v>
      </c>
      <c r="C315" s="40" t="str">
        <f>'Material Rates_Master'!B149</f>
        <v>ea</v>
      </c>
      <c r="D315" s="229"/>
      <c r="E315" s="41">
        <f>'Material Rates_Master'!D149</f>
        <v>17.16</v>
      </c>
      <c r="F315" s="41">
        <f t="shared" si="12"/>
        <v>0</v>
      </c>
    </row>
    <row r="316" spans="1:6" x14ac:dyDescent="0.2">
      <c r="A316" s="40"/>
      <c r="B316" s="287" t="s">
        <v>271</v>
      </c>
      <c r="C316" s="40" t="str">
        <f>'Material Rates_Master'!B150</f>
        <v>ea</v>
      </c>
      <c r="D316" s="229"/>
      <c r="E316" s="41">
        <f>'Material Rates_Master'!D150</f>
        <v>7.23</v>
      </c>
      <c r="F316" s="41">
        <f t="shared" si="12"/>
        <v>0</v>
      </c>
    </row>
    <row r="317" spans="1:6" x14ac:dyDescent="0.2">
      <c r="A317" s="40"/>
      <c r="B317" s="287" t="s">
        <v>272</v>
      </c>
      <c r="C317" s="40" t="str">
        <f>'Material Rates_Master'!B151</f>
        <v>ea</v>
      </c>
      <c r="D317" s="229"/>
      <c r="E317" s="41">
        <f>'Material Rates_Master'!D151</f>
        <v>14.31</v>
      </c>
      <c r="F317" s="41">
        <f t="shared" si="12"/>
        <v>0</v>
      </c>
    </row>
    <row r="318" spans="1:6" x14ac:dyDescent="0.2">
      <c r="A318" s="40"/>
      <c r="B318" s="287" t="s">
        <v>273</v>
      </c>
      <c r="C318" s="40" t="str">
        <f>'Material Rates_Master'!B152</f>
        <v>ea</v>
      </c>
      <c r="D318" s="229"/>
      <c r="E318" s="41">
        <f>'Material Rates_Master'!D152</f>
        <v>16.239999999999998</v>
      </c>
      <c r="F318" s="41">
        <f t="shared" si="12"/>
        <v>0</v>
      </c>
    </row>
    <row r="319" spans="1:6" x14ac:dyDescent="0.2">
      <c r="A319" s="40"/>
      <c r="B319" s="287" t="s">
        <v>274</v>
      </c>
      <c r="C319" s="40" t="str">
        <f>'Material Rates_Master'!B153</f>
        <v>ea</v>
      </c>
      <c r="D319" s="229"/>
      <c r="E319" s="41">
        <f>'Material Rates_Master'!D153</f>
        <v>14.36</v>
      </c>
      <c r="F319" s="41">
        <f t="shared" si="12"/>
        <v>0</v>
      </c>
    </row>
    <row r="320" spans="1:6" x14ac:dyDescent="0.2">
      <c r="A320" s="40"/>
      <c r="B320" s="287" t="s">
        <v>275</v>
      </c>
      <c r="C320" s="40" t="str">
        <f>'Material Rates_Master'!B154</f>
        <v>ea</v>
      </c>
      <c r="D320" s="229"/>
      <c r="E320" s="41">
        <f>'Material Rates_Master'!D154</f>
        <v>46.94</v>
      </c>
      <c r="F320" s="41">
        <f t="shared" si="12"/>
        <v>0</v>
      </c>
    </row>
    <row r="321" spans="1:6" x14ac:dyDescent="0.2">
      <c r="A321" s="40"/>
      <c r="B321" s="287" t="s">
        <v>276</v>
      </c>
      <c r="C321" s="40" t="str">
        <f>'Material Rates_Master'!B155</f>
        <v>ea</v>
      </c>
      <c r="D321" s="229"/>
      <c r="E321" s="41">
        <f>'Material Rates_Master'!D155</f>
        <v>8.4600000000000009</v>
      </c>
      <c r="F321" s="41">
        <f t="shared" si="12"/>
        <v>0</v>
      </c>
    </row>
    <row r="322" spans="1:6" x14ac:dyDescent="0.2">
      <c r="A322" s="40"/>
      <c r="B322" s="287" t="s">
        <v>277</v>
      </c>
      <c r="C322" s="40" t="str">
        <f>'Material Rates_Master'!B156</f>
        <v>ea</v>
      </c>
      <c r="D322" s="229"/>
      <c r="E322" s="41">
        <f>'Material Rates_Master'!D156</f>
        <v>5.74</v>
      </c>
      <c r="F322" s="41">
        <f t="shared" si="12"/>
        <v>0</v>
      </c>
    </row>
    <row r="323" spans="1:6" x14ac:dyDescent="0.2">
      <c r="A323" s="40"/>
      <c r="B323" s="287" t="s">
        <v>278</v>
      </c>
      <c r="C323" s="40" t="str">
        <f>'Material Rates_Master'!B157</f>
        <v>ea</v>
      </c>
      <c r="D323" s="229"/>
      <c r="E323" s="41">
        <f>'Material Rates_Master'!D157</f>
        <v>7.7</v>
      </c>
      <c r="F323" s="41">
        <f t="shared" si="12"/>
        <v>0</v>
      </c>
    </row>
    <row r="324" spans="1:6" x14ac:dyDescent="0.2">
      <c r="A324" s="40"/>
      <c r="B324" s="287" t="s">
        <v>279</v>
      </c>
      <c r="C324" s="40" t="str">
        <f>'Material Rates_Master'!B158</f>
        <v>ea</v>
      </c>
      <c r="D324" s="229"/>
      <c r="E324" s="41">
        <f>'Material Rates_Master'!D158</f>
        <v>10.19</v>
      </c>
      <c r="F324" s="41">
        <f t="shared" si="12"/>
        <v>0</v>
      </c>
    </row>
    <row r="325" spans="1:6" ht="9" customHeight="1" x14ac:dyDescent="0.2">
      <c r="A325" s="40"/>
      <c r="B325" s="287"/>
      <c r="C325" s="40">
        <f>'Material Rates_Master'!B159</f>
        <v>0</v>
      </c>
      <c r="D325" s="229"/>
      <c r="E325" s="41">
        <f>'Material Rates_Master'!D159</f>
        <v>0</v>
      </c>
      <c r="F325" s="41">
        <f t="shared" si="12"/>
        <v>0</v>
      </c>
    </row>
    <row r="326" spans="1:6" x14ac:dyDescent="0.2">
      <c r="A326" s="40"/>
      <c r="B326" s="287" t="s">
        <v>280</v>
      </c>
      <c r="C326" s="40" t="str">
        <f>'Material Rates_Master'!B160</f>
        <v>ea</v>
      </c>
      <c r="D326" s="37"/>
      <c r="E326" s="41">
        <f>'Material Rates_Master'!D160</f>
        <v>5.86</v>
      </c>
      <c r="F326" s="41">
        <f t="shared" si="12"/>
        <v>0</v>
      </c>
    </row>
    <row r="327" spans="1:6" x14ac:dyDescent="0.2">
      <c r="A327" s="40"/>
      <c r="B327" s="287" t="s">
        <v>281</v>
      </c>
      <c r="C327" s="40" t="str">
        <f>'Material Rates_Master'!B161</f>
        <v>ea</v>
      </c>
      <c r="D327" s="37"/>
      <c r="E327" s="41">
        <f>'Material Rates_Master'!D161</f>
        <v>4.41</v>
      </c>
      <c r="F327" s="41">
        <f t="shared" si="12"/>
        <v>0</v>
      </c>
    </row>
    <row r="328" spans="1:6" x14ac:dyDescent="0.2">
      <c r="A328" s="40"/>
      <c r="B328" s="287" t="s">
        <v>282</v>
      </c>
      <c r="C328" s="40" t="str">
        <f>'Material Rates_Master'!B162</f>
        <v>ea</v>
      </c>
      <c r="D328" s="37"/>
      <c r="E328" s="41">
        <f>'Material Rates_Master'!D162</f>
        <v>5.36</v>
      </c>
      <c r="F328" s="41">
        <f t="shared" si="12"/>
        <v>0</v>
      </c>
    </row>
    <row r="329" spans="1:6" x14ac:dyDescent="0.2">
      <c r="A329" s="40"/>
      <c r="B329" s="287" t="s">
        <v>283</v>
      </c>
      <c r="C329" s="40" t="str">
        <f>'Material Rates_Master'!B163</f>
        <v>ea</v>
      </c>
      <c r="D329" s="37"/>
      <c r="E329" s="41">
        <f>'Material Rates_Master'!D163</f>
        <v>4.4000000000000004</v>
      </c>
      <c r="F329" s="41">
        <f t="shared" si="12"/>
        <v>0</v>
      </c>
    </row>
    <row r="330" spans="1:6" x14ac:dyDescent="0.2">
      <c r="A330" s="40"/>
      <c r="B330" s="287" t="s">
        <v>284</v>
      </c>
      <c r="C330" s="40" t="str">
        <f>'Material Rates_Master'!B164</f>
        <v>ea</v>
      </c>
      <c r="D330" s="37"/>
      <c r="E330" s="41">
        <f>'Material Rates_Master'!D164</f>
        <v>10.64</v>
      </c>
      <c r="F330" s="41">
        <f t="shared" si="12"/>
        <v>0</v>
      </c>
    </row>
    <row r="331" spans="1:6" x14ac:dyDescent="0.2">
      <c r="A331" s="40"/>
      <c r="B331" s="287" t="s">
        <v>285</v>
      </c>
      <c r="C331" s="40" t="str">
        <f>'Material Rates_Master'!B165</f>
        <v>ea</v>
      </c>
      <c r="D331" s="37"/>
      <c r="E331" s="41">
        <f>'Material Rates_Master'!D165</f>
        <v>20</v>
      </c>
      <c r="F331" s="41">
        <f t="shared" si="12"/>
        <v>0</v>
      </c>
    </row>
    <row r="332" spans="1:6" x14ac:dyDescent="0.2">
      <c r="A332" s="40"/>
      <c r="B332" s="287" t="s">
        <v>286</v>
      </c>
      <c r="C332" s="40" t="str">
        <f>'Material Rates_Master'!B166</f>
        <v>ea</v>
      </c>
      <c r="D332" s="37"/>
      <c r="E332" s="41">
        <f>'Material Rates_Master'!D166</f>
        <v>19.5</v>
      </c>
      <c r="F332" s="41">
        <f t="shared" si="12"/>
        <v>0</v>
      </c>
    </row>
    <row r="333" spans="1:6" x14ac:dyDescent="0.2">
      <c r="A333" s="40"/>
      <c r="B333" s="287" t="s">
        <v>220</v>
      </c>
      <c r="C333" s="40" t="str">
        <f>'Material Rates_Master'!B167</f>
        <v>ea</v>
      </c>
      <c r="D333" s="37"/>
      <c r="E333" s="41">
        <f>'Material Rates_Master'!D167</f>
        <v>20</v>
      </c>
      <c r="F333" s="41">
        <f t="shared" si="12"/>
        <v>0</v>
      </c>
    </row>
    <row r="334" spans="1:6" ht="10.95" customHeight="1" x14ac:dyDescent="0.2">
      <c r="A334" s="40"/>
      <c r="B334" s="287"/>
      <c r="D334" s="37"/>
    </row>
    <row r="335" spans="1:6" ht="10.5" customHeight="1" x14ac:dyDescent="0.2">
      <c r="A335" s="40"/>
      <c r="B335" s="314" t="s">
        <v>287</v>
      </c>
      <c r="D335" s="37"/>
    </row>
    <row r="336" spans="1:6" ht="14.55" customHeight="1" x14ac:dyDescent="0.2">
      <c r="A336" s="40"/>
      <c r="B336" s="288" t="s">
        <v>234</v>
      </c>
      <c r="D336" s="37"/>
    </row>
    <row r="337" spans="1:8" x14ac:dyDescent="0.2">
      <c r="A337" s="40"/>
      <c r="B337" s="287" t="s">
        <v>288</v>
      </c>
      <c r="C337" s="40" t="str">
        <f>'Material Rates_Master'!B171</f>
        <v>ea</v>
      </c>
      <c r="D337" s="37"/>
      <c r="E337" s="41">
        <v>1388</v>
      </c>
      <c r="F337" s="41">
        <f t="shared" ref="F337:F342" si="13">E337*D337</f>
        <v>0</v>
      </c>
    </row>
    <row r="338" spans="1:8" x14ac:dyDescent="0.2">
      <c r="A338" s="40"/>
      <c r="B338" s="287" t="s">
        <v>289</v>
      </c>
      <c r="C338" s="40" t="str">
        <f>'Material Rates_Master'!B172</f>
        <v>ea</v>
      </c>
      <c r="D338" s="37"/>
      <c r="E338" s="41">
        <f>'Material Rates_Master'!D172</f>
        <v>0</v>
      </c>
      <c r="F338" s="41">
        <f t="shared" si="13"/>
        <v>0</v>
      </c>
    </row>
    <row r="339" spans="1:8" x14ac:dyDescent="0.2">
      <c r="A339" s="40"/>
      <c r="B339" s="287" t="s">
        <v>290</v>
      </c>
      <c r="C339" s="40" t="s">
        <v>291</v>
      </c>
      <c r="D339" s="37"/>
      <c r="E339" s="41">
        <v>450</v>
      </c>
      <c r="F339" s="41">
        <f t="shared" si="13"/>
        <v>0</v>
      </c>
    </row>
    <row r="340" spans="1:8" x14ac:dyDescent="0.2">
      <c r="A340" s="40"/>
      <c r="B340" s="287" t="s">
        <v>292</v>
      </c>
      <c r="C340" s="40" t="str">
        <f>'Material Rates_Master'!B174</f>
        <v>ea</v>
      </c>
      <c r="D340" s="37"/>
      <c r="E340" s="41">
        <f>'Material Rates_Master'!D174</f>
        <v>0</v>
      </c>
      <c r="F340" s="41">
        <f t="shared" si="13"/>
        <v>0</v>
      </c>
    </row>
    <row r="341" spans="1:8" x14ac:dyDescent="0.2">
      <c r="A341" s="40"/>
      <c r="B341" s="287" t="s">
        <v>293</v>
      </c>
      <c r="C341" s="40" t="str">
        <f>'Material Rates_Master'!B175</f>
        <v>ea</v>
      </c>
      <c r="D341" s="37"/>
      <c r="E341" s="41">
        <f>'Material Rates_Master'!D175</f>
        <v>2178.48</v>
      </c>
      <c r="F341" s="41">
        <f t="shared" si="13"/>
        <v>0</v>
      </c>
    </row>
    <row r="342" spans="1:8" x14ac:dyDescent="0.2">
      <c r="A342" s="40"/>
      <c r="B342" s="287" t="s">
        <v>294</v>
      </c>
      <c r="C342" s="40" t="str">
        <f>'Material Rates_Master'!B176</f>
        <v>ea</v>
      </c>
      <c r="D342" s="37"/>
      <c r="E342" s="41">
        <f>'Material Rates_Master'!D176</f>
        <v>2178.48</v>
      </c>
      <c r="F342" s="41">
        <f t="shared" si="13"/>
        <v>0</v>
      </c>
    </row>
    <row r="344" spans="1:8" s="40" customFormat="1" ht="14.4" customHeight="1" x14ac:dyDescent="0.3">
      <c r="A344" s="306"/>
      <c r="B344" s="307" t="s">
        <v>295</v>
      </c>
      <c r="C344" s="42"/>
      <c r="D344" s="42"/>
      <c r="E344" s="41"/>
      <c r="F344" s="41"/>
    </row>
    <row r="345" spans="1:8" s="40" customFormat="1" ht="14.4" customHeight="1" x14ac:dyDescent="0.3">
      <c r="A345" s="306"/>
      <c r="B345" s="309" t="s">
        <v>234</v>
      </c>
      <c r="C345" s="42"/>
      <c r="D345" s="42"/>
      <c r="E345" s="41"/>
      <c r="F345" s="41"/>
    </row>
    <row r="346" spans="1:8" s="40" customFormat="1" ht="14.4" customHeight="1" x14ac:dyDescent="0.3">
      <c r="A346" s="306"/>
      <c r="B346" s="306"/>
      <c r="C346" s="42"/>
      <c r="D346" s="42"/>
      <c r="E346" s="41"/>
      <c r="F346" s="41"/>
    </row>
    <row r="347" spans="1:8" s="40" customFormat="1" ht="14.4" customHeight="1" x14ac:dyDescent="0.3">
      <c r="A347" s="306"/>
      <c r="B347" s="306" t="s">
        <v>296</v>
      </c>
      <c r="C347" s="310" t="s">
        <v>25</v>
      </c>
      <c r="E347" s="308">
        <v>34.5</v>
      </c>
      <c r="F347" s="41">
        <f t="shared" ref="F347:F369" si="14">E347*D347</f>
        <v>0</v>
      </c>
    </row>
    <row r="348" spans="1:8" s="40" customFormat="1" ht="14.4" customHeight="1" x14ac:dyDescent="0.3">
      <c r="A348" s="306"/>
      <c r="B348" s="306" t="s">
        <v>297</v>
      </c>
      <c r="C348" s="310" t="s">
        <v>25</v>
      </c>
      <c r="E348" s="308">
        <v>12.31</v>
      </c>
      <c r="F348" s="41">
        <f t="shared" si="14"/>
        <v>0</v>
      </c>
    </row>
    <row r="349" spans="1:8" s="40" customFormat="1" ht="14.4" customHeight="1" x14ac:dyDescent="0.3">
      <c r="A349" s="306"/>
      <c r="B349" s="306" t="s">
        <v>298</v>
      </c>
      <c r="C349" s="310" t="s">
        <v>25</v>
      </c>
      <c r="E349" s="308">
        <v>9.66</v>
      </c>
      <c r="F349" s="41">
        <f t="shared" si="14"/>
        <v>0</v>
      </c>
    </row>
    <row r="350" spans="1:8" s="40" customFormat="1" ht="14.4" customHeight="1" x14ac:dyDescent="0.3">
      <c r="A350" s="306"/>
      <c r="B350" s="306" t="s">
        <v>299</v>
      </c>
      <c r="C350" s="310" t="s">
        <v>25</v>
      </c>
      <c r="E350" s="308">
        <v>4.63</v>
      </c>
      <c r="F350" s="41">
        <f t="shared" si="14"/>
        <v>0</v>
      </c>
    </row>
    <row r="351" spans="1:8" s="40" customFormat="1" ht="14.4" customHeight="1" x14ac:dyDescent="0.3">
      <c r="A351" s="306"/>
      <c r="B351" s="387" t="s">
        <v>300</v>
      </c>
      <c r="C351" s="310" t="s">
        <v>25</v>
      </c>
      <c r="E351" s="308">
        <v>5.4</v>
      </c>
      <c r="F351" s="41">
        <f t="shared" si="14"/>
        <v>0</v>
      </c>
    </row>
    <row r="352" spans="1:8" s="40" customFormat="1" ht="14.4" customHeight="1" x14ac:dyDescent="0.3">
      <c r="A352" s="306"/>
      <c r="B352" s="387" t="s">
        <v>301</v>
      </c>
      <c r="C352" s="310" t="s">
        <v>25</v>
      </c>
      <c r="D352" s="40">
        <v>3.27</v>
      </c>
      <c r="E352" s="308">
        <v>4.4000000000000004</v>
      </c>
      <c r="F352" s="41">
        <f t="shared" si="14"/>
        <v>14.388000000000002</v>
      </c>
      <c r="G352">
        <v>4</v>
      </c>
      <c r="H352" s="457" t="s">
        <v>302</v>
      </c>
    </row>
    <row r="353" spans="1:7" s="40" customFormat="1" ht="14.4" customHeight="1" x14ac:dyDescent="0.3">
      <c r="A353" s="306"/>
      <c r="B353" s="306" t="s">
        <v>303</v>
      </c>
      <c r="C353" s="310" t="s">
        <v>25</v>
      </c>
      <c r="E353" s="308">
        <f>354.31/150</f>
        <v>2.3620666666666668</v>
      </c>
      <c r="F353" s="41">
        <f t="shared" si="14"/>
        <v>0</v>
      </c>
    </row>
    <row r="354" spans="1:7" ht="14.4" customHeight="1" x14ac:dyDescent="0.3">
      <c r="A354" s="306"/>
      <c r="B354" s="387" t="s">
        <v>304</v>
      </c>
      <c r="C354" s="310" t="s">
        <v>25</v>
      </c>
      <c r="E354" s="308">
        <v>2.1</v>
      </c>
      <c r="F354" s="41">
        <f t="shared" si="14"/>
        <v>0</v>
      </c>
    </row>
    <row r="355" spans="1:7" ht="14.4" customHeight="1" x14ac:dyDescent="0.3">
      <c r="A355" s="306"/>
      <c r="B355" s="306" t="s">
        <v>305</v>
      </c>
      <c r="C355" s="310" t="s">
        <v>25</v>
      </c>
      <c r="E355" s="308">
        <v>1.22</v>
      </c>
      <c r="F355" s="41">
        <f t="shared" si="14"/>
        <v>0</v>
      </c>
    </row>
    <row r="356" spans="1:7" ht="14.4" customHeight="1" x14ac:dyDescent="0.3">
      <c r="A356" s="306"/>
      <c r="B356" s="306" t="s">
        <v>306</v>
      </c>
      <c r="C356" s="310" t="s">
        <v>25</v>
      </c>
      <c r="E356" s="308">
        <v>2.4300000000000002</v>
      </c>
      <c r="F356" s="41">
        <f t="shared" si="14"/>
        <v>0</v>
      </c>
    </row>
    <row r="357" spans="1:7" ht="14.4" customHeight="1" x14ac:dyDescent="0.3">
      <c r="A357" s="306"/>
      <c r="B357" s="306" t="s">
        <v>307</v>
      </c>
      <c r="C357" s="310" t="s">
        <v>25</v>
      </c>
      <c r="E357" s="308">
        <v>22</v>
      </c>
      <c r="F357" s="41">
        <f t="shared" si="14"/>
        <v>0</v>
      </c>
      <c r="G357" s="308"/>
    </row>
    <row r="358" spans="1:7" ht="14.4" customHeight="1" x14ac:dyDescent="0.3">
      <c r="A358" s="306"/>
      <c r="B358" s="306" t="s">
        <v>308</v>
      </c>
      <c r="C358" s="310" t="s">
        <v>27</v>
      </c>
      <c r="E358" s="308">
        <v>57.75</v>
      </c>
      <c r="F358" s="41">
        <f t="shared" si="14"/>
        <v>0</v>
      </c>
      <c r="G358" s="308"/>
    </row>
    <row r="359" spans="1:7" ht="14.4" customHeight="1" x14ac:dyDescent="0.3">
      <c r="A359" s="306"/>
      <c r="B359" s="306" t="s">
        <v>309</v>
      </c>
      <c r="C359" s="310" t="s">
        <v>27</v>
      </c>
      <c r="E359" s="308">
        <v>139</v>
      </c>
      <c r="F359" s="41">
        <f t="shared" si="14"/>
        <v>0</v>
      </c>
      <c r="G359" s="308"/>
    </row>
    <row r="360" spans="1:7" ht="14.4" customHeight="1" x14ac:dyDescent="0.3">
      <c r="A360" s="306"/>
      <c r="B360" s="306" t="s">
        <v>310</v>
      </c>
      <c r="C360" s="310" t="s">
        <v>27</v>
      </c>
      <c r="E360" s="308">
        <v>104.15</v>
      </c>
      <c r="F360" s="41">
        <f t="shared" si="14"/>
        <v>0</v>
      </c>
      <c r="G360" s="308"/>
    </row>
    <row r="361" spans="1:7" ht="14.4" customHeight="1" x14ac:dyDescent="0.3">
      <c r="A361" s="306"/>
      <c r="B361" s="306" t="s">
        <v>311</v>
      </c>
      <c r="C361" s="310" t="s">
        <v>27</v>
      </c>
      <c r="E361" s="308">
        <v>26.1</v>
      </c>
      <c r="F361" s="41">
        <f t="shared" si="14"/>
        <v>0</v>
      </c>
      <c r="G361" s="308"/>
    </row>
    <row r="362" spans="1:7" ht="14.4" customHeight="1" x14ac:dyDescent="0.3">
      <c r="A362" s="306"/>
      <c r="B362" s="306" t="s">
        <v>312</v>
      </c>
      <c r="C362" s="310" t="s">
        <v>27</v>
      </c>
      <c r="E362" s="308">
        <v>37.5</v>
      </c>
      <c r="F362" s="41">
        <f t="shared" si="14"/>
        <v>0</v>
      </c>
      <c r="G362" s="308"/>
    </row>
    <row r="363" spans="1:7" ht="14.4" customHeight="1" x14ac:dyDescent="0.3">
      <c r="A363" s="306"/>
      <c r="B363" s="306" t="s">
        <v>313</v>
      </c>
      <c r="C363" s="310" t="s">
        <v>27</v>
      </c>
      <c r="E363" s="308">
        <v>35.93</v>
      </c>
      <c r="F363" s="41">
        <f t="shared" si="14"/>
        <v>0</v>
      </c>
      <c r="G363" s="308"/>
    </row>
    <row r="364" spans="1:7" ht="14.4" customHeight="1" x14ac:dyDescent="0.3">
      <c r="A364" s="306"/>
      <c r="B364" s="306" t="s">
        <v>314</v>
      </c>
      <c r="C364" s="310" t="s">
        <v>27</v>
      </c>
      <c r="E364" s="308">
        <v>35</v>
      </c>
      <c r="F364" s="41">
        <f t="shared" si="14"/>
        <v>0</v>
      </c>
      <c r="G364" s="308"/>
    </row>
    <row r="365" spans="1:7" ht="14.4" customHeight="1" x14ac:dyDescent="0.3">
      <c r="A365" s="306"/>
      <c r="B365" s="387" t="s">
        <v>315</v>
      </c>
      <c r="C365" s="310" t="s">
        <v>27</v>
      </c>
      <c r="E365" s="308">
        <v>35</v>
      </c>
      <c r="F365" s="41">
        <f t="shared" si="14"/>
        <v>0</v>
      </c>
      <c r="G365" s="308"/>
    </row>
    <row r="366" spans="1:7" ht="14.4" customHeight="1" x14ac:dyDescent="0.3">
      <c r="A366" s="306"/>
      <c r="B366" s="387" t="s">
        <v>316</v>
      </c>
      <c r="C366" s="310" t="s">
        <v>27</v>
      </c>
      <c r="E366" s="308">
        <v>35</v>
      </c>
      <c r="F366" s="41">
        <f t="shared" si="14"/>
        <v>0</v>
      </c>
      <c r="G366" s="308"/>
    </row>
    <row r="367" spans="1:7" ht="14.4" customHeight="1" x14ac:dyDescent="0.3">
      <c r="A367" s="306"/>
      <c r="B367" s="387" t="s">
        <v>317</v>
      </c>
      <c r="C367" s="310" t="s">
        <v>27</v>
      </c>
      <c r="E367" s="308">
        <v>20</v>
      </c>
      <c r="F367" s="41">
        <f t="shared" si="14"/>
        <v>0</v>
      </c>
      <c r="G367" s="308"/>
    </row>
    <row r="368" spans="1:7" ht="14.4" customHeight="1" x14ac:dyDescent="0.3">
      <c r="A368" s="306"/>
      <c r="B368" s="306" t="s">
        <v>318</v>
      </c>
      <c r="C368" s="310" t="s">
        <v>27</v>
      </c>
      <c r="E368" s="308">
        <v>50</v>
      </c>
      <c r="F368" s="41">
        <f t="shared" si="14"/>
        <v>0</v>
      </c>
      <c r="G368" s="308"/>
    </row>
    <row r="369" spans="1:7" ht="14.4" customHeight="1" x14ac:dyDescent="0.3">
      <c r="A369" s="306"/>
      <c r="B369" s="306" t="s">
        <v>319</v>
      </c>
      <c r="C369" s="310" t="s">
        <v>27</v>
      </c>
      <c r="E369" s="308">
        <v>54</v>
      </c>
      <c r="F369" s="41">
        <f t="shared" si="14"/>
        <v>0</v>
      </c>
      <c r="G369" s="308"/>
    </row>
    <row r="370" spans="1:7" ht="14.4" customHeight="1" x14ac:dyDescent="0.3">
      <c r="A370" s="306"/>
      <c r="B370" s="306"/>
      <c r="C370" s="310"/>
      <c r="E370" s="308"/>
    </row>
    <row r="371" spans="1:7" ht="14.4" customHeight="1" x14ac:dyDescent="0.3">
      <c r="A371" s="306"/>
      <c r="B371" s="387" t="s">
        <v>320</v>
      </c>
      <c r="C371" s="310" t="s">
        <v>27</v>
      </c>
      <c r="E371" s="308">
        <v>15.55</v>
      </c>
      <c r="F371" s="41">
        <f t="shared" ref="F371:F417" si="15">E371*D371</f>
        <v>0</v>
      </c>
      <c r="G371" s="308"/>
    </row>
    <row r="372" spans="1:7" ht="14.4" customHeight="1" x14ac:dyDescent="0.3">
      <c r="A372" s="306"/>
      <c r="B372" s="387" t="s">
        <v>321</v>
      </c>
      <c r="C372" s="310" t="s">
        <v>27</v>
      </c>
      <c r="E372" s="308">
        <v>15</v>
      </c>
      <c r="F372" s="41">
        <f t="shared" si="15"/>
        <v>0</v>
      </c>
      <c r="G372" s="308"/>
    </row>
    <row r="373" spans="1:7" ht="14.4" customHeight="1" x14ac:dyDescent="0.3">
      <c r="A373" s="306"/>
      <c r="B373" s="387" t="s">
        <v>322</v>
      </c>
      <c r="C373" s="386" t="s">
        <v>27</v>
      </c>
      <c r="E373" s="308">
        <v>10.87</v>
      </c>
      <c r="F373" s="41">
        <f t="shared" si="15"/>
        <v>0</v>
      </c>
      <c r="G373" s="308"/>
    </row>
    <row r="374" spans="1:7" ht="14.4" customHeight="1" x14ac:dyDescent="0.3">
      <c r="A374" s="306"/>
      <c r="B374" s="387" t="s">
        <v>323</v>
      </c>
      <c r="C374" s="310" t="s">
        <v>27</v>
      </c>
      <c r="E374" s="308">
        <v>55</v>
      </c>
      <c r="F374" s="41">
        <f t="shared" si="15"/>
        <v>0</v>
      </c>
      <c r="G374" s="308"/>
    </row>
    <row r="375" spans="1:7" ht="14.4" customHeight="1" x14ac:dyDescent="0.3">
      <c r="A375" s="306"/>
      <c r="B375" s="387" t="s">
        <v>324</v>
      </c>
      <c r="C375" s="310" t="s">
        <v>27</v>
      </c>
      <c r="E375" s="308">
        <v>55</v>
      </c>
      <c r="F375" s="41">
        <f t="shared" si="15"/>
        <v>0</v>
      </c>
      <c r="G375" s="308"/>
    </row>
    <row r="376" spans="1:7" ht="14.4" customHeight="1" x14ac:dyDescent="0.3">
      <c r="A376" s="306"/>
      <c r="B376" s="387" t="s">
        <v>325</v>
      </c>
      <c r="C376" s="310" t="s">
        <v>27</v>
      </c>
      <c r="E376" s="308">
        <v>35</v>
      </c>
      <c r="F376" s="41">
        <f t="shared" si="15"/>
        <v>0</v>
      </c>
      <c r="G376" s="308"/>
    </row>
    <row r="377" spans="1:7" ht="14.4" customHeight="1" x14ac:dyDescent="0.3">
      <c r="A377" s="306"/>
      <c r="B377" s="306" t="s">
        <v>326</v>
      </c>
      <c r="C377" s="310" t="s">
        <v>27</v>
      </c>
      <c r="E377" s="308">
        <v>35</v>
      </c>
      <c r="F377" s="41">
        <f t="shared" si="15"/>
        <v>0</v>
      </c>
      <c r="G377" s="308"/>
    </row>
    <row r="378" spans="1:7" ht="14.4" customHeight="1" x14ac:dyDescent="0.3">
      <c r="A378" s="306"/>
      <c r="B378" s="306" t="s">
        <v>327</v>
      </c>
      <c r="C378" s="310" t="s">
        <v>27</v>
      </c>
      <c r="E378" s="308">
        <v>35</v>
      </c>
      <c r="F378" s="41">
        <f t="shared" si="15"/>
        <v>0</v>
      </c>
      <c r="G378" s="308"/>
    </row>
    <row r="379" spans="1:7" ht="14.4" customHeight="1" x14ac:dyDescent="0.3">
      <c r="A379" s="306"/>
      <c r="B379" s="387" t="s">
        <v>328</v>
      </c>
      <c r="C379" s="386" t="s">
        <v>27</v>
      </c>
      <c r="E379" s="308">
        <v>35</v>
      </c>
      <c r="F379" s="41">
        <f t="shared" si="15"/>
        <v>0</v>
      </c>
      <c r="G379" s="308"/>
    </row>
    <row r="380" spans="1:7" ht="14.4" customHeight="1" x14ac:dyDescent="0.3">
      <c r="A380" s="306"/>
      <c r="B380" s="306" t="s">
        <v>329</v>
      </c>
      <c r="C380" s="310" t="s">
        <v>27</v>
      </c>
      <c r="E380" s="308">
        <v>35</v>
      </c>
      <c r="F380" s="41">
        <f t="shared" si="15"/>
        <v>0</v>
      </c>
      <c r="G380" s="308"/>
    </row>
    <row r="381" spans="1:7" ht="14.4" customHeight="1" x14ac:dyDescent="0.3">
      <c r="A381" s="306"/>
      <c r="B381" s="387" t="s">
        <v>330</v>
      </c>
      <c r="C381" s="310" t="s">
        <v>27</v>
      </c>
      <c r="E381" s="308">
        <v>35</v>
      </c>
      <c r="F381" s="41">
        <f t="shared" si="15"/>
        <v>0</v>
      </c>
      <c r="G381" s="308"/>
    </row>
    <row r="382" spans="1:7" ht="14.4" customHeight="1" x14ac:dyDescent="0.3">
      <c r="A382" s="306"/>
      <c r="B382" s="387" t="s">
        <v>331</v>
      </c>
      <c r="C382" s="310" t="s">
        <v>27</v>
      </c>
      <c r="E382" s="308">
        <v>35</v>
      </c>
      <c r="F382" s="41">
        <f t="shared" si="15"/>
        <v>0</v>
      </c>
      <c r="G382" s="308"/>
    </row>
    <row r="383" spans="1:7" ht="14.4" customHeight="1" x14ac:dyDescent="0.3">
      <c r="A383" s="306"/>
      <c r="B383" s="306" t="s">
        <v>332</v>
      </c>
      <c r="C383" s="310" t="s">
        <v>27</v>
      </c>
      <c r="E383" s="308">
        <v>35</v>
      </c>
      <c r="F383" s="41">
        <f t="shared" si="15"/>
        <v>0</v>
      </c>
      <c r="G383" s="308"/>
    </row>
    <row r="384" spans="1:7" ht="14.4" customHeight="1" x14ac:dyDescent="0.3">
      <c r="A384" s="306"/>
      <c r="B384" s="306" t="s">
        <v>333</v>
      </c>
      <c r="C384" s="310" t="s">
        <v>27</v>
      </c>
      <c r="E384" s="308">
        <v>26</v>
      </c>
      <c r="F384" s="41">
        <f t="shared" si="15"/>
        <v>0</v>
      </c>
      <c r="G384" s="308"/>
    </row>
    <row r="385" spans="1:7" ht="14.4" customHeight="1" x14ac:dyDescent="0.3">
      <c r="A385" s="306"/>
      <c r="B385" s="387" t="s">
        <v>334</v>
      </c>
      <c r="C385" s="310" t="s">
        <v>27</v>
      </c>
      <c r="E385" s="308">
        <v>35</v>
      </c>
      <c r="F385" s="41">
        <f t="shared" si="15"/>
        <v>0</v>
      </c>
      <c r="G385" s="308"/>
    </row>
    <row r="386" spans="1:7" ht="14.4" customHeight="1" x14ac:dyDescent="0.3">
      <c r="A386" s="306"/>
      <c r="B386" s="387" t="s">
        <v>335</v>
      </c>
      <c r="C386" s="310" t="s">
        <v>27</v>
      </c>
      <c r="E386" s="308">
        <v>10.87</v>
      </c>
      <c r="F386" s="41">
        <f t="shared" si="15"/>
        <v>0</v>
      </c>
      <c r="G386" s="308"/>
    </row>
    <row r="387" spans="1:7" ht="14.4" customHeight="1" x14ac:dyDescent="0.3">
      <c r="A387" s="306"/>
      <c r="B387" s="306" t="s">
        <v>336</v>
      </c>
      <c r="C387" s="310" t="s">
        <v>27</v>
      </c>
      <c r="E387" s="308">
        <v>35</v>
      </c>
      <c r="F387" s="41">
        <f t="shared" si="15"/>
        <v>0</v>
      </c>
      <c r="G387" s="308"/>
    </row>
    <row r="388" spans="1:7" ht="14.4" customHeight="1" x14ac:dyDescent="0.3">
      <c r="A388" s="306"/>
      <c r="B388" s="306" t="s">
        <v>337</v>
      </c>
      <c r="C388" s="310" t="s">
        <v>27</v>
      </c>
      <c r="E388" s="308">
        <v>20</v>
      </c>
      <c r="F388" s="41">
        <f t="shared" si="15"/>
        <v>0</v>
      </c>
      <c r="G388" s="308"/>
    </row>
    <row r="389" spans="1:7" ht="14.4" customHeight="1" x14ac:dyDescent="0.3">
      <c r="A389" s="306"/>
      <c r="B389" s="387" t="s">
        <v>338</v>
      </c>
      <c r="C389" s="310" t="s">
        <v>27</v>
      </c>
      <c r="E389" s="308">
        <v>20</v>
      </c>
      <c r="F389" s="41">
        <f t="shared" si="15"/>
        <v>0</v>
      </c>
      <c r="G389" s="308"/>
    </row>
    <row r="390" spans="1:7" ht="14.4" customHeight="1" x14ac:dyDescent="0.3">
      <c r="A390" s="306"/>
      <c r="B390" s="387" t="s">
        <v>339</v>
      </c>
      <c r="C390" s="310" t="s">
        <v>27</v>
      </c>
      <c r="E390" s="308"/>
      <c r="F390" s="41">
        <f t="shared" si="15"/>
        <v>0</v>
      </c>
    </row>
    <row r="391" spans="1:7" ht="14.4" customHeight="1" x14ac:dyDescent="0.3">
      <c r="A391" s="306"/>
      <c r="B391" s="387" t="s">
        <v>340</v>
      </c>
      <c r="C391" s="310" t="s">
        <v>27</v>
      </c>
      <c r="E391" s="308">
        <v>35</v>
      </c>
      <c r="F391" s="41">
        <f t="shared" si="15"/>
        <v>0</v>
      </c>
    </row>
    <row r="392" spans="1:7" ht="14.4" customHeight="1" x14ac:dyDescent="0.3">
      <c r="A392" s="306"/>
      <c r="B392" s="306" t="s">
        <v>341</v>
      </c>
      <c r="C392" s="310" t="s">
        <v>27</v>
      </c>
      <c r="E392" s="308">
        <v>102.5</v>
      </c>
      <c r="F392" s="41">
        <f t="shared" si="15"/>
        <v>0</v>
      </c>
      <c r="G392" s="308"/>
    </row>
    <row r="393" spans="1:7" ht="14.4" customHeight="1" x14ac:dyDescent="0.3">
      <c r="A393" s="306"/>
      <c r="B393" s="306" t="s">
        <v>342</v>
      </c>
      <c r="C393" s="310" t="s">
        <v>27</v>
      </c>
      <c r="E393" s="308">
        <v>235</v>
      </c>
      <c r="F393" s="41">
        <f t="shared" si="15"/>
        <v>0</v>
      </c>
      <c r="G393" s="308"/>
    </row>
    <row r="394" spans="1:7" ht="14.4" customHeight="1" x14ac:dyDescent="0.3">
      <c r="A394" s="306"/>
      <c r="B394" s="306" t="s">
        <v>343</v>
      </c>
      <c r="C394" s="310" t="s">
        <v>27</v>
      </c>
      <c r="E394" s="308">
        <v>100</v>
      </c>
      <c r="F394" s="41">
        <f t="shared" si="15"/>
        <v>0</v>
      </c>
      <c r="G394" s="308"/>
    </row>
    <row r="395" spans="1:7" ht="14.4" customHeight="1" x14ac:dyDescent="0.3">
      <c r="A395" s="306"/>
      <c r="B395" s="306" t="s">
        <v>344</v>
      </c>
      <c r="C395" s="310" t="s">
        <v>27</v>
      </c>
      <c r="E395" s="308">
        <v>47.41</v>
      </c>
      <c r="F395" s="41">
        <f t="shared" si="15"/>
        <v>0</v>
      </c>
      <c r="G395" s="308"/>
    </row>
    <row r="396" spans="1:7" ht="14.4" customHeight="1" x14ac:dyDescent="0.3">
      <c r="A396" s="306"/>
      <c r="B396" s="306" t="s">
        <v>345</v>
      </c>
      <c r="C396" s="310" t="s">
        <v>27</v>
      </c>
      <c r="E396" s="308">
        <v>41.69</v>
      </c>
      <c r="F396" s="41">
        <f t="shared" si="15"/>
        <v>0</v>
      </c>
      <c r="G396" s="308"/>
    </row>
    <row r="397" spans="1:7" ht="14.4" customHeight="1" x14ac:dyDescent="0.3">
      <c r="A397" s="306"/>
      <c r="B397" s="306" t="s">
        <v>346</v>
      </c>
      <c r="C397" s="310" t="s">
        <v>27</v>
      </c>
      <c r="E397" s="308">
        <v>85.55</v>
      </c>
      <c r="F397" s="41">
        <f t="shared" si="15"/>
        <v>0</v>
      </c>
      <c r="G397" s="308"/>
    </row>
    <row r="398" spans="1:7" ht="14.4" customHeight="1" x14ac:dyDescent="0.3">
      <c r="A398" s="306"/>
      <c r="B398" s="306"/>
      <c r="C398" s="310" t="s">
        <v>27</v>
      </c>
      <c r="E398" s="308"/>
      <c r="F398" s="41">
        <f t="shared" si="15"/>
        <v>0</v>
      </c>
    </row>
    <row r="399" spans="1:7" ht="14.4" customHeight="1" x14ac:dyDescent="0.3">
      <c r="A399" s="306"/>
      <c r="B399" s="306" t="s">
        <v>347</v>
      </c>
      <c r="C399" s="310" t="s">
        <v>27</v>
      </c>
      <c r="E399" s="308">
        <v>70</v>
      </c>
      <c r="F399" s="41">
        <f t="shared" si="15"/>
        <v>0</v>
      </c>
      <c r="G399" s="308"/>
    </row>
    <row r="400" spans="1:7" ht="14.4" customHeight="1" x14ac:dyDescent="0.3">
      <c r="A400" s="306"/>
      <c r="B400" s="306" t="s">
        <v>348</v>
      </c>
      <c r="C400" s="310" t="s">
        <v>27</v>
      </c>
      <c r="E400" s="308">
        <v>19</v>
      </c>
      <c r="F400" s="41">
        <f t="shared" si="15"/>
        <v>0</v>
      </c>
      <c r="G400" s="308"/>
    </row>
    <row r="401" spans="1:9" ht="14.4" customHeight="1" x14ac:dyDescent="0.3">
      <c r="A401" s="306"/>
      <c r="B401" s="306" t="s">
        <v>349</v>
      </c>
      <c r="C401" s="310" t="s">
        <v>27</v>
      </c>
      <c r="E401" s="308">
        <v>16</v>
      </c>
      <c r="F401" s="41">
        <f t="shared" si="15"/>
        <v>0</v>
      </c>
      <c r="G401" s="308"/>
    </row>
    <row r="402" spans="1:9" ht="14.4" customHeight="1" x14ac:dyDescent="0.3">
      <c r="A402" s="306"/>
      <c r="B402" s="306"/>
      <c r="C402" s="310"/>
      <c r="E402" s="308"/>
      <c r="F402" s="41">
        <f t="shared" si="15"/>
        <v>0</v>
      </c>
    </row>
    <row r="403" spans="1:9" ht="14.4" customHeight="1" x14ac:dyDescent="0.3">
      <c r="A403" s="306"/>
      <c r="B403" s="387" t="s">
        <v>350</v>
      </c>
      <c r="C403" s="310" t="s">
        <v>25</v>
      </c>
      <c r="E403" s="308">
        <f>279/6</f>
        <v>46.5</v>
      </c>
      <c r="F403" s="41">
        <f t="shared" si="15"/>
        <v>0</v>
      </c>
    </row>
    <row r="404" spans="1:9" ht="14.4" customHeight="1" x14ac:dyDescent="0.3">
      <c r="A404" s="306"/>
      <c r="B404" s="306" t="s">
        <v>351</v>
      </c>
      <c r="C404" s="310" t="s">
        <v>25</v>
      </c>
      <c r="E404" s="311">
        <v>32</v>
      </c>
      <c r="F404" s="41">
        <f t="shared" si="15"/>
        <v>0</v>
      </c>
    </row>
    <row r="405" spans="1:9" ht="14.4" customHeight="1" x14ac:dyDescent="0.3">
      <c r="A405" s="306"/>
      <c r="B405" s="387" t="s">
        <v>352</v>
      </c>
      <c r="C405" s="310" t="s">
        <v>25</v>
      </c>
      <c r="D405" s="40">
        <v>9.56</v>
      </c>
      <c r="E405" s="311">
        <f>132.03/6</f>
        <v>22.004999999999999</v>
      </c>
      <c r="F405" s="41">
        <f t="shared" si="15"/>
        <v>210.36779999999999</v>
      </c>
      <c r="G405">
        <v>10</v>
      </c>
      <c r="H405" s="457" t="s">
        <v>353</v>
      </c>
      <c r="I405" s="457" t="s">
        <v>354</v>
      </c>
    </row>
    <row r="406" spans="1:9" ht="14.4" customHeight="1" x14ac:dyDescent="0.3">
      <c r="A406" s="306"/>
      <c r="B406" s="306" t="s">
        <v>355</v>
      </c>
      <c r="C406" s="310" t="s">
        <v>27</v>
      </c>
      <c r="D406" s="40">
        <v>2</v>
      </c>
      <c r="E406" s="311">
        <f>129/6*1.5</f>
        <v>32.25</v>
      </c>
      <c r="F406" s="41">
        <f t="shared" si="15"/>
        <v>64.5</v>
      </c>
      <c r="I406" s="457" t="s">
        <v>356</v>
      </c>
    </row>
    <row r="407" spans="1:9" ht="14.4" customHeight="1" x14ac:dyDescent="0.3">
      <c r="A407" s="306"/>
      <c r="B407" s="306" t="s">
        <v>357</v>
      </c>
      <c r="C407" s="310" t="s">
        <v>25</v>
      </c>
      <c r="D407" s="40">
        <v>26.9</v>
      </c>
      <c r="E407" s="311">
        <f>80.63/6</f>
        <v>13.438333333333333</v>
      </c>
      <c r="F407" s="41">
        <f t="shared" si="15"/>
        <v>361.49116666666663</v>
      </c>
      <c r="G407">
        <v>27</v>
      </c>
      <c r="H407" s="457" t="s">
        <v>358</v>
      </c>
    </row>
    <row r="408" spans="1:9" ht="14.4" customHeight="1" x14ac:dyDescent="0.3">
      <c r="A408" s="306"/>
      <c r="B408" s="387" t="s">
        <v>359</v>
      </c>
      <c r="C408" s="386" t="s">
        <v>27</v>
      </c>
      <c r="D408" s="40">
        <v>1</v>
      </c>
      <c r="E408" s="311">
        <f>15*1.5</f>
        <v>22.5</v>
      </c>
      <c r="F408" s="41">
        <f t="shared" si="15"/>
        <v>22.5</v>
      </c>
      <c r="I408" s="457" t="s">
        <v>356</v>
      </c>
    </row>
    <row r="409" spans="1:9" ht="14.4" customHeight="1" x14ac:dyDescent="0.3">
      <c r="A409" s="306"/>
      <c r="B409" s="387" t="s">
        <v>360</v>
      </c>
      <c r="C409" s="310" t="s">
        <v>27</v>
      </c>
      <c r="E409" s="311">
        <v>7.17</v>
      </c>
      <c r="F409" s="41">
        <f t="shared" si="15"/>
        <v>0</v>
      </c>
    </row>
    <row r="410" spans="1:9" ht="14.4" customHeight="1" x14ac:dyDescent="0.3">
      <c r="A410" s="306"/>
      <c r="B410" s="306" t="s">
        <v>361</v>
      </c>
      <c r="C410" s="310" t="s">
        <v>27</v>
      </c>
      <c r="D410" s="40">
        <v>7</v>
      </c>
      <c r="E410" s="311">
        <f>10.06*1.5</f>
        <v>15.09</v>
      </c>
      <c r="F410" s="41">
        <f t="shared" si="15"/>
        <v>105.63</v>
      </c>
      <c r="I410" s="457" t="s">
        <v>356</v>
      </c>
    </row>
    <row r="411" spans="1:9" ht="14.4" customHeight="1" x14ac:dyDescent="0.3">
      <c r="A411" s="306"/>
      <c r="B411" s="306" t="s">
        <v>362</v>
      </c>
      <c r="C411" s="310" t="s">
        <v>25</v>
      </c>
      <c r="D411" s="40">
        <v>0.96</v>
      </c>
      <c r="E411" s="311">
        <f>58.71/6</f>
        <v>9.7850000000000001</v>
      </c>
      <c r="F411" s="41">
        <f t="shared" si="15"/>
        <v>9.3935999999999993</v>
      </c>
      <c r="G411">
        <v>1</v>
      </c>
      <c r="H411" s="457" t="s">
        <v>363</v>
      </c>
    </row>
    <row r="412" spans="1:9" ht="14.4" customHeight="1" x14ac:dyDescent="0.3">
      <c r="A412" s="306"/>
      <c r="B412" s="387" t="s">
        <v>364</v>
      </c>
      <c r="C412" s="386" t="s">
        <v>27</v>
      </c>
      <c r="E412" s="311">
        <v>5.61</v>
      </c>
      <c r="F412" s="41">
        <f t="shared" si="15"/>
        <v>0</v>
      </c>
    </row>
    <row r="413" spans="1:9" ht="14.4" customHeight="1" x14ac:dyDescent="0.3">
      <c r="A413" s="306"/>
      <c r="B413" s="306" t="s">
        <v>365</v>
      </c>
      <c r="C413" s="310" t="s">
        <v>27</v>
      </c>
      <c r="E413" s="308">
        <v>1.4</v>
      </c>
      <c r="F413" s="41">
        <f t="shared" si="15"/>
        <v>0</v>
      </c>
    </row>
    <row r="414" spans="1:9" ht="14.4" customHeight="1" x14ac:dyDescent="0.3">
      <c r="A414" s="306"/>
      <c r="B414" s="306" t="s">
        <v>366</v>
      </c>
      <c r="C414" s="310" t="s">
        <v>27</v>
      </c>
      <c r="E414" s="308">
        <v>1.38</v>
      </c>
      <c r="F414" s="41">
        <f t="shared" si="15"/>
        <v>0</v>
      </c>
    </row>
    <row r="415" spans="1:9" ht="14.4" customHeight="1" x14ac:dyDescent="0.3">
      <c r="A415" s="306"/>
      <c r="B415" s="306" t="s">
        <v>367</v>
      </c>
      <c r="C415" s="310" t="s">
        <v>27</v>
      </c>
      <c r="E415" s="308">
        <v>1.32</v>
      </c>
      <c r="F415" s="41">
        <f t="shared" si="15"/>
        <v>0</v>
      </c>
    </row>
    <row r="416" spans="1:9" ht="14.4" customHeight="1" x14ac:dyDescent="0.3">
      <c r="A416" s="306"/>
      <c r="B416" s="306" t="s">
        <v>368</v>
      </c>
      <c r="C416" s="310" t="s">
        <v>27</v>
      </c>
      <c r="E416" s="308">
        <v>1.24</v>
      </c>
      <c r="F416" s="41">
        <f t="shared" si="15"/>
        <v>0</v>
      </c>
    </row>
    <row r="417" spans="1:9" ht="14.4" customHeight="1" x14ac:dyDescent="0.3">
      <c r="A417" s="306"/>
      <c r="B417" s="306" t="s">
        <v>369</v>
      </c>
      <c r="C417" s="310" t="s">
        <v>25</v>
      </c>
      <c r="E417" s="308">
        <v>5.0999999999999996</v>
      </c>
      <c r="F417" s="41">
        <f t="shared" si="15"/>
        <v>0</v>
      </c>
    </row>
    <row r="418" spans="1:9" ht="14.4" customHeight="1" x14ac:dyDescent="0.3">
      <c r="A418" s="306"/>
      <c r="B418" s="306"/>
      <c r="C418" s="310"/>
      <c r="E418" s="308"/>
    </row>
    <row r="419" spans="1:9" ht="14.4" customHeight="1" x14ac:dyDescent="0.3">
      <c r="A419" s="306"/>
      <c r="B419" s="387" t="s">
        <v>370</v>
      </c>
      <c r="C419" s="386" t="s">
        <v>371</v>
      </c>
      <c r="D419" s="40">
        <v>1</v>
      </c>
      <c r="E419" s="308">
        <f>14.31*1.5</f>
        <v>21.465</v>
      </c>
      <c r="F419" s="41">
        <f t="shared" ref="F419:F482" si="16">E419*D419</f>
        <v>21.465</v>
      </c>
      <c r="G419" s="308"/>
      <c r="I419" s="457" t="s">
        <v>356</v>
      </c>
    </row>
    <row r="420" spans="1:9" ht="14.4" customHeight="1" x14ac:dyDescent="0.3">
      <c r="A420" s="306"/>
      <c r="B420" s="387" t="s">
        <v>372</v>
      </c>
      <c r="C420" s="310" t="s">
        <v>27</v>
      </c>
      <c r="D420" s="40">
        <v>15</v>
      </c>
      <c r="E420" s="308">
        <f>7.17*1.5</f>
        <v>10.754999999999999</v>
      </c>
      <c r="F420" s="41">
        <f t="shared" si="16"/>
        <v>161.32499999999999</v>
      </c>
      <c r="G420" s="308"/>
      <c r="I420" s="457" t="s">
        <v>356</v>
      </c>
    </row>
    <row r="421" spans="1:9" ht="14.4" customHeight="1" x14ac:dyDescent="0.3">
      <c r="A421" s="306"/>
      <c r="B421" s="387" t="s">
        <v>373</v>
      </c>
      <c r="C421" s="310" t="s">
        <v>27</v>
      </c>
      <c r="D421" s="40">
        <v>2</v>
      </c>
      <c r="E421" s="308">
        <v>3.76</v>
      </c>
      <c r="F421" s="41">
        <f t="shared" si="16"/>
        <v>7.52</v>
      </c>
      <c r="G421" s="308"/>
    </row>
    <row r="422" spans="1:9" ht="14.4" customHeight="1" x14ac:dyDescent="0.3">
      <c r="A422" s="306"/>
      <c r="B422" s="387"/>
      <c r="C422" s="310"/>
      <c r="E422" s="308"/>
      <c r="F422" s="41">
        <f t="shared" si="16"/>
        <v>0</v>
      </c>
    </row>
    <row r="423" spans="1:9" ht="14.4" customHeight="1" x14ac:dyDescent="0.3">
      <c r="A423" s="306"/>
      <c r="B423" s="427" t="s">
        <v>374</v>
      </c>
      <c r="C423" s="426" t="s">
        <v>27</v>
      </c>
      <c r="D423" s="40">
        <v>1</v>
      </c>
      <c r="E423" s="308">
        <f>11.86*1.5</f>
        <v>17.79</v>
      </c>
      <c r="F423" s="41">
        <f t="shared" si="16"/>
        <v>17.79</v>
      </c>
      <c r="I423" s="457" t="s">
        <v>356</v>
      </c>
    </row>
    <row r="424" spans="1:9" ht="14.4" customHeight="1" x14ac:dyDescent="0.3">
      <c r="A424" s="306"/>
      <c r="B424" s="306"/>
      <c r="C424" s="310"/>
      <c r="E424" s="308"/>
      <c r="F424" s="41">
        <f t="shared" si="16"/>
        <v>0</v>
      </c>
    </row>
    <row r="425" spans="1:9" ht="14.4" customHeight="1" x14ac:dyDescent="0.3">
      <c r="A425" s="306"/>
      <c r="B425" s="306" t="s">
        <v>375</v>
      </c>
      <c r="C425" s="426" t="s">
        <v>27</v>
      </c>
      <c r="D425" s="40">
        <v>1</v>
      </c>
      <c r="E425" s="308">
        <f>25*1.5</f>
        <v>37.5</v>
      </c>
      <c r="F425" s="41">
        <f t="shared" si="16"/>
        <v>37.5</v>
      </c>
      <c r="I425" s="457" t="s">
        <v>356</v>
      </c>
    </row>
    <row r="426" spans="1:9" ht="14.4" customHeight="1" x14ac:dyDescent="0.3">
      <c r="A426" s="387" t="s">
        <v>376</v>
      </c>
      <c r="B426" s="306"/>
      <c r="C426" s="310"/>
      <c r="E426" s="308"/>
      <c r="F426" s="41">
        <f t="shared" si="16"/>
        <v>0</v>
      </c>
    </row>
    <row r="427" spans="1:9" ht="14.4" customHeight="1" x14ac:dyDescent="0.3">
      <c r="A427" s="306"/>
      <c r="B427" s="306" t="s">
        <v>377</v>
      </c>
      <c r="C427" s="310"/>
      <c r="E427" s="308"/>
      <c r="F427" s="41">
        <f t="shared" si="16"/>
        <v>0</v>
      </c>
    </row>
    <row r="428" spans="1:9" ht="14.4" customHeight="1" x14ac:dyDescent="0.3">
      <c r="A428" s="306"/>
      <c r="B428" s="306" t="s">
        <v>378</v>
      </c>
      <c r="C428" s="310" t="s">
        <v>27</v>
      </c>
      <c r="E428" s="308">
        <v>13.5</v>
      </c>
      <c r="F428" s="41">
        <f t="shared" si="16"/>
        <v>0</v>
      </c>
    </row>
    <row r="429" spans="1:9" ht="14.4" customHeight="1" x14ac:dyDescent="0.3">
      <c r="A429" s="306"/>
      <c r="B429" s="306" t="s">
        <v>379</v>
      </c>
      <c r="C429" s="310" t="s">
        <v>27</v>
      </c>
      <c r="E429" s="308">
        <v>13.5</v>
      </c>
      <c r="F429" s="41">
        <f t="shared" si="16"/>
        <v>0</v>
      </c>
    </row>
    <row r="430" spans="1:9" ht="14.4" customHeight="1" x14ac:dyDescent="0.3">
      <c r="A430" s="306"/>
      <c r="B430" s="306" t="s">
        <v>380</v>
      </c>
      <c r="C430" s="310" t="s">
        <v>27</v>
      </c>
      <c r="E430" s="308">
        <v>9.5</v>
      </c>
      <c r="F430" s="41">
        <f t="shared" si="16"/>
        <v>0</v>
      </c>
    </row>
    <row r="431" spans="1:9" ht="14.4" customHeight="1" x14ac:dyDescent="0.3">
      <c r="A431" s="306"/>
      <c r="B431" s="306" t="s">
        <v>381</v>
      </c>
      <c r="C431" s="310" t="s">
        <v>27</v>
      </c>
      <c r="E431" s="308">
        <v>18.5</v>
      </c>
      <c r="F431" s="41">
        <f t="shared" si="16"/>
        <v>0</v>
      </c>
    </row>
    <row r="432" spans="1:9" ht="14.4" customHeight="1" x14ac:dyDescent="0.3">
      <c r="A432" s="306"/>
      <c r="B432" s="306" t="s">
        <v>382</v>
      </c>
      <c r="C432" s="310" t="s">
        <v>27</v>
      </c>
      <c r="E432" s="308">
        <v>18.5</v>
      </c>
      <c r="F432" s="41">
        <f t="shared" si="16"/>
        <v>0</v>
      </c>
    </row>
    <row r="433" spans="1:6" ht="14.4" customHeight="1" x14ac:dyDescent="0.3">
      <c r="A433" s="306"/>
      <c r="B433" s="306" t="s">
        <v>383</v>
      </c>
      <c r="C433" s="310" t="s">
        <v>27</v>
      </c>
      <c r="E433" s="308">
        <v>6</v>
      </c>
      <c r="F433" s="41">
        <f t="shared" si="16"/>
        <v>0</v>
      </c>
    </row>
    <row r="434" spans="1:6" ht="14.4" customHeight="1" x14ac:dyDescent="0.3">
      <c r="A434" s="306"/>
      <c r="B434" s="306" t="s">
        <v>384</v>
      </c>
      <c r="C434" s="310" t="s">
        <v>27</v>
      </c>
      <c r="E434" s="308">
        <v>5.5</v>
      </c>
      <c r="F434" s="41">
        <f t="shared" si="16"/>
        <v>0</v>
      </c>
    </row>
    <row r="435" spans="1:6" ht="14.4" customHeight="1" x14ac:dyDescent="0.3">
      <c r="A435" s="306"/>
      <c r="B435" s="306" t="s">
        <v>385</v>
      </c>
      <c r="C435" s="310" t="s">
        <v>27</v>
      </c>
      <c r="E435" s="308">
        <v>17.5</v>
      </c>
      <c r="F435" s="41">
        <f t="shared" si="16"/>
        <v>0</v>
      </c>
    </row>
    <row r="436" spans="1:6" ht="14.4" customHeight="1" x14ac:dyDescent="0.3">
      <c r="A436" s="306"/>
      <c r="B436" s="306" t="s">
        <v>386</v>
      </c>
      <c r="C436" s="310" t="s">
        <v>27</v>
      </c>
      <c r="E436" s="308">
        <v>16.5</v>
      </c>
      <c r="F436" s="41">
        <f t="shared" si="16"/>
        <v>0</v>
      </c>
    </row>
    <row r="437" spans="1:6" ht="14.4" customHeight="1" x14ac:dyDescent="0.3">
      <c r="A437" s="306"/>
      <c r="B437" s="306" t="s">
        <v>387</v>
      </c>
      <c r="C437" s="310" t="s">
        <v>27</v>
      </c>
      <c r="E437" s="308">
        <v>2.5</v>
      </c>
      <c r="F437" s="41">
        <f t="shared" si="16"/>
        <v>0</v>
      </c>
    </row>
    <row r="438" spans="1:6" ht="14.4" customHeight="1" x14ac:dyDescent="0.3">
      <c r="A438" s="306"/>
      <c r="B438" s="306" t="s">
        <v>388</v>
      </c>
      <c r="C438" s="310" t="s">
        <v>27</v>
      </c>
      <c r="E438" s="308">
        <v>43.5</v>
      </c>
      <c r="F438" s="41">
        <f t="shared" si="16"/>
        <v>0</v>
      </c>
    </row>
    <row r="439" spans="1:6" ht="14.4" customHeight="1" x14ac:dyDescent="0.3">
      <c r="A439" s="306"/>
      <c r="B439" s="306" t="s">
        <v>389</v>
      </c>
      <c r="C439" s="310" t="s">
        <v>27</v>
      </c>
      <c r="E439" s="308">
        <v>43.5</v>
      </c>
      <c r="F439" s="41">
        <f t="shared" si="16"/>
        <v>0</v>
      </c>
    </row>
    <row r="440" spans="1:6" ht="14.4" customHeight="1" x14ac:dyDescent="0.3">
      <c r="A440" s="306"/>
      <c r="B440" s="306" t="s">
        <v>390</v>
      </c>
      <c r="C440" s="310" t="s">
        <v>27</v>
      </c>
      <c r="E440" s="308">
        <v>45.5</v>
      </c>
      <c r="F440" s="41">
        <f t="shared" si="16"/>
        <v>0</v>
      </c>
    </row>
    <row r="441" spans="1:6" ht="14.4" customHeight="1" x14ac:dyDescent="0.3">
      <c r="A441" s="306"/>
      <c r="B441" s="306" t="s">
        <v>391</v>
      </c>
      <c r="C441" s="310" t="s">
        <v>27</v>
      </c>
      <c r="E441" s="308">
        <v>76</v>
      </c>
      <c r="F441" s="41">
        <f t="shared" si="16"/>
        <v>0</v>
      </c>
    </row>
    <row r="442" spans="1:6" ht="14.4" customHeight="1" x14ac:dyDescent="0.3">
      <c r="A442" s="306"/>
      <c r="B442" s="306" t="s">
        <v>392</v>
      </c>
      <c r="C442" s="310" t="s">
        <v>27</v>
      </c>
      <c r="E442" s="308">
        <v>11.5</v>
      </c>
      <c r="F442" s="41">
        <f t="shared" si="16"/>
        <v>0</v>
      </c>
    </row>
    <row r="443" spans="1:6" ht="14.4" customHeight="1" x14ac:dyDescent="0.3">
      <c r="A443" s="306"/>
      <c r="B443" s="306" t="s">
        <v>393</v>
      </c>
      <c r="C443" s="310" t="s">
        <v>27</v>
      </c>
      <c r="E443" s="308">
        <v>11.5</v>
      </c>
      <c r="F443" s="41">
        <f t="shared" si="16"/>
        <v>0</v>
      </c>
    </row>
    <row r="444" spans="1:6" ht="14.4" customHeight="1" x14ac:dyDescent="0.3">
      <c r="A444" s="306"/>
      <c r="B444" s="306" t="s">
        <v>394</v>
      </c>
      <c r="C444" s="310" t="s">
        <v>27</v>
      </c>
      <c r="E444" s="308">
        <v>12</v>
      </c>
      <c r="F444" s="41">
        <f t="shared" si="16"/>
        <v>0</v>
      </c>
    </row>
    <row r="445" spans="1:6" ht="14.4" customHeight="1" x14ac:dyDescent="0.3">
      <c r="A445" s="306"/>
      <c r="B445" s="306" t="s">
        <v>395</v>
      </c>
      <c r="C445" s="310" t="s">
        <v>27</v>
      </c>
      <c r="E445" s="308">
        <v>18.5</v>
      </c>
      <c r="F445" s="41">
        <f t="shared" si="16"/>
        <v>0</v>
      </c>
    </row>
    <row r="446" spans="1:6" ht="14.4" customHeight="1" x14ac:dyDescent="0.3">
      <c r="A446" s="306"/>
      <c r="B446" s="306" t="s">
        <v>396</v>
      </c>
      <c r="C446" s="310" t="s">
        <v>27</v>
      </c>
      <c r="E446" s="308">
        <v>19.5</v>
      </c>
      <c r="F446" s="41">
        <f t="shared" si="16"/>
        <v>0</v>
      </c>
    </row>
    <row r="447" spans="1:6" ht="14.4" customHeight="1" x14ac:dyDescent="0.3">
      <c r="A447" s="306"/>
      <c r="B447" s="306" t="s">
        <v>397</v>
      </c>
      <c r="C447" s="310" t="s">
        <v>27</v>
      </c>
      <c r="E447" s="308">
        <v>4.5</v>
      </c>
      <c r="F447" s="41">
        <f t="shared" si="16"/>
        <v>0</v>
      </c>
    </row>
    <row r="448" spans="1:6" ht="14.4" customHeight="1" x14ac:dyDescent="0.3">
      <c r="A448" s="306"/>
      <c r="B448" s="306" t="s">
        <v>398</v>
      </c>
      <c r="C448" s="310" t="s">
        <v>27</v>
      </c>
      <c r="E448" s="308">
        <v>10.5</v>
      </c>
      <c r="F448" s="41">
        <f t="shared" si="16"/>
        <v>0</v>
      </c>
    </row>
    <row r="449" spans="1:6" ht="14.4" customHeight="1" x14ac:dyDescent="0.3">
      <c r="A449" s="306"/>
      <c r="B449" s="306" t="s">
        <v>399</v>
      </c>
      <c r="C449" s="310" t="s">
        <v>27</v>
      </c>
      <c r="E449" s="308">
        <v>14.5</v>
      </c>
      <c r="F449" s="41">
        <f t="shared" si="16"/>
        <v>0</v>
      </c>
    </row>
    <row r="450" spans="1:6" ht="14.4" customHeight="1" x14ac:dyDescent="0.3">
      <c r="A450" s="306"/>
      <c r="B450" s="306" t="s">
        <v>400</v>
      </c>
      <c r="C450" s="310" t="s">
        <v>27</v>
      </c>
      <c r="E450" s="308">
        <v>28.5</v>
      </c>
      <c r="F450" s="41">
        <f t="shared" si="16"/>
        <v>0</v>
      </c>
    </row>
    <row r="451" spans="1:6" ht="14.4" customHeight="1" x14ac:dyDescent="0.3">
      <c r="A451" s="306"/>
      <c r="B451" s="306" t="s">
        <v>401</v>
      </c>
      <c r="C451" s="310" t="s">
        <v>27</v>
      </c>
      <c r="E451" s="308">
        <v>29.5</v>
      </c>
      <c r="F451" s="41">
        <f t="shared" si="16"/>
        <v>0</v>
      </c>
    </row>
    <row r="452" spans="1:6" ht="14.4" customHeight="1" x14ac:dyDescent="0.3">
      <c r="A452" s="306"/>
      <c r="B452" s="306" t="s">
        <v>402</v>
      </c>
      <c r="C452" s="310" t="s">
        <v>27</v>
      </c>
      <c r="E452" s="308">
        <v>36</v>
      </c>
      <c r="F452" s="41">
        <f t="shared" si="16"/>
        <v>0</v>
      </c>
    </row>
    <row r="453" spans="1:6" ht="14.4" customHeight="1" x14ac:dyDescent="0.3">
      <c r="A453" s="306"/>
      <c r="B453" s="306" t="s">
        <v>403</v>
      </c>
      <c r="C453" s="310" t="s">
        <v>27</v>
      </c>
      <c r="E453" s="308">
        <v>54</v>
      </c>
      <c r="F453" s="41">
        <f t="shared" si="16"/>
        <v>0</v>
      </c>
    </row>
    <row r="454" spans="1:6" ht="14.4" customHeight="1" x14ac:dyDescent="0.3">
      <c r="A454" s="306"/>
      <c r="B454" s="306" t="s">
        <v>404</v>
      </c>
      <c r="C454" s="310" t="s">
        <v>27</v>
      </c>
      <c r="E454" s="308">
        <v>10.5</v>
      </c>
      <c r="F454" s="41">
        <f t="shared" si="16"/>
        <v>0</v>
      </c>
    </row>
    <row r="455" spans="1:6" ht="14.4" customHeight="1" x14ac:dyDescent="0.3">
      <c r="A455" s="306"/>
      <c r="B455" s="306" t="s">
        <v>405</v>
      </c>
      <c r="C455" s="310" t="s">
        <v>27</v>
      </c>
      <c r="E455" s="308">
        <v>10</v>
      </c>
      <c r="F455" s="41">
        <f t="shared" si="16"/>
        <v>0</v>
      </c>
    </row>
    <row r="456" spans="1:6" ht="14.4" customHeight="1" x14ac:dyDescent="0.3">
      <c r="A456" s="306"/>
      <c r="B456" s="306" t="s">
        <v>406</v>
      </c>
      <c r="C456" s="310" t="s">
        <v>27</v>
      </c>
      <c r="E456" s="308">
        <v>5.5</v>
      </c>
      <c r="F456" s="41">
        <f t="shared" si="16"/>
        <v>0</v>
      </c>
    </row>
    <row r="457" spans="1:6" ht="14.4" customHeight="1" x14ac:dyDescent="0.3">
      <c r="A457" s="306"/>
      <c r="B457" s="306" t="s">
        <v>407</v>
      </c>
      <c r="C457" s="310" t="s">
        <v>27</v>
      </c>
      <c r="E457" s="308">
        <v>18</v>
      </c>
      <c r="F457" s="41">
        <f t="shared" si="16"/>
        <v>0</v>
      </c>
    </row>
    <row r="458" spans="1:6" ht="14.4" customHeight="1" x14ac:dyDescent="0.3">
      <c r="A458" s="306"/>
      <c r="B458" s="306" t="s">
        <v>408</v>
      </c>
      <c r="C458" s="310" t="s">
        <v>27</v>
      </c>
      <c r="E458" s="308">
        <v>4.5</v>
      </c>
      <c r="F458" s="41">
        <f t="shared" si="16"/>
        <v>0</v>
      </c>
    </row>
    <row r="459" spans="1:6" ht="14.4" customHeight="1" x14ac:dyDescent="0.3">
      <c r="A459" s="306"/>
      <c r="B459" s="306" t="s">
        <v>409</v>
      </c>
      <c r="C459" s="310" t="s">
        <v>27</v>
      </c>
      <c r="E459" s="308">
        <v>6.5</v>
      </c>
      <c r="F459" s="41">
        <f t="shared" si="16"/>
        <v>0</v>
      </c>
    </row>
    <row r="460" spans="1:6" ht="14.4" customHeight="1" x14ac:dyDescent="0.3">
      <c r="A460" s="306"/>
      <c r="B460" s="306" t="s">
        <v>410</v>
      </c>
      <c r="C460" s="310" t="s">
        <v>27</v>
      </c>
      <c r="E460" s="308">
        <v>25.5</v>
      </c>
      <c r="F460" s="41">
        <f t="shared" si="16"/>
        <v>0</v>
      </c>
    </row>
    <row r="461" spans="1:6" ht="14.4" customHeight="1" x14ac:dyDescent="0.3">
      <c r="A461" s="306"/>
      <c r="B461" s="306" t="s">
        <v>411</v>
      </c>
      <c r="C461" s="310" t="s">
        <v>27</v>
      </c>
      <c r="E461" s="308">
        <v>22.5</v>
      </c>
      <c r="F461" s="41">
        <f t="shared" si="16"/>
        <v>0</v>
      </c>
    </row>
    <row r="462" spans="1:6" ht="14.4" customHeight="1" x14ac:dyDescent="0.3">
      <c r="A462" s="306"/>
      <c r="B462" s="306" t="s">
        <v>412</v>
      </c>
      <c r="C462" s="310" t="s">
        <v>27</v>
      </c>
      <c r="E462" s="308">
        <v>8.5</v>
      </c>
      <c r="F462" s="41">
        <f t="shared" si="16"/>
        <v>0</v>
      </c>
    </row>
    <row r="463" spans="1:6" ht="14.4" customHeight="1" x14ac:dyDescent="0.3">
      <c r="A463" s="306"/>
      <c r="B463" s="306" t="s">
        <v>413</v>
      </c>
      <c r="C463" s="310" t="s">
        <v>27</v>
      </c>
      <c r="E463" s="308">
        <v>6.5</v>
      </c>
      <c r="F463" s="41">
        <f t="shared" si="16"/>
        <v>0</v>
      </c>
    </row>
    <row r="464" spans="1:6" ht="14.4" customHeight="1" x14ac:dyDescent="0.3">
      <c r="A464" s="306"/>
      <c r="B464" s="306" t="s">
        <v>414</v>
      </c>
      <c r="C464" s="310" t="s">
        <v>27</v>
      </c>
      <c r="E464" s="308">
        <v>10.5</v>
      </c>
      <c r="F464" s="41">
        <f t="shared" si="16"/>
        <v>0</v>
      </c>
    </row>
    <row r="465" spans="1:6" ht="14.4" customHeight="1" x14ac:dyDescent="0.3">
      <c r="A465" s="306"/>
      <c r="B465" s="306" t="s">
        <v>415</v>
      </c>
      <c r="C465" s="310" t="s">
        <v>27</v>
      </c>
      <c r="E465" s="308">
        <v>0</v>
      </c>
      <c r="F465" s="41">
        <f t="shared" si="16"/>
        <v>0</v>
      </c>
    </row>
    <row r="466" spans="1:6" ht="14.4" customHeight="1" x14ac:dyDescent="0.3">
      <c r="A466" s="306"/>
      <c r="B466" s="306" t="s">
        <v>416</v>
      </c>
      <c r="C466" s="310" t="s">
        <v>27</v>
      </c>
      <c r="E466" s="308">
        <v>4.5</v>
      </c>
      <c r="F466" s="41">
        <f t="shared" si="16"/>
        <v>0</v>
      </c>
    </row>
    <row r="467" spans="1:6" ht="14.4" customHeight="1" x14ac:dyDescent="0.3">
      <c r="A467" s="306"/>
      <c r="B467" s="306" t="s">
        <v>417</v>
      </c>
      <c r="C467" s="310" t="s">
        <v>27</v>
      </c>
      <c r="E467" s="308">
        <v>4</v>
      </c>
      <c r="F467" s="41">
        <f t="shared" si="16"/>
        <v>0</v>
      </c>
    </row>
    <row r="468" spans="1:6" ht="14.4" customHeight="1" x14ac:dyDescent="0.3">
      <c r="A468" s="306"/>
      <c r="B468" s="306" t="s">
        <v>418</v>
      </c>
      <c r="C468" s="310" t="s">
        <v>27</v>
      </c>
      <c r="E468" s="308">
        <v>17</v>
      </c>
      <c r="F468" s="41">
        <f t="shared" si="16"/>
        <v>0</v>
      </c>
    </row>
    <row r="469" spans="1:6" ht="14.4" customHeight="1" x14ac:dyDescent="0.3">
      <c r="A469" s="306"/>
      <c r="B469" s="306" t="s">
        <v>419</v>
      </c>
      <c r="C469" s="310" t="s">
        <v>27</v>
      </c>
      <c r="E469" s="308">
        <v>17.5</v>
      </c>
      <c r="F469" s="41">
        <f t="shared" si="16"/>
        <v>0</v>
      </c>
    </row>
    <row r="470" spans="1:6" ht="14.4" customHeight="1" x14ac:dyDescent="0.3">
      <c r="A470" s="306"/>
      <c r="B470" s="306" t="s">
        <v>420</v>
      </c>
      <c r="C470" s="310" t="s">
        <v>27</v>
      </c>
      <c r="E470" s="308">
        <v>4.5</v>
      </c>
      <c r="F470" s="41">
        <f t="shared" si="16"/>
        <v>0</v>
      </c>
    </row>
    <row r="471" spans="1:6" ht="14.4" customHeight="1" x14ac:dyDescent="0.3">
      <c r="A471" s="306"/>
      <c r="B471" s="306" t="s">
        <v>421</v>
      </c>
      <c r="C471" s="310" t="s">
        <v>27</v>
      </c>
      <c r="E471" s="308">
        <v>2</v>
      </c>
      <c r="F471" s="41">
        <f t="shared" si="16"/>
        <v>0</v>
      </c>
    </row>
    <row r="472" spans="1:6" ht="14.4" customHeight="1" x14ac:dyDescent="0.3">
      <c r="A472" s="306"/>
      <c r="B472" s="306" t="s">
        <v>422</v>
      </c>
      <c r="C472" s="310" t="s">
        <v>27</v>
      </c>
      <c r="E472" s="308">
        <v>8.5</v>
      </c>
      <c r="F472" s="41">
        <f t="shared" si="16"/>
        <v>0</v>
      </c>
    </row>
    <row r="473" spans="1:6" ht="14.4" customHeight="1" x14ac:dyDescent="0.3">
      <c r="A473" s="387" t="s">
        <v>376</v>
      </c>
      <c r="B473" s="306"/>
      <c r="C473" s="310" t="s">
        <v>27</v>
      </c>
      <c r="E473" s="308">
        <v>4</v>
      </c>
      <c r="F473" s="41">
        <f t="shared" si="16"/>
        <v>0</v>
      </c>
    </row>
    <row r="474" spans="1:6" ht="14.4" customHeight="1" x14ac:dyDescent="0.3">
      <c r="A474" s="306"/>
      <c r="B474" s="306" t="s">
        <v>423</v>
      </c>
      <c r="C474" s="310"/>
      <c r="E474" s="308"/>
      <c r="F474" s="41">
        <f t="shared" si="16"/>
        <v>0</v>
      </c>
    </row>
    <row r="475" spans="1:6" ht="14.4" customHeight="1" x14ac:dyDescent="0.3">
      <c r="A475" s="306"/>
      <c r="B475" s="306" t="s">
        <v>424</v>
      </c>
      <c r="C475" s="310" t="s">
        <v>27</v>
      </c>
      <c r="E475" s="308">
        <v>137</v>
      </c>
      <c r="F475" s="41">
        <f t="shared" si="16"/>
        <v>0</v>
      </c>
    </row>
    <row r="476" spans="1:6" ht="14.4" customHeight="1" x14ac:dyDescent="0.3">
      <c r="A476" s="306"/>
      <c r="B476" s="306" t="s">
        <v>425</v>
      </c>
      <c r="C476" s="310" t="s">
        <v>27</v>
      </c>
      <c r="E476" s="308">
        <v>139.5</v>
      </c>
      <c r="F476" s="41">
        <f t="shared" si="16"/>
        <v>0</v>
      </c>
    </row>
    <row r="477" spans="1:6" ht="14.4" customHeight="1" x14ac:dyDescent="0.3">
      <c r="A477" s="306"/>
      <c r="B477" s="306" t="s">
        <v>426</v>
      </c>
      <c r="C477" s="310" t="s">
        <v>27</v>
      </c>
      <c r="E477" s="308">
        <v>183</v>
      </c>
      <c r="F477" s="41">
        <f t="shared" si="16"/>
        <v>0</v>
      </c>
    </row>
    <row r="478" spans="1:6" ht="14.4" customHeight="1" x14ac:dyDescent="0.3">
      <c r="A478" s="306"/>
      <c r="B478" s="306" t="s">
        <v>427</v>
      </c>
      <c r="C478" s="310" t="s">
        <v>27</v>
      </c>
      <c r="E478" s="308">
        <v>184.5</v>
      </c>
      <c r="F478" s="41">
        <f t="shared" si="16"/>
        <v>0</v>
      </c>
    </row>
    <row r="479" spans="1:6" ht="14.4" customHeight="1" x14ac:dyDescent="0.3">
      <c r="A479" s="306"/>
      <c r="B479" s="306" t="s">
        <v>428</v>
      </c>
      <c r="C479" s="310" t="s">
        <v>27</v>
      </c>
      <c r="E479" s="308">
        <v>56</v>
      </c>
      <c r="F479" s="41">
        <f t="shared" si="16"/>
        <v>0</v>
      </c>
    </row>
    <row r="480" spans="1:6" ht="14.4" customHeight="1" x14ac:dyDescent="0.3">
      <c r="A480" s="306"/>
      <c r="B480" s="306" t="s">
        <v>429</v>
      </c>
      <c r="C480" s="310" t="s">
        <v>27</v>
      </c>
      <c r="E480" s="308">
        <v>103</v>
      </c>
      <c r="F480" s="41">
        <f t="shared" si="16"/>
        <v>0</v>
      </c>
    </row>
    <row r="481" spans="1:6" ht="14.4" customHeight="1" x14ac:dyDescent="0.3">
      <c r="A481" s="306"/>
      <c r="B481" s="306" t="s">
        <v>430</v>
      </c>
      <c r="C481" s="310" t="s">
        <v>27</v>
      </c>
      <c r="E481" s="308">
        <v>95</v>
      </c>
      <c r="F481" s="41">
        <f t="shared" si="16"/>
        <v>0</v>
      </c>
    </row>
    <row r="482" spans="1:6" ht="14.4" customHeight="1" x14ac:dyDescent="0.3">
      <c r="A482" s="306"/>
      <c r="B482" s="387" t="s">
        <v>431</v>
      </c>
      <c r="C482" s="310" t="s">
        <v>27</v>
      </c>
      <c r="E482" s="308">
        <v>45.02</v>
      </c>
      <c r="F482" s="41">
        <f t="shared" si="16"/>
        <v>0</v>
      </c>
    </row>
    <row r="483" spans="1:6" ht="14.4" customHeight="1" x14ac:dyDescent="0.3">
      <c r="A483" s="306"/>
      <c r="B483" s="306" t="s">
        <v>432</v>
      </c>
      <c r="C483" s="310" t="s">
        <v>27</v>
      </c>
      <c r="E483" s="308">
        <v>33.5</v>
      </c>
      <c r="F483" s="41">
        <f t="shared" ref="F483:F546" si="17">E483*D483</f>
        <v>0</v>
      </c>
    </row>
    <row r="484" spans="1:6" ht="14.4" customHeight="1" x14ac:dyDescent="0.3">
      <c r="A484" s="306"/>
      <c r="B484" s="387" t="s">
        <v>433</v>
      </c>
      <c r="C484" s="310" t="s">
        <v>27</v>
      </c>
      <c r="E484" s="308">
        <v>33</v>
      </c>
      <c r="F484" s="41">
        <f t="shared" si="17"/>
        <v>0</v>
      </c>
    </row>
    <row r="485" spans="1:6" ht="14.4" customHeight="1" x14ac:dyDescent="0.3">
      <c r="A485" s="306"/>
      <c r="B485" s="306" t="s">
        <v>434</v>
      </c>
      <c r="C485" s="310" t="s">
        <v>27</v>
      </c>
      <c r="E485" s="308">
        <v>60.5</v>
      </c>
      <c r="F485" s="41">
        <f t="shared" si="17"/>
        <v>0</v>
      </c>
    </row>
    <row r="486" spans="1:6" ht="14.4" customHeight="1" x14ac:dyDescent="0.3">
      <c r="A486" s="306"/>
      <c r="B486" s="306" t="s">
        <v>435</v>
      </c>
      <c r="C486" s="310" t="s">
        <v>27</v>
      </c>
      <c r="E486" s="308">
        <v>61</v>
      </c>
      <c r="F486" s="41">
        <f t="shared" si="17"/>
        <v>0</v>
      </c>
    </row>
    <row r="487" spans="1:6" ht="14.4" customHeight="1" x14ac:dyDescent="0.3">
      <c r="A487" s="306"/>
      <c r="B487" s="306" t="s">
        <v>436</v>
      </c>
      <c r="C487" s="310" t="s">
        <v>27</v>
      </c>
      <c r="E487" s="308">
        <v>65</v>
      </c>
      <c r="F487" s="41">
        <f t="shared" si="17"/>
        <v>0</v>
      </c>
    </row>
    <row r="488" spans="1:6" ht="14.4" customHeight="1" x14ac:dyDescent="0.3">
      <c r="A488" s="306"/>
      <c r="B488" s="306" t="s">
        <v>437</v>
      </c>
      <c r="C488" s="310" t="s">
        <v>27</v>
      </c>
      <c r="E488" s="308">
        <v>65</v>
      </c>
      <c r="F488" s="41">
        <f t="shared" si="17"/>
        <v>0</v>
      </c>
    </row>
    <row r="489" spans="1:6" ht="14.4" customHeight="1" x14ac:dyDescent="0.3">
      <c r="A489" s="306"/>
      <c r="B489" s="306" t="s">
        <v>438</v>
      </c>
      <c r="C489" s="310" t="s">
        <v>27</v>
      </c>
      <c r="E489" s="308">
        <v>65</v>
      </c>
      <c r="F489" s="41">
        <f t="shared" si="17"/>
        <v>0</v>
      </c>
    </row>
    <row r="490" spans="1:6" ht="14.4" customHeight="1" x14ac:dyDescent="0.3">
      <c r="A490" s="306"/>
      <c r="B490" s="306" t="s">
        <v>439</v>
      </c>
      <c r="C490" s="310" t="s">
        <v>27</v>
      </c>
      <c r="E490" s="308">
        <v>65</v>
      </c>
      <c r="F490" s="41">
        <f t="shared" si="17"/>
        <v>0</v>
      </c>
    </row>
    <row r="491" spans="1:6" ht="14.4" customHeight="1" x14ac:dyDescent="0.3">
      <c r="A491" s="306"/>
      <c r="B491" s="306" t="s">
        <v>440</v>
      </c>
      <c r="C491" s="310" t="s">
        <v>27</v>
      </c>
      <c r="E491" s="308">
        <v>45</v>
      </c>
      <c r="F491" s="41">
        <f t="shared" si="17"/>
        <v>0</v>
      </c>
    </row>
    <row r="492" spans="1:6" ht="14.4" customHeight="1" x14ac:dyDescent="0.3">
      <c r="A492" s="306"/>
      <c r="B492" s="306" t="s">
        <v>441</v>
      </c>
      <c r="C492" s="310" t="s">
        <v>27</v>
      </c>
      <c r="E492" s="308">
        <v>55</v>
      </c>
      <c r="F492" s="41">
        <f t="shared" si="17"/>
        <v>0</v>
      </c>
    </row>
    <row r="493" spans="1:6" ht="14.4" customHeight="1" x14ac:dyDescent="0.3">
      <c r="A493" s="306"/>
      <c r="B493" s="387" t="s">
        <v>442</v>
      </c>
      <c r="C493" s="310" t="s">
        <v>27</v>
      </c>
      <c r="E493" s="308">
        <v>55</v>
      </c>
      <c r="F493" s="41">
        <f t="shared" si="17"/>
        <v>0</v>
      </c>
    </row>
    <row r="494" spans="1:6" ht="14.4" customHeight="1" x14ac:dyDescent="0.3">
      <c r="A494" s="306"/>
      <c r="B494" s="306" t="s">
        <v>443</v>
      </c>
      <c r="C494" s="310" t="s">
        <v>27</v>
      </c>
      <c r="E494" s="308">
        <v>21.5</v>
      </c>
      <c r="F494" s="41">
        <f t="shared" si="17"/>
        <v>0</v>
      </c>
    </row>
    <row r="495" spans="1:6" ht="14.4" customHeight="1" x14ac:dyDescent="0.3">
      <c r="A495" s="306"/>
      <c r="B495" s="306" t="s">
        <v>444</v>
      </c>
      <c r="C495" s="310" t="s">
        <v>27</v>
      </c>
      <c r="E495" s="308">
        <v>25</v>
      </c>
      <c r="F495" s="41">
        <f t="shared" si="17"/>
        <v>0</v>
      </c>
    </row>
    <row r="496" spans="1:6" ht="14.4" customHeight="1" x14ac:dyDescent="0.3">
      <c r="A496" s="306"/>
      <c r="B496" s="306" t="s">
        <v>445</v>
      </c>
      <c r="C496" s="310" t="s">
        <v>27</v>
      </c>
      <c r="E496" s="308">
        <v>22</v>
      </c>
      <c r="F496" s="41">
        <f t="shared" si="17"/>
        <v>0</v>
      </c>
    </row>
    <row r="497" spans="1:6" ht="14.4" customHeight="1" x14ac:dyDescent="0.3">
      <c r="A497" s="306"/>
      <c r="B497" s="306" t="s">
        <v>446</v>
      </c>
      <c r="C497" s="310" t="s">
        <v>27</v>
      </c>
      <c r="E497" s="308">
        <v>22</v>
      </c>
      <c r="F497" s="41">
        <f t="shared" si="17"/>
        <v>0</v>
      </c>
    </row>
    <row r="498" spans="1:6" ht="14.4" customHeight="1" x14ac:dyDescent="0.3">
      <c r="A498" s="306"/>
      <c r="B498" s="306" t="s">
        <v>447</v>
      </c>
      <c r="C498" s="310" t="s">
        <v>27</v>
      </c>
      <c r="E498" s="308">
        <v>22</v>
      </c>
      <c r="F498" s="41">
        <f t="shared" si="17"/>
        <v>0</v>
      </c>
    </row>
    <row r="499" spans="1:6" ht="14.4" customHeight="1" x14ac:dyDescent="0.3">
      <c r="A499" s="306"/>
      <c r="B499" s="306" t="s">
        <v>448</v>
      </c>
      <c r="C499" s="310" t="s">
        <v>27</v>
      </c>
      <c r="E499" s="308">
        <v>78</v>
      </c>
      <c r="F499" s="41">
        <f t="shared" si="17"/>
        <v>0</v>
      </c>
    </row>
    <row r="500" spans="1:6" ht="14.4" customHeight="1" x14ac:dyDescent="0.3">
      <c r="A500" s="306"/>
      <c r="B500" s="306" t="s">
        <v>449</v>
      </c>
      <c r="C500" s="310" t="s">
        <v>27</v>
      </c>
      <c r="E500" s="308">
        <v>89</v>
      </c>
      <c r="F500" s="41">
        <f t="shared" si="17"/>
        <v>0</v>
      </c>
    </row>
    <row r="501" spans="1:6" ht="14.4" customHeight="1" x14ac:dyDescent="0.3">
      <c r="A501" s="306"/>
      <c r="B501" s="306" t="s">
        <v>450</v>
      </c>
      <c r="C501" s="310" t="s">
        <v>27</v>
      </c>
      <c r="E501" s="308">
        <v>21</v>
      </c>
      <c r="F501" s="41">
        <f t="shared" si="17"/>
        <v>0</v>
      </c>
    </row>
    <row r="502" spans="1:6" ht="14.4" customHeight="1" x14ac:dyDescent="0.3">
      <c r="A502" s="306"/>
      <c r="B502" s="306" t="s">
        <v>451</v>
      </c>
      <c r="C502" s="310" t="s">
        <v>27</v>
      </c>
      <c r="E502" s="308">
        <v>21</v>
      </c>
      <c r="F502" s="41">
        <f t="shared" si="17"/>
        <v>0</v>
      </c>
    </row>
    <row r="503" spans="1:6" ht="14.4" customHeight="1" x14ac:dyDescent="0.3">
      <c r="A503" s="306"/>
      <c r="B503" s="306" t="s">
        <v>452</v>
      </c>
      <c r="C503" s="310" t="s">
        <v>27</v>
      </c>
      <c r="E503" s="308">
        <v>0</v>
      </c>
      <c r="F503" s="41">
        <f t="shared" si="17"/>
        <v>0</v>
      </c>
    </row>
    <row r="504" spans="1:6" ht="14.4" customHeight="1" x14ac:dyDescent="0.3">
      <c r="A504" s="306"/>
      <c r="B504" s="306" t="s">
        <v>453</v>
      </c>
      <c r="C504" s="310" t="s">
        <v>27</v>
      </c>
      <c r="E504" s="308">
        <v>0</v>
      </c>
      <c r="F504" s="41">
        <f t="shared" si="17"/>
        <v>0</v>
      </c>
    </row>
    <row r="505" spans="1:6" ht="14.4" customHeight="1" x14ac:dyDescent="0.3">
      <c r="A505" s="306"/>
      <c r="B505" s="387" t="s">
        <v>454</v>
      </c>
      <c r="C505" s="310" t="s">
        <v>27</v>
      </c>
      <c r="E505" s="308">
        <v>0</v>
      </c>
      <c r="F505" s="41">
        <f t="shared" si="17"/>
        <v>0</v>
      </c>
    </row>
    <row r="506" spans="1:6" ht="14.4" customHeight="1" x14ac:dyDescent="0.3">
      <c r="A506" s="306"/>
      <c r="B506" s="306" t="s">
        <v>455</v>
      </c>
      <c r="C506" s="310" t="s">
        <v>27</v>
      </c>
      <c r="E506" s="308">
        <v>0</v>
      </c>
      <c r="F506" s="41">
        <f t="shared" si="17"/>
        <v>0</v>
      </c>
    </row>
    <row r="507" spans="1:6" ht="14.4" customHeight="1" x14ac:dyDescent="0.3">
      <c r="A507" s="306"/>
      <c r="B507" s="306" t="s">
        <v>456</v>
      </c>
      <c r="C507" s="310" t="s">
        <v>27</v>
      </c>
      <c r="E507" s="308">
        <v>0</v>
      </c>
      <c r="F507" s="41">
        <f t="shared" si="17"/>
        <v>0</v>
      </c>
    </row>
    <row r="508" spans="1:6" ht="14.4" customHeight="1" x14ac:dyDescent="0.3">
      <c r="A508" s="306"/>
      <c r="B508" s="306" t="s">
        <v>457</v>
      </c>
      <c r="C508" s="310" t="s">
        <v>27</v>
      </c>
      <c r="E508" s="308">
        <v>0</v>
      </c>
      <c r="F508" s="41">
        <f t="shared" si="17"/>
        <v>0</v>
      </c>
    </row>
    <row r="509" spans="1:6" ht="14.4" customHeight="1" x14ac:dyDescent="0.3">
      <c r="A509" s="306"/>
      <c r="B509" s="306" t="s">
        <v>458</v>
      </c>
      <c r="C509" s="310" t="s">
        <v>27</v>
      </c>
      <c r="E509" s="308">
        <v>0</v>
      </c>
      <c r="F509" s="41">
        <f t="shared" si="17"/>
        <v>0</v>
      </c>
    </row>
    <row r="510" spans="1:6" ht="14.4" customHeight="1" x14ac:dyDescent="0.3">
      <c r="A510" s="306"/>
      <c r="B510" s="306" t="s">
        <v>459</v>
      </c>
      <c r="C510" s="310" t="s">
        <v>27</v>
      </c>
      <c r="E510" s="308">
        <v>0</v>
      </c>
      <c r="F510" s="41">
        <f t="shared" si="17"/>
        <v>0</v>
      </c>
    </row>
    <row r="511" spans="1:6" ht="14.4" customHeight="1" x14ac:dyDescent="0.3">
      <c r="A511" s="306"/>
      <c r="B511" s="306" t="s">
        <v>460</v>
      </c>
      <c r="C511" s="310" t="s">
        <v>27</v>
      </c>
      <c r="E511" s="308">
        <v>0</v>
      </c>
      <c r="F511" s="41">
        <f t="shared" si="17"/>
        <v>0</v>
      </c>
    </row>
    <row r="512" spans="1:6" ht="14.4" customHeight="1" x14ac:dyDescent="0.3">
      <c r="A512" s="306"/>
      <c r="B512" s="306" t="s">
        <v>461</v>
      </c>
      <c r="C512" s="310" t="s">
        <v>27</v>
      </c>
      <c r="E512" s="308">
        <v>0</v>
      </c>
      <c r="F512" s="41">
        <f t="shared" si="17"/>
        <v>0</v>
      </c>
    </row>
    <row r="513" spans="1:6" ht="14.4" customHeight="1" x14ac:dyDescent="0.3">
      <c r="A513" s="306"/>
      <c r="B513" s="306" t="s">
        <v>462</v>
      </c>
      <c r="C513" s="310" t="s">
        <v>27</v>
      </c>
      <c r="E513" s="308">
        <v>0</v>
      </c>
      <c r="F513" s="41">
        <f t="shared" si="17"/>
        <v>0</v>
      </c>
    </row>
    <row r="514" spans="1:6" ht="14.4" customHeight="1" x14ac:dyDescent="0.3">
      <c r="A514" s="306"/>
      <c r="B514" s="306" t="s">
        <v>463</v>
      </c>
      <c r="C514" s="310" t="s">
        <v>27</v>
      </c>
      <c r="E514" s="308">
        <v>0</v>
      </c>
      <c r="F514" s="41">
        <f t="shared" si="17"/>
        <v>0</v>
      </c>
    </row>
    <row r="515" spans="1:6" ht="14.4" customHeight="1" x14ac:dyDescent="0.3">
      <c r="A515" s="306"/>
      <c r="B515" s="306" t="s">
        <v>464</v>
      </c>
      <c r="C515" s="310" t="s">
        <v>27</v>
      </c>
      <c r="E515" s="308">
        <v>0</v>
      </c>
      <c r="F515" s="41">
        <f t="shared" si="17"/>
        <v>0</v>
      </c>
    </row>
    <row r="516" spans="1:6" ht="14.4" customHeight="1" x14ac:dyDescent="0.3">
      <c r="A516" s="306"/>
      <c r="B516" s="306" t="s">
        <v>465</v>
      </c>
      <c r="C516" s="310" t="s">
        <v>27</v>
      </c>
      <c r="E516" s="308">
        <v>0</v>
      </c>
      <c r="F516" s="41">
        <f t="shared" si="17"/>
        <v>0</v>
      </c>
    </row>
    <row r="517" spans="1:6" ht="14.4" customHeight="1" x14ac:dyDescent="0.3">
      <c r="A517" s="306"/>
      <c r="B517" s="306" t="s">
        <v>466</v>
      </c>
      <c r="C517" s="310" t="s">
        <v>27</v>
      </c>
      <c r="E517" s="308">
        <v>0</v>
      </c>
      <c r="F517" s="41">
        <f t="shared" si="17"/>
        <v>0</v>
      </c>
    </row>
    <row r="518" spans="1:6" ht="14.4" customHeight="1" x14ac:dyDescent="0.3">
      <c r="A518" s="306"/>
      <c r="B518" s="306" t="s">
        <v>467</v>
      </c>
      <c r="C518" s="310" t="s">
        <v>27</v>
      </c>
      <c r="E518" s="308">
        <v>0</v>
      </c>
      <c r="F518" s="41">
        <f t="shared" si="17"/>
        <v>0</v>
      </c>
    </row>
    <row r="519" spans="1:6" ht="14.4" customHeight="1" x14ac:dyDescent="0.3">
      <c r="A519" s="306"/>
      <c r="B519" s="306" t="s">
        <v>468</v>
      </c>
      <c r="C519" s="310" t="s">
        <v>27</v>
      </c>
      <c r="E519" s="308">
        <v>0</v>
      </c>
      <c r="F519" s="41">
        <f t="shared" si="17"/>
        <v>0</v>
      </c>
    </row>
    <row r="520" spans="1:6" ht="14.4" customHeight="1" x14ac:dyDescent="0.3">
      <c r="A520" s="306"/>
      <c r="B520" s="306" t="s">
        <v>469</v>
      </c>
      <c r="C520" s="310" t="s">
        <v>27</v>
      </c>
      <c r="E520" s="308">
        <v>0</v>
      </c>
      <c r="F520" s="41">
        <f t="shared" si="17"/>
        <v>0</v>
      </c>
    </row>
    <row r="521" spans="1:6" ht="14.4" customHeight="1" x14ac:dyDescent="0.3">
      <c r="A521" s="306"/>
      <c r="B521" s="306" t="s">
        <v>470</v>
      </c>
      <c r="C521" s="310" t="s">
        <v>27</v>
      </c>
      <c r="E521" s="308">
        <v>0</v>
      </c>
      <c r="F521" s="41">
        <f t="shared" si="17"/>
        <v>0</v>
      </c>
    </row>
    <row r="522" spans="1:6" ht="14.4" customHeight="1" x14ac:dyDescent="0.3">
      <c r="A522" s="306"/>
      <c r="B522" s="306" t="s">
        <v>471</v>
      </c>
      <c r="C522" s="310" t="s">
        <v>27</v>
      </c>
      <c r="E522" s="308">
        <v>0</v>
      </c>
      <c r="F522" s="41">
        <f t="shared" si="17"/>
        <v>0</v>
      </c>
    </row>
    <row r="523" spans="1:6" ht="14.4" customHeight="1" x14ac:dyDescent="0.3">
      <c r="A523" s="306"/>
      <c r="B523" s="306" t="s">
        <v>472</v>
      </c>
      <c r="C523" s="310" t="s">
        <v>27</v>
      </c>
      <c r="E523" s="308">
        <v>0</v>
      </c>
      <c r="F523" s="41">
        <f t="shared" si="17"/>
        <v>0</v>
      </c>
    </row>
    <row r="524" spans="1:6" ht="14.4" customHeight="1" x14ac:dyDescent="0.3">
      <c r="A524" s="306"/>
      <c r="B524" s="306" t="s">
        <v>473</v>
      </c>
      <c r="C524" s="310" t="s">
        <v>27</v>
      </c>
      <c r="E524" s="308">
        <v>0</v>
      </c>
      <c r="F524" s="41">
        <f t="shared" si="17"/>
        <v>0</v>
      </c>
    </row>
    <row r="525" spans="1:6" ht="14.4" customHeight="1" x14ac:dyDescent="0.3">
      <c r="A525" s="306"/>
      <c r="B525" s="306" t="s">
        <v>474</v>
      </c>
      <c r="C525" s="310" t="s">
        <v>27</v>
      </c>
      <c r="E525" s="308">
        <v>0</v>
      </c>
      <c r="F525" s="41">
        <f t="shared" si="17"/>
        <v>0</v>
      </c>
    </row>
    <row r="526" spans="1:6" ht="14.4" customHeight="1" x14ac:dyDescent="0.3">
      <c r="A526" s="306"/>
      <c r="B526" s="306" t="s">
        <v>475</v>
      </c>
      <c r="C526" s="310" t="s">
        <v>27</v>
      </c>
      <c r="E526" s="308">
        <v>0</v>
      </c>
      <c r="F526" s="41">
        <f t="shared" si="17"/>
        <v>0</v>
      </c>
    </row>
    <row r="527" spans="1:6" ht="14.4" customHeight="1" x14ac:dyDescent="0.3">
      <c r="A527" s="306"/>
      <c r="B527" s="306" t="s">
        <v>476</v>
      </c>
      <c r="C527" s="310" t="s">
        <v>27</v>
      </c>
      <c r="E527" s="308">
        <v>0</v>
      </c>
      <c r="F527" s="41">
        <f t="shared" si="17"/>
        <v>0</v>
      </c>
    </row>
    <row r="528" spans="1:6" ht="14.4" customHeight="1" x14ac:dyDescent="0.3">
      <c r="A528" s="306"/>
      <c r="B528" s="387" t="s">
        <v>477</v>
      </c>
      <c r="C528" s="310" t="s">
        <v>27</v>
      </c>
      <c r="E528" s="308">
        <v>0</v>
      </c>
      <c r="F528" s="41">
        <f t="shared" si="17"/>
        <v>0</v>
      </c>
    </row>
    <row r="529" spans="1:6" ht="14.4" customHeight="1" x14ac:dyDescent="0.3">
      <c r="A529" s="306"/>
      <c r="B529" s="306" t="s">
        <v>478</v>
      </c>
      <c r="C529" s="310" t="s">
        <v>27</v>
      </c>
      <c r="E529" s="308">
        <v>0</v>
      </c>
      <c r="F529" s="41">
        <f t="shared" si="17"/>
        <v>0</v>
      </c>
    </row>
    <row r="530" spans="1:6" ht="14.4" customHeight="1" x14ac:dyDescent="0.3">
      <c r="A530" s="306"/>
      <c r="B530" s="306" t="s">
        <v>479</v>
      </c>
      <c r="C530" s="310" t="s">
        <v>27</v>
      </c>
      <c r="E530" s="308">
        <v>0</v>
      </c>
      <c r="F530" s="41">
        <f t="shared" si="17"/>
        <v>0</v>
      </c>
    </row>
    <row r="531" spans="1:6" ht="14.4" customHeight="1" x14ac:dyDescent="0.3">
      <c r="A531" s="306"/>
      <c r="B531" s="387" t="s">
        <v>480</v>
      </c>
      <c r="C531" s="310" t="s">
        <v>27</v>
      </c>
      <c r="E531" s="308">
        <v>0</v>
      </c>
      <c r="F531" s="41">
        <f t="shared" si="17"/>
        <v>0</v>
      </c>
    </row>
    <row r="532" spans="1:6" ht="14.4" customHeight="1" x14ac:dyDescent="0.3">
      <c r="A532" s="306"/>
      <c r="B532" s="387" t="s">
        <v>481</v>
      </c>
      <c r="C532" s="310" t="s">
        <v>27</v>
      </c>
      <c r="E532" s="308">
        <v>0</v>
      </c>
      <c r="F532" s="41">
        <f t="shared" si="17"/>
        <v>0</v>
      </c>
    </row>
    <row r="533" spans="1:6" ht="14.4" customHeight="1" x14ac:dyDescent="0.3">
      <c r="A533" s="306"/>
      <c r="B533" s="306" t="s">
        <v>482</v>
      </c>
      <c r="C533" s="310" t="s">
        <v>27</v>
      </c>
      <c r="E533" s="308">
        <v>18.54</v>
      </c>
      <c r="F533" s="41">
        <f t="shared" si="17"/>
        <v>0</v>
      </c>
    </row>
    <row r="534" spans="1:6" ht="14.4" customHeight="1" x14ac:dyDescent="0.3">
      <c r="A534" s="306"/>
      <c r="B534" s="306" t="s">
        <v>483</v>
      </c>
      <c r="C534" s="310" t="s">
        <v>27</v>
      </c>
      <c r="E534" s="308">
        <v>0</v>
      </c>
      <c r="F534" s="41">
        <f t="shared" si="17"/>
        <v>0</v>
      </c>
    </row>
    <row r="535" spans="1:6" ht="14.4" customHeight="1" x14ac:dyDescent="0.3">
      <c r="A535" s="306"/>
      <c r="B535" s="306" t="s">
        <v>484</v>
      </c>
      <c r="C535" s="310" t="s">
        <v>27</v>
      </c>
      <c r="E535" s="308">
        <v>0</v>
      </c>
      <c r="F535" s="41">
        <f t="shared" si="17"/>
        <v>0</v>
      </c>
    </row>
    <row r="536" spans="1:6" ht="14.4" customHeight="1" x14ac:dyDescent="0.3">
      <c r="A536" s="306"/>
      <c r="B536" s="306" t="s">
        <v>485</v>
      </c>
      <c r="C536" s="310" t="s">
        <v>27</v>
      </c>
      <c r="E536" s="308">
        <v>18.350000000000001</v>
      </c>
      <c r="F536" s="41">
        <f t="shared" si="17"/>
        <v>0</v>
      </c>
    </row>
    <row r="537" spans="1:6" ht="14.4" customHeight="1" x14ac:dyDescent="0.3">
      <c r="A537" s="306"/>
      <c r="B537" s="306" t="s">
        <v>486</v>
      </c>
      <c r="C537" s="310" t="s">
        <v>27</v>
      </c>
      <c r="E537" s="308">
        <v>0</v>
      </c>
      <c r="F537" s="41">
        <f t="shared" si="17"/>
        <v>0</v>
      </c>
    </row>
    <row r="538" spans="1:6" ht="14.4" customHeight="1" x14ac:dyDescent="0.3">
      <c r="A538" s="306"/>
      <c r="B538" s="306" t="s">
        <v>487</v>
      </c>
      <c r="C538" s="310" t="s">
        <v>27</v>
      </c>
      <c r="E538" s="308">
        <v>0</v>
      </c>
      <c r="F538" s="41">
        <f t="shared" si="17"/>
        <v>0</v>
      </c>
    </row>
    <row r="539" spans="1:6" ht="14.4" customHeight="1" x14ac:dyDescent="0.3">
      <c r="A539" s="306"/>
      <c r="B539" s="306" t="s">
        <v>488</v>
      </c>
      <c r="C539" s="310" t="s">
        <v>27</v>
      </c>
      <c r="E539" s="308">
        <v>0</v>
      </c>
      <c r="F539" s="41">
        <f t="shared" si="17"/>
        <v>0</v>
      </c>
    </row>
    <row r="540" spans="1:6" ht="14.4" customHeight="1" x14ac:dyDescent="0.3">
      <c r="A540" s="306"/>
      <c r="B540" s="306" t="s">
        <v>489</v>
      </c>
      <c r="C540" s="310" t="s">
        <v>27</v>
      </c>
      <c r="E540" s="308">
        <v>0</v>
      </c>
      <c r="F540" s="41">
        <f t="shared" si="17"/>
        <v>0</v>
      </c>
    </row>
    <row r="541" spans="1:6" ht="14.4" customHeight="1" x14ac:dyDescent="0.3">
      <c r="A541" s="306"/>
      <c r="B541" s="306" t="s">
        <v>490</v>
      </c>
      <c r="C541" s="310" t="s">
        <v>27</v>
      </c>
      <c r="E541" s="308">
        <v>0</v>
      </c>
      <c r="F541" s="41">
        <f t="shared" si="17"/>
        <v>0</v>
      </c>
    </row>
    <row r="542" spans="1:6" ht="14.4" customHeight="1" x14ac:dyDescent="0.3">
      <c r="A542" s="306"/>
      <c r="B542" s="387" t="s">
        <v>491</v>
      </c>
      <c r="C542" s="310" t="s">
        <v>27</v>
      </c>
      <c r="E542" s="308">
        <v>0</v>
      </c>
      <c r="F542" s="41">
        <f t="shared" si="17"/>
        <v>0</v>
      </c>
    </row>
    <row r="543" spans="1:6" ht="14.4" customHeight="1" x14ac:dyDescent="0.3">
      <c r="A543" s="306"/>
      <c r="B543" s="306" t="s">
        <v>492</v>
      </c>
      <c r="C543" s="310" t="s">
        <v>27</v>
      </c>
      <c r="E543" s="308">
        <v>16.329999999999998</v>
      </c>
      <c r="F543" s="41">
        <f t="shared" si="17"/>
        <v>0</v>
      </c>
    </row>
    <row r="544" spans="1:6" ht="14.4" customHeight="1" x14ac:dyDescent="0.3">
      <c r="A544" s="306"/>
      <c r="B544" s="306" t="s">
        <v>493</v>
      </c>
      <c r="C544" s="310" t="s">
        <v>27</v>
      </c>
      <c r="E544" s="308">
        <v>0</v>
      </c>
      <c r="F544" s="41">
        <f t="shared" si="17"/>
        <v>0</v>
      </c>
    </row>
    <row r="545" spans="1:6" ht="14.4" customHeight="1" x14ac:dyDescent="0.3">
      <c r="A545" s="306"/>
      <c r="B545" s="306" t="s">
        <v>494</v>
      </c>
      <c r="C545" s="310" t="s">
        <v>27</v>
      </c>
      <c r="E545" s="308">
        <v>0</v>
      </c>
      <c r="F545" s="41">
        <f t="shared" si="17"/>
        <v>0</v>
      </c>
    </row>
    <row r="546" spans="1:6" ht="14.4" customHeight="1" x14ac:dyDescent="0.3">
      <c r="A546" s="306"/>
      <c r="B546" s="306" t="s">
        <v>495</v>
      </c>
      <c r="C546" s="310" t="s">
        <v>27</v>
      </c>
      <c r="E546" s="308">
        <v>0</v>
      </c>
      <c r="F546" s="41">
        <f t="shared" si="17"/>
        <v>0</v>
      </c>
    </row>
    <row r="547" spans="1:6" ht="14.4" customHeight="1" x14ac:dyDescent="0.3">
      <c r="A547" s="306"/>
      <c r="B547" s="306" t="s">
        <v>496</v>
      </c>
      <c r="C547" s="310" t="s">
        <v>27</v>
      </c>
      <c r="E547" s="308">
        <v>0</v>
      </c>
      <c r="F547" s="41">
        <f t="shared" ref="F547:F610" si="18">E547*D547</f>
        <v>0</v>
      </c>
    </row>
    <row r="548" spans="1:6" ht="14.4" customHeight="1" x14ac:dyDescent="0.3">
      <c r="A548" s="306"/>
      <c r="B548" s="306" t="s">
        <v>497</v>
      </c>
      <c r="C548" s="310" t="s">
        <v>27</v>
      </c>
      <c r="E548" s="308">
        <v>0</v>
      </c>
      <c r="F548" s="41">
        <f t="shared" si="18"/>
        <v>0</v>
      </c>
    </row>
    <row r="549" spans="1:6" ht="14.4" customHeight="1" x14ac:dyDescent="0.3">
      <c r="A549" s="306"/>
      <c r="B549" s="306" t="s">
        <v>498</v>
      </c>
      <c r="C549" s="310" t="s">
        <v>27</v>
      </c>
      <c r="E549" s="308">
        <v>0</v>
      </c>
      <c r="F549" s="41">
        <f t="shared" si="18"/>
        <v>0</v>
      </c>
    </row>
    <row r="550" spans="1:6" ht="14.4" customHeight="1" x14ac:dyDescent="0.3">
      <c r="A550" s="306"/>
      <c r="B550" s="306" t="s">
        <v>499</v>
      </c>
      <c r="C550" s="310" t="s">
        <v>27</v>
      </c>
      <c r="E550" s="308">
        <v>0</v>
      </c>
      <c r="F550" s="41">
        <f t="shared" si="18"/>
        <v>0</v>
      </c>
    </row>
    <row r="551" spans="1:6" ht="14.4" customHeight="1" x14ac:dyDescent="0.3">
      <c r="A551" s="306"/>
      <c r="B551" s="306" t="s">
        <v>500</v>
      </c>
      <c r="C551" s="310" t="s">
        <v>27</v>
      </c>
      <c r="E551" s="308">
        <v>0</v>
      </c>
      <c r="F551" s="41">
        <f t="shared" si="18"/>
        <v>0</v>
      </c>
    </row>
    <row r="552" spans="1:6" ht="14.4" customHeight="1" x14ac:dyDescent="0.3">
      <c r="A552" s="306"/>
      <c r="B552" s="306" t="s">
        <v>501</v>
      </c>
      <c r="C552" s="310" t="s">
        <v>27</v>
      </c>
      <c r="E552" s="308">
        <v>0</v>
      </c>
      <c r="F552" s="41">
        <f t="shared" si="18"/>
        <v>0</v>
      </c>
    </row>
    <row r="553" spans="1:6" ht="14.4" customHeight="1" x14ac:dyDescent="0.3">
      <c r="A553" s="306"/>
      <c r="B553" s="306" t="s">
        <v>502</v>
      </c>
      <c r="C553" s="310" t="s">
        <v>27</v>
      </c>
      <c r="E553" s="308">
        <v>0</v>
      </c>
      <c r="F553" s="41">
        <f t="shared" si="18"/>
        <v>0</v>
      </c>
    </row>
    <row r="554" spans="1:6" ht="14.4" customHeight="1" x14ac:dyDescent="0.3">
      <c r="A554" s="306"/>
      <c r="B554" s="306" t="s">
        <v>503</v>
      </c>
      <c r="C554" s="310" t="s">
        <v>27</v>
      </c>
      <c r="E554" s="308">
        <v>0</v>
      </c>
      <c r="F554" s="41">
        <f t="shared" si="18"/>
        <v>0</v>
      </c>
    </row>
    <row r="555" spans="1:6" ht="14.4" customHeight="1" x14ac:dyDescent="0.3">
      <c r="A555" s="306"/>
      <c r="B555" s="306" t="s">
        <v>504</v>
      </c>
      <c r="C555" s="310" t="s">
        <v>27</v>
      </c>
      <c r="E555" s="308">
        <v>0</v>
      </c>
      <c r="F555" s="41">
        <f t="shared" si="18"/>
        <v>0</v>
      </c>
    </row>
    <row r="556" spans="1:6" ht="14.4" customHeight="1" x14ac:dyDescent="0.3">
      <c r="A556" s="306"/>
      <c r="B556" s="306" t="s">
        <v>505</v>
      </c>
      <c r="C556" s="310" t="s">
        <v>27</v>
      </c>
      <c r="E556" s="308">
        <v>0</v>
      </c>
      <c r="F556" s="41">
        <f t="shared" si="18"/>
        <v>0</v>
      </c>
    </row>
    <row r="557" spans="1:6" ht="14.4" customHeight="1" x14ac:dyDescent="0.3">
      <c r="A557" s="306"/>
      <c r="B557" s="306" t="s">
        <v>506</v>
      </c>
      <c r="C557" s="310" t="s">
        <v>27</v>
      </c>
      <c r="E557" s="308">
        <v>0</v>
      </c>
      <c r="F557" s="41">
        <f t="shared" si="18"/>
        <v>0</v>
      </c>
    </row>
    <row r="558" spans="1:6" ht="14.4" customHeight="1" x14ac:dyDescent="0.3">
      <c r="A558" s="306"/>
      <c r="B558" s="306" t="s">
        <v>507</v>
      </c>
      <c r="C558" s="310" t="s">
        <v>27</v>
      </c>
      <c r="E558" s="308">
        <v>0</v>
      </c>
      <c r="F558" s="41">
        <f t="shared" si="18"/>
        <v>0</v>
      </c>
    </row>
    <row r="559" spans="1:6" ht="14.4" customHeight="1" x14ac:dyDescent="0.3">
      <c r="A559" s="306"/>
      <c r="B559" s="306" t="s">
        <v>508</v>
      </c>
      <c r="C559" s="310" t="s">
        <v>27</v>
      </c>
      <c r="E559" s="308">
        <v>0</v>
      </c>
      <c r="F559" s="41">
        <f t="shared" si="18"/>
        <v>0</v>
      </c>
    </row>
    <row r="560" spans="1:6" ht="14.4" customHeight="1" x14ac:dyDescent="0.3">
      <c r="A560" s="306"/>
      <c r="B560" s="306" t="s">
        <v>509</v>
      </c>
      <c r="C560" s="310" t="s">
        <v>27</v>
      </c>
      <c r="E560" s="308">
        <v>0</v>
      </c>
      <c r="F560" s="41">
        <f t="shared" si="18"/>
        <v>0</v>
      </c>
    </row>
    <row r="561" spans="1:6" ht="14.4" customHeight="1" x14ac:dyDescent="0.3">
      <c r="A561" s="306"/>
      <c r="B561" s="306" t="s">
        <v>510</v>
      </c>
      <c r="C561" s="310" t="s">
        <v>27</v>
      </c>
      <c r="E561" s="308">
        <v>0</v>
      </c>
      <c r="F561" s="41">
        <f t="shared" si="18"/>
        <v>0</v>
      </c>
    </row>
    <row r="562" spans="1:6" ht="14.4" customHeight="1" x14ac:dyDescent="0.3">
      <c r="A562" s="306"/>
      <c r="B562" s="306" t="s">
        <v>511</v>
      </c>
      <c r="C562" s="310" t="s">
        <v>27</v>
      </c>
      <c r="E562" s="308">
        <v>0</v>
      </c>
      <c r="F562" s="41">
        <f t="shared" si="18"/>
        <v>0</v>
      </c>
    </row>
    <row r="563" spans="1:6" ht="14.4" customHeight="1" x14ac:dyDescent="0.3">
      <c r="A563" s="306"/>
      <c r="B563" s="306" t="s">
        <v>512</v>
      </c>
      <c r="C563" s="310" t="s">
        <v>27</v>
      </c>
      <c r="E563" s="308">
        <v>0</v>
      </c>
      <c r="F563" s="41">
        <f t="shared" si="18"/>
        <v>0</v>
      </c>
    </row>
    <row r="564" spans="1:6" ht="14.4" customHeight="1" x14ac:dyDescent="0.3">
      <c r="A564" s="306"/>
      <c r="B564" s="306" t="s">
        <v>513</v>
      </c>
      <c r="C564" s="310" t="s">
        <v>27</v>
      </c>
      <c r="E564" s="308">
        <v>0</v>
      </c>
      <c r="F564" s="41">
        <f t="shared" si="18"/>
        <v>0</v>
      </c>
    </row>
    <row r="565" spans="1:6" ht="14.4" customHeight="1" x14ac:dyDescent="0.3">
      <c r="A565" s="306"/>
      <c r="B565" s="306" t="s">
        <v>514</v>
      </c>
      <c r="C565" s="310" t="s">
        <v>27</v>
      </c>
      <c r="E565" s="308">
        <v>0</v>
      </c>
      <c r="F565" s="41">
        <f t="shared" si="18"/>
        <v>0</v>
      </c>
    </row>
    <row r="566" spans="1:6" ht="14.4" customHeight="1" x14ac:dyDescent="0.3">
      <c r="A566" s="306"/>
      <c r="B566" s="306" t="s">
        <v>515</v>
      </c>
      <c r="C566" s="310" t="s">
        <v>27</v>
      </c>
      <c r="E566" s="308">
        <v>0</v>
      </c>
      <c r="F566" s="41">
        <f t="shared" si="18"/>
        <v>0</v>
      </c>
    </row>
    <row r="567" spans="1:6" ht="14.4" customHeight="1" x14ac:dyDescent="0.3">
      <c r="A567" s="306"/>
      <c r="B567" s="306" t="s">
        <v>516</v>
      </c>
      <c r="C567" s="310" t="s">
        <v>27</v>
      </c>
      <c r="E567" s="308">
        <v>0</v>
      </c>
      <c r="F567" s="41">
        <f t="shared" si="18"/>
        <v>0</v>
      </c>
    </row>
    <row r="568" spans="1:6" ht="14.4" customHeight="1" x14ac:dyDescent="0.3">
      <c r="A568" s="306"/>
      <c r="B568" s="306" t="s">
        <v>517</v>
      </c>
      <c r="C568" s="310" t="s">
        <v>27</v>
      </c>
      <c r="E568" s="308">
        <v>0</v>
      </c>
      <c r="F568" s="41">
        <f t="shared" si="18"/>
        <v>0</v>
      </c>
    </row>
    <row r="569" spans="1:6" ht="14.4" customHeight="1" x14ac:dyDescent="0.3">
      <c r="A569" s="306"/>
      <c r="B569" s="306" t="s">
        <v>518</v>
      </c>
      <c r="C569" s="310" t="s">
        <v>27</v>
      </c>
      <c r="E569" s="308">
        <v>0</v>
      </c>
      <c r="F569" s="41">
        <f t="shared" si="18"/>
        <v>0</v>
      </c>
    </row>
    <row r="570" spans="1:6" ht="14.4" customHeight="1" x14ac:dyDescent="0.3">
      <c r="A570" s="306"/>
      <c r="B570" s="306" t="s">
        <v>519</v>
      </c>
      <c r="C570" s="310" t="s">
        <v>27</v>
      </c>
      <c r="E570" s="308">
        <v>0</v>
      </c>
      <c r="F570" s="41">
        <f t="shared" si="18"/>
        <v>0</v>
      </c>
    </row>
    <row r="571" spans="1:6" ht="14.4" customHeight="1" x14ac:dyDescent="0.3">
      <c r="A571" s="306"/>
      <c r="B571" s="306" t="s">
        <v>520</v>
      </c>
      <c r="C571" s="310" t="s">
        <v>27</v>
      </c>
      <c r="E571" s="308">
        <v>0</v>
      </c>
      <c r="F571" s="41">
        <f t="shared" si="18"/>
        <v>0</v>
      </c>
    </row>
    <row r="572" spans="1:6" ht="14.4" customHeight="1" x14ac:dyDescent="0.3">
      <c r="A572" s="306"/>
      <c r="B572" s="306" t="s">
        <v>521</v>
      </c>
      <c r="C572" s="310" t="s">
        <v>27</v>
      </c>
      <c r="E572" s="308">
        <v>0</v>
      </c>
      <c r="F572" s="41">
        <f t="shared" si="18"/>
        <v>0</v>
      </c>
    </row>
    <row r="573" spans="1:6" ht="14.4" customHeight="1" x14ac:dyDescent="0.3">
      <c r="A573" s="306"/>
      <c r="B573" s="306" t="s">
        <v>522</v>
      </c>
      <c r="C573" s="310" t="s">
        <v>27</v>
      </c>
      <c r="E573" s="308">
        <v>0</v>
      </c>
      <c r="F573" s="41">
        <f t="shared" si="18"/>
        <v>0</v>
      </c>
    </row>
    <row r="574" spans="1:6" ht="14.4" customHeight="1" x14ac:dyDescent="0.3">
      <c r="A574" s="306"/>
      <c r="B574" s="306" t="s">
        <v>523</v>
      </c>
      <c r="C574" s="310" t="s">
        <v>27</v>
      </c>
      <c r="E574" s="308">
        <v>0</v>
      </c>
      <c r="F574" s="41">
        <f t="shared" si="18"/>
        <v>0</v>
      </c>
    </row>
    <row r="575" spans="1:6" ht="14.4" customHeight="1" x14ac:dyDescent="0.3">
      <c r="A575" s="306"/>
      <c r="B575" s="306" t="s">
        <v>524</v>
      </c>
      <c r="C575" s="310" t="s">
        <v>27</v>
      </c>
      <c r="E575" s="308">
        <v>5.61</v>
      </c>
      <c r="F575" s="41">
        <f t="shared" si="18"/>
        <v>0</v>
      </c>
    </row>
    <row r="576" spans="1:6" ht="14.4" customHeight="1" x14ac:dyDescent="0.3">
      <c r="A576" s="306"/>
      <c r="B576" s="306" t="s">
        <v>525</v>
      </c>
      <c r="C576" s="310" t="s">
        <v>27</v>
      </c>
      <c r="E576" s="308">
        <v>0</v>
      </c>
      <c r="F576" s="41">
        <f t="shared" si="18"/>
        <v>0</v>
      </c>
    </row>
    <row r="577" spans="1:6" ht="14.4" customHeight="1" x14ac:dyDescent="0.3">
      <c r="A577" s="306"/>
      <c r="B577" s="306" t="s">
        <v>526</v>
      </c>
      <c r="C577" s="310" t="s">
        <v>27</v>
      </c>
      <c r="E577" s="308">
        <v>0</v>
      </c>
      <c r="F577" s="41">
        <f t="shared" si="18"/>
        <v>0</v>
      </c>
    </row>
    <row r="578" spans="1:6" ht="14.4" customHeight="1" x14ac:dyDescent="0.3">
      <c r="A578" s="306"/>
      <c r="B578" s="306" t="s">
        <v>527</v>
      </c>
      <c r="C578" s="310" t="s">
        <v>27</v>
      </c>
      <c r="E578" s="308">
        <v>0</v>
      </c>
      <c r="F578" s="41">
        <f t="shared" si="18"/>
        <v>0</v>
      </c>
    </row>
    <row r="579" spans="1:6" ht="14.4" customHeight="1" x14ac:dyDescent="0.3">
      <c r="A579" s="306"/>
      <c r="B579" s="306" t="s">
        <v>528</v>
      </c>
      <c r="C579" s="310" t="s">
        <v>27</v>
      </c>
      <c r="E579" s="308">
        <v>0</v>
      </c>
      <c r="F579" s="41">
        <f t="shared" si="18"/>
        <v>0</v>
      </c>
    </row>
    <row r="580" spans="1:6" ht="14.4" customHeight="1" x14ac:dyDescent="0.3">
      <c r="A580" s="306"/>
      <c r="B580" s="306" t="s">
        <v>529</v>
      </c>
      <c r="C580" s="310" t="s">
        <v>27</v>
      </c>
      <c r="E580" s="308">
        <v>0</v>
      </c>
      <c r="F580" s="41">
        <f t="shared" si="18"/>
        <v>0</v>
      </c>
    </row>
    <row r="581" spans="1:6" ht="14.4" customHeight="1" x14ac:dyDescent="0.3">
      <c r="A581" s="306"/>
      <c r="B581" s="306" t="s">
        <v>530</v>
      </c>
      <c r="C581" s="310" t="s">
        <v>27</v>
      </c>
      <c r="E581" s="308">
        <v>0</v>
      </c>
      <c r="F581" s="41">
        <f t="shared" si="18"/>
        <v>0</v>
      </c>
    </row>
    <row r="582" spans="1:6" ht="14.4" customHeight="1" x14ac:dyDescent="0.3">
      <c r="A582" s="306"/>
      <c r="B582" s="306" t="s">
        <v>531</v>
      </c>
      <c r="C582" s="310" t="s">
        <v>27</v>
      </c>
      <c r="E582" s="308">
        <v>0</v>
      </c>
      <c r="F582" s="41">
        <f t="shared" si="18"/>
        <v>0</v>
      </c>
    </row>
    <row r="583" spans="1:6" ht="14.4" customHeight="1" x14ac:dyDescent="0.3">
      <c r="A583" s="306"/>
      <c r="B583" s="306" t="s">
        <v>532</v>
      </c>
      <c r="C583" s="310" t="s">
        <v>27</v>
      </c>
      <c r="E583" s="308">
        <v>0</v>
      </c>
      <c r="F583" s="41">
        <f t="shared" si="18"/>
        <v>0</v>
      </c>
    </row>
    <row r="584" spans="1:6" ht="14.4" customHeight="1" x14ac:dyDescent="0.3">
      <c r="A584" s="306"/>
      <c r="B584" s="306" t="s">
        <v>533</v>
      </c>
      <c r="C584" s="310" t="s">
        <v>27</v>
      </c>
      <c r="E584" s="308">
        <v>0</v>
      </c>
      <c r="F584" s="41">
        <f t="shared" si="18"/>
        <v>0</v>
      </c>
    </row>
    <row r="585" spans="1:6" ht="14.4" customHeight="1" x14ac:dyDescent="0.3">
      <c r="A585" s="306"/>
      <c r="B585" s="306" t="s">
        <v>534</v>
      </c>
      <c r="C585" s="310" t="s">
        <v>27</v>
      </c>
      <c r="E585" s="308">
        <v>0</v>
      </c>
      <c r="F585" s="41">
        <f t="shared" si="18"/>
        <v>0</v>
      </c>
    </row>
    <row r="586" spans="1:6" ht="14.4" customHeight="1" x14ac:dyDescent="0.3">
      <c r="A586" s="306"/>
      <c r="B586" s="306" t="s">
        <v>535</v>
      </c>
      <c r="C586" s="310" t="s">
        <v>27</v>
      </c>
      <c r="E586" s="308">
        <v>0</v>
      </c>
      <c r="F586" s="41">
        <f t="shared" si="18"/>
        <v>0</v>
      </c>
    </row>
    <row r="587" spans="1:6" ht="14.4" customHeight="1" x14ac:dyDescent="0.3">
      <c r="A587" s="306"/>
      <c r="B587" s="306" t="s">
        <v>536</v>
      </c>
      <c r="C587" s="310" t="s">
        <v>27</v>
      </c>
      <c r="E587" s="308">
        <v>0</v>
      </c>
      <c r="F587" s="41">
        <f t="shared" si="18"/>
        <v>0</v>
      </c>
    </row>
    <row r="588" spans="1:6" ht="14.4" customHeight="1" x14ac:dyDescent="0.3">
      <c r="A588" s="306"/>
      <c r="B588" s="306" t="s">
        <v>537</v>
      </c>
      <c r="C588" s="310" t="s">
        <v>27</v>
      </c>
      <c r="E588" s="308">
        <v>0</v>
      </c>
      <c r="F588" s="41">
        <f t="shared" si="18"/>
        <v>0</v>
      </c>
    </row>
    <row r="589" spans="1:6" ht="14.4" customHeight="1" x14ac:dyDescent="0.3">
      <c r="A589" s="306"/>
      <c r="B589" s="306" t="s">
        <v>538</v>
      </c>
      <c r="C589" s="310" t="s">
        <v>27</v>
      </c>
      <c r="E589" s="308">
        <v>0</v>
      </c>
      <c r="F589" s="41">
        <f t="shared" si="18"/>
        <v>0</v>
      </c>
    </row>
    <row r="590" spans="1:6" ht="14.4" customHeight="1" x14ac:dyDescent="0.3">
      <c r="A590" s="306"/>
      <c r="B590" s="306" t="s">
        <v>539</v>
      </c>
      <c r="C590" s="310" t="s">
        <v>27</v>
      </c>
      <c r="E590" s="308">
        <v>0</v>
      </c>
      <c r="F590" s="41">
        <f t="shared" si="18"/>
        <v>0</v>
      </c>
    </row>
    <row r="591" spans="1:6" ht="14.4" customHeight="1" x14ac:dyDescent="0.3">
      <c r="A591" s="306"/>
      <c r="B591" s="306" t="s">
        <v>540</v>
      </c>
      <c r="C591" s="310" t="s">
        <v>27</v>
      </c>
      <c r="E591" s="308">
        <v>0</v>
      </c>
      <c r="F591" s="41">
        <f t="shared" si="18"/>
        <v>0</v>
      </c>
    </row>
    <row r="592" spans="1:6" ht="14.4" customHeight="1" x14ac:dyDescent="0.3">
      <c r="A592" s="306"/>
      <c r="B592" s="306" t="s">
        <v>541</v>
      </c>
      <c r="C592" s="310" t="s">
        <v>27</v>
      </c>
      <c r="E592" s="308">
        <v>0</v>
      </c>
      <c r="F592" s="41">
        <f t="shared" si="18"/>
        <v>0</v>
      </c>
    </row>
    <row r="593" spans="1:6" ht="14.4" customHeight="1" x14ac:dyDescent="0.3">
      <c r="A593" s="306"/>
      <c r="B593" s="306" t="s">
        <v>542</v>
      </c>
      <c r="C593" s="310" t="s">
        <v>27</v>
      </c>
      <c r="E593" s="308">
        <v>0</v>
      </c>
      <c r="F593" s="41">
        <f t="shared" si="18"/>
        <v>0</v>
      </c>
    </row>
    <row r="594" spans="1:6" ht="14.4" customHeight="1" x14ac:dyDescent="0.3">
      <c r="A594" s="306"/>
      <c r="B594" s="306" t="s">
        <v>543</v>
      </c>
      <c r="C594" s="310" t="s">
        <v>27</v>
      </c>
      <c r="E594" s="308">
        <v>0</v>
      </c>
      <c r="F594" s="41">
        <f t="shared" si="18"/>
        <v>0</v>
      </c>
    </row>
    <row r="595" spans="1:6" ht="14.4" customHeight="1" x14ac:dyDescent="0.3">
      <c r="A595" s="306"/>
      <c r="B595" s="306" t="s">
        <v>544</v>
      </c>
      <c r="C595" s="310" t="s">
        <v>27</v>
      </c>
      <c r="E595" s="308">
        <v>0</v>
      </c>
      <c r="F595" s="41">
        <f t="shared" si="18"/>
        <v>0</v>
      </c>
    </row>
    <row r="596" spans="1:6" ht="14.4" customHeight="1" x14ac:dyDescent="0.3">
      <c r="A596" s="306"/>
      <c r="B596" s="306" t="s">
        <v>545</v>
      </c>
      <c r="C596" s="310" t="s">
        <v>27</v>
      </c>
      <c r="E596" s="308">
        <v>0</v>
      </c>
      <c r="F596" s="41">
        <f t="shared" si="18"/>
        <v>0</v>
      </c>
    </row>
    <row r="597" spans="1:6" ht="14.4" customHeight="1" x14ac:dyDescent="0.3">
      <c r="A597" s="306"/>
      <c r="B597" s="306" t="s">
        <v>546</v>
      </c>
      <c r="C597" s="310" t="s">
        <v>27</v>
      </c>
      <c r="E597" s="308">
        <v>0</v>
      </c>
      <c r="F597" s="41">
        <f t="shared" si="18"/>
        <v>0</v>
      </c>
    </row>
    <row r="598" spans="1:6" ht="14.4" customHeight="1" x14ac:dyDescent="0.3">
      <c r="A598" s="306"/>
      <c r="B598" s="306" t="s">
        <v>547</v>
      </c>
      <c r="C598" s="310" t="s">
        <v>27</v>
      </c>
      <c r="E598" s="308">
        <v>0</v>
      </c>
      <c r="F598" s="41">
        <f t="shared" si="18"/>
        <v>0</v>
      </c>
    </row>
    <row r="599" spans="1:6" ht="14.4" customHeight="1" x14ac:dyDescent="0.3">
      <c r="A599" s="306"/>
      <c r="B599" s="306" t="s">
        <v>548</v>
      </c>
      <c r="C599" s="310" t="s">
        <v>27</v>
      </c>
      <c r="E599" s="308">
        <v>0</v>
      </c>
      <c r="F599" s="41">
        <f t="shared" si="18"/>
        <v>0</v>
      </c>
    </row>
    <row r="600" spans="1:6" ht="14.4" customHeight="1" x14ac:dyDescent="0.3">
      <c r="A600" s="306"/>
      <c r="B600" s="306" t="s">
        <v>549</v>
      </c>
      <c r="C600" s="310" t="s">
        <v>27</v>
      </c>
      <c r="E600" s="308">
        <v>0</v>
      </c>
      <c r="F600" s="41">
        <f t="shared" si="18"/>
        <v>0</v>
      </c>
    </row>
    <row r="601" spans="1:6" ht="14.4" customHeight="1" x14ac:dyDescent="0.3">
      <c r="A601" s="306"/>
      <c r="B601" s="306" t="s">
        <v>550</v>
      </c>
      <c r="C601" s="310" t="s">
        <v>27</v>
      </c>
      <c r="E601" s="308">
        <v>26.25</v>
      </c>
      <c r="F601" s="41">
        <f t="shared" si="18"/>
        <v>0</v>
      </c>
    </row>
    <row r="602" spans="1:6" ht="14.4" customHeight="1" x14ac:dyDescent="0.3">
      <c r="A602" s="306"/>
      <c r="B602" s="306" t="s">
        <v>551</v>
      </c>
      <c r="C602" s="310" t="s">
        <v>27</v>
      </c>
      <c r="E602" s="308">
        <v>0</v>
      </c>
      <c r="F602" s="41">
        <f t="shared" si="18"/>
        <v>0</v>
      </c>
    </row>
    <row r="603" spans="1:6" ht="14.4" customHeight="1" x14ac:dyDescent="0.3">
      <c r="A603" s="306"/>
      <c r="B603" s="306" t="s">
        <v>552</v>
      </c>
      <c r="C603" s="310" t="s">
        <v>27</v>
      </c>
      <c r="E603" s="308">
        <v>0</v>
      </c>
      <c r="F603" s="41">
        <f t="shared" si="18"/>
        <v>0</v>
      </c>
    </row>
    <row r="604" spans="1:6" ht="14.4" customHeight="1" x14ac:dyDescent="0.3">
      <c r="A604" s="306"/>
      <c r="B604" s="306" t="s">
        <v>553</v>
      </c>
      <c r="C604" s="310" t="s">
        <v>27</v>
      </c>
      <c r="E604" s="308">
        <v>0</v>
      </c>
      <c r="F604" s="41">
        <f t="shared" si="18"/>
        <v>0</v>
      </c>
    </row>
    <row r="605" spans="1:6" ht="14.4" customHeight="1" x14ac:dyDescent="0.3">
      <c r="A605" s="306"/>
      <c r="B605" s="306" t="s">
        <v>554</v>
      </c>
      <c r="C605" s="310" t="s">
        <v>27</v>
      </c>
      <c r="E605" s="308">
        <v>0</v>
      </c>
      <c r="F605" s="41">
        <f t="shared" si="18"/>
        <v>0</v>
      </c>
    </row>
    <row r="606" spans="1:6" ht="14.4" customHeight="1" x14ac:dyDescent="0.3">
      <c r="A606" s="306"/>
      <c r="B606" s="306" t="s">
        <v>555</v>
      </c>
      <c r="C606" s="310" t="s">
        <v>27</v>
      </c>
      <c r="E606" s="308">
        <v>0</v>
      </c>
      <c r="F606" s="41">
        <f t="shared" si="18"/>
        <v>0</v>
      </c>
    </row>
    <row r="607" spans="1:6" ht="14.4" customHeight="1" x14ac:dyDescent="0.3">
      <c r="A607" s="306"/>
      <c r="B607" s="306" t="s">
        <v>556</v>
      </c>
      <c r="C607" s="310" t="s">
        <v>27</v>
      </c>
      <c r="E607" s="308">
        <v>0</v>
      </c>
      <c r="F607" s="41">
        <f t="shared" si="18"/>
        <v>0</v>
      </c>
    </row>
    <row r="608" spans="1:6" ht="14.4" customHeight="1" x14ac:dyDescent="0.3">
      <c r="A608" s="306"/>
      <c r="B608" s="306" t="s">
        <v>557</v>
      </c>
      <c r="C608" s="310" t="s">
        <v>27</v>
      </c>
      <c r="E608" s="308">
        <v>0</v>
      </c>
      <c r="F608" s="41">
        <f t="shared" si="18"/>
        <v>0</v>
      </c>
    </row>
    <row r="609" spans="1:6" ht="14.4" customHeight="1" x14ac:dyDescent="0.3">
      <c r="A609" s="306"/>
      <c r="B609" s="306" t="s">
        <v>558</v>
      </c>
      <c r="C609" s="310" t="s">
        <v>27</v>
      </c>
      <c r="E609" s="308">
        <v>0</v>
      </c>
      <c r="F609" s="41">
        <f t="shared" si="18"/>
        <v>0</v>
      </c>
    </row>
    <row r="610" spans="1:6" ht="14.4" customHeight="1" x14ac:dyDescent="0.3">
      <c r="A610" s="306"/>
      <c r="B610" s="306" t="s">
        <v>559</v>
      </c>
      <c r="C610" s="310" t="s">
        <v>27</v>
      </c>
      <c r="E610" s="308">
        <v>0</v>
      </c>
      <c r="F610" s="41">
        <f t="shared" si="18"/>
        <v>0</v>
      </c>
    </row>
    <row r="611" spans="1:6" ht="14.4" customHeight="1" x14ac:dyDescent="0.3">
      <c r="A611" s="306"/>
      <c r="B611" s="306" t="s">
        <v>560</v>
      </c>
      <c r="C611" s="310" t="s">
        <v>27</v>
      </c>
      <c r="E611" s="308">
        <v>0</v>
      </c>
      <c r="F611" s="41">
        <f t="shared" ref="F611:F674" si="19">E611*D611</f>
        <v>0</v>
      </c>
    </row>
    <row r="612" spans="1:6" ht="14.4" customHeight="1" x14ac:dyDescent="0.3">
      <c r="A612" s="306"/>
      <c r="B612" s="306" t="s">
        <v>561</v>
      </c>
      <c r="C612" s="310" t="s">
        <v>27</v>
      </c>
      <c r="E612" s="308">
        <v>0</v>
      </c>
      <c r="F612" s="41">
        <f t="shared" si="19"/>
        <v>0</v>
      </c>
    </row>
    <row r="613" spans="1:6" ht="14.4" customHeight="1" x14ac:dyDescent="0.3">
      <c r="A613" s="306"/>
      <c r="B613" s="306" t="s">
        <v>562</v>
      </c>
      <c r="C613" s="310" t="s">
        <v>27</v>
      </c>
      <c r="E613" s="308">
        <v>0</v>
      </c>
      <c r="F613" s="41">
        <f t="shared" si="19"/>
        <v>0</v>
      </c>
    </row>
    <row r="614" spans="1:6" ht="14.4" customHeight="1" x14ac:dyDescent="0.3">
      <c r="A614" s="306"/>
      <c r="B614" s="306" t="s">
        <v>563</v>
      </c>
      <c r="C614" s="310" t="s">
        <v>27</v>
      </c>
      <c r="E614" s="308">
        <v>0</v>
      </c>
      <c r="F614" s="41">
        <f t="shared" si="19"/>
        <v>0</v>
      </c>
    </row>
    <row r="615" spans="1:6" ht="14.4" customHeight="1" x14ac:dyDescent="0.3">
      <c r="A615" s="306"/>
      <c r="B615" s="306" t="s">
        <v>564</v>
      </c>
      <c r="C615" s="310" t="s">
        <v>27</v>
      </c>
      <c r="E615" s="308">
        <v>0</v>
      </c>
      <c r="F615" s="41">
        <f t="shared" si="19"/>
        <v>0</v>
      </c>
    </row>
    <row r="616" spans="1:6" ht="14.4" customHeight="1" x14ac:dyDescent="0.3">
      <c r="A616" s="306"/>
      <c r="B616" s="306" t="s">
        <v>565</v>
      </c>
      <c r="C616" s="310" t="s">
        <v>27</v>
      </c>
      <c r="E616" s="308">
        <v>0</v>
      </c>
      <c r="F616" s="41">
        <f t="shared" si="19"/>
        <v>0</v>
      </c>
    </row>
    <row r="617" spans="1:6" ht="14.4" customHeight="1" x14ac:dyDescent="0.3">
      <c r="A617" s="306"/>
      <c r="B617" s="306" t="s">
        <v>566</v>
      </c>
      <c r="C617" s="310" t="s">
        <v>27</v>
      </c>
      <c r="E617" s="308">
        <v>0</v>
      </c>
      <c r="F617" s="41">
        <f t="shared" si="19"/>
        <v>0</v>
      </c>
    </row>
    <row r="618" spans="1:6" ht="14.4" customHeight="1" x14ac:dyDescent="0.3">
      <c r="A618" s="306"/>
      <c r="B618" s="306" t="s">
        <v>567</v>
      </c>
      <c r="C618" s="310" t="s">
        <v>27</v>
      </c>
      <c r="E618" s="308">
        <v>0</v>
      </c>
      <c r="F618" s="41">
        <f t="shared" si="19"/>
        <v>0</v>
      </c>
    </row>
    <row r="619" spans="1:6" ht="14.4" customHeight="1" x14ac:dyDescent="0.3">
      <c r="A619" s="306"/>
      <c r="B619" s="306" t="s">
        <v>568</v>
      </c>
      <c r="C619" s="310" t="s">
        <v>27</v>
      </c>
      <c r="E619" s="308">
        <v>0</v>
      </c>
      <c r="F619" s="41">
        <f t="shared" si="19"/>
        <v>0</v>
      </c>
    </row>
    <row r="620" spans="1:6" ht="14.4" customHeight="1" x14ac:dyDescent="0.3">
      <c r="A620" s="306"/>
      <c r="B620" s="306" t="s">
        <v>569</v>
      </c>
      <c r="C620" s="310" t="s">
        <v>27</v>
      </c>
      <c r="E620" s="308">
        <v>0</v>
      </c>
      <c r="F620" s="41">
        <f t="shared" si="19"/>
        <v>0</v>
      </c>
    </row>
    <row r="621" spans="1:6" ht="14.4" customHeight="1" x14ac:dyDescent="0.3">
      <c r="A621" s="306"/>
      <c r="B621" s="306" t="s">
        <v>570</v>
      </c>
      <c r="C621" s="310" t="s">
        <v>27</v>
      </c>
      <c r="E621" s="308">
        <v>0</v>
      </c>
      <c r="F621" s="41">
        <f t="shared" si="19"/>
        <v>0</v>
      </c>
    </row>
    <row r="622" spans="1:6" ht="14.4" customHeight="1" x14ac:dyDescent="0.3">
      <c r="A622" s="306"/>
      <c r="B622" s="306" t="s">
        <v>571</v>
      </c>
      <c r="C622" s="310" t="s">
        <v>27</v>
      </c>
      <c r="E622" s="308">
        <v>0</v>
      </c>
      <c r="F622" s="41">
        <f t="shared" si="19"/>
        <v>0</v>
      </c>
    </row>
    <row r="623" spans="1:6" ht="14.4" customHeight="1" x14ac:dyDescent="0.3">
      <c r="A623" s="306"/>
      <c r="B623" s="306" t="s">
        <v>572</v>
      </c>
      <c r="C623" s="310" t="s">
        <v>27</v>
      </c>
      <c r="E623" s="308">
        <v>0</v>
      </c>
      <c r="F623" s="41">
        <f t="shared" si="19"/>
        <v>0</v>
      </c>
    </row>
    <row r="624" spans="1:6" ht="14.4" customHeight="1" x14ac:dyDescent="0.3">
      <c r="A624" s="306"/>
      <c r="B624" s="306" t="s">
        <v>573</v>
      </c>
      <c r="C624" s="310" t="s">
        <v>27</v>
      </c>
      <c r="E624" s="308">
        <v>0</v>
      </c>
      <c r="F624" s="41">
        <f t="shared" si="19"/>
        <v>0</v>
      </c>
    </row>
    <row r="625" spans="1:8" ht="14.4" customHeight="1" x14ac:dyDescent="0.3">
      <c r="A625" s="306"/>
      <c r="B625" s="306" t="s">
        <v>574</v>
      </c>
      <c r="C625" s="310" t="s">
        <v>27</v>
      </c>
      <c r="E625" s="308">
        <v>0</v>
      </c>
      <c r="F625" s="41">
        <f t="shared" si="19"/>
        <v>0</v>
      </c>
    </row>
    <row r="626" spans="1:8" ht="14.4" customHeight="1" x14ac:dyDescent="0.3">
      <c r="A626" s="306"/>
      <c r="B626" s="306" t="s">
        <v>575</v>
      </c>
      <c r="C626" s="310" t="s">
        <v>27</v>
      </c>
      <c r="E626" s="308">
        <v>0</v>
      </c>
      <c r="F626" s="41">
        <f t="shared" si="19"/>
        <v>0</v>
      </c>
    </row>
    <row r="627" spans="1:8" ht="14.4" customHeight="1" x14ac:dyDescent="0.3">
      <c r="A627" s="306"/>
      <c r="B627" s="306" t="s">
        <v>576</v>
      </c>
      <c r="C627" s="310" t="s">
        <v>27</v>
      </c>
      <c r="E627" s="308">
        <v>0</v>
      </c>
      <c r="F627" s="41">
        <f t="shared" si="19"/>
        <v>0</v>
      </c>
    </row>
    <row r="628" spans="1:8" ht="14.4" customHeight="1" x14ac:dyDescent="0.3">
      <c r="A628" s="306"/>
      <c r="B628" s="306"/>
      <c r="C628" s="310" t="s">
        <v>27</v>
      </c>
      <c r="E628" s="308">
        <v>0</v>
      </c>
      <c r="F628" s="41">
        <f t="shared" si="19"/>
        <v>0</v>
      </c>
    </row>
    <row r="629" spans="1:8" ht="14.4" customHeight="1" x14ac:dyDescent="0.3">
      <c r="A629" s="306"/>
      <c r="B629" s="306" t="s">
        <v>577</v>
      </c>
      <c r="C629" s="426" t="s">
        <v>25</v>
      </c>
      <c r="D629" s="40">
        <v>18.86</v>
      </c>
      <c r="E629" s="308">
        <v>2.17</v>
      </c>
      <c r="F629" s="41">
        <f t="shared" si="19"/>
        <v>40.926199999999994</v>
      </c>
      <c r="G629">
        <v>19</v>
      </c>
      <c r="H629" s="457" t="s">
        <v>302</v>
      </c>
    </row>
    <row r="630" spans="1:8" ht="14.4" customHeight="1" x14ac:dyDescent="0.3">
      <c r="A630" s="306"/>
      <c r="B630" s="427" t="s">
        <v>578</v>
      </c>
      <c r="C630" s="426" t="s">
        <v>25</v>
      </c>
      <c r="D630" s="40">
        <v>5.89</v>
      </c>
      <c r="E630" s="308">
        <v>2.2999999999999998</v>
      </c>
      <c r="F630" s="41">
        <f t="shared" si="19"/>
        <v>13.546999999999999</v>
      </c>
      <c r="G630">
        <v>6</v>
      </c>
      <c r="H630" s="457" t="s">
        <v>302</v>
      </c>
    </row>
    <row r="631" spans="1:8" ht="14.4" customHeight="1" x14ac:dyDescent="0.3">
      <c r="A631" s="306"/>
      <c r="B631" s="306" t="s">
        <v>579</v>
      </c>
      <c r="C631" s="310" t="s">
        <v>25</v>
      </c>
      <c r="E631" s="308">
        <v>0</v>
      </c>
      <c r="F631" s="41">
        <f t="shared" si="19"/>
        <v>0</v>
      </c>
    </row>
    <row r="632" spans="1:8" ht="14.4" customHeight="1" x14ac:dyDescent="0.3">
      <c r="A632" s="306"/>
      <c r="B632" s="306" t="s">
        <v>580</v>
      </c>
      <c r="C632" s="426" t="s">
        <v>27</v>
      </c>
      <c r="E632" s="308">
        <v>0</v>
      </c>
      <c r="F632" s="41">
        <f t="shared" si="19"/>
        <v>0</v>
      </c>
    </row>
    <row r="633" spans="1:8" ht="14.4" customHeight="1" x14ac:dyDescent="0.3">
      <c r="A633" s="306"/>
      <c r="B633" s="306" t="s">
        <v>581</v>
      </c>
      <c r="C633" s="426" t="s">
        <v>27</v>
      </c>
      <c r="D633" s="40">
        <v>16</v>
      </c>
      <c r="E633" s="308">
        <v>5.15</v>
      </c>
      <c r="F633" s="41">
        <f t="shared" si="19"/>
        <v>82.4</v>
      </c>
    </row>
    <row r="634" spans="1:8" ht="14.4" customHeight="1" x14ac:dyDescent="0.3">
      <c r="A634" s="306"/>
      <c r="B634" s="306" t="s">
        <v>582</v>
      </c>
      <c r="C634" s="310" t="s">
        <v>27</v>
      </c>
      <c r="D634" s="40">
        <v>7</v>
      </c>
      <c r="E634" s="308">
        <v>7.49</v>
      </c>
      <c r="F634" s="41">
        <f t="shared" si="19"/>
        <v>52.43</v>
      </c>
    </row>
    <row r="635" spans="1:8" ht="14.4" customHeight="1" x14ac:dyDescent="0.3">
      <c r="A635" s="306"/>
      <c r="B635" s="306" t="s">
        <v>583</v>
      </c>
      <c r="C635" s="310" t="s">
        <v>27</v>
      </c>
      <c r="E635" s="308">
        <v>0</v>
      </c>
      <c r="F635" s="41">
        <f t="shared" si="19"/>
        <v>0</v>
      </c>
    </row>
    <row r="636" spans="1:8" ht="14.4" customHeight="1" x14ac:dyDescent="0.3">
      <c r="A636" s="306"/>
      <c r="B636" s="306" t="s">
        <v>584</v>
      </c>
      <c r="C636" s="310" t="s">
        <v>27</v>
      </c>
      <c r="E636" s="308">
        <v>0</v>
      </c>
      <c r="F636" s="41">
        <f t="shared" si="19"/>
        <v>0</v>
      </c>
    </row>
    <row r="637" spans="1:8" ht="14.4" customHeight="1" x14ac:dyDescent="0.3">
      <c r="A637" s="306"/>
      <c r="B637" s="306" t="s">
        <v>585</v>
      </c>
      <c r="C637" s="310" t="s">
        <v>27</v>
      </c>
      <c r="E637" s="308">
        <v>0</v>
      </c>
      <c r="F637" s="41">
        <f t="shared" si="19"/>
        <v>0</v>
      </c>
    </row>
    <row r="638" spans="1:8" ht="14.4" customHeight="1" x14ac:dyDescent="0.3">
      <c r="A638" s="306"/>
      <c r="B638" s="306" t="s">
        <v>586</v>
      </c>
      <c r="C638" s="310" t="s">
        <v>27</v>
      </c>
      <c r="E638" s="308">
        <v>0</v>
      </c>
      <c r="F638" s="41">
        <f t="shared" si="19"/>
        <v>0</v>
      </c>
    </row>
    <row r="639" spans="1:8" ht="14.4" customHeight="1" x14ac:dyDescent="0.3">
      <c r="A639" s="306"/>
      <c r="B639" s="427" t="s">
        <v>587</v>
      </c>
      <c r="C639" s="426" t="s">
        <v>27</v>
      </c>
      <c r="D639" s="40">
        <v>2</v>
      </c>
      <c r="E639" s="308">
        <v>20</v>
      </c>
      <c r="F639" s="41">
        <f t="shared" si="19"/>
        <v>40</v>
      </c>
    </row>
    <row r="640" spans="1:8" ht="14.4" customHeight="1" x14ac:dyDescent="0.3">
      <c r="A640" s="306"/>
      <c r="B640" s="427" t="s">
        <v>588</v>
      </c>
      <c r="C640" s="426" t="s">
        <v>27</v>
      </c>
      <c r="D640" s="40">
        <v>1</v>
      </c>
      <c r="E640" s="308">
        <v>14</v>
      </c>
      <c r="F640" s="41">
        <f t="shared" si="19"/>
        <v>14</v>
      </c>
    </row>
    <row r="641" spans="1:7" ht="14.4" customHeight="1" x14ac:dyDescent="0.3">
      <c r="A641" s="306"/>
      <c r="B641" s="306" t="s">
        <v>589</v>
      </c>
      <c r="C641" s="310" t="s">
        <v>27</v>
      </c>
      <c r="D641" s="40">
        <v>1</v>
      </c>
      <c r="E641" s="308">
        <v>10.050000000000001</v>
      </c>
      <c r="F641" s="41">
        <f t="shared" si="19"/>
        <v>10.050000000000001</v>
      </c>
    </row>
    <row r="642" spans="1:7" ht="14.4" customHeight="1" x14ac:dyDescent="0.3">
      <c r="A642" s="306"/>
      <c r="B642" s="306" t="s">
        <v>590</v>
      </c>
      <c r="C642" s="310" t="s">
        <v>27</v>
      </c>
      <c r="E642" s="308">
        <v>0</v>
      </c>
      <c r="F642" s="41">
        <f t="shared" si="19"/>
        <v>0</v>
      </c>
    </row>
    <row r="643" spans="1:7" ht="14.4" customHeight="1" x14ac:dyDescent="0.3">
      <c r="A643" s="306"/>
      <c r="B643" s="306" t="s">
        <v>591</v>
      </c>
      <c r="C643" s="310" t="s">
        <v>27</v>
      </c>
      <c r="E643" s="308">
        <v>0</v>
      </c>
      <c r="F643" s="41">
        <f t="shared" si="19"/>
        <v>0</v>
      </c>
    </row>
    <row r="644" spans="1:7" ht="14.4" customHeight="1" x14ac:dyDescent="0.3">
      <c r="A644" s="306"/>
      <c r="B644" s="306" t="s">
        <v>592</v>
      </c>
      <c r="C644" s="310" t="s">
        <v>27</v>
      </c>
      <c r="E644" s="308">
        <v>0</v>
      </c>
      <c r="F644" s="41">
        <f t="shared" si="19"/>
        <v>0</v>
      </c>
    </row>
    <row r="645" spans="1:7" ht="14.4" customHeight="1" x14ac:dyDescent="0.3">
      <c r="A645" s="306"/>
      <c r="B645" s="306" t="s">
        <v>593</v>
      </c>
      <c r="C645" s="310" t="s">
        <v>27</v>
      </c>
      <c r="E645" s="308">
        <v>0</v>
      </c>
      <c r="F645" s="41">
        <f t="shared" si="19"/>
        <v>0</v>
      </c>
    </row>
    <row r="646" spans="1:7" ht="14.4" customHeight="1" x14ac:dyDescent="0.3">
      <c r="A646" s="306"/>
      <c r="B646" s="306" t="s">
        <v>594</v>
      </c>
      <c r="C646" s="310" t="s">
        <v>27</v>
      </c>
      <c r="E646" s="308">
        <v>0</v>
      </c>
      <c r="F646" s="41">
        <f t="shared" si="19"/>
        <v>0</v>
      </c>
    </row>
    <row r="647" spans="1:7" ht="14.4" customHeight="1" x14ac:dyDescent="0.3">
      <c r="A647" s="306"/>
      <c r="B647" s="306" t="s">
        <v>595</v>
      </c>
      <c r="C647" s="310" t="s">
        <v>27</v>
      </c>
      <c r="E647" s="308">
        <v>0</v>
      </c>
      <c r="F647" s="41">
        <f t="shared" si="19"/>
        <v>0</v>
      </c>
    </row>
    <row r="648" spans="1:7" ht="14.4" customHeight="1" x14ac:dyDescent="0.3">
      <c r="A648" s="306"/>
      <c r="B648" s="306" t="s">
        <v>596</v>
      </c>
      <c r="C648" s="310" t="s">
        <v>27</v>
      </c>
      <c r="E648" s="308">
        <v>0</v>
      </c>
      <c r="F648" s="41">
        <f t="shared" si="19"/>
        <v>0</v>
      </c>
    </row>
    <row r="649" spans="1:7" ht="14.4" customHeight="1" x14ac:dyDescent="0.3">
      <c r="A649" s="306"/>
      <c r="B649" s="306" t="s">
        <v>597</v>
      </c>
      <c r="C649" s="310" t="s">
        <v>27</v>
      </c>
      <c r="E649" s="308">
        <v>0</v>
      </c>
      <c r="F649" s="41">
        <f t="shared" si="19"/>
        <v>0</v>
      </c>
    </row>
    <row r="650" spans="1:7" ht="14.4" customHeight="1" x14ac:dyDescent="0.3">
      <c r="A650" s="306"/>
      <c r="B650" s="306" t="s">
        <v>598</v>
      </c>
      <c r="C650" s="310" t="s">
        <v>27</v>
      </c>
      <c r="E650" s="308">
        <v>0</v>
      </c>
      <c r="F650" s="41">
        <f t="shared" si="19"/>
        <v>0</v>
      </c>
    </row>
    <row r="651" spans="1:7" ht="14.4" customHeight="1" x14ac:dyDescent="0.3">
      <c r="A651" s="306"/>
      <c r="B651" s="306" t="s">
        <v>599</v>
      </c>
      <c r="C651" s="310" t="s">
        <v>27</v>
      </c>
      <c r="E651" s="308">
        <v>0</v>
      </c>
      <c r="F651" s="41">
        <f t="shared" si="19"/>
        <v>0</v>
      </c>
    </row>
    <row r="652" spans="1:7" ht="14.4" customHeight="1" x14ac:dyDescent="0.3">
      <c r="A652" s="306"/>
      <c r="B652" s="306"/>
      <c r="C652" s="310" t="s">
        <v>27</v>
      </c>
      <c r="E652" s="308">
        <v>0</v>
      </c>
      <c r="F652" s="41">
        <f t="shared" si="19"/>
        <v>0</v>
      </c>
    </row>
    <row r="653" spans="1:7" ht="14.4" customHeight="1" x14ac:dyDescent="0.3">
      <c r="B653" s="312" t="s">
        <v>600</v>
      </c>
      <c r="C653" s="426" t="s">
        <v>27</v>
      </c>
      <c r="D653" s="40">
        <v>1</v>
      </c>
      <c r="E653" s="308">
        <v>56</v>
      </c>
      <c r="F653" s="41">
        <f t="shared" si="19"/>
        <v>56</v>
      </c>
      <c r="G653" s="308"/>
    </row>
    <row r="654" spans="1:7" ht="14.4" customHeight="1" x14ac:dyDescent="0.3">
      <c r="B654" t="s">
        <v>601</v>
      </c>
      <c r="C654" s="289" t="s">
        <v>27</v>
      </c>
      <c r="E654" s="308">
        <v>202.94</v>
      </c>
      <c r="F654" s="41">
        <f t="shared" si="19"/>
        <v>0</v>
      </c>
      <c r="G654" s="308"/>
    </row>
    <row r="655" spans="1:7" ht="14.4" customHeight="1" x14ac:dyDescent="0.3">
      <c r="B655" t="s">
        <v>602</v>
      </c>
      <c r="C655" s="289" t="s">
        <v>27</v>
      </c>
      <c r="E655" s="308">
        <v>92.67</v>
      </c>
      <c r="F655" s="41">
        <f t="shared" si="19"/>
        <v>0</v>
      </c>
      <c r="G655" s="308"/>
    </row>
    <row r="656" spans="1:7" ht="14.4" customHeight="1" x14ac:dyDescent="0.3">
      <c r="B656" t="s">
        <v>603</v>
      </c>
      <c r="C656" s="289" t="s">
        <v>27</v>
      </c>
      <c r="E656" s="308">
        <v>24.71</v>
      </c>
      <c r="F656" s="41">
        <f t="shared" si="19"/>
        <v>0</v>
      </c>
      <c r="G656" s="308"/>
    </row>
    <row r="657" spans="2:7" ht="14.4" customHeight="1" x14ac:dyDescent="0.3">
      <c r="B657" t="s">
        <v>220</v>
      </c>
      <c r="C657" s="289" t="s">
        <v>27</v>
      </c>
      <c r="E657" s="308">
        <v>20</v>
      </c>
      <c r="F657" s="41">
        <f t="shared" si="19"/>
        <v>0</v>
      </c>
      <c r="G657" s="308"/>
    </row>
    <row r="658" spans="2:7" ht="14.4" customHeight="1" x14ac:dyDescent="0.3">
      <c r="B658" t="s">
        <v>185</v>
      </c>
      <c r="C658" s="289" t="s">
        <v>27</v>
      </c>
      <c r="E658" s="308">
        <v>136.94</v>
      </c>
      <c r="F658" s="41">
        <f t="shared" si="19"/>
        <v>0</v>
      </c>
      <c r="G658" s="308"/>
    </row>
    <row r="659" spans="2:7" ht="14.4" customHeight="1" x14ac:dyDescent="0.3">
      <c r="B659" t="s">
        <v>254</v>
      </c>
      <c r="C659" s="289" t="s">
        <v>27</v>
      </c>
      <c r="E659" s="308">
        <v>365</v>
      </c>
      <c r="F659" s="41">
        <f t="shared" si="19"/>
        <v>0</v>
      </c>
      <c r="G659" s="308"/>
    </row>
    <row r="660" spans="2:7" ht="14.4" customHeight="1" x14ac:dyDescent="0.3">
      <c r="B660" t="s">
        <v>604</v>
      </c>
      <c r="C660" s="289" t="s">
        <v>27</v>
      </c>
      <c r="E660" s="308">
        <v>201.43</v>
      </c>
      <c r="F660" s="41">
        <f t="shared" si="19"/>
        <v>0</v>
      </c>
      <c r="G660" s="308"/>
    </row>
    <row r="661" spans="2:7" ht="14.4" customHeight="1" x14ac:dyDescent="0.3">
      <c r="B661" t="s">
        <v>256</v>
      </c>
      <c r="C661" s="289" t="s">
        <v>27</v>
      </c>
      <c r="E661" s="308">
        <v>5</v>
      </c>
      <c r="F661" s="41">
        <f t="shared" si="19"/>
        <v>0</v>
      </c>
      <c r="G661" s="308"/>
    </row>
    <row r="662" spans="2:7" ht="14.4" customHeight="1" x14ac:dyDescent="0.3">
      <c r="B662" t="s">
        <v>605</v>
      </c>
      <c r="C662" s="289" t="s">
        <v>27</v>
      </c>
      <c r="E662" s="308">
        <v>853</v>
      </c>
      <c r="F662" s="41">
        <f t="shared" si="19"/>
        <v>0</v>
      </c>
      <c r="G662" s="308"/>
    </row>
    <row r="663" spans="2:7" ht="14.4" customHeight="1" x14ac:dyDescent="0.3">
      <c r="B663" t="s">
        <v>606</v>
      </c>
      <c r="C663" s="289" t="s">
        <v>27</v>
      </c>
      <c r="E663" s="308">
        <v>503</v>
      </c>
      <c r="F663" s="41">
        <f t="shared" si="19"/>
        <v>0</v>
      </c>
      <c r="G663" s="308"/>
    </row>
    <row r="664" spans="2:7" ht="14.4" customHeight="1" x14ac:dyDescent="0.3">
      <c r="B664" t="s">
        <v>607</v>
      </c>
      <c r="C664" s="289" t="s">
        <v>27</v>
      </c>
      <c r="E664" s="308">
        <v>1809.63</v>
      </c>
      <c r="F664" s="41">
        <f t="shared" si="19"/>
        <v>0</v>
      </c>
      <c r="G664" s="308"/>
    </row>
    <row r="665" spans="2:7" ht="14.4" customHeight="1" x14ac:dyDescent="0.3">
      <c r="B665" s="60" t="s">
        <v>608</v>
      </c>
      <c r="C665" s="289" t="s">
        <v>27</v>
      </c>
      <c r="E665" s="308">
        <v>1650</v>
      </c>
      <c r="F665" s="41">
        <f t="shared" si="19"/>
        <v>0</v>
      </c>
      <c r="G665" s="308"/>
    </row>
    <row r="666" spans="2:7" ht="14.4" customHeight="1" x14ac:dyDescent="0.3">
      <c r="B666" s="60" t="s">
        <v>609</v>
      </c>
      <c r="C666" s="289" t="s">
        <v>27</v>
      </c>
      <c r="E666" s="308">
        <v>160</v>
      </c>
      <c r="F666" s="41">
        <f t="shared" si="19"/>
        <v>0</v>
      </c>
      <c r="G666" s="308"/>
    </row>
    <row r="667" spans="2:7" ht="14.4" customHeight="1" x14ac:dyDescent="0.3">
      <c r="B667" s="60" t="s">
        <v>610</v>
      </c>
      <c r="C667" s="289" t="s">
        <v>27</v>
      </c>
      <c r="E667" s="308">
        <v>750</v>
      </c>
      <c r="F667" s="41">
        <f t="shared" si="19"/>
        <v>0</v>
      </c>
      <c r="G667" s="308"/>
    </row>
    <row r="668" spans="2:7" ht="14.4" customHeight="1" x14ac:dyDescent="0.3">
      <c r="B668" s="60" t="s">
        <v>611</v>
      </c>
      <c r="C668" s="289" t="s">
        <v>27</v>
      </c>
      <c r="E668" s="308">
        <v>450</v>
      </c>
      <c r="F668" s="41">
        <f t="shared" si="19"/>
        <v>0</v>
      </c>
      <c r="G668" s="308"/>
    </row>
    <row r="669" spans="2:7" ht="14.4" customHeight="1" x14ac:dyDescent="0.3">
      <c r="B669" s="60" t="s">
        <v>612</v>
      </c>
      <c r="C669" s="289" t="s">
        <v>27</v>
      </c>
      <c r="E669" s="308">
        <v>1250</v>
      </c>
      <c r="F669" s="41">
        <f t="shared" si="19"/>
        <v>0</v>
      </c>
      <c r="G669" s="308"/>
    </row>
    <row r="670" spans="2:7" ht="14.4" customHeight="1" x14ac:dyDescent="0.3">
      <c r="B670" t="s">
        <v>613</v>
      </c>
      <c r="C670" s="289" t="s">
        <v>27</v>
      </c>
      <c r="E670" s="308">
        <v>190</v>
      </c>
      <c r="F670" s="41">
        <f t="shared" si="19"/>
        <v>0</v>
      </c>
      <c r="G670" s="308"/>
    </row>
    <row r="671" spans="2:7" ht="14.4" customHeight="1" x14ac:dyDescent="0.3">
      <c r="B671" t="s">
        <v>614</v>
      </c>
      <c r="C671" s="289" t="s">
        <v>27</v>
      </c>
      <c r="E671" s="308">
        <v>412.59</v>
      </c>
      <c r="F671" s="41">
        <f t="shared" si="19"/>
        <v>0</v>
      </c>
      <c r="G671" s="308"/>
    </row>
    <row r="672" spans="2:7" ht="14.4" customHeight="1" x14ac:dyDescent="0.3">
      <c r="B672" t="s">
        <v>615</v>
      </c>
      <c r="C672" s="289" t="s">
        <v>27</v>
      </c>
      <c r="E672" s="308">
        <v>50</v>
      </c>
      <c r="F672" s="41">
        <f t="shared" si="19"/>
        <v>0</v>
      </c>
      <c r="G672" s="308"/>
    </row>
    <row r="673" spans="1:7" ht="16.8" customHeight="1" x14ac:dyDescent="0.3">
      <c r="B673" s="313" t="s">
        <v>616</v>
      </c>
      <c r="C673" s="289" t="s">
        <v>27</v>
      </c>
      <c r="E673" s="308">
        <v>30</v>
      </c>
      <c r="F673" s="41">
        <f t="shared" si="19"/>
        <v>0</v>
      </c>
      <c r="G673" s="308"/>
    </row>
    <row r="674" spans="1:7" ht="14.4" customHeight="1" x14ac:dyDescent="0.3">
      <c r="B674" t="s">
        <v>617</v>
      </c>
      <c r="C674" s="289" t="s">
        <v>27</v>
      </c>
      <c r="E674" s="308">
        <v>1850</v>
      </c>
      <c r="F674" s="41">
        <f t="shared" si="19"/>
        <v>0</v>
      </c>
      <c r="G674" s="308"/>
    </row>
    <row r="675" spans="1:7" ht="14.4" customHeight="1" x14ac:dyDescent="0.3">
      <c r="B675" t="s">
        <v>618</v>
      </c>
      <c r="C675" s="289" t="s">
        <v>27</v>
      </c>
      <c r="E675" s="308">
        <v>1800</v>
      </c>
      <c r="F675" s="41">
        <f t="shared" ref="F675" si="20">E675*D675</f>
        <v>0</v>
      </c>
      <c r="G675" s="308"/>
    </row>
    <row r="676" spans="1:7" ht="14.4" customHeight="1" x14ac:dyDescent="0.3">
      <c r="C676" s="289"/>
      <c r="E676" s="308"/>
      <c r="G676" s="308"/>
    </row>
    <row r="677" spans="1:7" ht="14.4" customHeight="1" x14ac:dyDescent="0.3">
      <c r="A677" s="306"/>
      <c r="B677" s="387" t="s">
        <v>619</v>
      </c>
      <c r="C677" s="289" t="s">
        <v>27</v>
      </c>
      <c r="E677" s="308">
        <v>3800</v>
      </c>
      <c r="F677" s="41">
        <f t="shared" ref="F677:F688" si="21">E677*D677</f>
        <v>0</v>
      </c>
      <c r="G677" s="308"/>
    </row>
    <row r="678" spans="1:7" ht="14.4" customHeight="1" x14ac:dyDescent="0.3">
      <c r="A678" s="306"/>
      <c r="B678" s="387" t="s">
        <v>620</v>
      </c>
      <c r="C678" s="310" t="s">
        <v>27</v>
      </c>
      <c r="E678" s="308">
        <v>371.37</v>
      </c>
      <c r="F678" s="41">
        <f t="shared" si="21"/>
        <v>0</v>
      </c>
      <c r="G678" s="308"/>
    </row>
    <row r="679" spans="1:7" ht="14.4" customHeight="1" x14ac:dyDescent="0.3">
      <c r="A679" s="306"/>
      <c r="B679" s="387" t="s">
        <v>621</v>
      </c>
      <c r="C679" s="386" t="s">
        <v>27</v>
      </c>
      <c r="E679" s="308">
        <f>430.67+38.37</f>
        <v>469.04</v>
      </c>
      <c r="F679" s="41">
        <f t="shared" si="21"/>
        <v>0</v>
      </c>
      <c r="G679" s="308"/>
    </row>
    <row r="680" spans="1:7" ht="14.4" customHeight="1" x14ac:dyDescent="0.3">
      <c r="A680" s="306"/>
      <c r="B680" s="427" t="s">
        <v>622</v>
      </c>
      <c r="C680" s="426" t="s">
        <v>27</v>
      </c>
      <c r="D680" s="40">
        <v>1</v>
      </c>
      <c r="E680" s="308">
        <f>543+46+360</f>
        <v>949</v>
      </c>
      <c r="F680" s="41">
        <f t="shared" si="21"/>
        <v>949</v>
      </c>
      <c r="G680" s="308"/>
    </row>
    <row r="681" spans="1:7" ht="14.4" customHeight="1" x14ac:dyDescent="0.3">
      <c r="A681" s="306"/>
      <c r="B681" s="387" t="s">
        <v>623</v>
      </c>
      <c r="C681" s="386" t="s">
        <v>27</v>
      </c>
      <c r="E681" s="308">
        <f>141.13+18.87+18.87+480.93</f>
        <v>659.8</v>
      </c>
      <c r="F681" s="41">
        <f t="shared" si="21"/>
        <v>0</v>
      </c>
      <c r="G681" s="308"/>
    </row>
    <row r="682" spans="1:7" ht="14.4" customHeight="1" x14ac:dyDescent="0.3">
      <c r="A682" s="306"/>
      <c r="B682" s="387" t="s">
        <v>624</v>
      </c>
      <c r="C682" s="386" t="s">
        <v>27</v>
      </c>
      <c r="D682" s="40">
        <v>1</v>
      </c>
      <c r="E682" s="308">
        <v>587.96</v>
      </c>
      <c r="F682" s="41">
        <f t="shared" si="21"/>
        <v>587.96</v>
      </c>
    </row>
    <row r="683" spans="1:7" ht="14.4" customHeight="1" x14ac:dyDescent="0.3">
      <c r="A683" s="306"/>
      <c r="B683" s="387" t="s">
        <v>625</v>
      </c>
      <c r="C683" s="310" t="s">
        <v>27</v>
      </c>
      <c r="E683" s="308">
        <v>641.58000000000004</v>
      </c>
      <c r="F683" s="41">
        <f t="shared" si="21"/>
        <v>0</v>
      </c>
    </row>
    <row r="684" spans="1:7" ht="14.4" customHeight="1" x14ac:dyDescent="0.3">
      <c r="A684" s="306"/>
      <c r="B684" s="387" t="s">
        <v>626</v>
      </c>
      <c r="C684" s="386" t="s">
        <v>27</v>
      </c>
      <c r="E684" s="308">
        <v>80</v>
      </c>
      <c r="F684" s="41">
        <f t="shared" si="21"/>
        <v>0</v>
      </c>
    </row>
    <row r="685" spans="1:7" ht="14.4" customHeight="1" x14ac:dyDescent="0.3">
      <c r="A685" s="306"/>
      <c r="B685" s="387" t="s">
        <v>627</v>
      </c>
      <c r="C685" s="310" t="s">
        <v>27</v>
      </c>
      <c r="E685" s="308">
        <v>50</v>
      </c>
      <c r="F685" s="41">
        <f t="shared" si="21"/>
        <v>0</v>
      </c>
      <c r="G685" s="308"/>
    </row>
    <row r="686" spans="1:7" ht="14.4" customHeight="1" x14ac:dyDescent="0.3">
      <c r="A686" s="306"/>
      <c r="B686" s="387" t="s">
        <v>628</v>
      </c>
      <c r="C686" s="386" t="s">
        <v>27</v>
      </c>
      <c r="E686" s="308">
        <v>31.71</v>
      </c>
      <c r="F686" s="41">
        <f t="shared" si="21"/>
        <v>0</v>
      </c>
      <c r="G686" s="308"/>
    </row>
    <row r="687" spans="1:7" ht="14.4" customHeight="1" x14ac:dyDescent="0.3">
      <c r="A687" s="306"/>
      <c r="B687" s="387" t="s">
        <v>629</v>
      </c>
      <c r="C687" s="310" t="s">
        <v>27</v>
      </c>
      <c r="E687" s="308">
        <v>146.09</v>
      </c>
      <c r="F687" s="41">
        <f t="shared" si="21"/>
        <v>0</v>
      </c>
      <c r="G687" s="308"/>
    </row>
    <row r="688" spans="1:7" ht="14.4" customHeight="1" x14ac:dyDescent="0.3">
      <c r="A688" s="306"/>
      <c r="B688" s="387" t="s">
        <v>630</v>
      </c>
      <c r="C688" s="310" t="s">
        <v>27</v>
      </c>
      <c r="E688" s="308">
        <v>99.49</v>
      </c>
      <c r="F688" s="41">
        <f t="shared" si="21"/>
        <v>0</v>
      </c>
      <c r="G688" s="308"/>
    </row>
    <row r="689" spans="2:8" ht="14.4" customHeight="1" x14ac:dyDescent="0.3">
      <c r="C689" s="310"/>
      <c r="E689" s="308"/>
    </row>
    <row r="691" spans="2:8" ht="14.4" customHeight="1" x14ac:dyDescent="0.3">
      <c r="B691" s="307" t="s">
        <v>631</v>
      </c>
    </row>
    <row r="692" spans="2:8" ht="14.4" customHeight="1" x14ac:dyDescent="0.3">
      <c r="B692" s="309" t="s">
        <v>234</v>
      </c>
    </row>
    <row r="693" spans="2:8" ht="14.4" customHeight="1" x14ac:dyDescent="0.3">
      <c r="B693" s="306"/>
    </row>
    <row r="694" spans="2:8" ht="14.4" customHeight="1" x14ac:dyDescent="0.3">
      <c r="B694" s="306" t="s">
        <v>632</v>
      </c>
      <c r="C694" s="310" t="s">
        <v>25</v>
      </c>
      <c r="E694" s="367">
        <v>14.49</v>
      </c>
      <c r="F694" s="41">
        <f t="shared" ref="F694:F725" si="22">E694*D694</f>
        <v>0</v>
      </c>
    </row>
    <row r="695" spans="2:8" ht="14.4" customHeight="1" x14ac:dyDescent="0.3">
      <c r="B695" s="387" t="s">
        <v>633</v>
      </c>
      <c r="C695" s="310" t="s">
        <v>25</v>
      </c>
      <c r="D695" s="40">
        <v>61.16</v>
      </c>
      <c r="E695" s="367">
        <v>9.5495999999999999</v>
      </c>
      <c r="F695" s="41">
        <f t="shared" si="22"/>
        <v>584.05353600000001</v>
      </c>
      <c r="G695">
        <v>62</v>
      </c>
      <c r="H695" s="457" t="s">
        <v>302</v>
      </c>
    </row>
    <row r="696" spans="2:8" ht="14.4" customHeight="1" x14ac:dyDescent="0.3">
      <c r="B696" s="387" t="s">
        <v>634</v>
      </c>
      <c r="C696" s="386" t="s">
        <v>27</v>
      </c>
      <c r="E696" s="367">
        <v>9.66</v>
      </c>
      <c r="F696" s="41">
        <f t="shared" si="22"/>
        <v>0</v>
      </c>
    </row>
    <row r="697" spans="2:8" ht="14.4" customHeight="1" x14ac:dyDescent="0.3">
      <c r="B697" s="387" t="s">
        <v>635</v>
      </c>
      <c r="C697" s="386" t="s">
        <v>27</v>
      </c>
      <c r="D697" s="40">
        <v>22</v>
      </c>
      <c r="E697" s="367">
        <v>4.7885999999999997</v>
      </c>
      <c r="F697" s="41">
        <f t="shared" si="22"/>
        <v>105.3492</v>
      </c>
    </row>
    <row r="698" spans="2:8" ht="14.4" customHeight="1" x14ac:dyDescent="0.3">
      <c r="B698" s="387" t="s">
        <v>636</v>
      </c>
      <c r="C698" s="386" t="s">
        <v>27</v>
      </c>
      <c r="E698" s="367">
        <v>13.8</v>
      </c>
      <c r="F698" s="41">
        <f t="shared" si="22"/>
        <v>0</v>
      </c>
    </row>
    <row r="699" spans="2:8" ht="14.4" customHeight="1" x14ac:dyDescent="0.3">
      <c r="B699" s="387" t="s">
        <v>637</v>
      </c>
      <c r="C699" s="386" t="s">
        <v>27</v>
      </c>
      <c r="E699" s="367">
        <v>6.5274000000000001</v>
      </c>
      <c r="F699" s="41">
        <f t="shared" si="22"/>
        <v>0</v>
      </c>
    </row>
    <row r="700" spans="2:8" ht="14.4" customHeight="1" x14ac:dyDescent="0.3">
      <c r="B700" s="387" t="s">
        <v>638</v>
      </c>
      <c r="C700" s="386" t="s">
        <v>27</v>
      </c>
      <c r="E700" s="367">
        <v>8.5974000000000004</v>
      </c>
      <c r="F700" s="41">
        <f t="shared" si="22"/>
        <v>0</v>
      </c>
    </row>
    <row r="701" spans="2:8" ht="14.4" customHeight="1" x14ac:dyDescent="0.3">
      <c r="B701" s="387" t="s">
        <v>639</v>
      </c>
      <c r="C701" s="386" t="s">
        <v>27</v>
      </c>
      <c r="E701" s="367">
        <v>6.8999999999999986</v>
      </c>
      <c r="F701" s="41">
        <f t="shared" si="22"/>
        <v>0</v>
      </c>
    </row>
    <row r="702" spans="2:8" ht="14.4" customHeight="1" x14ac:dyDescent="0.3">
      <c r="B702" s="387" t="s">
        <v>640</v>
      </c>
      <c r="C702" s="386" t="s">
        <v>27</v>
      </c>
      <c r="E702" s="367">
        <v>6.8999999999999986</v>
      </c>
      <c r="F702" s="41">
        <f t="shared" si="22"/>
        <v>0</v>
      </c>
    </row>
    <row r="703" spans="2:8" ht="14.4" customHeight="1" x14ac:dyDescent="0.3">
      <c r="B703" s="387" t="s">
        <v>641</v>
      </c>
      <c r="C703" s="386" t="s">
        <v>27</v>
      </c>
      <c r="D703" s="40">
        <v>21</v>
      </c>
      <c r="E703" s="367">
        <v>2.5668000000000002</v>
      </c>
      <c r="F703" s="41">
        <f t="shared" si="22"/>
        <v>53.902800000000006</v>
      </c>
    </row>
    <row r="704" spans="2:8" ht="14.4" customHeight="1" x14ac:dyDescent="0.3">
      <c r="B704" s="387" t="s">
        <v>642</v>
      </c>
      <c r="C704" s="386" t="s">
        <v>27</v>
      </c>
      <c r="D704" s="40">
        <v>21</v>
      </c>
      <c r="E704" s="367">
        <v>2.3308200000000001</v>
      </c>
      <c r="F704" s="41">
        <f t="shared" si="22"/>
        <v>48.947220000000002</v>
      </c>
    </row>
    <row r="705" spans="2:8" ht="14.4" customHeight="1" x14ac:dyDescent="0.3">
      <c r="B705" s="387" t="s">
        <v>643</v>
      </c>
      <c r="C705" s="386" t="s">
        <v>27</v>
      </c>
      <c r="E705" s="367">
        <v>5.52</v>
      </c>
      <c r="F705" s="41">
        <f t="shared" si="22"/>
        <v>0</v>
      </c>
    </row>
    <row r="706" spans="2:8" ht="14.4" customHeight="1" x14ac:dyDescent="0.3">
      <c r="B706" s="427" t="s">
        <v>644</v>
      </c>
      <c r="C706" s="386" t="s">
        <v>27</v>
      </c>
      <c r="D706" s="40">
        <v>1</v>
      </c>
      <c r="E706" s="367">
        <v>5</v>
      </c>
      <c r="F706" s="41">
        <f t="shared" si="22"/>
        <v>5</v>
      </c>
    </row>
    <row r="707" spans="2:8" ht="14.4" customHeight="1" x14ac:dyDescent="0.3">
      <c r="B707" s="387" t="s">
        <v>645</v>
      </c>
      <c r="C707" s="386" t="s">
        <v>27</v>
      </c>
      <c r="D707" s="40">
        <v>1</v>
      </c>
      <c r="E707" s="367">
        <v>2.6772</v>
      </c>
      <c r="F707" s="41">
        <f t="shared" si="22"/>
        <v>2.6772</v>
      </c>
    </row>
    <row r="708" spans="2:8" ht="14.4" customHeight="1" x14ac:dyDescent="0.3">
      <c r="B708" s="306" t="s">
        <v>646</v>
      </c>
      <c r="C708" s="310" t="s">
        <v>25</v>
      </c>
      <c r="E708" s="367">
        <v>6.8999999999999986</v>
      </c>
      <c r="F708" s="41">
        <f t="shared" si="22"/>
        <v>0</v>
      </c>
    </row>
    <row r="709" spans="2:8" ht="14.4" customHeight="1" x14ac:dyDescent="0.3">
      <c r="B709" s="387" t="s">
        <v>647</v>
      </c>
      <c r="C709" s="310" t="s">
        <v>25</v>
      </c>
      <c r="E709" s="367">
        <v>5.52</v>
      </c>
      <c r="F709" s="41">
        <f t="shared" si="22"/>
        <v>0</v>
      </c>
    </row>
    <row r="710" spans="2:8" ht="14.4" customHeight="1" x14ac:dyDescent="0.3">
      <c r="B710" s="306" t="s">
        <v>648</v>
      </c>
      <c r="C710" s="310" t="s">
        <v>25</v>
      </c>
      <c r="E710" s="367">
        <v>8.7354000000000003</v>
      </c>
      <c r="F710" s="41">
        <f t="shared" si="22"/>
        <v>0</v>
      </c>
    </row>
    <row r="711" spans="2:8" ht="14.4" customHeight="1" x14ac:dyDescent="0.3">
      <c r="B711" s="387" t="s">
        <v>649</v>
      </c>
      <c r="C711" s="310" t="s">
        <v>25</v>
      </c>
      <c r="D711" s="40">
        <v>6.93</v>
      </c>
      <c r="E711" s="367">
        <v>3.726</v>
      </c>
      <c r="F711" s="41">
        <f t="shared" si="22"/>
        <v>25.821179999999998</v>
      </c>
      <c r="G711">
        <v>7</v>
      </c>
      <c r="H711" s="457" t="s">
        <v>302</v>
      </c>
    </row>
    <row r="712" spans="2:8" ht="14.4" customHeight="1" x14ac:dyDescent="0.3">
      <c r="B712" s="387" t="s">
        <v>650</v>
      </c>
      <c r="C712" s="310" t="s">
        <v>25</v>
      </c>
      <c r="E712" s="367">
        <v>2.8980000000000001</v>
      </c>
      <c r="F712" s="41">
        <f t="shared" si="22"/>
        <v>0</v>
      </c>
    </row>
    <row r="713" spans="2:8" ht="14.4" customHeight="1" x14ac:dyDescent="0.3">
      <c r="B713" s="387" t="s">
        <v>651</v>
      </c>
      <c r="C713" s="386" t="s">
        <v>27</v>
      </c>
      <c r="E713" s="367">
        <v>2.3321999999999998</v>
      </c>
      <c r="F713" s="41">
        <f t="shared" si="22"/>
        <v>0</v>
      </c>
    </row>
    <row r="714" spans="2:8" ht="14.4" customHeight="1" x14ac:dyDescent="0.3">
      <c r="B714" s="387" t="s">
        <v>652</v>
      </c>
      <c r="C714" s="386" t="s">
        <v>27</v>
      </c>
      <c r="E714" s="367">
        <v>4.1399999999999997</v>
      </c>
      <c r="F714" s="41">
        <f t="shared" si="22"/>
        <v>0</v>
      </c>
    </row>
    <row r="715" spans="2:8" ht="14.4" customHeight="1" x14ac:dyDescent="0.3">
      <c r="B715" s="387" t="s">
        <v>653</v>
      </c>
      <c r="C715" s="386" t="s">
        <v>27</v>
      </c>
      <c r="D715" s="40">
        <v>2</v>
      </c>
      <c r="E715" s="367">
        <v>0.93840000000000001</v>
      </c>
      <c r="F715" s="41">
        <f t="shared" si="22"/>
        <v>1.8768</v>
      </c>
    </row>
    <row r="716" spans="2:8" ht="14.4" customHeight="1" x14ac:dyDescent="0.3">
      <c r="B716" s="387" t="s">
        <v>654</v>
      </c>
      <c r="C716" s="386" t="s">
        <v>27</v>
      </c>
      <c r="D716" s="40">
        <v>4</v>
      </c>
      <c r="E716" s="367">
        <v>11.716200000000001</v>
      </c>
      <c r="F716" s="41">
        <f t="shared" si="22"/>
        <v>46.864800000000002</v>
      </c>
    </row>
    <row r="717" spans="2:8" ht="14.4" customHeight="1" x14ac:dyDescent="0.3">
      <c r="B717" s="306" t="s">
        <v>655</v>
      </c>
      <c r="C717" s="310" t="s">
        <v>25</v>
      </c>
      <c r="E717" s="308">
        <v>14</v>
      </c>
      <c r="F717" s="41">
        <f t="shared" si="22"/>
        <v>0</v>
      </c>
    </row>
    <row r="718" spans="2:8" ht="14.4" customHeight="1" x14ac:dyDescent="0.3">
      <c r="B718" s="387" t="s">
        <v>656</v>
      </c>
      <c r="C718" s="310" t="s">
        <v>25</v>
      </c>
      <c r="E718" s="308">
        <v>6</v>
      </c>
      <c r="F718" s="41">
        <f t="shared" si="22"/>
        <v>0</v>
      </c>
    </row>
    <row r="719" spans="2:8" ht="14.4" customHeight="1" x14ac:dyDescent="0.3">
      <c r="B719" s="306"/>
      <c r="C719" s="310"/>
      <c r="E719" s="310"/>
      <c r="F719" s="41">
        <f t="shared" si="22"/>
        <v>0</v>
      </c>
    </row>
    <row r="720" spans="2:8" ht="14.4" customHeight="1" x14ac:dyDescent="0.3">
      <c r="B720" s="306" t="s">
        <v>657</v>
      </c>
      <c r="C720" s="310" t="s">
        <v>27</v>
      </c>
      <c r="D720" s="40">
        <v>7</v>
      </c>
      <c r="E720" s="308">
        <v>40</v>
      </c>
      <c r="F720" s="41">
        <f t="shared" si="22"/>
        <v>280</v>
      </c>
      <c r="G720">
        <v>6</v>
      </c>
      <c r="H720" s="457" t="s">
        <v>658</v>
      </c>
    </row>
    <row r="721" spans="2:8" ht="14.4" customHeight="1" x14ac:dyDescent="0.3">
      <c r="B721" s="387" t="s">
        <v>659</v>
      </c>
      <c r="C721" s="310" t="s">
        <v>27</v>
      </c>
      <c r="D721" s="40">
        <v>7</v>
      </c>
      <c r="E721" s="308">
        <v>30</v>
      </c>
      <c r="F721" s="41">
        <f t="shared" si="22"/>
        <v>210</v>
      </c>
      <c r="G721">
        <v>6</v>
      </c>
      <c r="H721" s="457" t="s">
        <v>660</v>
      </c>
    </row>
    <row r="722" spans="2:8" ht="14.4" customHeight="1" x14ac:dyDescent="0.3">
      <c r="B722" s="306" t="s">
        <v>661</v>
      </c>
      <c r="C722" s="310" t="s">
        <v>27</v>
      </c>
      <c r="E722" s="308">
        <v>33</v>
      </c>
      <c r="F722" s="41">
        <f t="shared" si="22"/>
        <v>0</v>
      </c>
    </row>
    <row r="723" spans="2:8" ht="14.4" customHeight="1" x14ac:dyDescent="0.3">
      <c r="B723" s="387" t="s">
        <v>662</v>
      </c>
      <c r="C723" s="310" t="s">
        <v>27</v>
      </c>
      <c r="E723" s="308">
        <v>23.26</v>
      </c>
      <c r="F723" s="41">
        <f t="shared" si="22"/>
        <v>0</v>
      </c>
    </row>
    <row r="724" spans="2:8" ht="14.4" customHeight="1" x14ac:dyDescent="0.3">
      <c r="B724" s="387" t="s">
        <v>663</v>
      </c>
      <c r="C724" s="310" t="s">
        <v>27</v>
      </c>
      <c r="E724" s="308">
        <v>50</v>
      </c>
      <c r="F724" s="41">
        <f t="shared" si="22"/>
        <v>0</v>
      </c>
    </row>
    <row r="725" spans="2:8" ht="14.4" customHeight="1" x14ac:dyDescent="0.3">
      <c r="B725" s="306" t="s">
        <v>664</v>
      </c>
      <c r="C725" s="310" t="s">
        <v>27</v>
      </c>
      <c r="E725" s="308">
        <v>7.65</v>
      </c>
      <c r="F725" s="41">
        <f t="shared" si="22"/>
        <v>0</v>
      </c>
    </row>
    <row r="726" spans="2:8" ht="14.4" customHeight="1" x14ac:dyDescent="0.3">
      <c r="B726" s="306" t="s">
        <v>665</v>
      </c>
      <c r="C726" s="310" t="s">
        <v>27</v>
      </c>
      <c r="E726" s="308">
        <v>7.65</v>
      </c>
      <c r="F726" s="41">
        <f t="shared" ref="F726:F752" si="23">E726*D726</f>
        <v>0</v>
      </c>
    </row>
    <row r="727" spans="2:8" ht="14.4" customHeight="1" x14ac:dyDescent="0.3">
      <c r="B727" s="306" t="s">
        <v>666</v>
      </c>
      <c r="C727" s="310" t="s">
        <v>27</v>
      </c>
      <c r="D727" s="40">
        <v>2</v>
      </c>
      <c r="E727" s="308">
        <v>13.59</v>
      </c>
      <c r="F727" s="41">
        <f t="shared" si="23"/>
        <v>27.18</v>
      </c>
    </row>
    <row r="728" spans="2:8" ht="14.4" customHeight="1" x14ac:dyDescent="0.3">
      <c r="B728" s="306" t="s">
        <v>667</v>
      </c>
      <c r="C728" s="310" t="s">
        <v>27</v>
      </c>
      <c r="E728" s="308">
        <v>0</v>
      </c>
      <c r="F728" s="41">
        <f t="shared" si="23"/>
        <v>0</v>
      </c>
    </row>
    <row r="729" spans="2:8" ht="14.4" customHeight="1" x14ac:dyDescent="0.3">
      <c r="B729" s="306" t="s">
        <v>668</v>
      </c>
      <c r="C729" s="310" t="s">
        <v>27</v>
      </c>
      <c r="D729" s="40">
        <v>2</v>
      </c>
      <c r="E729" s="308">
        <v>75</v>
      </c>
      <c r="F729" s="41">
        <f t="shared" si="23"/>
        <v>150</v>
      </c>
    </row>
    <row r="730" spans="2:8" ht="14.4" customHeight="1" x14ac:dyDescent="0.3">
      <c r="B730" s="306"/>
      <c r="C730" s="310"/>
      <c r="E730" s="306"/>
      <c r="F730" s="41">
        <f t="shared" si="23"/>
        <v>0</v>
      </c>
    </row>
    <row r="731" spans="2:8" ht="14.4" customHeight="1" x14ac:dyDescent="0.3">
      <c r="B731" s="306" t="s">
        <v>669</v>
      </c>
      <c r="C731" s="310" t="s">
        <v>27</v>
      </c>
      <c r="E731" s="308">
        <v>2</v>
      </c>
      <c r="F731" s="41">
        <f t="shared" si="23"/>
        <v>0</v>
      </c>
    </row>
    <row r="732" spans="2:8" ht="14.4" customHeight="1" x14ac:dyDescent="0.3">
      <c r="B732" s="306" t="s">
        <v>670</v>
      </c>
      <c r="C732" s="310" t="s">
        <v>27</v>
      </c>
      <c r="E732" s="308">
        <v>1.5</v>
      </c>
      <c r="F732" s="41">
        <f t="shared" si="23"/>
        <v>0</v>
      </c>
    </row>
    <row r="733" spans="2:8" ht="14.4" customHeight="1" x14ac:dyDescent="0.3">
      <c r="B733" s="306" t="s">
        <v>369</v>
      </c>
      <c r="C733" s="310" t="s">
        <v>25</v>
      </c>
      <c r="E733" s="308">
        <f>E622</f>
        <v>0</v>
      </c>
      <c r="F733" s="41">
        <f t="shared" si="23"/>
        <v>0</v>
      </c>
    </row>
    <row r="734" spans="2:8" ht="14.4" customHeight="1" x14ac:dyDescent="0.3">
      <c r="B734" s="306"/>
      <c r="C734" s="310"/>
      <c r="E734" s="308"/>
      <c r="F734" s="41">
        <f t="shared" si="23"/>
        <v>0</v>
      </c>
    </row>
    <row r="735" spans="2:8" ht="14.4" customHeight="1" x14ac:dyDescent="0.3">
      <c r="B735" s="306" t="s">
        <v>671</v>
      </c>
      <c r="C735" s="310" t="s">
        <v>27</v>
      </c>
      <c r="E735" s="308">
        <v>26.4</v>
      </c>
      <c r="F735" s="41">
        <f t="shared" si="23"/>
        <v>0</v>
      </c>
    </row>
    <row r="736" spans="2:8" ht="14.4" customHeight="1" x14ac:dyDescent="0.3">
      <c r="B736" s="306" t="s">
        <v>672</v>
      </c>
      <c r="C736" s="310" t="s">
        <v>27</v>
      </c>
      <c r="E736" s="308">
        <v>23</v>
      </c>
      <c r="F736" s="41">
        <f t="shared" si="23"/>
        <v>0</v>
      </c>
    </row>
    <row r="737" spans="2:8" ht="14.4" customHeight="1" x14ac:dyDescent="0.3">
      <c r="B737" s="306" t="s">
        <v>673</v>
      </c>
      <c r="C737" s="310" t="s">
        <v>27</v>
      </c>
      <c r="E737" s="308">
        <v>75</v>
      </c>
      <c r="F737" s="41">
        <f t="shared" si="23"/>
        <v>0</v>
      </c>
    </row>
    <row r="738" spans="2:8" ht="14.4" customHeight="1" x14ac:dyDescent="0.3">
      <c r="B738" s="306" t="s">
        <v>674</v>
      </c>
      <c r="C738" s="310" t="s">
        <v>27</v>
      </c>
      <c r="E738" s="308">
        <v>22</v>
      </c>
      <c r="F738" s="41">
        <f t="shared" si="23"/>
        <v>0</v>
      </c>
    </row>
    <row r="739" spans="2:8" ht="14.4" customHeight="1" x14ac:dyDescent="0.3">
      <c r="B739" s="306" t="s">
        <v>675</v>
      </c>
      <c r="C739" s="310" t="s">
        <v>27</v>
      </c>
      <c r="E739" s="308">
        <v>10</v>
      </c>
      <c r="F739" s="41">
        <f t="shared" si="23"/>
        <v>0</v>
      </c>
    </row>
    <row r="740" spans="2:8" ht="14.4" customHeight="1" x14ac:dyDescent="0.3">
      <c r="B740" s="306"/>
      <c r="C740" s="310"/>
      <c r="E740" s="308"/>
      <c r="F740" s="41">
        <f t="shared" si="23"/>
        <v>0</v>
      </c>
    </row>
    <row r="741" spans="2:8" ht="14.4" customHeight="1" x14ac:dyDescent="0.3">
      <c r="B741" s="387" t="s">
        <v>676</v>
      </c>
      <c r="C741" s="310" t="s">
        <v>27</v>
      </c>
      <c r="E741" s="308">
        <v>520</v>
      </c>
      <c r="F741" s="41">
        <f t="shared" si="23"/>
        <v>0</v>
      </c>
    </row>
    <row r="742" spans="2:8" ht="14.4" customHeight="1" x14ac:dyDescent="0.3">
      <c r="B742" s="387" t="s">
        <v>677</v>
      </c>
      <c r="C742" s="310" t="s">
        <v>27</v>
      </c>
      <c r="E742" s="308">
        <v>230</v>
      </c>
      <c r="F742" s="41">
        <f t="shared" si="23"/>
        <v>0</v>
      </c>
    </row>
    <row r="743" spans="2:8" ht="14.4" customHeight="1" x14ac:dyDescent="0.3">
      <c r="B743" s="387" t="s">
        <v>678</v>
      </c>
      <c r="C743" s="310" t="s">
        <v>27</v>
      </c>
      <c r="E743" s="308">
        <v>2800</v>
      </c>
      <c r="F743" s="41">
        <f t="shared" si="23"/>
        <v>0</v>
      </c>
    </row>
    <row r="744" spans="2:8" ht="14.4" customHeight="1" x14ac:dyDescent="0.3">
      <c r="B744" s="387" t="s">
        <v>679</v>
      </c>
      <c r="C744" s="310" t="s">
        <v>27</v>
      </c>
      <c r="E744" s="308">
        <v>950</v>
      </c>
      <c r="F744" s="41">
        <f t="shared" si="23"/>
        <v>0</v>
      </c>
    </row>
    <row r="745" spans="2:8" ht="14.4" customHeight="1" x14ac:dyDescent="0.3">
      <c r="B745" s="387" t="s">
        <v>619</v>
      </c>
      <c r="C745" s="310" t="s">
        <v>27</v>
      </c>
      <c r="E745" s="308">
        <v>1250</v>
      </c>
      <c r="F745" s="41">
        <f t="shared" si="23"/>
        <v>0</v>
      </c>
    </row>
    <row r="746" spans="2:8" ht="14.4" customHeight="1" x14ac:dyDescent="0.3">
      <c r="B746" s="387" t="s">
        <v>680</v>
      </c>
      <c r="C746" s="310" t="s">
        <v>27</v>
      </c>
      <c r="D746" s="40">
        <v>1</v>
      </c>
      <c r="E746" s="316">
        <v>200</v>
      </c>
      <c r="F746" s="41">
        <f t="shared" si="23"/>
        <v>200</v>
      </c>
    </row>
    <row r="747" spans="2:8" ht="14.4" customHeight="1" x14ac:dyDescent="0.3">
      <c r="B747" s="387" t="s">
        <v>681</v>
      </c>
      <c r="C747" s="310" t="s">
        <v>27</v>
      </c>
      <c r="E747" s="316">
        <v>120</v>
      </c>
      <c r="F747" s="41">
        <f t="shared" si="23"/>
        <v>0</v>
      </c>
    </row>
    <row r="748" spans="2:8" ht="14.4" customHeight="1" x14ac:dyDescent="0.3">
      <c r="B748" s="387" t="s">
        <v>682</v>
      </c>
      <c r="C748" s="310" t="s">
        <v>132</v>
      </c>
      <c r="D748">
        <v>1</v>
      </c>
      <c r="E748" s="308">
        <v>750</v>
      </c>
      <c r="F748" s="41">
        <f t="shared" si="23"/>
        <v>750</v>
      </c>
      <c r="H748" s="457" t="s">
        <v>683</v>
      </c>
    </row>
    <row r="749" spans="2:8" ht="14.4" customHeight="1" x14ac:dyDescent="0.3">
      <c r="B749" s="387" t="s">
        <v>684</v>
      </c>
      <c r="C749" s="310" t="s">
        <v>27</v>
      </c>
      <c r="D749" s="40">
        <v>1</v>
      </c>
      <c r="E749" s="316">
        <v>100</v>
      </c>
      <c r="F749" s="41">
        <f t="shared" si="23"/>
        <v>100</v>
      </c>
    </row>
    <row r="750" spans="2:8" ht="14.4" customHeight="1" x14ac:dyDescent="0.3">
      <c r="B750" s="428" t="s">
        <v>685</v>
      </c>
      <c r="C750" s="310" t="s">
        <v>27</v>
      </c>
      <c r="D750" s="40">
        <v>4</v>
      </c>
      <c r="E750" s="316">
        <v>250</v>
      </c>
      <c r="F750" s="41">
        <f t="shared" si="23"/>
        <v>1000</v>
      </c>
      <c r="G750">
        <v>3</v>
      </c>
      <c r="H750" s="457" t="s">
        <v>686</v>
      </c>
    </row>
    <row r="751" spans="2:8" ht="14.4" customHeight="1" x14ac:dyDescent="0.3">
      <c r="B751" s="390" t="s">
        <v>687</v>
      </c>
      <c r="C751" s="310" t="s">
        <v>27</v>
      </c>
      <c r="E751" s="308">
        <v>300</v>
      </c>
      <c r="F751" s="41">
        <f t="shared" si="23"/>
        <v>0</v>
      </c>
    </row>
    <row r="752" spans="2:8" ht="14.4" customHeight="1" x14ac:dyDescent="0.3">
      <c r="B752" s="390" t="s">
        <v>688</v>
      </c>
      <c r="C752" s="310" t="s">
        <v>27</v>
      </c>
      <c r="E752" s="316">
        <v>1200</v>
      </c>
      <c r="F752" s="41">
        <f t="shared" si="23"/>
        <v>0</v>
      </c>
    </row>
    <row r="753" spans="2:8" ht="14.4" customHeight="1" x14ac:dyDescent="0.3">
      <c r="B753" s="390"/>
      <c r="C753" s="310"/>
      <c r="E753" s="316"/>
    </row>
    <row r="754" spans="2:8" ht="14.4" customHeight="1" x14ac:dyDescent="0.3">
      <c r="B754" s="390"/>
      <c r="C754" s="310"/>
      <c r="E754" s="316"/>
    </row>
    <row r="755" spans="2:8" ht="14.4" customHeight="1" x14ac:dyDescent="0.3">
      <c r="B755" s="307" t="s">
        <v>689</v>
      </c>
      <c r="C755" s="310"/>
      <c r="E755" s="316"/>
    </row>
    <row r="756" spans="2:8" ht="14.4" customHeight="1" x14ac:dyDescent="0.3">
      <c r="B756" s="390"/>
      <c r="C756" s="310"/>
      <c r="E756" s="308"/>
    </row>
    <row r="757" spans="2:8" ht="14.4" customHeight="1" x14ac:dyDescent="0.3">
      <c r="B757" s="428" t="s">
        <v>690</v>
      </c>
      <c r="C757" s="426" t="s">
        <v>25</v>
      </c>
      <c r="D757" s="40">
        <v>1.93</v>
      </c>
      <c r="E757" s="308">
        <v>5.25</v>
      </c>
      <c r="F757" s="41">
        <f>E757*D757</f>
        <v>10.1325</v>
      </c>
      <c r="G757">
        <v>2</v>
      </c>
      <c r="H757" s="457" t="s">
        <v>691</v>
      </c>
    </row>
    <row r="758" spans="2:8" ht="15" customHeight="1" x14ac:dyDescent="0.2">
      <c r="B758" s="38" t="s">
        <v>692</v>
      </c>
      <c r="C758" s="40" t="s">
        <v>27</v>
      </c>
      <c r="D758" s="40">
        <v>1</v>
      </c>
      <c r="E758" s="41">
        <v>3</v>
      </c>
      <c r="F758" s="41">
        <f>E758*D758</f>
        <v>3</v>
      </c>
    </row>
    <row r="759" spans="2:8" ht="16.5" customHeight="1" x14ac:dyDescent="0.2">
      <c r="B759" s="38" t="s">
        <v>693</v>
      </c>
      <c r="C759" s="40" t="s">
        <v>27</v>
      </c>
      <c r="D759" s="40">
        <v>1</v>
      </c>
      <c r="E759" s="41">
        <v>2.5</v>
      </c>
      <c r="F759" s="41">
        <f>E759*D759</f>
        <v>2.5</v>
      </c>
    </row>
    <row r="761" spans="2:8" ht="12.45" customHeight="1" x14ac:dyDescent="0.25">
      <c r="B761" t="s">
        <v>694</v>
      </c>
      <c r="C761" t="s">
        <v>371</v>
      </c>
      <c r="D761">
        <v>1</v>
      </c>
      <c r="E761">
        <v>85</v>
      </c>
      <c r="F761">
        <f>E761*D761</f>
        <v>85</v>
      </c>
      <c r="H761" s="457" t="s">
        <v>695</v>
      </c>
    </row>
    <row r="764" spans="2:8" ht="14.4" customHeight="1" x14ac:dyDescent="0.3">
      <c r="B764" s="307" t="s">
        <v>696</v>
      </c>
    </row>
    <row r="765" spans="2:8" ht="14.4" customHeight="1" x14ac:dyDescent="0.3">
      <c r="B765" s="309" t="s">
        <v>234</v>
      </c>
    </row>
    <row r="766" spans="2:8" ht="14.4" customHeight="1" x14ac:dyDescent="0.3">
      <c r="B766" s="306"/>
    </row>
    <row r="767" spans="2:8" ht="14.4" customHeight="1" x14ac:dyDescent="0.3">
      <c r="B767" s="306" t="s">
        <v>697</v>
      </c>
      <c r="C767" t="s">
        <v>371</v>
      </c>
      <c r="D767">
        <v>4</v>
      </c>
      <c r="E767">
        <v>40</v>
      </c>
      <c r="F767">
        <f t="shared" ref="F767:F798" si="24">E767*D767</f>
        <v>160</v>
      </c>
      <c r="H767" s="457" t="s">
        <v>698</v>
      </c>
    </row>
    <row r="768" spans="2:8" ht="14.4" customHeight="1" x14ac:dyDescent="0.3">
      <c r="B768" s="387" t="s">
        <v>699</v>
      </c>
      <c r="C768" s="310" t="s">
        <v>25</v>
      </c>
      <c r="E768" s="367">
        <v>165.6</v>
      </c>
      <c r="F768" s="41">
        <f t="shared" si="24"/>
        <v>0</v>
      </c>
    </row>
    <row r="769" spans="2:6" ht="14.4" customHeight="1" x14ac:dyDescent="0.3">
      <c r="B769" s="387" t="s">
        <v>700</v>
      </c>
      <c r="C769" s="310" t="s">
        <v>25</v>
      </c>
      <c r="E769" s="367">
        <v>89.699999999999989</v>
      </c>
      <c r="F769" s="41">
        <f t="shared" si="24"/>
        <v>0</v>
      </c>
    </row>
    <row r="770" spans="2:6" ht="14.4" customHeight="1" x14ac:dyDescent="0.3">
      <c r="B770" s="387" t="s">
        <v>701</v>
      </c>
      <c r="C770" s="310" t="s">
        <v>25</v>
      </c>
      <c r="E770" s="367">
        <v>66.239999999999995</v>
      </c>
      <c r="F770" s="41">
        <f t="shared" si="24"/>
        <v>0</v>
      </c>
    </row>
    <row r="771" spans="2:6" ht="14.4" customHeight="1" x14ac:dyDescent="0.3">
      <c r="B771" s="387" t="s">
        <v>702</v>
      </c>
      <c r="C771" s="310" t="s">
        <v>25</v>
      </c>
      <c r="E771" s="367">
        <v>0</v>
      </c>
      <c r="F771" s="41">
        <f t="shared" si="24"/>
        <v>0</v>
      </c>
    </row>
    <row r="772" spans="2:6" ht="14.4" customHeight="1" x14ac:dyDescent="0.3">
      <c r="B772" s="387" t="s">
        <v>703</v>
      </c>
      <c r="C772" s="310" t="s">
        <v>25</v>
      </c>
      <c r="E772" s="367">
        <v>85.104599999999991</v>
      </c>
      <c r="F772" s="41">
        <f t="shared" si="24"/>
        <v>0</v>
      </c>
    </row>
    <row r="773" spans="2:6" ht="14.4" customHeight="1" x14ac:dyDescent="0.3">
      <c r="B773" s="387" t="s">
        <v>704</v>
      </c>
      <c r="C773" s="310" t="s">
        <v>25</v>
      </c>
      <c r="E773" s="367">
        <v>84.179999999999993</v>
      </c>
      <c r="F773" s="41">
        <f t="shared" si="24"/>
        <v>0</v>
      </c>
    </row>
    <row r="774" spans="2:6" ht="14.4" customHeight="1" x14ac:dyDescent="0.3">
      <c r="B774" s="306" t="s">
        <v>705</v>
      </c>
      <c r="C774" s="310" t="s">
        <v>25</v>
      </c>
      <c r="E774" s="367">
        <v>68.77</v>
      </c>
      <c r="F774" s="41">
        <f t="shared" si="24"/>
        <v>0</v>
      </c>
    </row>
    <row r="775" spans="2:6" ht="14.4" customHeight="1" x14ac:dyDescent="0.3">
      <c r="B775" s="306" t="s">
        <v>706</v>
      </c>
      <c r="C775" s="310" t="s">
        <v>25</v>
      </c>
      <c r="E775" s="367">
        <v>55.2</v>
      </c>
      <c r="F775" s="41">
        <f t="shared" si="24"/>
        <v>0</v>
      </c>
    </row>
    <row r="776" spans="2:6" ht="14.4" customHeight="1" x14ac:dyDescent="0.3">
      <c r="B776" s="387" t="s">
        <v>707</v>
      </c>
      <c r="C776" s="310" t="s">
        <v>25</v>
      </c>
      <c r="E776" s="367">
        <v>55.2</v>
      </c>
      <c r="F776" s="41">
        <f t="shared" si="24"/>
        <v>0</v>
      </c>
    </row>
    <row r="777" spans="2:6" ht="14.4" customHeight="1" x14ac:dyDescent="0.3">
      <c r="B777" s="387" t="s">
        <v>708</v>
      </c>
      <c r="C777" s="310" t="s">
        <v>25</v>
      </c>
      <c r="E777" s="367">
        <v>42.779999999999987</v>
      </c>
      <c r="F777" s="41">
        <f t="shared" si="24"/>
        <v>0</v>
      </c>
    </row>
    <row r="778" spans="2:6" ht="14.4" customHeight="1" x14ac:dyDescent="0.3">
      <c r="B778" s="306" t="s">
        <v>709</v>
      </c>
      <c r="C778" s="310" t="s">
        <v>25</v>
      </c>
      <c r="E778" s="367">
        <v>32.659999999999997</v>
      </c>
      <c r="F778" s="41">
        <f t="shared" si="24"/>
        <v>0</v>
      </c>
    </row>
    <row r="779" spans="2:6" ht="14.4" customHeight="1" x14ac:dyDescent="0.3">
      <c r="B779" s="387" t="s">
        <v>710</v>
      </c>
      <c r="C779" s="310" t="s">
        <v>25</v>
      </c>
      <c r="E779" s="367">
        <v>19.55</v>
      </c>
      <c r="F779" s="41">
        <f t="shared" si="24"/>
        <v>0</v>
      </c>
    </row>
    <row r="780" spans="2:6" ht="14.4" customHeight="1" x14ac:dyDescent="0.3">
      <c r="B780" s="306" t="s">
        <v>711</v>
      </c>
      <c r="C780" s="310" t="s">
        <v>25</v>
      </c>
      <c r="E780" s="367">
        <v>16.100000000000001</v>
      </c>
      <c r="F780" s="41">
        <f t="shared" si="24"/>
        <v>0</v>
      </c>
    </row>
    <row r="781" spans="2:6" ht="14.4" customHeight="1" x14ac:dyDescent="0.3">
      <c r="B781" s="306" t="s">
        <v>712</v>
      </c>
      <c r="C781" s="310" t="s">
        <v>25</v>
      </c>
      <c r="E781" s="367">
        <v>19.55</v>
      </c>
      <c r="F781" s="41">
        <f t="shared" si="24"/>
        <v>0</v>
      </c>
    </row>
    <row r="782" spans="2:6" ht="14.4" customHeight="1" x14ac:dyDescent="0.3">
      <c r="B782" s="387" t="s">
        <v>711</v>
      </c>
      <c r="C782" s="386" t="s">
        <v>25</v>
      </c>
      <c r="E782" s="367">
        <v>16.559999999999999</v>
      </c>
      <c r="F782" s="41">
        <f t="shared" si="24"/>
        <v>0</v>
      </c>
    </row>
    <row r="783" spans="2:6" ht="14.4" customHeight="1" x14ac:dyDescent="0.3">
      <c r="B783" s="387" t="s">
        <v>633</v>
      </c>
      <c r="C783" s="386" t="s">
        <v>25</v>
      </c>
      <c r="E783" s="367">
        <f>(2415.3/(83*6))*1.38</f>
        <v>6.6930000000000005</v>
      </c>
      <c r="F783" s="41">
        <f t="shared" si="24"/>
        <v>0</v>
      </c>
    </row>
    <row r="784" spans="2:6" ht="14.4" customHeight="1" x14ac:dyDescent="0.3">
      <c r="B784" s="387" t="s">
        <v>713</v>
      </c>
      <c r="C784" s="386" t="s">
        <v>25</v>
      </c>
      <c r="E784" s="367">
        <v>6.8999999999999986</v>
      </c>
      <c r="F784" s="41">
        <f t="shared" si="24"/>
        <v>0</v>
      </c>
    </row>
    <row r="785" spans="2:6" ht="14.4" customHeight="1" x14ac:dyDescent="0.3">
      <c r="B785" s="387" t="s">
        <v>714</v>
      </c>
      <c r="C785" s="386" t="s">
        <v>25</v>
      </c>
      <c r="E785" s="367">
        <f>(2415.3/(83*6))*1.38</f>
        <v>6.6930000000000005</v>
      </c>
      <c r="F785" s="41">
        <f t="shared" si="24"/>
        <v>0</v>
      </c>
    </row>
    <row r="786" spans="2:6" ht="14.4" customHeight="1" x14ac:dyDescent="0.3">
      <c r="B786" s="387"/>
      <c r="C786" s="386"/>
      <c r="E786" s="367">
        <v>0</v>
      </c>
      <c r="F786" s="41">
        <f t="shared" si="24"/>
        <v>0</v>
      </c>
    </row>
    <row r="787" spans="2:6" ht="14.4" customHeight="1" x14ac:dyDescent="0.3">
      <c r="B787" s="317" t="s">
        <v>715</v>
      </c>
      <c r="C787" s="310"/>
      <c r="E787" s="367">
        <v>0</v>
      </c>
      <c r="F787" s="41">
        <f t="shared" si="24"/>
        <v>0</v>
      </c>
    </row>
    <row r="788" spans="2:6" ht="14.4" customHeight="1" x14ac:dyDescent="0.3">
      <c r="B788" s="387"/>
      <c r="C788" s="310" t="s">
        <v>27</v>
      </c>
      <c r="E788" s="367">
        <v>0</v>
      </c>
      <c r="F788" s="41">
        <f t="shared" si="24"/>
        <v>0</v>
      </c>
    </row>
    <row r="789" spans="2:6" ht="14.4" customHeight="1" x14ac:dyDescent="0.3">
      <c r="B789" t="s">
        <v>716</v>
      </c>
      <c r="C789" s="310" t="s">
        <v>27</v>
      </c>
      <c r="E789" s="367">
        <v>676.19999999999993</v>
      </c>
      <c r="F789" s="41">
        <f t="shared" si="24"/>
        <v>0</v>
      </c>
    </row>
    <row r="790" spans="2:6" ht="14.4" customHeight="1" x14ac:dyDescent="0.3">
      <c r="B790" t="s">
        <v>717</v>
      </c>
      <c r="C790" s="310" t="s">
        <v>27</v>
      </c>
      <c r="E790" s="367">
        <v>896.99999999999989</v>
      </c>
      <c r="F790" s="41">
        <f t="shared" si="24"/>
        <v>0</v>
      </c>
    </row>
    <row r="791" spans="2:6" ht="14.4" customHeight="1" x14ac:dyDescent="0.3">
      <c r="B791" t="s">
        <v>718</v>
      </c>
      <c r="C791" s="310" t="s">
        <v>27</v>
      </c>
      <c r="E791" s="367">
        <v>1518</v>
      </c>
      <c r="F791" s="41">
        <f t="shared" si="24"/>
        <v>0</v>
      </c>
    </row>
    <row r="792" spans="2:6" ht="14.4" customHeight="1" x14ac:dyDescent="0.3">
      <c r="B792" t="s">
        <v>719</v>
      </c>
      <c r="C792" s="310" t="s">
        <v>27</v>
      </c>
      <c r="E792" s="367">
        <v>634.79999999999995</v>
      </c>
      <c r="F792" s="41">
        <f t="shared" si="24"/>
        <v>0</v>
      </c>
    </row>
    <row r="793" spans="2:6" ht="14.4" customHeight="1" x14ac:dyDescent="0.3">
      <c r="B793" t="s">
        <v>720</v>
      </c>
      <c r="C793" s="310" t="s">
        <v>27</v>
      </c>
      <c r="E793" s="367">
        <v>800.4</v>
      </c>
      <c r="F793" s="41">
        <f t="shared" si="24"/>
        <v>0</v>
      </c>
    </row>
    <row r="794" spans="2:6" ht="14.4" customHeight="1" x14ac:dyDescent="0.3">
      <c r="B794" t="s">
        <v>721</v>
      </c>
      <c r="C794" s="310" t="s">
        <v>27</v>
      </c>
      <c r="E794" s="367">
        <v>441.6</v>
      </c>
      <c r="F794" s="41">
        <f t="shared" si="24"/>
        <v>0</v>
      </c>
    </row>
    <row r="795" spans="2:6" ht="14.4" customHeight="1" x14ac:dyDescent="0.3">
      <c r="B795" s="387" t="s">
        <v>722</v>
      </c>
      <c r="C795" s="310" t="s">
        <v>27</v>
      </c>
      <c r="E795" s="367">
        <v>579.59999999999991</v>
      </c>
      <c r="F795" s="41">
        <f t="shared" si="24"/>
        <v>0</v>
      </c>
    </row>
    <row r="796" spans="2:6" ht="14.4" customHeight="1" x14ac:dyDescent="0.3">
      <c r="B796" s="387" t="s">
        <v>723</v>
      </c>
      <c r="C796" s="310" t="s">
        <v>27</v>
      </c>
      <c r="E796" s="367">
        <v>776.09819999999991</v>
      </c>
      <c r="F796" s="41">
        <f t="shared" si="24"/>
        <v>0</v>
      </c>
    </row>
    <row r="797" spans="2:6" ht="14.4" customHeight="1" x14ac:dyDescent="0.3">
      <c r="B797" s="387" t="s">
        <v>724</v>
      </c>
      <c r="C797" s="310" t="s">
        <v>27</v>
      </c>
      <c r="E797" s="367">
        <v>777.4781999999999</v>
      </c>
      <c r="F797" s="41">
        <f t="shared" si="24"/>
        <v>0</v>
      </c>
    </row>
    <row r="798" spans="2:6" ht="14.4" customHeight="1" x14ac:dyDescent="0.3">
      <c r="B798" s="387" t="s">
        <v>725</v>
      </c>
      <c r="C798" s="310" t="s">
        <v>27</v>
      </c>
      <c r="E798" s="367">
        <v>524.4</v>
      </c>
      <c r="F798" s="41">
        <f t="shared" si="24"/>
        <v>0</v>
      </c>
    </row>
    <row r="799" spans="2:6" ht="14.4" customHeight="1" x14ac:dyDescent="0.3">
      <c r="B799" s="387" t="s">
        <v>726</v>
      </c>
      <c r="C799" s="310" t="s">
        <v>27</v>
      </c>
      <c r="E799" s="367">
        <v>496.8</v>
      </c>
      <c r="F799" s="41">
        <f t="shared" ref="F799:F830" si="25">E799*D799</f>
        <v>0</v>
      </c>
    </row>
    <row r="800" spans="2:6" ht="14.4" customHeight="1" x14ac:dyDescent="0.3">
      <c r="B800" s="387" t="s">
        <v>727</v>
      </c>
      <c r="C800" s="310" t="s">
        <v>27</v>
      </c>
      <c r="E800" s="367">
        <v>745.19999999999993</v>
      </c>
      <c r="F800" s="41">
        <f t="shared" si="25"/>
        <v>0</v>
      </c>
    </row>
    <row r="801" spans="2:6" ht="14.4" customHeight="1" x14ac:dyDescent="0.3">
      <c r="B801" s="387" t="s">
        <v>728</v>
      </c>
      <c r="C801" s="310" t="s">
        <v>27</v>
      </c>
      <c r="E801" s="367">
        <v>621</v>
      </c>
      <c r="F801" s="41">
        <f t="shared" si="25"/>
        <v>0</v>
      </c>
    </row>
    <row r="802" spans="2:6" ht="14.4" customHeight="1" x14ac:dyDescent="0.3">
      <c r="B802" s="387" t="s">
        <v>729</v>
      </c>
      <c r="C802" s="310" t="s">
        <v>27</v>
      </c>
      <c r="E802" s="367">
        <v>496.8</v>
      </c>
      <c r="F802" s="41">
        <f t="shared" si="25"/>
        <v>0</v>
      </c>
    </row>
    <row r="803" spans="2:6" ht="14.4" customHeight="1" x14ac:dyDescent="0.3">
      <c r="B803" s="387" t="s">
        <v>730</v>
      </c>
      <c r="C803" s="310" t="s">
        <v>27</v>
      </c>
      <c r="E803" s="367">
        <v>441.6</v>
      </c>
      <c r="F803" s="41">
        <f t="shared" si="25"/>
        <v>0</v>
      </c>
    </row>
    <row r="804" spans="2:6" ht="14.4" customHeight="1" x14ac:dyDescent="0.3">
      <c r="B804" s="387" t="s">
        <v>731</v>
      </c>
      <c r="C804" s="310" t="s">
        <v>27</v>
      </c>
      <c r="E804" s="367">
        <v>262.2</v>
      </c>
      <c r="F804" s="41">
        <f t="shared" si="25"/>
        <v>0</v>
      </c>
    </row>
    <row r="805" spans="2:6" ht="14.4" customHeight="1" x14ac:dyDescent="0.3">
      <c r="B805" s="387" t="s">
        <v>732</v>
      </c>
      <c r="C805" s="310" t="s">
        <v>27</v>
      </c>
      <c r="E805" s="367">
        <v>345</v>
      </c>
      <c r="F805" s="41">
        <f t="shared" si="25"/>
        <v>0</v>
      </c>
    </row>
    <row r="806" spans="2:6" ht="14.4" customHeight="1" x14ac:dyDescent="0.3">
      <c r="B806" s="387" t="s">
        <v>733</v>
      </c>
      <c r="C806" s="310" t="s">
        <v>27</v>
      </c>
      <c r="E806" s="367">
        <v>262.2</v>
      </c>
      <c r="F806" s="41">
        <f t="shared" si="25"/>
        <v>0</v>
      </c>
    </row>
    <row r="807" spans="2:6" ht="14.4" customHeight="1" x14ac:dyDescent="0.3">
      <c r="B807" s="387" t="s">
        <v>734</v>
      </c>
      <c r="C807" s="310" t="s">
        <v>27</v>
      </c>
      <c r="E807" s="367">
        <v>455.4</v>
      </c>
      <c r="F807" s="41">
        <f t="shared" si="25"/>
        <v>0</v>
      </c>
    </row>
    <row r="808" spans="2:6" ht="14.4" customHeight="1" x14ac:dyDescent="0.3">
      <c r="B808" s="387" t="s">
        <v>735</v>
      </c>
      <c r="C808" s="310" t="s">
        <v>27</v>
      </c>
      <c r="E808" s="367">
        <v>117.645</v>
      </c>
      <c r="F808" s="41">
        <f t="shared" si="25"/>
        <v>0</v>
      </c>
    </row>
    <row r="809" spans="2:6" ht="14.4" customHeight="1" x14ac:dyDescent="0.3">
      <c r="B809" s="387" t="s">
        <v>736</v>
      </c>
      <c r="C809" s="310" t="s">
        <v>27</v>
      </c>
      <c r="E809" s="367">
        <v>289.8</v>
      </c>
      <c r="F809" s="41">
        <f t="shared" si="25"/>
        <v>0</v>
      </c>
    </row>
    <row r="810" spans="2:6" ht="14.4" customHeight="1" x14ac:dyDescent="0.3">
      <c r="B810" s="387" t="s">
        <v>737</v>
      </c>
      <c r="C810" s="310" t="s">
        <v>27</v>
      </c>
      <c r="E810" s="367">
        <v>85.559999999999988</v>
      </c>
      <c r="F810" s="41">
        <f t="shared" si="25"/>
        <v>0</v>
      </c>
    </row>
    <row r="811" spans="2:6" ht="14.4" customHeight="1" x14ac:dyDescent="0.3">
      <c r="B811" s="387" t="s">
        <v>738</v>
      </c>
      <c r="C811" s="310" t="s">
        <v>27</v>
      </c>
      <c r="E811" s="367">
        <v>84.179999999999993</v>
      </c>
      <c r="F811" s="41">
        <f t="shared" si="25"/>
        <v>0</v>
      </c>
    </row>
    <row r="812" spans="2:6" ht="14.4" customHeight="1" x14ac:dyDescent="0.3">
      <c r="B812" s="387" t="s">
        <v>739</v>
      </c>
      <c r="C812" s="386" t="s">
        <v>27</v>
      </c>
      <c r="E812" s="367">
        <v>62.099999999999987</v>
      </c>
      <c r="F812" s="41">
        <f t="shared" si="25"/>
        <v>0</v>
      </c>
    </row>
    <row r="813" spans="2:6" ht="14.4" customHeight="1" x14ac:dyDescent="0.3">
      <c r="B813" s="387" t="s">
        <v>740</v>
      </c>
      <c r="C813" s="310" t="s">
        <v>27</v>
      </c>
      <c r="E813" s="367">
        <v>24.84</v>
      </c>
      <c r="F813" s="41">
        <f t="shared" si="25"/>
        <v>0</v>
      </c>
    </row>
    <row r="814" spans="2:6" ht="14.4" customHeight="1" x14ac:dyDescent="0.3">
      <c r="B814" s="387" t="s">
        <v>741</v>
      </c>
      <c r="C814" s="310" t="s">
        <v>27</v>
      </c>
      <c r="E814" s="367">
        <v>22.08</v>
      </c>
      <c r="F814" s="41">
        <f t="shared" si="25"/>
        <v>0</v>
      </c>
    </row>
    <row r="815" spans="2:6" ht="14.4" customHeight="1" x14ac:dyDescent="0.3">
      <c r="B815" s="387" t="s">
        <v>742</v>
      </c>
      <c r="C815" s="310" t="s">
        <v>27</v>
      </c>
      <c r="E815" s="367">
        <v>16.559999999999999</v>
      </c>
      <c r="F815" s="41">
        <f t="shared" si="25"/>
        <v>0</v>
      </c>
    </row>
    <row r="816" spans="2:6" ht="14.4" customHeight="1" x14ac:dyDescent="0.3">
      <c r="B816" s="387" t="s">
        <v>743</v>
      </c>
      <c r="C816" s="386" t="s">
        <v>27</v>
      </c>
      <c r="E816" s="367">
        <v>22.08</v>
      </c>
      <c r="F816" s="41">
        <f t="shared" si="25"/>
        <v>0</v>
      </c>
    </row>
    <row r="817" spans="2:6" ht="14.4" customHeight="1" x14ac:dyDescent="0.3">
      <c r="B817" s="387" t="s">
        <v>744</v>
      </c>
      <c r="C817" s="386" t="s">
        <v>27</v>
      </c>
      <c r="E817" s="367">
        <v>22.08</v>
      </c>
      <c r="F817" s="41">
        <f t="shared" si="25"/>
        <v>0</v>
      </c>
    </row>
    <row r="818" spans="2:6" ht="14.4" customHeight="1" x14ac:dyDescent="0.3">
      <c r="B818" s="387" t="s">
        <v>635</v>
      </c>
      <c r="C818" s="386" t="s">
        <v>27</v>
      </c>
      <c r="E818" s="367">
        <v>6.4859999999999998</v>
      </c>
      <c r="F818" s="41">
        <f t="shared" si="25"/>
        <v>0</v>
      </c>
    </row>
    <row r="819" spans="2:6" ht="14.4" customHeight="1" x14ac:dyDescent="0.3">
      <c r="B819" s="387" t="s">
        <v>745</v>
      </c>
      <c r="C819" s="386" t="s">
        <v>27</v>
      </c>
      <c r="E819" s="367">
        <v>22.08</v>
      </c>
      <c r="F819" s="41">
        <f t="shared" si="25"/>
        <v>0</v>
      </c>
    </row>
    <row r="820" spans="2:6" ht="14.4" customHeight="1" x14ac:dyDescent="0.3">
      <c r="B820" s="387" t="s">
        <v>746</v>
      </c>
      <c r="C820" s="386" t="s">
        <v>27</v>
      </c>
      <c r="E820" s="367">
        <v>22.08</v>
      </c>
      <c r="F820" s="41">
        <f t="shared" si="25"/>
        <v>0</v>
      </c>
    </row>
    <row r="821" spans="2:6" ht="14.4" customHeight="1" x14ac:dyDescent="0.3">
      <c r="B821" s="387" t="s">
        <v>641</v>
      </c>
      <c r="C821" s="386" t="s">
        <v>27</v>
      </c>
      <c r="E821" s="367">
        <v>16.559999999999999</v>
      </c>
      <c r="F821" s="41">
        <f t="shared" si="25"/>
        <v>0</v>
      </c>
    </row>
    <row r="822" spans="2:6" ht="14.4" customHeight="1" x14ac:dyDescent="0.3">
      <c r="B822" s="387" t="s">
        <v>642</v>
      </c>
      <c r="C822" s="386" t="s">
        <v>27</v>
      </c>
      <c r="E822" s="367">
        <v>16.559999999999999</v>
      </c>
      <c r="F822" s="41">
        <f t="shared" si="25"/>
        <v>0</v>
      </c>
    </row>
    <row r="823" spans="2:6" ht="14.4" customHeight="1" x14ac:dyDescent="0.3">
      <c r="B823" s="387" t="s">
        <v>747</v>
      </c>
      <c r="C823" s="386" t="s">
        <v>27</v>
      </c>
      <c r="E823" s="367">
        <v>19.32</v>
      </c>
      <c r="F823" s="41">
        <f t="shared" si="25"/>
        <v>0</v>
      </c>
    </row>
    <row r="824" spans="2:6" ht="14.4" customHeight="1" x14ac:dyDescent="0.3">
      <c r="B824" s="387" t="s">
        <v>748</v>
      </c>
      <c r="C824" s="386" t="s">
        <v>27</v>
      </c>
      <c r="E824" s="367">
        <v>0.89699999999999991</v>
      </c>
      <c r="F824" s="41">
        <f t="shared" si="25"/>
        <v>0</v>
      </c>
    </row>
    <row r="825" spans="2:6" ht="14.4" customHeight="1" x14ac:dyDescent="0.3">
      <c r="B825" s="387" t="s">
        <v>749</v>
      </c>
      <c r="C825" s="386" t="s">
        <v>27</v>
      </c>
      <c r="E825" s="367">
        <v>0.89699999999999991</v>
      </c>
      <c r="F825" s="41">
        <f t="shared" si="25"/>
        <v>0</v>
      </c>
    </row>
    <row r="826" spans="2:6" ht="14.4" customHeight="1" x14ac:dyDescent="0.3">
      <c r="B826" s="387"/>
      <c r="C826" s="386"/>
      <c r="E826" s="367">
        <v>0</v>
      </c>
      <c r="F826" s="41">
        <f t="shared" si="25"/>
        <v>0</v>
      </c>
    </row>
    <row r="827" spans="2:6" ht="14.4" customHeight="1" x14ac:dyDescent="0.3">
      <c r="B827" s="387"/>
      <c r="C827" s="386"/>
      <c r="E827" s="367">
        <v>0</v>
      </c>
      <c r="F827" s="41">
        <f t="shared" si="25"/>
        <v>0</v>
      </c>
    </row>
    <row r="828" spans="2:6" ht="14.4" customHeight="1" x14ac:dyDescent="0.3">
      <c r="B828" s="306" t="s">
        <v>750</v>
      </c>
      <c r="C828" s="310" t="s">
        <v>27</v>
      </c>
      <c r="E828" s="367">
        <v>2.6219999999999999</v>
      </c>
      <c r="F828" s="41">
        <f t="shared" si="25"/>
        <v>0</v>
      </c>
    </row>
    <row r="829" spans="2:6" ht="14.4" customHeight="1" x14ac:dyDescent="0.3">
      <c r="B829" s="306" t="s">
        <v>369</v>
      </c>
      <c r="C829" s="310" t="s">
        <v>25</v>
      </c>
      <c r="E829" s="367">
        <v>2.76</v>
      </c>
      <c r="F829" s="41">
        <f t="shared" si="25"/>
        <v>0</v>
      </c>
    </row>
    <row r="830" spans="2:6" ht="14.4" customHeight="1" x14ac:dyDescent="0.3">
      <c r="B830" s="306" t="s">
        <v>671</v>
      </c>
      <c r="C830" s="310" t="s">
        <v>27</v>
      </c>
      <c r="E830" s="367">
        <v>36.432000000000002</v>
      </c>
      <c r="F830" s="41">
        <f t="shared" si="25"/>
        <v>0</v>
      </c>
    </row>
    <row r="831" spans="2:6" ht="14.4" customHeight="1" x14ac:dyDescent="0.3">
      <c r="B831" s="306" t="s">
        <v>672</v>
      </c>
      <c r="C831" s="310" t="s">
        <v>27</v>
      </c>
      <c r="E831" s="367">
        <v>31.74</v>
      </c>
      <c r="F831" s="41">
        <f t="shared" ref="F831:F846" si="26">E831*D831</f>
        <v>0</v>
      </c>
    </row>
    <row r="832" spans="2:6" ht="14.4" customHeight="1" x14ac:dyDescent="0.3">
      <c r="B832" s="306"/>
      <c r="C832" s="310"/>
      <c r="E832" s="367">
        <v>0</v>
      </c>
      <c r="F832" s="41">
        <f t="shared" si="26"/>
        <v>0</v>
      </c>
    </row>
    <row r="833" spans="2:6" ht="14.4" customHeight="1" x14ac:dyDescent="0.3">
      <c r="B833" s="391" t="s">
        <v>751</v>
      </c>
      <c r="C833" s="310"/>
      <c r="E833" s="367">
        <v>0</v>
      </c>
      <c r="F833" s="41">
        <f t="shared" si="26"/>
        <v>0</v>
      </c>
    </row>
    <row r="834" spans="2:6" ht="14.4" customHeight="1" x14ac:dyDescent="0.3">
      <c r="B834" s="306"/>
      <c r="C834" s="310"/>
      <c r="E834" s="367">
        <v>0</v>
      </c>
      <c r="F834" s="41">
        <f t="shared" si="26"/>
        <v>0</v>
      </c>
    </row>
    <row r="835" spans="2:6" ht="14.4" customHeight="1" x14ac:dyDescent="0.3">
      <c r="B835" s="387" t="s">
        <v>752</v>
      </c>
      <c r="C835" s="310" t="s">
        <v>27</v>
      </c>
      <c r="E835" s="367">
        <v>362.13959999999997</v>
      </c>
      <c r="F835" s="41">
        <f t="shared" si="26"/>
        <v>0</v>
      </c>
    </row>
    <row r="836" spans="2:6" ht="14.4" customHeight="1" x14ac:dyDescent="0.3">
      <c r="B836" s="387" t="s">
        <v>753</v>
      </c>
      <c r="C836" s="310" t="s">
        <v>27</v>
      </c>
      <c r="E836" s="367">
        <v>827.99999999999989</v>
      </c>
      <c r="F836" s="41">
        <f t="shared" si="26"/>
        <v>0</v>
      </c>
    </row>
    <row r="837" spans="2:6" ht="14.4" customHeight="1" x14ac:dyDescent="0.3">
      <c r="B837" s="387" t="s">
        <v>754</v>
      </c>
      <c r="C837" s="310" t="s">
        <v>27</v>
      </c>
      <c r="E837" s="367">
        <v>552</v>
      </c>
      <c r="F837" s="41">
        <f t="shared" si="26"/>
        <v>0</v>
      </c>
    </row>
    <row r="838" spans="2:6" ht="14.4" customHeight="1" x14ac:dyDescent="0.3">
      <c r="B838" s="387"/>
      <c r="C838" s="310"/>
      <c r="E838" s="367">
        <v>0</v>
      </c>
      <c r="F838" s="41">
        <f t="shared" si="26"/>
        <v>0</v>
      </c>
    </row>
    <row r="839" spans="2:6" ht="14.4" customHeight="1" x14ac:dyDescent="0.3">
      <c r="B839" s="387" t="s">
        <v>755</v>
      </c>
      <c r="C839" s="310" t="s">
        <v>27</v>
      </c>
      <c r="E839" s="367">
        <v>690</v>
      </c>
      <c r="F839" s="41">
        <f t="shared" si="26"/>
        <v>0</v>
      </c>
    </row>
    <row r="840" spans="2:6" ht="14.4" customHeight="1" x14ac:dyDescent="0.3">
      <c r="B840" s="387" t="s">
        <v>756</v>
      </c>
      <c r="C840" s="310" t="s">
        <v>27</v>
      </c>
      <c r="E840" s="367">
        <v>413.99999999999989</v>
      </c>
      <c r="F840" s="41">
        <f t="shared" si="26"/>
        <v>0</v>
      </c>
    </row>
    <row r="841" spans="2:6" ht="14.4" customHeight="1" x14ac:dyDescent="0.3">
      <c r="B841" s="387" t="s">
        <v>757</v>
      </c>
      <c r="C841" s="310" t="s">
        <v>27</v>
      </c>
      <c r="E841" s="367">
        <v>413.99999999999989</v>
      </c>
      <c r="F841" s="41">
        <f t="shared" si="26"/>
        <v>0</v>
      </c>
    </row>
    <row r="842" spans="2:6" ht="14.4" customHeight="1" x14ac:dyDescent="0.3">
      <c r="B842" s="387" t="s">
        <v>756</v>
      </c>
      <c r="C842" s="310" t="s">
        <v>27</v>
      </c>
      <c r="E842" s="367">
        <v>413.99999999999989</v>
      </c>
      <c r="F842" s="41">
        <f t="shared" si="26"/>
        <v>0</v>
      </c>
    </row>
    <row r="843" spans="2:6" ht="14.4" customHeight="1" x14ac:dyDescent="0.3">
      <c r="B843" s="387"/>
      <c r="C843" s="310" t="s">
        <v>27</v>
      </c>
      <c r="E843" s="367">
        <v>0</v>
      </c>
      <c r="F843" s="41">
        <f t="shared" si="26"/>
        <v>0</v>
      </c>
    </row>
    <row r="844" spans="2:6" ht="14.4" customHeight="1" x14ac:dyDescent="0.3">
      <c r="B844" s="387" t="s">
        <v>758</v>
      </c>
      <c r="C844" s="310" t="s">
        <v>27</v>
      </c>
      <c r="E844" s="367">
        <v>20.7</v>
      </c>
      <c r="F844" s="41">
        <f t="shared" si="26"/>
        <v>0</v>
      </c>
    </row>
    <row r="845" spans="2:6" ht="14.4" customHeight="1" x14ac:dyDescent="0.3">
      <c r="B845" s="387" t="s">
        <v>759</v>
      </c>
      <c r="C845" s="386" t="s">
        <v>27</v>
      </c>
      <c r="E845" s="367">
        <v>110.4</v>
      </c>
      <c r="F845" s="41">
        <f t="shared" si="26"/>
        <v>0</v>
      </c>
    </row>
    <row r="846" spans="2:6" ht="14.4" customHeight="1" x14ac:dyDescent="0.3">
      <c r="B846" s="387" t="s">
        <v>760</v>
      </c>
      <c r="C846" s="386" t="s">
        <v>27</v>
      </c>
      <c r="E846" s="308">
        <v>180</v>
      </c>
      <c r="F846" s="41">
        <f t="shared" si="26"/>
        <v>0</v>
      </c>
    </row>
    <row r="849" spans="2:8" ht="14.4" customHeight="1" x14ac:dyDescent="0.3">
      <c r="B849" s="307" t="s">
        <v>761</v>
      </c>
    </row>
    <row r="851" spans="2:8" ht="14.4" customHeight="1" x14ac:dyDescent="0.3">
      <c r="B851" t="s">
        <v>762</v>
      </c>
      <c r="C851" s="386" t="s">
        <v>27</v>
      </c>
      <c r="D851">
        <v>15</v>
      </c>
      <c r="E851" s="308">
        <v>30</v>
      </c>
      <c r="F851" s="41">
        <f>E851*D851</f>
        <v>450</v>
      </c>
      <c r="G851" t="s">
        <v>763</v>
      </c>
      <c r="H851" s="457" t="s">
        <v>764</v>
      </c>
    </row>
    <row r="852" spans="2:8" ht="14.4" customHeight="1" x14ac:dyDescent="0.3">
      <c r="B852" t="s">
        <v>765</v>
      </c>
      <c r="C852" s="386" t="s">
        <v>27</v>
      </c>
      <c r="E852" s="308">
        <v>0</v>
      </c>
      <c r="F852" s="41">
        <f>E852*D852</f>
        <v>0</v>
      </c>
    </row>
    <row r="853" spans="2:8" ht="12.45" customHeight="1" x14ac:dyDescent="0.25">
      <c r="B853" t="s">
        <v>766</v>
      </c>
      <c r="C853" t="s">
        <v>132</v>
      </c>
      <c r="D853">
        <v>1</v>
      </c>
      <c r="E853">
        <v>500</v>
      </c>
      <c r="F853">
        <f>E853*D853</f>
        <v>500</v>
      </c>
      <c r="H853" s="457" t="s">
        <v>767</v>
      </c>
    </row>
    <row r="854" spans="2:8" ht="13.2" x14ac:dyDescent="0.25">
      <c r="B854" t="s">
        <v>768</v>
      </c>
      <c r="C854" t="s">
        <v>371</v>
      </c>
      <c r="D854">
        <v>1</v>
      </c>
      <c r="E854">
        <v>260</v>
      </c>
      <c r="F854">
        <f>E854*D854</f>
        <v>260</v>
      </c>
      <c r="H854" s="484" t="s">
        <v>769</v>
      </c>
    </row>
    <row r="856" spans="2:8" x14ac:dyDescent="0.2">
      <c r="C856" s="487" t="s">
        <v>770</v>
      </c>
      <c r="D856" s="486"/>
      <c r="E856" s="488"/>
    </row>
    <row r="857" spans="2:8" x14ac:dyDescent="0.2">
      <c r="C857" s="486"/>
      <c r="D857" s="486"/>
      <c r="E857" s="488"/>
      <c r="F857" s="41">
        <f>SUM(F15:F856)</f>
        <v>90803.049856200494</v>
      </c>
    </row>
    <row r="858" spans="2:8" x14ac:dyDescent="0.2">
      <c r="C858" s="486"/>
      <c r="D858" s="486"/>
      <c r="E858" s="488"/>
    </row>
    <row r="860" spans="2:8" x14ac:dyDescent="0.2">
      <c r="E860" s="374" t="s">
        <v>771</v>
      </c>
      <c r="F860" s="375">
        <v>1.18</v>
      </c>
    </row>
    <row r="861" spans="2:8" x14ac:dyDescent="0.2">
      <c r="E861" s="435" t="s">
        <v>772</v>
      </c>
      <c r="F861" s="381">
        <v>2500</v>
      </c>
    </row>
    <row r="863" spans="2:8" x14ac:dyDescent="0.2">
      <c r="C863" s="487" t="s">
        <v>773</v>
      </c>
      <c r="D863" s="486"/>
      <c r="E863" s="488"/>
    </row>
    <row r="864" spans="2:8" x14ac:dyDescent="0.2">
      <c r="C864" s="486"/>
      <c r="D864" s="486"/>
      <c r="E864" s="488"/>
      <c r="F864" s="41">
        <f>F857*F860+F861</f>
        <v>109647.59883031658</v>
      </c>
    </row>
    <row r="865" spans="2:11" x14ac:dyDescent="0.2">
      <c r="C865" s="486"/>
      <c r="D865" s="486"/>
      <c r="E865" s="488"/>
    </row>
    <row r="869" spans="2:11" ht="10.8" customHeight="1" thickBot="1" x14ac:dyDescent="0.25"/>
    <row r="870" spans="2:11" s="114" customFormat="1" ht="15" customHeight="1" thickBot="1" x14ac:dyDescent="0.35">
      <c r="B870" s="167" t="s">
        <v>774</v>
      </c>
      <c r="C870" s="115"/>
      <c r="D870" s="116"/>
      <c r="E870" s="119"/>
      <c r="F870" s="119"/>
      <c r="G870" s="119"/>
      <c r="H870" s="118"/>
      <c r="K870" s="190"/>
    </row>
    <row r="871" spans="2:11" s="114" customFormat="1" ht="14.4" customHeight="1" x14ac:dyDescent="0.3">
      <c r="B871" s="120"/>
      <c r="C871" s="187" t="s">
        <v>775</v>
      </c>
      <c r="D871" s="187" t="s">
        <v>776</v>
      </c>
      <c r="E871" s="188"/>
      <c r="F871" s="188"/>
      <c r="G871" s="119"/>
      <c r="H871" s="118"/>
      <c r="K871" s="190"/>
    </row>
    <row r="872" spans="2:11" s="114" customFormat="1" ht="14.4" customHeight="1" x14ac:dyDescent="0.3">
      <c r="B872" s="392" t="s">
        <v>777</v>
      </c>
      <c r="C872" s="190">
        <f>C876</f>
        <v>71.359999999999985</v>
      </c>
      <c r="D872" s="190" t="s">
        <v>25</v>
      </c>
      <c r="E872" s="119"/>
      <c r="F872" s="119"/>
      <c r="G872" s="119"/>
      <c r="H872" s="118"/>
      <c r="K872" s="190"/>
    </row>
    <row r="873" spans="2:11" s="114" customFormat="1" ht="14.4" customHeight="1" x14ac:dyDescent="0.3">
      <c r="B873" s="318" t="s">
        <v>778</v>
      </c>
      <c r="C873" s="190">
        <v>0</v>
      </c>
      <c r="D873" s="190" t="s">
        <v>25</v>
      </c>
      <c r="E873" s="119"/>
      <c r="F873" s="119"/>
      <c r="G873" s="119"/>
      <c r="H873" s="118"/>
      <c r="K873" s="190"/>
    </row>
    <row r="874" spans="2:11" s="114" customFormat="1" ht="14.4" customHeight="1" x14ac:dyDescent="0.3">
      <c r="B874" s="318" t="s">
        <v>779</v>
      </c>
      <c r="C874" s="190">
        <v>0</v>
      </c>
      <c r="D874" s="190" t="s">
        <v>31</v>
      </c>
      <c r="E874" s="119"/>
      <c r="F874" s="119"/>
      <c r="G874" s="119"/>
      <c r="H874" s="118"/>
      <c r="K874" s="190"/>
    </row>
    <row r="875" spans="2:11" s="114" customFormat="1" ht="14.4" customHeight="1" x14ac:dyDescent="0.3">
      <c r="B875" s="318" t="s">
        <v>780</v>
      </c>
      <c r="C875" s="190">
        <v>0</v>
      </c>
      <c r="D875" s="190" t="s">
        <v>25</v>
      </c>
      <c r="E875" s="119"/>
      <c r="F875" s="119"/>
      <c r="G875" s="119"/>
      <c r="H875" s="118"/>
      <c r="K875" s="190"/>
    </row>
    <row r="876" spans="2:11" s="114" customFormat="1" ht="14.4" customHeight="1" x14ac:dyDescent="0.3">
      <c r="B876" s="392" t="s">
        <v>781</v>
      </c>
      <c r="C876" s="393">
        <f>D352+D695+D711</f>
        <v>71.359999999999985</v>
      </c>
      <c r="D876" s="190" t="s">
        <v>25</v>
      </c>
      <c r="E876" s="119"/>
      <c r="F876" s="119"/>
      <c r="G876" s="119"/>
      <c r="H876" s="118"/>
      <c r="K876" s="190"/>
    </row>
    <row r="877" spans="2:11" s="114" customFormat="1" ht="14.4" customHeight="1" x14ac:dyDescent="0.3">
      <c r="B877" s="392" t="s">
        <v>782</v>
      </c>
      <c r="C877" s="320"/>
      <c r="D877" s="190" t="s">
        <v>25</v>
      </c>
      <c r="E877" s="119"/>
      <c r="F877" s="119"/>
      <c r="G877" s="119"/>
      <c r="H877" s="118"/>
      <c r="K877" s="190"/>
    </row>
    <row r="878" spans="2:11" s="114" customFormat="1" ht="14.4" customHeight="1" x14ac:dyDescent="0.3">
      <c r="B878" s="392" t="s">
        <v>783</v>
      </c>
      <c r="C878" s="321">
        <v>0.1</v>
      </c>
      <c r="D878" s="190" t="s">
        <v>25</v>
      </c>
      <c r="F878" s="119"/>
      <c r="G878" s="119"/>
      <c r="H878" s="118"/>
      <c r="K878" s="190"/>
    </row>
    <row r="879" spans="2:11" s="114" customFormat="1" ht="14.4" customHeight="1" x14ac:dyDescent="0.3">
      <c r="B879" s="392" t="s">
        <v>784</v>
      </c>
      <c r="C879" s="321"/>
      <c r="D879" s="190" t="s">
        <v>25</v>
      </c>
      <c r="E879" s="394">
        <f>C879/(C876+C877)</f>
        <v>0</v>
      </c>
      <c r="F879" s="119"/>
      <c r="G879" s="119"/>
      <c r="H879" s="118"/>
      <c r="K879" s="190"/>
    </row>
    <row r="880" spans="2:11" s="114" customFormat="1" ht="14.4" customHeight="1" x14ac:dyDescent="0.3">
      <c r="B880" s="392" t="s">
        <v>785</v>
      </c>
      <c r="C880" s="321"/>
      <c r="D880" s="190" t="s">
        <v>25</v>
      </c>
      <c r="E880" s="394">
        <f>C880/(C876+C877)</f>
        <v>0</v>
      </c>
      <c r="F880" s="119"/>
      <c r="G880" s="119"/>
      <c r="H880" s="118"/>
      <c r="K880" s="190"/>
    </row>
    <row r="881" spans="2:15" s="114" customFormat="1" ht="14.4" customHeight="1" x14ac:dyDescent="0.3">
      <c r="B881" s="392" t="s">
        <v>786</v>
      </c>
      <c r="C881" s="321"/>
      <c r="D881" s="190" t="s">
        <v>25</v>
      </c>
      <c r="E881" s="394">
        <f>C881/(C876+C877)</f>
        <v>0</v>
      </c>
      <c r="F881" s="119"/>
      <c r="G881" s="119"/>
      <c r="H881" s="118"/>
      <c r="K881" s="190"/>
    </row>
    <row r="882" spans="2:15" s="114" customFormat="1" ht="14.4" customHeight="1" x14ac:dyDescent="0.3">
      <c r="B882" s="318"/>
      <c r="F882" s="119"/>
      <c r="G882" s="119"/>
      <c r="H882" s="118"/>
      <c r="K882" s="190"/>
    </row>
    <row r="883" spans="2:15" s="114" customFormat="1" ht="14.4" customHeight="1" x14ac:dyDescent="0.3">
      <c r="B883" s="120"/>
      <c r="E883" s="119"/>
      <c r="F883" s="119"/>
      <c r="G883" s="119"/>
      <c r="H883" s="118"/>
      <c r="K883" s="190"/>
    </row>
    <row r="884" spans="2:15" s="322" customFormat="1" ht="72" customHeight="1" x14ac:dyDescent="0.25">
      <c r="B884" s="323"/>
      <c r="C884" s="324" t="s">
        <v>787</v>
      </c>
      <c r="D884" s="324" t="s">
        <v>788</v>
      </c>
      <c r="E884" s="119" t="s">
        <v>789</v>
      </c>
      <c r="F884" s="395" t="s">
        <v>790</v>
      </c>
      <c r="G884" s="396" t="s">
        <v>791</v>
      </c>
      <c r="H884" s="325" t="s">
        <v>792</v>
      </c>
      <c r="I884" s="326" t="s">
        <v>793</v>
      </c>
      <c r="J884" s="326" t="s">
        <v>794</v>
      </c>
      <c r="K884" s="326" t="s">
        <v>795</v>
      </c>
      <c r="L884" s="396" t="s">
        <v>796</v>
      </c>
    </row>
    <row r="885" spans="2:15" s="114" customFormat="1" ht="14.4" customHeight="1" x14ac:dyDescent="0.3">
      <c r="B885" s="318" t="str">
        <f>B876</f>
        <v>L/M of Inground Pipe (Average Depth)</v>
      </c>
      <c r="C885" s="327">
        <v>0.95</v>
      </c>
      <c r="D885" s="327">
        <v>0.6</v>
      </c>
      <c r="E885" s="319">
        <f>C876</f>
        <v>71.359999999999985</v>
      </c>
      <c r="F885" s="397">
        <v>1.3</v>
      </c>
      <c r="G885" s="328">
        <f>C878</f>
        <v>0.1</v>
      </c>
      <c r="H885" s="192">
        <f>(C885*D885*E885)*F885-(C885*D885*E885*G885)</f>
        <v>48.810239999999986</v>
      </c>
      <c r="I885" s="329"/>
      <c r="J885" s="329"/>
      <c r="K885" s="330"/>
    </row>
    <row r="886" spans="2:15" s="114" customFormat="1" ht="14.4" customHeight="1" x14ac:dyDescent="0.3">
      <c r="B886" s="392" t="str">
        <f>B877</f>
        <v>L/M of Inground Pipe (Deeper Than Average Depth)</v>
      </c>
      <c r="C886" s="327">
        <v>1.1000000000000001</v>
      </c>
      <c r="D886" s="327">
        <v>0.5</v>
      </c>
      <c r="E886" s="319">
        <f>C877</f>
        <v>0</v>
      </c>
      <c r="F886" s="397">
        <v>1.3</v>
      </c>
      <c r="G886" s="327">
        <v>0</v>
      </c>
      <c r="H886" s="192">
        <f>(C886*D886*E886)*F886</f>
        <v>0</v>
      </c>
      <c r="I886" s="329"/>
      <c r="J886" s="329"/>
      <c r="K886" s="330"/>
    </row>
    <row r="887" spans="2:15" s="114" customFormat="1" ht="14.4" customHeight="1" x14ac:dyDescent="0.3">
      <c r="B887" s="392" t="s">
        <v>797</v>
      </c>
      <c r="C887" s="327">
        <v>0.35</v>
      </c>
      <c r="D887" s="328">
        <f>D885</f>
        <v>0.6</v>
      </c>
      <c r="E887" s="328">
        <f>E885</f>
        <v>71.359999999999985</v>
      </c>
      <c r="F887" s="397">
        <v>0</v>
      </c>
      <c r="G887" s="328">
        <f>C878</f>
        <v>0.1</v>
      </c>
      <c r="H887" s="192"/>
      <c r="I887" s="192">
        <f>(C887*D887*E887)-(C887*D887*E887*G887)</f>
        <v>13.487039999999997</v>
      </c>
      <c r="J887" s="192"/>
      <c r="K887" s="330"/>
    </row>
    <row r="888" spans="2:15" s="114" customFormat="1" ht="14.4" customHeight="1" x14ac:dyDescent="0.3">
      <c r="B888" s="392" t="s">
        <v>798</v>
      </c>
      <c r="C888" s="327">
        <v>0.2</v>
      </c>
      <c r="D888" s="328">
        <f>D886</f>
        <v>0.5</v>
      </c>
      <c r="E888" s="331">
        <f>E886</f>
        <v>0</v>
      </c>
      <c r="F888" s="397">
        <v>0</v>
      </c>
      <c r="G888" s="328">
        <f>G886</f>
        <v>0</v>
      </c>
      <c r="H888" s="192"/>
      <c r="I888" s="192">
        <f>(C888*D888*E888)-(C888*D888*E888*G888)</f>
        <v>0</v>
      </c>
      <c r="J888" s="192"/>
      <c r="K888" s="330"/>
    </row>
    <row r="889" spans="2:15" s="114" customFormat="1" ht="14.4" customHeight="1" x14ac:dyDescent="0.3">
      <c r="B889" s="392" t="s">
        <v>799</v>
      </c>
      <c r="C889" s="328">
        <f t="shared" ref="C889:E890" si="27">C885</f>
        <v>0.95</v>
      </c>
      <c r="D889" s="328">
        <f t="shared" si="27"/>
        <v>0.6</v>
      </c>
      <c r="E889" s="331">
        <f t="shared" si="27"/>
        <v>71.359999999999985</v>
      </c>
      <c r="F889" s="397">
        <v>1.3</v>
      </c>
      <c r="G889" s="328">
        <f>C878</f>
        <v>0.1</v>
      </c>
      <c r="H889" s="192"/>
      <c r="I889" s="192"/>
      <c r="J889" s="192">
        <f>(C889*D889*E889*F889)-(C889*D889*E889*G889)-I887</f>
        <v>35.323199999999986</v>
      </c>
      <c r="K889" s="330"/>
    </row>
    <row r="890" spans="2:15" s="114" customFormat="1" ht="14.4" customHeight="1" x14ac:dyDescent="0.3">
      <c r="B890" s="392" t="s">
        <v>800</v>
      </c>
      <c r="C890" s="328">
        <f t="shared" si="27"/>
        <v>1.1000000000000001</v>
      </c>
      <c r="D890" s="328">
        <f t="shared" si="27"/>
        <v>0.5</v>
      </c>
      <c r="E890" s="328">
        <f t="shared" si="27"/>
        <v>0</v>
      </c>
      <c r="F890" s="397">
        <v>1.3</v>
      </c>
      <c r="G890" s="328">
        <f>G886</f>
        <v>0</v>
      </c>
      <c r="H890" s="192"/>
      <c r="I890" s="192"/>
      <c r="J890" s="192">
        <f>(C890*D890*E890*F890)-(C890*D890*E890*G890)-I888</f>
        <v>0</v>
      </c>
      <c r="K890" s="330"/>
    </row>
    <row r="891" spans="2:15" s="114" customFormat="1" ht="15" customHeight="1" thickBot="1" x14ac:dyDescent="0.35">
      <c r="B891" s="318"/>
      <c r="C891" s="330"/>
      <c r="D891" s="330"/>
      <c r="E891" s="330"/>
      <c r="F891" s="398"/>
      <c r="G891" s="192"/>
      <c r="H891" s="330"/>
      <c r="I891" s="329"/>
      <c r="J891" s="329"/>
      <c r="K891" s="192" t="s">
        <v>801</v>
      </c>
      <c r="L891" s="332" t="s">
        <v>802</v>
      </c>
      <c r="M891" s="332" t="s">
        <v>803</v>
      </c>
    </row>
    <row r="892" spans="2:15" s="114" customFormat="1" ht="15" customHeight="1" thickBot="1" x14ac:dyDescent="0.35">
      <c r="B892" s="318"/>
      <c r="C892" s="330"/>
      <c r="D892" s="330"/>
      <c r="E892" s="330"/>
      <c r="F892" s="398"/>
      <c r="G892" s="192"/>
      <c r="H892" s="333">
        <f>SUM(H885:H891)</f>
        <v>48.810239999999986</v>
      </c>
      <c r="I892" s="333">
        <f>SUM(I885:I891)</f>
        <v>13.487039999999997</v>
      </c>
      <c r="J892" s="333">
        <f>SUM(J885:J891)</f>
        <v>35.323199999999986</v>
      </c>
      <c r="K892" s="334">
        <f>H892-J892</f>
        <v>13.48704</v>
      </c>
      <c r="L892" s="335">
        <v>15</v>
      </c>
      <c r="M892" s="336">
        <f>K892*L892</f>
        <v>202.3056</v>
      </c>
      <c r="O892" s="186"/>
    </row>
    <row r="893" spans="2:15" s="114" customFormat="1" ht="14.4" customHeight="1" x14ac:dyDescent="0.3">
      <c r="B893" s="318"/>
      <c r="C893" s="190"/>
      <c r="D893" s="190"/>
      <c r="E893" s="190"/>
      <c r="F893" s="398"/>
      <c r="G893" s="192"/>
      <c r="H893" s="118"/>
      <c r="K893" s="190"/>
      <c r="O893" s="329"/>
    </row>
    <row r="894" spans="2:15" s="114" customFormat="1" ht="14.4" customHeight="1" x14ac:dyDescent="0.3">
      <c r="B894" s="318"/>
      <c r="C894" s="190"/>
      <c r="D894" s="190"/>
      <c r="E894" s="190"/>
      <c r="F894" s="398"/>
      <c r="G894" s="192"/>
      <c r="H894" s="118"/>
      <c r="K894" s="190"/>
      <c r="O894" s="329"/>
    </row>
    <row r="895" spans="2:15" s="114" customFormat="1" ht="14.4" customHeight="1" x14ac:dyDescent="0.3">
      <c r="B895" s="318"/>
      <c r="C895" s="190"/>
      <c r="D895" s="190"/>
      <c r="E895" s="190"/>
      <c r="F895" s="398"/>
      <c r="G895" s="192"/>
      <c r="H895" s="118"/>
      <c r="K895" s="190"/>
      <c r="O895" s="329"/>
    </row>
    <row r="896" spans="2:15" s="114" customFormat="1" ht="14.4" customHeight="1" x14ac:dyDescent="0.3">
      <c r="B896" s="318"/>
      <c r="C896" s="190"/>
      <c r="D896" s="190"/>
      <c r="E896" s="190"/>
      <c r="F896" s="398"/>
      <c r="G896" s="192"/>
      <c r="H896" s="118"/>
      <c r="K896" s="190"/>
      <c r="O896" s="329"/>
    </row>
    <row r="897" spans="2:18" s="114" customFormat="1" ht="7.2" customHeight="1" x14ac:dyDescent="0.3">
      <c r="B897" s="337"/>
      <c r="C897" s="222"/>
      <c r="D897" s="222"/>
      <c r="E897" s="222"/>
      <c r="F897" s="223"/>
      <c r="G897" s="223"/>
      <c r="H897" s="224"/>
      <c r="I897" s="222"/>
      <c r="K897" s="190"/>
    </row>
    <row r="898" spans="2:18" s="114" customFormat="1" ht="14.4" customHeight="1" x14ac:dyDescent="0.3">
      <c r="B898" s="120" t="s">
        <v>804</v>
      </c>
      <c r="C898" s="190" t="s">
        <v>805</v>
      </c>
      <c r="D898" s="190" t="s">
        <v>775</v>
      </c>
      <c r="E898" s="119" t="s">
        <v>806</v>
      </c>
      <c r="F898" s="114" t="s">
        <v>771</v>
      </c>
      <c r="G898" s="188" t="s">
        <v>806</v>
      </c>
      <c r="H898" s="193" t="s">
        <v>807</v>
      </c>
      <c r="K898" s="190"/>
    </row>
    <row r="899" spans="2:18" s="114" customFormat="1" ht="14.4" customHeight="1" x14ac:dyDescent="0.3">
      <c r="B899" s="318"/>
      <c r="C899" s="190">
        <v>0.1</v>
      </c>
      <c r="D899" s="321"/>
      <c r="E899" s="190">
        <f>D899*C899</f>
        <v>0</v>
      </c>
      <c r="F899" s="398">
        <v>1.1000000000000001</v>
      </c>
      <c r="G899" s="191">
        <f>E899*F899</f>
        <v>0</v>
      </c>
      <c r="H899" s="118">
        <f>G899*E924</f>
        <v>0</v>
      </c>
      <c r="I899" s="189"/>
      <c r="K899" s="190"/>
    </row>
    <row r="900" spans="2:18" s="306" customFormat="1" ht="14.4" customHeight="1" x14ac:dyDescent="0.3">
      <c r="C900" s="310"/>
      <c r="D900" s="310"/>
      <c r="E900" s="308"/>
      <c r="F900" s="308"/>
    </row>
    <row r="901" spans="2:18" s="306" customFormat="1" ht="15" customHeight="1" thickBot="1" x14ac:dyDescent="0.35">
      <c r="C901" s="310"/>
      <c r="D901" s="310"/>
      <c r="E901" s="308"/>
      <c r="F901" s="308"/>
    </row>
    <row r="902" spans="2:18" s="306" customFormat="1" ht="15" customHeight="1" thickBot="1" x14ac:dyDescent="0.35">
      <c r="B902" s="167" t="s">
        <v>808</v>
      </c>
      <c r="C902" s="115"/>
      <c r="D902" s="116"/>
      <c r="E902" s="119"/>
      <c r="F902" s="119"/>
      <c r="G902" s="119"/>
      <c r="H902" s="118"/>
      <c r="I902" s="114"/>
      <c r="J902" s="114"/>
      <c r="K902" s="114"/>
      <c r="L902" s="114"/>
      <c r="M902" s="114"/>
      <c r="N902" s="114"/>
      <c r="O902" s="114"/>
      <c r="P902" s="114"/>
    </row>
    <row r="903" spans="2:18" s="306" customFormat="1" ht="15" customHeight="1" thickBot="1" x14ac:dyDescent="0.35">
      <c r="B903" s="186"/>
      <c r="C903" s="114"/>
      <c r="D903" s="114"/>
      <c r="E903" s="119"/>
      <c r="F903" s="119"/>
      <c r="G903" s="119"/>
      <c r="H903" s="118"/>
      <c r="I903" s="114"/>
      <c r="J903" s="114"/>
      <c r="K903" s="114"/>
      <c r="L903" s="114"/>
      <c r="M903" s="324">
        <v>1.4</v>
      </c>
      <c r="N903" s="114"/>
      <c r="O903" s="114"/>
      <c r="P903" s="114"/>
    </row>
    <row r="904" spans="2:18" s="338" customFormat="1" ht="43.8" customHeight="1" thickBot="1" x14ac:dyDescent="0.3">
      <c r="B904" s="339" t="s">
        <v>234</v>
      </c>
      <c r="C904" s="332" t="s">
        <v>809</v>
      </c>
      <c r="D904" s="332" t="s">
        <v>776</v>
      </c>
      <c r="E904" s="188" t="s">
        <v>802</v>
      </c>
      <c r="F904" s="188" t="s">
        <v>810</v>
      </c>
      <c r="G904" s="119"/>
      <c r="H904" s="119"/>
      <c r="I904" s="332" t="s">
        <v>801</v>
      </c>
      <c r="J904" s="326" t="s">
        <v>791</v>
      </c>
      <c r="K904" s="332" t="s">
        <v>811</v>
      </c>
      <c r="L904" s="332" t="s">
        <v>803</v>
      </c>
      <c r="M904" s="332" t="s">
        <v>771</v>
      </c>
      <c r="N904" s="340" t="s">
        <v>812</v>
      </c>
      <c r="O904" s="399" t="s">
        <v>813</v>
      </c>
      <c r="P904" s="396" t="s">
        <v>814</v>
      </c>
      <c r="Q904" s="400" t="s">
        <v>815</v>
      </c>
    </row>
    <row r="905" spans="2:18" s="306" customFormat="1" ht="15" customHeight="1" thickBot="1" x14ac:dyDescent="0.35">
      <c r="B905" s="114" t="s">
        <v>816</v>
      </c>
      <c r="C905" s="341">
        <v>0.20300000000000001</v>
      </c>
      <c r="D905" s="342" t="s">
        <v>817</v>
      </c>
      <c r="E905" s="343">
        <f>E917</f>
        <v>62</v>
      </c>
      <c r="F905" s="343">
        <f>E905*C905</f>
        <v>12.586</v>
      </c>
      <c r="G905" s="119"/>
      <c r="H905" s="118"/>
      <c r="I905" s="344">
        <f>C905*(C876+C877)</f>
        <v>14.486079999999998</v>
      </c>
      <c r="J905" s="328">
        <f>C878</f>
        <v>0.1</v>
      </c>
      <c r="K905" s="345">
        <f>I905-(I905*J905)</f>
        <v>13.037471999999998</v>
      </c>
      <c r="L905" s="189">
        <f>K905*E905</f>
        <v>808.32326399999988</v>
      </c>
      <c r="M905" s="308">
        <f>(L905*M903)-L905</f>
        <v>323.32930559999977</v>
      </c>
      <c r="N905" s="346">
        <f>L905*M903</f>
        <v>1131.6525695999997</v>
      </c>
      <c r="O905" s="189">
        <f>N905*E879</f>
        <v>0</v>
      </c>
      <c r="P905" s="114"/>
      <c r="Q905" s="308"/>
      <c r="R905" s="308"/>
    </row>
    <row r="906" spans="2:18" s="306" customFormat="1" ht="14.4" customHeight="1" x14ac:dyDescent="0.3">
      <c r="B906" s="114" t="s">
        <v>816</v>
      </c>
      <c r="C906" s="341">
        <v>0.14000000000000001</v>
      </c>
      <c r="D906" s="190" t="s">
        <v>818</v>
      </c>
      <c r="E906" s="119">
        <f>E917</f>
        <v>62</v>
      </c>
      <c r="F906" s="119">
        <f>(E906*C906)*1.95</f>
        <v>16.926000000000002</v>
      </c>
      <c r="G906" s="119"/>
      <c r="H906" s="118"/>
      <c r="I906" s="114"/>
      <c r="J906" s="114"/>
      <c r="L906" s="189"/>
      <c r="N906" s="347"/>
      <c r="O906" s="114"/>
      <c r="P906" s="114"/>
    </row>
    <row r="907" spans="2:18" s="306" customFormat="1" ht="14.4" customHeight="1" x14ac:dyDescent="0.3">
      <c r="B907" s="114" t="s">
        <v>819</v>
      </c>
      <c r="C907" s="341">
        <v>0.45</v>
      </c>
      <c r="D907" s="190" t="s">
        <v>817</v>
      </c>
      <c r="E907" s="119">
        <f>E918</f>
        <v>62</v>
      </c>
      <c r="F907" s="119">
        <f>E907*C907</f>
        <v>27.900000000000002</v>
      </c>
      <c r="G907" s="119"/>
      <c r="H907" s="118"/>
      <c r="I907" s="114">
        <v>0</v>
      </c>
      <c r="J907" s="114"/>
      <c r="L907" s="189">
        <f>I907*E907</f>
        <v>0</v>
      </c>
      <c r="N907" s="348">
        <f>L907*$L$289</f>
        <v>0</v>
      </c>
      <c r="O907" s="114"/>
      <c r="P907" s="114"/>
    </row>
    <row r="908" spans="2:18" s="306" customFormat="1" ht="15" customHeight="1" thickBot="1" x14ac:dyDescent="0.35">
      <c r="B908" s="114" t="s">
        <v>820</v>
      </c>
      <c r="C908" s="114">
        <v>0</v>
      </c>
      <c r="D908" s="190" t="s">
        <v>817</v>
      </c>
      <c r="E908" s="119">
        <f>E919</f>
        <v>25</v>
      </c>
      <c r="F908" s="119">
        <f>E908*C908</f>
        <v>0</v>
      </c>
      <c r="G908" s="119"/>
      <c r="H908" s="118"/>
      <c r="I908" s="114">
        <v>0</v>
      </c>
      <c r="J908" s="114"/>
      <c r="L908" s="189">
        <f>I908*E908</f>
        <v>0</v>
      </c>
      <c r="N908" s="348">
        <f>L908*$L$289</f>
        <v>0</v>
      </c>
      <c r="O908" s="114"/>
      <c r="P908" s="114"/>
    </row>
    <row r="909" spans="2:18" s="306" customFormat="1" ht="15" customHeight="1" thickBot="1" x14ac:dyDescent="0.35">
      <c r="B909" s="114" t="s">
        <v>821</v>
      </c>
      <c r="C909" s="341">
        <v>0.22500000000000001</v>
      </c>
      <c r="D909" s="342" t="s">
        <v>817</v>
      </c>
      <c r="E909" s="343">
        <f>E920</f>
        <v>62</v>
      </c>
      <c r="F909" s="343">
        <f>E909*C909</f>
        <v>13.950000000000001</v>
      </c>
      <c r="G909" s="119"/>
      <c r="H909" s="118"/>
      <c r="I909" s="344">
        <f>C909*(C876+C877)</f>
        <v>16.055999999999997</v>
      </c>
      <c r="J909" s="328">
        <f>C878</f>
        <v>0.1</v>
      </c>
      <c r="K909" s="345">
        <f>I909-(I909*J909)</f>
        <v>14.450399999999998</v>
      </c>
      <c r="L909" s="189">
        <f>K909*E909</f>
        <v>895.92479999999989</v>
      </c>
      <c r="M909" s="308">
        <f>(L909*M903)-L909</f>
        <v>358.36991999999998</v>
      </c>
      <c r="N909" s="346">
        <f>L909*M903</f>
        <v>1254.2947199999999</v>
      </c>
      <c r="O909" s="114"/>
      <c r="P909" s="189">
        <f>N909*E880</f>
        <v>0</v>
      </c>
      <c r="Q909" s="308">
        <f>N909*E881</f>
        <v>0</v>
      </c>
    </row>
    <row r="910" spans="2:18" s="306" customFormat="1" ht="14.4" customHeight="1" x14ac:dyDescent="0.3">
      <c r="B910" s="114" t="s">
        <v>821</v>
      </c>
      <c r="C910" s="341">
        <v>0.14000000000000001</v>
      </c>
      <c r="D910" s="190" t="s">
        <v>818</v>
      </c>
      <c r="E910" s="119">
        <f>E920</f>
        <v>62</v>
      </c>
      <c r="F910" s="119">
        <f>(E910*C910)*1.5</f>
        <v>13.020000000000003</v>
      </c>
      <c r="G910" s="119"/>
      <c r="H910" s="118"/>
      <c r="I910" s="114"/>
      <c r="J910" s="114"/>
      <c r="L910" s="189"/>
      <c r="N910" s="347"/>
      <c r="O910" s="114"/>
      <c r="P910" s="114"/>
    </row>
    <row r="911" spans="2:18" s="306" customFormat="1" ht="14.4" customHeight="1" x14ac:dyDescent="0.3">
      <c r="B911" s="114" t="s">
        <v>822</v>
      </c>
      <c r="C911" s="341">
        <v>0.36</v>
      </c>
      <c r="D911" s="190" t="s">
        <v>817</v>
      </c>
      <c r="E911" s="119">
        <f>F921</f>
        <v>27</v>
      </c>
      <c r="F911" s="119">
        <f>E911*C911</f>
        <v>9.7199999999999989</v>
      </c>
      <c r="G911" s="119"/>
      <c r="H911" s="118"/>
      <c r="I911" s="114">
        <f>C875*C911</f>
        <v>0</v>
      </c>
      <c r="J911" s="114"/>
      <c r="L911" s="189">
        <f>I911*E911</f>
        <v>0</v>
      </c>
      <c r="N911" s="348">
        <f>L911*$L$289</f>
        <v>0</v>
      </c>
      <c r="O911" s="114"/>
      <c r="P911" s="114"/>
    </row>
    <row r="912" spans="2:18" s="306" customFormat="1" ht="14.4" customHeight="1" x14ac:dyDescent="0.3">
      <c r="B912" s="114" t="s">
        <v>823</v>
      </c>
      <c r="C912" s="341">
        <v>0.36</v>
      </c>
      <c r="D912" s="190" t="s">
        <v>817</v>
      </c>
      <c r="E912" s="119">
        <f>F922</f>
        <v>30</v>
      </c>
      <c r="F912" s="119">
        <f>E912*C912</f>
        <v>10.799999999999999</v>
      </c>
      <c r="G912" s="119"/>
      <c r="H912" s="118"/>
      <c r="I912" s="114">
        <f>C912*C875</f>
        <v>0</v>
      </c>
      <c r="J912" s="114"/>
      <c r="L912" s="189">
        <f>I912*E912</f>
        <v>0</v>
      </c>
      <c r="N912" s="348">
        <f>L912*$L$289</f>
        <v>0</v>
      </c>
      <c r="O912" s="114"/>
      <c r="P912" s="114"/>
    </row>
    <row r="913" spans="2:16" s="306" customFormat="1" ht="15" customHeight="1" thickBot="1" x14ac:dyDescent="0.35">
      <c r="B913" s="114" t="s">
        <v>824</v>
      </c>
      <c r="C913" s="341">
        <v>0.3</v>
      </c>
      <c r="D913" s="190" t="s">
        <v>818</v>
      </c>
      <c r="E913" s="119">
        <f>N923</f>
        <v>0</v>
      </c>
      <c r="F913" s="119">
        <f>E913*C913</f>
        <v>0</v>
      </c>
      <c r="G913" s="119"/>
      <c r="H913" s="118"/>
      <c r="I913" s="114">
        <f>C913*C873</f>
        <v>0</v>
      </c>
      <c r="J913" s="114"/>
      <c r="L913" s="189">
        <f>E913*I913</f>
        <v>0</v>
      </c>
      <c r="N913" s="349">
        <f>L913*$L$289</f>
        <v>0</v>
      </c>
      <c r="O913" s="114"/>
      <c r="P913" s="114"/>
    </row>
    <row r="914" spans="2:16" s="306" customFormat="1" ht="15" customHeight="1" thickBot="1" x14ac:dyDescent="0.35">
      <c r="B914" s="114"/>
      <c r="C914" s="114"/>
      <c r="D914" s="190"/>
      <c r="E914" s="350"/>
      <c r="F914" s="350"/>
      <c r="G914" s="119"/>
      <c r="H914" s="118"/>
      <c r="I914" s="114"/>
      <c r="J914" s="114"/>
      <c r="K914" s="114"/>
      <c r="L914" s="114"/>
      <c r="M914" s="114"/>
      <c r="N914" s="114"/>
      <c r="O914" s="114"/>
      <c r="P914" s="114"/>
    </row>
    <row r="915" spans="2:16" s="306" customFormat="1" ht="14.4" customHeight="1" x14ac:dyDescent="0.3">
      <c r="B915" s="117"/>
      <c r="C915" s="351"/>
      <c r="D915" s="352"/>
      <c r="E915" s="353" t="s">
        <v>825</v>
      </c>
      <c r="F915" s="354" t="s">
        <v>826</v>
      </c>
      <c r="G915" s="118"/>
      <c r="H915" s="119"/>
      <c r="I915" s="119"/>
      <c r="J915" s="119"/>
      <c r="K915" s="119"/>
      <c r="L915" s="119"/>
      <c r="M915" s="119"/>
      <c r="N915" s="119"/>
      <c r="O915" s="119"/>
    </row>
    <row r="916" spans="2:16" s="306" customFormat="1" ht="15" customHeight="1" thickBot="1" x14ac:dyDescent="0.35">
      <c r="B916" s="355" t="s">
        <v>234</v>
      </c>
      <c r="C916" s="356"/>
      <c r="D916" s="357" t="s">
        <v>776</v>
      </c>
      <c r="E916" s="358" t="s">
        <v>802</v>
      </c>
      <c r="F916" s="358" t="s">
        <v>802</v>
      </c>
      <c r="G916" s="359"/>
      <c r="H916" s="119"/>
      <c r="I916" s="118"/>
      <c r="J916" s="119"/>
      <c r="K916" s="118"/>
      <c r="L916" s="119"/>
      <c r="M916" s="118"/>
      <c r="N916" s="119"/>
      <c r="O916" s="118"/>
    </row>
    <row r="917" spans="2:16" s="306" customFormat="1" ht="14.4" customHeight="1" x14ac:dyDescent="0.3">
      <c r="B917" s="114" t="s">
        <v>816</v>
      </c>
      <c r="C917" s="190"/>
      <c r="D917" s="360" t="s">
        <v>827</v>
      </c>
      <c r="E917" s="361">
        <v>62</v>
      </c>
      <c r="F917" s="362">
        <v>31</v>
      </c>
      <c r="G917" s="118"/>
      <c r="H917" s="119"/>
      <c r="I917" s="118"/>
      <c r="J917" s="119"/>
      <c r="K917" s="118"/>
      <c r="L917" s="119"/>
      <c r="M917" s="118"/>
      <c r="N917" s="119"/>
      <c r="O917" s="118"/>
    </row>
    <row r="918" spans="2:16" s="306" customFormat="1" ht="14.4" customHeight="1" x14ac:dyDescent="0.3">
      <c r="B918" s="114" t="s">
        <v>819</v>
      </c>
      <c r="C918" s="190"/>
      <c r="D918" s="360" t="s">
        <v>827</v>
      </c>
      <c r="E918" s="361">
        <v>62</v>
      </c>
      <c r="F918" s="363">
        <v>39</v>
      </c>
      <c r="G918" s="118"/>
      <c r="H918" s="119"/>
      <c r="I918" s="118"/>
      <c r="J918" s="119"/>
      <c r="K918" s="118"/>
      <c r="L918" s="119"/>
      <c r="M918" s="118"/>
      <c r="N918" s="119"/>
      <c r="O918" s="118"/>
    </row>
    <row r="919" spans="2:16" s="306" customFormat="1" ht="14.4" customHeight="1" x14ac:dyDescent="0.3">
      <c r="B919" s="114" t="s">
        <v>820</v>
      </c>
      <c r="C919" s="190"/>
      <c r="D919" s="360" t="s">
        <v>827</v>
      </c>
      <c r="E919" s="364">
        <v>25</v>
      </c>
      <c r="F919" s="363">
        <v>29</v>
      </c>
      <c r="G919" s="118"/>
      <c r="H919" s="119"/>
      <c r="I919" s="118"/>
      <c r="J919" s="401"/>
      <c r="K919" s="118"/>
      <c r="L919" s="119"/>
      <c r="M919" s="118"/>
      <c r="N919" s="119"/>
      <c r="O919" s="118"/>
    </row>
    <row r="920" spans="2:16" s="306" customFormat="1" ht="14.4" customHeight="1" x14ac:dyDescent="0.3">
      <c r="B920" s="114" t="s">
        <v>821</v>
      </c>
      <c r="C920" s="190"/>
      <c r="D920" s="360" t="s">
        <v>827</v>
      </c>
      <c r="E920" s="361">
        <v>62</v>
      </c>
      <c r="F920" s="363">
        <v>26</v>
      </c>
      <c r="G920" s="118"/>
      <c r="H920" s="119"/>
      <c r="I920" s="118"/>
      <c r="J920" s="119"/>
      <c r="K920" s="330"/>
      <c r="L920" s="401"/>
      <c r="M920" s="118"/>
      <c r="N920" s="119"/>
      <c r="O920" s="118"/>
    </row>
    <row r="921" spans="2:16" s="306" customFormat="1" ht="14.4" customHeight="1" x14ac:dyDescent="0.3">
      <c r="B921" s="114" t="s">
        <v>822</v>
      </c>
      <c r="C921" s="190"/>
      <c r="D921" s="360" t="s">
        <v>827</v>
      </c>
      <c r="E921" s="364">
        <v>48</v>
      </c>
      <c r="F921" s="363">
        <v>27</v>
      </c>
      <c r="G921" s="118"/>
      <c r="H921" s="119"/>
      <c r="I921" s="118"/>
      <c r="J921" s="119"/>
      <c r="K921" s="330"/>
      <c r="L921" s="401"/>
      <c r="M921" s="118"/>
      <c r="N921" s="119"/>
      <c r="O921" s="118"/>
    </row>
    <row r="922" spans="2:16" s="306" customFormat="1" ht="14.4" customHeight="1" x14ac:dyDescent="0.3">
      <c r="B922" s="114" t="s">
        <v>823</v>
      </c>
      <c r="C922" s="190"/>
      <c r="D922" s="360" t="s">
        <v>827</v>
      </c>
      <c r="E922" s="364">
        <v>50</v>
      </c>
      <c r="F922" s="363">
        <v>30</v>
      </c>
      <c r="G922" s="118"/>
      <c r="H922" s="119"/>
      <c r="I922" s="118"/>
      <c r="J922" s="119"/>
      <c r="K922" s="330"/>
      <c r="L922" s="401"/>
      <c r="M922" s="118"/>
      <c r="N922" s="119"/>
      <c r="O922" s="118"/>
    </row>
    <row r="923" spans="2:16" s="306" customFormat="1" ht="14.4" customHeight="1" x14ac:dyDescent="0.3">
      <c r="B923" s="114" t="s">
        <v>828</v>
      </c>
      <c r="C923" s="190"/>
      <c r="D923" s="360" t="s">
        <v>829</v>
      </c>
      <c r="E923" s="365">
        <v>168</v>
      </c>
      <c r="F923" s="363">
        <v>0</v>
      </c>
      <c r="G923" s="118"/>
      <c r="H923" s="119"/>
      <c r="I923" s="118"/>
      <c r="J923" s="119"/>
      <c r="K923" s="118"/>
      <c r="L923" s="119"/>
      <c r="M923" s="118"/>
      <c r="N923" s="119"/>
      <c r="O923" s="118"/>
    </row>
    <row r="924" spans="2:16" s="306" customFormat="1" ht="15" customHeight="1" thickBot="1" x14ac:dyDescent="0.35">
      <c r="B924" s="114" t="s">
        <v>830</v>
      </c>
      <c r="C924" s="330"/>
      <c r="D924" s="360" t="s">
        <v>829</v>
      </c>
      <c r="E924" s="366">
        <v>153</v>
      </c>
      <c r="F924" s="366">
        <v>0</v>
      </c>
      <c r="G924" s="118"/>
      <c r="H924" s="119"/>
      <c r="I924" s="118"/>
      <c r="J924" s="119"/>
      <c r="K924" s="330"/>
      <c r="L924" s="401"/>
      <c r="M924" s="118"/>
      <c r="N924" s="119"/>
      <c r="O924" s="118"/>
    </row>
  </sheetData>
  <mergeCells count="6">
    <mergeCell ref="A6:F6"/>
    <mergeCell ref="J14:P14"/>
    <mergeCell ref="C863:E865"/>
    <mergeCell ref="B9:G9"/>
    <mergeCell ref="C856:E858"/>
    <mergeCell ref="D14:E14"/>
  </mergeCells>
  <printOptions gridLines="1"/>
  <pageMargins left="0.46" right="0.42" top="0.37" bottom="0.4" header="0.39" footer="0.38"/>
  <pageSetup paperSize="8" scale="80"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R934"/>
  <sheetViews>
    <sheetView topLeftCell="A907" zoomScale="115" zoomScaleNormal="115" workbookViewId="0">
      <selection activeCell="O910" sqref="O910"/>
    </sheetView>
  </sheetViews>
  <sheetFormatPr defaultColWidth="9.21875" defaultRowHeight="10.199999999999999" x14ac:dyDescent="0.2"/>
  <cols>
    <col min="1" max="1" width="8.21875" style="38" customWidth="1"/>
    <col min="2" max="2" width="72.21875" style="38" customWidth="1"/>
    <col min="3" max="3" width="23.5546875" style="40" customWidth="1"/>
    <col min="4" max="4" width="10.44140625" style="40" customWidth="1"/>
    <col min="5" max="5" width="17.21875" style="41" customWidth="1"/>
    <col min="6" max="6" width="14.21875" style="41" customWidth="1"/>
    <col min="7" max="7" width="15.5546875" style="38" customWidth="1"/>
    <col min="8" max="11" width="9.21875" style="38" customWidth="1"/>
    <col min="12" max="12" width="10.33203125" style="38" bestFit="1" customWidth="1"/>
    <col min="13" max="13" width="9.21875" style="38" customWidth="1"/>
    <col min="14" max="14" width="10.44140625" style="38" bestFit="1" customWidth="1"/>
    <col min="15" max="237" width="9.21875" style="38" customWidth="1"/>
    <col min="238" max="238" width="8.21875" style="38" customWidth="1"/>
    <col min="239" max="239" width="70.44140625" style="38" bestFit="1" customWidth="1"/>
    <col min="240" max="240" width="11.44140625" style="38" customWidth="1"/>
    <col min="241" max="241" width="10.44140625" style="38" customWidth="1"/>
    <col min="242" max="242" width="13.21875" style="38" customWidth="1"/>
    <col min="243" max="243" width="14.21875" style="38" customWidth="1"/>
    <col min="244" max="244" width="12.21875" style="38" customWidth="1"/>
    <col min="245" max="493" width="9.21875" style="38" customWidth="1"/>
    <col min="494" max="494" width="8.21875" style="38" customWidth="1"/>
    <col min="495" max="495" width="70.44140625" style="38" bestFit="1" customWidth="1"/>
    <col min="496" max="496" width="11.44140625" style="38" customWidth="1"/>
    <col min="497" max="497" width="10.44140625" style="38" customWidth="1"/>
    <col min="498" max="498" width="13.21875" style="38" customWidth="1"/>
    <col min="499" max="499" width="14.21875" style="38" customWidth="1"/>
    <col min="500" max="500" width="12.21875" style="38" customWidth="1"/>
    <col min="501" max="749" width="9.21875" style="38" customWidth="1"/>
    <col min="750" max="750" width="8.21875" style="38" customWidth="1"/>
    <col min="751" max="751" width="70.44140625" style="38" bestFit="1" customWidth="1"/>
    <col min="752" max="752" width="11.44140625" style="38" customWidth="1"/>
    <col min="753" max="753" width="10.44140625" style="38" customWidth="1"/>
    <col min="754" max="754" width="13.21875" style="38" customWidth="1"/>
    <col min="755" max="755" width="14.21875" style="38" customWidth="1"/>
    <col min="756" max="756" width="12.21875" style="38" customWidth="1"/>
    <col min="757" max="1005" width="9.21875" style="38" customWidth="1"/>
    <col min="1006" max="1006" width="8.21875" style="38" customWidth="1"/>
    <col min="1007" max="1007" width="70.44140625" style="38" bestFit="1" customWidth="1"/>
    <col min="1008" max="1008" width="11.44140625" style="38" customWidth="1"/>
    <col min="1009" max="1009" width="10.44140625" style="38" customWidth="1"/>
    <col min="1010" max="1010" width="13.21875" style="38" customWidth="1"/>
    <col min="1011" max="1011" width="14.21875" style="38" customWidth="1"/>
    <col min="1012" max="1012" width="12.21875" style="38" customWidth="1"/>
    <col min="1013" max="1261" width="9.21875" style="38" customWidth="1"/>
    <col min="1262" max="1262" width="8.21875" style="38" customWidth="1"/>
    <col min="1263" max="1263" width="70.44140625" style="38" bestFit="1" customWidth="1"/>
    <col min="1264" max="1264" width="11.44140625" style="38" customWidth="1"/>
    <col min="1265" max="1265" width="10.44140625" style="38" customWidth="1"/>
    <col min="1266" max="1266" width="13.21875" style="38" customWidth="1"/>
    <col min="1267" max="1267" width="14.21875" style="38" customWidth="1"/>
    <col min="1268" max="1268" width="12.21875" style="38" customWidth="1"/>
    <col min="1269" max="1517" width="9.21875" style="38" customWidth="1"/>
    <col min="1518" max="1518" width="8.21875" style="38" customWidth="1"/>
    <col min="1519" max="1519" width="70.44140625" style="38" bestFit="1" customWidth="1"/>
    <col min="1520" max="1520" width="11.44140625" style="38" customWidth="1"/>
    <col min="1521" max="1521" width="10.44140625" style="38" customWidth="1"/>
    <col min="1522" max="1522" width="13.21875" style="38" customWidth="1"/>
    <col min="1523" max="1523" width="14.21875" style="38" customWidth="1"/>
    <col min="1524" max="1524" width="12.21875" style="38" customWidth="1"/>
    <col min="1525" max="1773" width="9.21875" style="38" customWidth="1"/>
    <col min="1774" max="1774" width="8.21875" style="38" customWidth="1"/>
    <col min="1775" max="1775" width="70.44140625" style="38" bestFit="1" customWidth="1"/>
    <col min="1776" max="1776" width="11.44140625" style="38" customWidth="1"/>
    <col min="1777" max="1777" width="10.44140625" style="38" customWidth="1"/>
    <col min="1778" max="1778" width="13.21875" style="38" customWidth="1"/>
    <col min="1779" max="1779" width="14.21875" style="38" customWidth="1"/>
    <col min="1780" max="1780" width="12.21875" style="38" customWidth="1"/>
    <col min="1781" max="2029" width="9.21875" style="38" customWidth="1"/>
    <col min="2030" max="2030" width="8.21875" style="38" customWidth="1"/>
    <col min="2031" max="2031" width="70.44140625" style="38" bestFit="1" customWidth="1"/>
    <col min="2032" max="2032" width="11.44140625" style="38" customWidth="1"/>
    <col min="2033" max="2033" width="10.44140625" style="38" customWidth="1"/>
    <col min="2034" max="2034" width="13.21875" style="38" customWidth="1"/>
    <col min="2035" max="2035" width="14.21875" style="38" customWidth="1"/>
    <col min="2036" max="2036" width="12.21875" style="38" customWidth="1"/>
    <col min="2037" max="2285" width="9.21875" style="38" customWidth="1"/>
    <col min="2286" max="2286" width="8.21875" style="38" customWidth="1"/>
    <col min="2287" max="2287" width="70.44140625" style="38" bestFit="1" customWidth="1"/>
    <col min="2288" max="2288" width="11.44140625" style="38" customWidth="1"/>
    <col min="2289" max="2289" width="10.44140625" style="38" customWidth="1"/>
    <col min="2290" max="2290" width="13.21875" style="38" customWidth="1"/>
    <col min="2291" max="2291" width="14.21875" style="38" customWidth="1"/>
    <col min="2292" max="2292" width="12.21875" style="38" customWidth="1"/>
    <col min="2293" max="2541" width="9.21875" style="38" customWidth="1"/>
    <col min="2542" max="2542" width="8.21875" style="38" customWidth="1"/>
    <col min="2543" max="2543" width="70.44140625" style="38" bestFit="1" customWidth="1"/>
    <col min="2544" max="2544" width="11.44140625" style="38" customWidth="1"/>
    <col min="2545" max="2545" width="10.44140625" style="38" customWidth="1"/>
    <col min="2546" max="2546" width="13.21875" style="38" customWidth="1"/>
    <col min="2547" max="2547" width="14.21875" style="38" customWidth="1"/>
    <col min="2548" max="2548" width="12.21875" style="38" customWidth="1"/>
    <col min="2549" max="2797" width="9.21875" style="38" customWidth="1"/>
    <col min="2798" max="2798" width="8.21875" style="38" customWidth="1"/>
    <col min="2799" max="2799" width="70.44140625" style="38" bestFit="1" customWidth="1"/>
    <col min="2800" max="2800" width="11.44140625" style="38" customWidth="1"/>
    <col min="2801" max="2801" width="10.44140625" style="38" customWidth="1"/>
    <col min="2802" max="2802" width="13.21875" style="38" customWidth="1"/>
    <col min="2803" max="2803" width="14.21875" style="38" customWidth="1"/>
    <col min="2804" max="2804" width="12.21875" style="38" customWidth="1"/>
    <col min="2805" max="3053" width="9.21875" style="38" customWidth="1"/>
    <col min="3054" max="3054" width="8.21875" style="38" customWidth="1"/>
    <col min="3055" max="3055" width="70.44140625" style="38" bestFit="1" customWidth="1"/>
    <col min="3056" max="3056" width="11.44140625" style="38" customWidth="1"/>
    <col min="3057" max="3057" width="10.44140625" style="38" customWidth="1"/>
    <col min="3058" max="3058" width="13.21875" style="38" customWidth="1"/>
    <col min="3059" max="3059" width="14.21875" style="38" customWidth="1"/>
    <col min="3060" max="3060" width="12.21875" style="38" customWidth="1"/>
    <col min="3061" max="3309" width="9.21875" style="38" customWidth="1"/>
    <col min="3310" max="3310" width="8.21875" style="38" customWidth="1"/>
    <col min="3311" max="3311" width="70.44140625" style="38" bestFit="1" customWidth="1"/>
    <col min="3312" max="3312" width="11.44140625" style="38" customWidth="1"/>
    <col min="3313" max="3313" width="10.44140625" style="38" customWidth="1"/>
    <col min="3314" max="3314" width="13.21875" style="38" customWidth="1"/>
    <col min="3315" max="3315" width="14.21875" style="38" customWidth="1"/>
    <col min="3316" max="3316" width="12.21875" style="38" customWidth="1"/>
    <col min="3317" max="3565" width="9.21875" style="38" customWidth="1"/>
    <col min="3566" max="3566" width="8.21875" style="38" customWidth="1"/>
    <col min="3567" max="3567" width="70.44140625" style="38" bestFit="1" customWidth="1"/>
    <col min="3568" max="3568" width="11.44140625" style="38" customWidth="1"/>
    <col min="3569" max="3569" width="10.44140625" style="38" customWidth="1"/>
    <col min="3570" max="3570" width="13.21875" style="38" customWidth="1"/>
    <col min="3571" max="3571" width="14.21875" style="38" customWidth="1"/>
    <col min="3572" max="3572" width="12.21875" style="38" customWidth="1"/>
    <col min="3573" max="3821" width="9.21875" style="38" customWidth="1"/>
    <col min="3822" max="3822" width="8.21875" style="38" customWidth="1"/>
    <col min="3823" max="3823" width="70.44140625" style="38" bestFit="1" customWidth="1"/>
    <col min="3824" max="3824" width="11.44140625" style="38" customWidth="1"/>
    <col min="3825" max="3825" width="10.44140625" style="38" customWidth="1"/>
    <col min="3826" max="3826" width="13.21875" style="38" customWidth="1"/>
    <col min="3827" max="3827" width="14.21875" style="38" customWidth="1"/>
    <col min="3828" max="3828" width="12.21875" style="38" customWidth="1"/>
    <col min="3829" max="4077" width="9.21875" style="38" customWidth="1"/>
    <col min="4078" max="4078" width="8.21875" style="38" customWidth="1"/>
    <col min="4079" max="4079" width="70.44140625" style="38" bestFit="1" customWidth="1"/>
    <col min="4080" max="4080" width="11.44140625" style="38" customWidth="1"/>
    <col min="4081" max="4081" width="10.44140625" style="38" customWidth="1"/>
    <col min="4082" max="4082" width="13.21875" style="38" customWidth="1"/>
    <col min="4083" max="4083" width="14.21875" style="38" customWidth="1"/>
    <col min="4084" max="4084" width="12.21875" style="38" customWidth="1"/>
    <col min="4085" max="4333" width="9.21875" style="38" customWidth="1"/>
    <col min="4334" max="4334" width="8.21875" style="38" customWidth="1"/>
    <col min="4335" max="4335" width="70.44140625" style="38" bestFit="1" customWidth="1"/>
    <col min="4336" max="4336" width="11.44140625" style="38" customWidth="1"/>
    <col min="4337" max="4337" width="10.44140625" style="38" customWidth="1"/>
    <col min="4338" max="4338" width="13.21875" style="38" customWidth="1"/>
    <col min="4339" max="4339" width="14.21875" style="38" customWidth="1"/>
    <col min="4340" max="4340" width="12.21875" style="38" customWidth="1"/>
    <col min="4341" max="4589" width="9.21875" style="38" customWidth="1"/>
    <col min="4590" max="4590" width="8.21875" style="38" customWidth="1"/>
    <col min="4591" max="4591" width="70.44140625" style="38" bestFit="1" customWidth="1"/>
    <col min="4592" max="4592" width="11.44140625" style="38" customWidth="1"/>
    <col min="4593" max="4593" width="10.44140625" style="38" customWidth="1"/>
    <col min="4594" max="4594" width="13.21875" style="38" customWidth="1"/>
    <col min="4595" max="4595" width="14.21875" style="38" customWidth="1"/>
    <col min="4596" max="4596" width="12.21875" style="38" customWidth="1"/>
    <col min="4597" max="4845" width="9.21875" style="38" customWidth="1"/>
    <col min="4846" max="4846" width="8.21875" style="38" customWidth="1"/>
    <col min="4847" max="4847" width="70.44140625" style="38" bestFit="1" customWidth="1"/>
    <col min="4848" max="4848" width="11.44140625" style="38" customWidth="1"/>
    <col min="4849" max="4849" width="10.44140625" style="38" customWidth="1"/>
    <col min="4850" max="4850" width="13.21875" style="38" customWidth="1"/>
    <col min="4851" max="4851" width="14.21875" style="38" customWidth="1"/>
    <col min="4852" max="4852" width="12.21875" style="38" customWidth="1"/>
    <col min="4853" max="5101" width="9.21875" style="38" customWidth="1"/>
    <col min="5102" max="5102" width="8.21875" style="38" customWidth="1"/>
    <col min="5103" max="5103" width="70.44140625" style="38" bestFit="1" customWidth="1"/>
    <col min="5104" max="5104" width="11.44140625" style="38" customWidth="1"/>
    <col min="5105" max="5105" width="10.44140625" style="38" customWidth="1"/>
    <col min="5106" max="5106" width="13.21875" style="38" customWidth="1"/>
    <col min="5107" max="5107" width="14.21875" style="38" customWidth="1"/>
    <col min="5108" max="5108" width="12.21875" style="38" customWidth="1"/>
    <col min="5109" max="5357" width="9.21875" style="38" customWidth="1"/>
    <col min="5358" max="5358" width="8.21875" style="38" customWidth="1"/>
    <col min="5359" max="5359" width="70.44140625" style="38" bestFit="1" customWidth="1"/>
    <col min="5360" max="5360" width="11.44140625" style="38" customWidth="1"/>
    <col min="5361" max="5361" width="10.44140625" style="38" customWidth="1"/>
    <col min="5362" max="5362" width="13.21875" style="38" customWidth="1"/>
    <col min="5363" max="5363" width="14.21875" style="38" customWidth="1"/>
    <col min="5364" max="5364" width="12.21875" style="38" customWidth="1"/>
    <col min="5365" max="5613" width="9.21875" style="38" customWidth="1"/>
    <col min="5614" max="5614" width="8.21875" style="38" customWidth="1"/>
    <col min="5615" max="5615" width="70.44140625" style="38" bestFit="1" customWidth="1"/>
    <col min="5616" max="5616" width="11.44140625" style="38" customWidth="1"/>
    <col min="5617" max="5617" width="10.44140625" style="38" customWidth="1"/>
    <col min="5618" max="5618" width="13.21875" style="38" customWidth="1"/>
    <col min="5619" max="5619" width="14.21875" style="38" customWidth="1"/>
    <col min="5620" max="5620" width="12.21875" style="38" customWidth="1"/>
    <col min="5621" max="5869" width="9.21875" style="38" customWidth="1"/>
    <col min="5870" max="5870" width="8.21875" style="38" customWidth="1"/>
    <col min="5871" max="5871" width="70.44140625" style="38" bestFit="1" customWidth="1"/>
    <col min="5872" max="5872" width="11.44140625" style="38" customWidth="1"/>
    <col min="5873" max="5873" width="10.44140625" style="38" customWidth="1"/>
    <col min="5874" max="5874" width="13.21875" style="38" customWidth="1"/>
    <col min="5875" max="5875" width="14.21875" style="38" customWidth="1"/>
    <col min="5876" max="5876" width="12.21875" style="38" customWidth="1"/>
    <col min="5877" max="6125" width="9.21875" style="38" customWidth="1"/>
    <col min="6126" max="6126" width="8.21875" style="38" customWidth="1"/>
    <col min="6127" max="6127" width="70.44140625" style="38" bestFit="1" customWidth="1"/>
    <col min="6128" max="6128" width="11.44140625" style="38" customWidth="1"/>
    <col min="6129" max="6129" width="10.44140625" style="38" customWidth="1"/>
    <col min="6130" max="6130" width="13.21875" style="38" customWidth="1"/>
    <col min="6131" max="6131" width="14.21875" style="38" customWidth="1"/>
    <col min="6132" max="6132" width="12.21875" style="38" customWidth="1"/>
    <col min="6133" max="6381" width="9.21875" style="38" customWidth="1"/>
    <col min="6382" max="6382" width="8.21875" style="38" customWidth="1"/>
    <col min="6383" max="6383" width="70.44140625" style="38" bestFit="1" customWidth="1"/>
    <col min="6384" max="6384" width="11.44140625" style="38" customWidth="1"/>
    <col min="6385" max="6385" width="10.44140625" style="38" customWidth="1"/>
    <col min="6386" max="6386" width="13.21875" style="38" customWidth="1"/>
    <col min="6387" max="6387" width="14.21875" style="38" customWidth="1"/>
    <col min="6388" max="6388" width="12.21875" style="38" customWidth="1"/>
    <col min="6389" max="6637" width="9.21875" style="38" customWidth="1"/>
    <col min="6638" max="6638" width="8.21875" style="38" customWidth="1"/>
    <col min="6639" max="6639" width="70.44140625" style="38" bestFit="1" customWidth="1"/>
    <col min="6640" max="6640" width="11.44140625" style="38" customWidth="1"/>
    <col min="6641" max="6641" width="10.44140625" style="38" customWidth="1"/>
    <col min="6642" max="6642" width="13.21875" style="38" customWidth="1"/>
    <col min="6643" max="6643" width="14.21875" style="38" customWidth="1"/>
    <col min="6644" max="6644" width="12.21875" style="38" customWidth="1"/>
    <col min="6645" max="6893" width="9.21875" style="38" customWidth="1"/>
    <col min="6894" max="6894" width="8.21875" style="38" customWidth="1"/>
    <col min="6895" max="6895" width="70.44140625" style="38" bestFit="1" customWidth="1"/>
    <col min="6896" max="6896" width="11.44140625" style="38" customWidth="1"/>
    <col min="6897" max="6897" width="10.44140625" style="38" customWidth="1"/>
    <col min="6898" max="6898" width="13.21875" style="38" customWidth="1"/>
    <col min="6899" max="6899" width="14.21875" style="38" customWidth="1"/>
    <col min="6900" max="6900" width="12.21875" style="38" customWidth="1"/>
    <col min="6901" max="7149" width="9.21875" style="38" customWidth="1"/>
    <col min="7150" max="7150" width="8.21875" style="38" customWidth="1"/>
    <col min="7151" max="7151" width="70.44140625" style="38" bestFit="1" customWidth="1"/>
    <col min="7152" max="7152" width="11.44140625" style="38" customWidth="1"/>
    <col min="7153" max="7153" width="10.44140625" style="38" customWidth="1"/>
    <col min="7154" max="7154" width="13.21875" style="38" customWidth="1"/>
    <col min="7155" max="7155" width="14.21875" style="38" customWidth="1"/>
    <col min="7156" max="7156" width="12.21875" style="38" customWidth="1"/>
    <col min="7157" max="7405" width="9.21875" style="38" customWidth="1"/>
    <col min="7406" max="7406" width="8.21875" style="38" customWidth="1"/>
    <col min="7407" max="7407" width="70.44140625" style="38" bestFit="1" customWidth="1"/>
    <col min="7408" max="7408" width="11.44140625" style="38" customWidth="1"/>
    <col min="7409" max="7409" width="10.44140625" style="38" customWidth="1"/>
    <col min="7410" max="7410" width="13.21875" style="38" customWidth="1"/>
    <col min="7411" max="7411" width="14.21875" style="38" customWidth="1"/>
    <col min="7412" max="7412" width="12.21875" style="38" customWidth="1"/>
    <col min="7413" max="7661" width="9.21875" style="38" customWidth="1"/>
    <col min="7662" max="7662" width="8.21875" style="38" customWidth="1"/>
    <col min="7663" max="7663" width="70.44140625" style="38" bestFit="1" customWidth="1"/>
    <col min="7664" max="7664" width="11.44140625" style="38" customWidth="1"/>
    <col min="7665" max="7665" width="10.44140625" style="38" customWidth="1"/>
    <col min="7666" max="7666" width="13.21875" style="38" customWidth="1"/>
    <col min="7667" max="7667" width="14.21875" style="38" customWidth="1"/>
    <col min="7668" max="7668" width="12.21875" style="38" customWidth="1"/>
    <col min="7669" max="7917" width="9.21875" style="38" customWidth="1"/>
    <col min="7918" max="7918" width="8.21875" style="38" customWidth="1"/>
    <col min="7919" max="7919" width="70.44140625" style="38" bestFit="1" customWidth="1"/>
    <col min="7920" max="7920" width="11.44140625" style="38" customWidth="1"/>
    <col min="7921" max="7921" width="10.44140625" style="38" customWidth="1"/>
    <col min="7922" max="7922" width="13.21875" style="38" customWidth="1"/>
    <col min="7923" max="7923" width="14.21875" style="38" customWidth="1"/>
    <col min="7924" max="7924" width="12.21875" style="38" customWidth="1"/>
    <col min="7925" max="8173" width="9.21875" style="38" customWidth="1"/>
    <col min="8174" max="8174" width="8.21875" style="38" customWidth="1"/>
    <col min="8175" max="8175" width="70.44140625" style="38" bestFit="1" customWidth="1"/>
    <col min="8176" max="8176" width="11.44140625" style="38" customWidth="1"/>
    <col min="8177" max="8177" width="10.44140625" style="38" customWidth="1"/>
    <col min="8178" max="8178" width="13.21875" style="38" customWidth="1"/>
    <col min="8179" max="8179" width="14.21875" style="38" customWidth="1"/>
    <col min="8180" max="8180" width="12.21875" style="38" customWidth="1"/>
    <col min="8181" max="8429" width="9.21875" style="38" customWidth="1"/>
    <col min="8430" max="8430" width="8.21875" style="38" customWidth="1"/>
    <col min="8431" max="8431" width="70.44140625" style="38" bestFit="1" customWidth="1"/>
    <col min="8432" max="8432" width="11.44140625" style="38" customWidth="1"/>
    <col min="8433" max="8433" width="10.44140625" style="38" customWidth="1"/>
    <col min="8434" max="8434" width="13.21875" style="38" customWidth="1"/>
    <col min="8435" max="8435" width="14.21875" style="38" customWidth="1"/>
    <col min="8436" max="8436" width="12.21875" style="38" customWidth="1"/>
    <col min="8437" max="8685" width="9.21875" style="38" customWidth="1"/>
    <col min="8686" max="8686" width="8.21875" style="38" customWidth="1"/>
    <col min="8687" max="8687" width="70.44140625" style="38" bestFit="1" customWidth="1"/>
    <col min="8688" max="8688" width="11.44140625" style="38" customWidth="1"/>
    <col min="8689" max="8689" width="10.44140625" style="38" customWidth="1"/>
    <col min="8690" max="8690" width="13.21875" style="38" customWidth="1"/>
    <col min="8691" max="8691" width="14.21875" style="38" customWidth="1"/>
    <col min="8692" max="8692" width="12.21875" style="38" customWidth="1"/>
    <col min="8693" max="8941" width="9.21875" style="38" customWidth="1"/>
    <col min="8942" max="8942" width="8.21875" style="38" customWidth="1"/>
    <col min="8943" max="8943" width="70.44140625" style="38" bestFit="1" customWidth="1"/>
    <col min="8944" max="8944" width="11.44140625" style="38" customWidth="1"/>
    <col min="8945" max="8945" width="10.44140625" style="38" customWidth="1"/>
    <col min="8946" max="8946" width="13.21875" style="38" customWidth="1"/>
    <col min="8947" max="8947" width="14.21875" style="38" customWidth="1"/>
    <col min="8948" max="8948" width="12.21875" style="38" customWidth="1"/>
    <col min="8949" max="9197" width="9.21875" style="38" customWidth="1"/>
    <col min="9198" max="9198" width="8.21875" style="38" customWidth="1"/>
    <col min="9199" max="9199" width="70.44140625" style="38" bestFit="1" customWidth="1"/>
    <col min="9200" max="9200" width="11.44140625" style="38" customWidth="1"/>
    <col min="9201" max="9201" width="10.44140625" style="38" customWidth="1"/>
    <col min="9202" max="9202" width="13.21875" style="38" customWidth="1"/>
    <col min="9203" max="9203" width="14.21875" style="38" customWidth="1"/>
    <col min="9204" max="9204" width="12.21875" style="38" customWidth="1"/>
    <col min="9205" max="9453" width="9.21875" style="38" customWidth="1"/>
    <col min="9454" max="9454" width="8.21875" style="38" customWidth="1"/>
    <col min="9455" max="9455" width="70.44140625" style="38" bestFit="1" customWidth="1"/>
    <col min="9456" max="9456" width="11.44140625" style="38" customWidth="1"/>
    <col min="9457" max="9457" width="10.44140625" style="38" customWidth="1"/>
    <col min="9458" max="9458" width="13.21875" style="38" customWidth="1"/>
    <col min="9459" max="9459" width="14.21875" style="38" customWidth="1"/>
    <col min="9460" max="9460" width="12.21875" style="38" customWidth="1"/>
    <col min="9461" max="9709" width="9.21875" style="38" customWidth="1"/>
    <col min="9710" max="9710" width="8.21875" style="38" customWidth="1"/>
    <col min="9711" max="9711" width="70.44140625" style="38" bestFit="1" customWidth="1"/>
    <col min="9712" max="9712" width="11.44140625" style="38" customWidth="1"/>
    <col min="9713" max="9713" width="10.44140625" style="38" customWidth="1"/>
    <col min="9714" max="9714" width="13.21875" style="38" customWidth="1"/>
    <col min="9715" max="9715" width="14.21875" style="38" customWidth="1"/>
    <col min="9716" max="9716" width="12.21875" style="38" customWidth="1"/>
    <col min="9717" max="9965" width="9.21875" style="38" customWidth="1"/>
    <col min="9966" max="9966" width="8.21875" style="38" customWidth="1"/>
    <col min="9967" max="9967" width="70.44140625" style="38" bestFit="1" customWidth="1"/>
    <col min="9968" max="9968" width="11.44140625" style="38" customWidth="1"/>
    <col min="9969" max="9969" width="10.44140625" style="38" customWidth="1"/>
    <col min="9970" max="9970" width="13.21875" style="38" customWidth="1"/>
    <col min="9971" max="9971" width="14.21875" style="38" customWidth="1"/>
    <col min="9972" max="9972" width="12.21875" style="38" customWidth="1"/>
    <col min="9973" max="10221" width="9.21875" style="38" customWidth="1"/>
    <col min="10222" max="10222" width="8.21875" style="38" customWidth="1"/>
    <col min="10223" max="10223" width="70.44140625" style="38" bestFit="1" customWidth="1"/>
    <col min="10224" max="10224" width="11.44140625" style="38" customWidth="1"/>
    <col min="10225" max="10225" width="10.44140625" style="38" customWidth="1"/>
    <col min="10226" max="10226" width="13.21875" style="38" customWidth="1"/>
    <col min="10227" max="10227" width="14.21875" style="38" customWidth="1"/>
    <col min="10228" max="10228" width="12.21875" style="38" customWidth="1"/>
    <col min="10229" max="10477" width="9.21875" style="38" customWidth="1"/>
    <col min="10478" max="10478" width="8.21875" style="38" customWidth="1"/>
    <col min="10479" max="10479" width="70.44140625" style="38" bestFit="1" customWidth="1"/>
    <col min="10480" max="10480" width="11.44140625" style="38" customWidth="1"/>
    <col min="10481" max="10481" width="10.44140625" style="38" customWidth="1"/>
    <col min="10482" max="10482" width="13.21875" style="38" customWidth="1"/>
    <col min="10483" max="10483" width="14.21875" style="38" customWidth="1"/>
    <col min="10484" max="10484" width="12.21875" style="38" customWidth="1"/>
    <col min="10485" max="10733" width="9.21875" style="38" customWidth="1"/>
    <col min="10734" max="10734" width="8.21875" style="38" customWidth="1"/>
    <col min="10735" max="10735" width="70.44140625" style="38" bestFit="1" customWidth="1"/>
    <col min="10736" max="10736" width="11.44140625" style="38" customWidth="1"/>
    <col min="10737" max="10737" width="10.44140625" style="38" customWidth="1"/>
    <col min="10738" max="10738" width="13.21875" style="38" customWidth="1"/>
    <col min="10739" max="10739" width="14.21875" style="38" customWidth="1"/>
    <col min="10740" max="10740" width="12.21875" style="38" customWidth="1"/>
    <col min="10741" max="10989" width="9.21875" style="38" customWidth="1"/>
    <col min="10990" max="10990" width="8.21875" style="38" customWidth="1"/>
    <col min="10991" max="10991" width="70.44140625" style="38" bestFit="1" customWidth="1"/>
    <col min="10992" max="10992" width="11.44140625" style="38" customWidth="1"/>
    <col min="10993" max="10993" width="10.44140625" style="38" customWidth="1"/>
    <col min="10994" max="10994" width="13.21875" style="38" customWidth="1"/>
    <col min="10995" max="10995" width="14.21875" style="38" customWidth="1"/>
    <col min="10996" max="10996" width="12.21875" style="38" customWidth="1"/>
    <col min="10997" max="11245" width="9.21875" style="38" customWidth="1"/>
    <col min="11246" max="11246" width="8.21875" style="38" customWidth="1"/>
    <col min="11247" max="11247" width="70.44140625" style="38" bestFit="1" customWidth="1"/>
    <col min="11248" max="11248" width="11.44140625" style="38" customWidth="1"/>
    <col min="11249" max="11249" width="10.44140625" style="38" customWidth="1"/>
    <col min="11250" max="11250" width="13.21875" style="38" customWidth="1"/>
    <col min="11251" max="11251" width="14.21875" style="38" customWidth="1"/>
    <col min="11252" max="11252" width="12.21875" style="38" customWidth="1"/>
    <col min="11253" max="11501" width="9.21875" style="38" customWidth="1"/>
    <col min="11502" max="11502" width="8.21875" style="38" customWidth="1"/>
    <col min="11503" max="11503" width="70.44140625" style="38" bestFit="1" customWidth="1"/>
    <col min="11504" max="11504" width="11.44140625" style="38" customWidth="1"/>
    <col min="11505" max="11505" width="10.44140625" style="38" customWidth="1"/>
    <col min="11506" max="11506" width="13.21875" style="38" customWidth="1"/>
    <col min="11507" max="11507" width="14.21875" style="38" customWidth="1"/>
    <col min="11508" max="11508" width="12.21875" style="38" customWidth="1"/>
    <col min="11509" max="11757" width="9.21875" style="38" customWidth="1"/>
    <col min="11758" max="11758" width="8.21875" style="38" customWidth="1"/>
    <col min="11759" max="11759" width="70.44140625" style="38" bestFit="1" customWidth="1"/>
    <col min="11760" max="11760" width="11.44140625" style="38" customWidth="1"/>
    <col min="11761" max="11761" width="10.44140625" style="38" customWidth="1"/>
    <col min="11762" max="11762" width="13.21875" style="38" customWidth="1"/>
    <col min="11763" max="11763" width="14.21875" style="38" customWidth="1"/>
    <col min="11764" max="11764" width="12.21875" style="38" customWidth="1"/>
    <col min="11765" max="12013" width="9.21875" style="38" customWidth="1"/>
    <col min="12014" max="12014" width="8.21875" style="38" customWidth="1"/>
    <col min="12015" max="12015" width="70.44140625" style="38" bestFit="1" customWidth="1"/>
    <col min="12016" max="12016" width="11.44140625" style="38" customWidth="1"/>
    <col min="12017" max="12017" width="10.44140625" style="38" customWidth="1"/>
    <col min="12018" max="12018" width="13.21875" style="38" customWidth="1"/>
    <col min="12019" max="12019" width="14.21875" style="38" customWidth="1"/>
    <col min="12020" max="12020" width="12.21875" style="38" customWidth="1"/>
    <col min="12021" max="12269" width="9.21875" style="38" customWidth="1"/>
    <col min="12270" max="12270" width="8.21875" style="38" customWidth="1"/>
    <col min="12271" max="12271" width="70.44140625" style="38" bestFit="1" customWidth="1"/>
    <col min="12272" max="12272" width="11.44140625" style="38" customWidth="1"/>
    <col min="12273" max="12273" width="10.44140625" style="38" customWidth="1"/>
    <col min="12274" max="12274" width="13.21875" style="38" customWidth="1"/>
    <col min="12275" max="12275" width="14.21875" style="38" customWidth="1"/>
    <col min="12276" max="12276" width="12.21875" style="38" customWidth="1"/>
    <col min="12277" max="12525" width="9.21875" style="38" customWidth="1"/>
    <col min="12526" max="12526" width="8.21875" style="38" customWidth="1"/>
    <col min="12527" max="12527" width="70.44140625" style="38" bestFit="1" customWidth="1"/>
    <col min="12528" max="12528" width="11.44140625" style="38" customWidth="1"/>
    <col min="12529" max="12529" width="10.44140625" style="38" customWidth="1"/>
    <col min="12530" max="12530" width="13.21875" style="38" customWidth="1"/>
    <col min="12531" max="12531" width="14.21875" style="38" customWidth="1"/>
    <col min="12532" max="12532" width="12.21875" style="38" customWidth="1"/>
    <col min="12533" max="12781" width="9.21875" style="38" customWidth="1"/>
    <col min="12782" max="12782" width="8.21875" style="38" customWidth="1"/>
    <col min="12783" max="12783" width="70.44140625" style="38" bestFit="1" customWidth="1"/>
    <col min="12784" max="12784" width="11.44140625" style="38" customWidth="1"/>
    <col min="12785" max="12785" width="10.44140625" style="38" customWidth="1"/>
    <col min="12786" max="12786" width="13.21875" style="38" customWidth="1"/>
    <col min="12787" max="12787" width="14.21875" style="38" customWidth="1"/>
    <col min="12788" max="12788" width="12.21875" style="38" customWidth="1"/>
    <col min="12789" max="13037" width="9.21875" style="38" customWidth="1"/>
    <col min="13038" max="13038" width="8.21875" style="38" customWidth="1"/>
    <col min="13039" max="13039" width="70.44140625" style="38" bestFit="1" customWidth="1"/>
    <col min="13040" max="13040" width="11.44140625" style="38" customWidth="1"/>
    <col min="13041" max="13041" width="10.44140625" style="38" customWidth="1"/>
    <col min="13042" max="13042" width="13.21875" style="38" customWidth="1"/>
    <col min="13043" max="13043" width="14.21875" style="38" customWidth="1"/>
    <col min="13044" max="13044" width="12.21875" style="38" customWidth="1"/>
    <col min="13045" max="13293" width="9.21875" style="38" customWidth="1"/>
    <col min="13294" max="13294" width="8.21875" style="38" customWidth="1"/>
    <col min="13295" max="13295" width="70.44140625" style="38" bestFit="1" customWidth="1"/>
    <col min="13296" max="13296" width="11.44140625" style="38" customWidth="1"/>
    <col min="13297" max="13297" width="10.44140625" style="38" customWidth="1"/>
    <col min="13298" max="13298" width="13.21875" style="38" customWidth="1"/>
    <col min="13299" max="13299" width="14.21875" style="38" customWidth="1"/>
    <col min="13300" max="13300" width="12.21875" style="38" customWidth="1"/>
    <col min="13301" max="13549" width="9.21875" style="38" customWidth="1"/>
    <col min="13550" max="13550" width="8.21875" style="38" customWidth="1"/>
    <col min="13551" max="13551" width="70.44140625" style="38" bestFit="1" customWidth="1"/>
    <col min="13552" max="13552" width="11.44140625" style="38" customWidth="1"/>
    <col min="13553" max="13553" width="10.44140625" style="38" customWidth="1"/>
    <col min="13554" max="13554" width="13.21875" style="38" customWidth="1"/>
    <col min="13555" max="13555" width="14.21875" style="38" customWidth="1"/>
    <col min="13556" max="13556" width="12.21875" style="38" customWidth="1"/>
    <col min="13557" max="13805" width="9.21875" style="38" customWidth="1"/>
    <col min="13806" max="13806" width="8.21875" style="38" customWidth="1"/>
    <col min="13807" max="13807" width="70.44140625" style="38" bestFit="1" customWidth="1"/>
    <col min="13808" max="13808" width="11.44140625" style="38" customWidth="1"/>
    <col min="13809" max="13809" width="10.44140625" style="38" customWidth="1"/>
    <col min="13810" max="13810" width="13.21875" style="38" customWidth="1"/>
    <col min="13811" max="13811" width="14.21875" style="38" customWidth="1"/>
    <col min="13812" max="13812" width="12.21875" style="38" customWidth="1"/>
    <col min="13813" max="14061" width="9.21875" style="38" customWidth="1"/>
    <col min="14062" max="14062" width="8.21875" style="38" customWidth="1"/>
    <col min="14063" max="14063" width="70.44140625" style="38" bestFit="1" customWidth="1"/>
    <col min="14064" max="14064" width="11.44140625" style="38" customWidth="1"/>
    <col min="14065" max="14065" width="10.44140625" style="38" customWidth="1"/>
    <col min="14066" max="14066" width="13.21875" style="38" customWidth="1"/>
    <col min="14067" max="14067" width="14.21875" style="38" customWidth="1"/>
    <col min="14068" max="14068" width="12.21875" style="38" customWidth="1"/>
    <col min="14069" max="14317" width="9.21875" style="38" customWidth="1"/>
    <col min="14318" max="14318" width="8.21875" style="38" customWidth="1"/>
    <col min="14319" max="14319" width="70.44140625" style="38" bestFit="1" customWidth="1"/>
    <col min="14320" max="14320" width="11.44140625" style="38" customWidth="1"/>
    <col min="14321" max="14321" width="10.44140625" style="38" customWidth="1"/>
    <col min="14322" max="14322" width="13.21875" style="38" customWidth="1"/>
    <col min="14323" max="14323" width="14.21875" style="38" customWidth="1"/>
    <col min="14324" max="14324" width="12.21875" style="38" customWidth="1"/>
    <col min="14325" max="14573" width="9.21875" style="38" customWidth="1"/>
    <col min="14574" max="14574" width="8.21875" style="38" customWidth="1"/>
    <col min="14575" max="14575" width="70.44140625" style="38" bestFit="1" customWidth="1"/>
    <col min="14576" max="14576" width="11.44140625" style="38" customWidth="1"/>
    <col min="14577" max="14577" width="10.44140625" style="38" customWidth="1"/>
    <col min="14578" max="14578" width="13.21875" style="38" customWidth="1"/>
    <col min="14579" max="14579" width="14.21875" style="38" customWidth="1"/>
    <col min="14580" max="14580" width="12.21875" style="38" customWidth="1"/>
    <col min="14581" max="14829" width="9.21875" style="38" customWidth="1"/>
    <col min="14830" max="14830" width="8.21875" style="38" customWidth="1"/>
    <col min="14831" max="14831" width="70.44140625" style="38" bestFit="1" customWidth="1"/>
    <col min="14832" max="14832" width="11.44140625" style="38" customWidth="1"/>
    <col min="14833" max="14833" width="10.44140625" style="38" customWidth="1"/>
    <col min="14834" max="14834" width="13.21875" style="38" customWidth="1"/>
    <col min="14835" max="14835" width="14.21875" style="38" customWidth="1"/>
    <col min="14836" max="14836" width="12.21875" style="38" customWidth="1"/>
    <col min="14837" max="15085" width="9.21875" style="38" customWidth="1"/>
    <col min="15086" max="15086" width="8.21875" style="38" customWidth="1"/>
    <col min="15087" max="15087" width="70.44140625" style="38" bestFit="1" customWidth="1"/>
    <col min="15088" max="15088" width="11.44140625" style="38" customWidth="1"/>
    <col min="15089" max="15089" width="10.44140625" style="38" customWidth="1"/>
    <col min="15090" max="15090" width="13.21875" style="38" customWidth="1"/>
    <col min="15091" max="15091" width="14.21875" style="38" customWidth="1"/>
    <col min="15092" max="15092" width="12.21875" style="38" customWidth="1"/>
    <col min="15093" max="15341" width="9.21875" style="38" customWidth="1"/>
    <col min="15342" max="15342" width="8.21875" style="38" customWidth="1"/>
    <col min="15343" max="15343" width="70.44140625" style="38" bestFit="1" customWidth="1"/>
    <col min="15344" max="15344" width="11.44140625" style="38" customWidth="1"/>
    <col min="15345" max="15345" width="10.44140625" style="38" customWidth="1"/>
    <col min="15346" max="15346" width="13.21875" style="38" customWidth="1"/>
    <col min="15347" max="15347" width="14.21875" style="38" customWidth="1"/>
    <col min="15348" max="15348" width="12.21875" style="38" customWidth="1"/>
    <col min="15349" max="15597" width="9.21875" style="38" customWidth="1"/>
    <col min="15598" max="15598" width="8.21875" style="38" customWidth="1"/>
    <col min="15599" max="15599" width="70.44140625" style="38" bestFit="1" customWidth="1"/>
    <col min="15600" max="15600" width="11.44140625" style="38" customWidth="1"/>
    <col min="15601" max="15601" width="10.44140625" style="38" customWidth="1"/>
    <col min="15602" max="15602" width="13.21875" style="38" customWidth="1"/>
    <col min="15603" max="15603" width="14.21875" style="38" customWidth="1"/>
    <col min="15604" max="15604" width="12.21875" style="38" customWidth="1"/>
    <col min="15605" max="15853" width="9.21875" style="38" customWidth="1"/>
    <col min="15854" max="15854" width="8.21875" style="38" customWidth="1"/>
    <col min="15855" max="15855" width="70.44140625" style="38" bestFit="1" customWidth="1"/>
    <col min="15856" max="15856" width="11.44140625" style="38" customWidth="1"/>
    <col min="15857" max="15857" width="10.44140625" style="38" customWidth="1"/>
    <col min="15858" max="15858" width="13.21875" style="38" customWidth="1"/>
    <col min="15859" max="15859" width="14.21875" style="38" customWidth="1"/>
    <col min="15860" max="15860" width="12.21875" style="38" customWidth="1"/>
    <col min="15861" max="16109" width="9.21875" style="38" customWidth="1"/>
    <col min="16110" max="16110" width="8.21875" style="38" customWidth="1"/>
    <col min="16111" max="16111" width="70.44140625" style="38" bestFit="1" customWidth="1"/>
    <col min="16112" max="16112" width="11.44140625" style="38" customWidth="1"/>
    <col min="16113" max="16113" width="10.44140625" style="38" customWidth="1"/>
    <col min="16114" max="16114" width="13.21875" style="38" customWidth="1"/>
    <col min="16115" max="16115" width="14.21875" style="38" customWidth="1"/>
    <col min="16116" max="16116" width="12.21875" style="38" customWidth="1"/>
    <col min="16117" max="16384" width="9.21875" style="38" customWidth="1"/>
  </cols>
  <sheetData>
    <row r="1" spans="1:16" ht="10.5" customHeight="1" x14ac:dyDescent="0.2">
      <c r="B1" s="39" t="s">
        <v>0</v>
      </c>
    </row>
    <row r="2" spans="1:16" ht="10.5" customHeight="1" x14ac:dyDescent="0.2">
      <c r="B2" s="39" t="s">
        <v>1</v>
      </c>
    </row>
    <row r="3" spans="1:16" x14ac:dyDescent="0.2">
      <c r="B3" s="38" t="s">
        <v>2</v>
      </c>
    </row>
    <row r="4" spans="1:16" ht="13.8" customHeight="1" x14ac:dyDescent="0.25">
      <c r="A4" s="42" t="s">
        <v>3</v>
      </c>
      <c r="B4" s="43"/>
    </row>
    <row r="5" spans="1:16" ht="10.8" customHeight="1" thickBot="1" x14ac:dyDescent="0.25">
      <c r="A5" s="42"/>
      <c r="B5" s="126"/>
    </row>
    <row r="6" spans="1:16" ht="6" customHeight="1" x14ac:dyDescent="0.2">
      <c r="A6" s="491"/>
      <c r="B6" s="492"/>
      <c r="C6" s="486"/>
      <c r="D6" s="486"/>
      <c r="E6" s="488"/>
      <c r="F6" s="488"/>
    </row>
    <row r="7" spans="1:16" s="40" customFormat="1" ht="10.5" customHeight="1" x14ac:dyDescent="0.2">
      <c r="A7" s="38"/>
      <c r="B7" s="153"/>
      <c r="E7" s="41"/>
      <c r="F7" s="41"/>
    </row>
    <row r="8" spans="1:16" s="40" customFormat="1" ht="10.5" customHeight="1" x14ac:dyDescent="0.2">
      <c r="A8" s="42"/>
      <c r="B8" s="39"/>
      <c r="C8" s="42"/>
      <c r="D8" s="42"/>
      <c r="E8" s="41"/>
      <c r="F8" s="41"/>
    </row>
    <row r="9" spans="1:16" s="40" customFormat="1" ht="15.6" customHeight="1" x14ac:dyDescent="0.3">
      <c r="A9" s="255">
        <v>1</v>
      </c>
      <c r="B9" s="489" t="s">
        <v>4</v>
      </c>
      <c r="C9" s="486"/>
      <c r="D9" s="486"/>
      <c r="E9" s="486"/>
      <c r="F9" s="486"/>
      <c r="G9" s="486"/>
    </row>
    <row r="10" spans="1:16" s="40" customFormat="1" ht="10.5" customHeight="1" x14ac:dyDescent="0.2">
      <c r="A10" s="42"/>
      <c r="B10" s="39"/>
      <c r="C10" s="42"/>
      <c r="D10" s="42"/>
      <c r="E10" s="41"/>
      <c r="F10" s="41"/>
    </row>
    <row r="11" spans="1:16" s="40" customFormat="1" ht="10.8" customHeight="1" thickBot="1" x14ac:dyDescent="0.25">
      <c r="A11" s="42"/>
      <c r="B11" s="39"/>
      <c r="C11" s="42"/>
      <c r="D11" s="42"/>
      <c r="E11" s="41"/>
      <c r="F11" s="41"/>
    </row>
    <row r="12" spans="1:16" s="40" customFormat="1" ht="10.8" customHeight="1" thickBot="1" x14ac:dyDescent="0.25">
      <c r="A12" s="42"/>
      <c r="B12" s="47" t="s">
        <v>5</v>
      </c>
      <c r="C12" s="42"/>
      <c r="D12" s="42"/>
      <c r="E12" s="41"/>
      <c r="F12" s="41"/>
    </row>
    <row r="13" spans="1:16" s="40" customFormat="1" ht="5.25" customHeight="1" x14ac:dyDescent="0.25">
      <c r="A13" s="42"/>
      <c r="B13" s="39"/>
      <c r="C13" s="42"/>
      <c r="D13" s="42"/>
      <c r="E13" s="41"/>
      <c r="F13" s="41"/>
      <c r="G13" s="473" t="s">
        <v>6</v>
      </c>
      <c r="H13" s="473" t="s">
        <v>7</v>
      </c>
    </row>
    <row r="14" spans="1:16" s="40" customFormat="1" ht="12.75" customHeight="1" x14ac:dyDescent="0.2">
      <c r="A14" s="38"/>
      <c r="B14" s="185" t="s">
        <v>8</v>
      </c>
      <c r="C14" s="42"/>
      <c r="D14" s="490"/>
      <c r="E14" s="486"/>
      <c r="F14" s="41"/>
      <c r="J14" s="485" t="s">
        <v>9</v>
      </c>
      <c r="K14" s="486"/>
      <c r="L14" s="486"/>
      <c r="M14" s="486"/>
      <c r="N14" s="486"/>
      <c r="O14" s="486"/>
      <c r="P14" s="486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10</v>
      </c>
      <c r="D15" s="315"/>
      <c r="E15" s="41">
        <f>'LabourProject Rates_Master'!$E$15</f>
        <v>1329.6342857142856</v>
      </c>
      <c r="F15" s="41">
        <f t="shared" ref="F15:F23" si="0">E15*D15</f>
        <v>0</v>
      </c>
    </row>
    <row r="16" spans="1:16" s="40" customFormat="1" ht="11.55" customHeight="1" x14ac:dyDescent="0.2">
      <c r="A16" s="38"/>
      <c r="B16" s="38" t="str">
        <f>'LabourProject Rates_Master'!$B$23</f>
        <v>TRADESMAN_PLUMBER_OPERATOR</v>
      </c>
      <c r="C16" s="40" t="s">
        <v>10</v>
      </c>
      <c r="D16" s="315"/>
      <c r="E16" s="41">
        <f>'LabourProject Rates_Master'!$E$22</f>
        <v>1016.4579067669171</v>
      </c>
      <c r="F16" s="41">
        <f t="shared" si="0"/>
        <v>0</v>
      </c>
      <c r="K16" s="143" t="s">
        <v>11</v>
      </c>
      <c r="L16" s="183">
        <v>0.38</v>
      </c>
      <c r="M16" s="40">
        <v>1.38</v>
      </c>
    </row>
    <row r="17" spans="1:13" s="40" customFormat="1" ht="11.55" customHeight="1" x14ac:dyDescent="0.2">
      <c r="A17" s="42"/>
      <c r="B17" s="38" t="str">
        <f>'LabourProject Rates_Master'!$B$30</f>
        <v>T/A &amp; Apprentice</v>
      </c>
      <c r="C17" s="40" t="s">
        <v>10</v>
      </c>
      <c r="D17" s="315"/>
      <c r="E17" s="41">
        <f>'LabourProject Rates_Master'!$E$29</f>
        <v>829.51028571428571</v>
      </c>
      <c r="F17" s="41">
        <f t="shared" si="0"/>
        <v>0</v>
      </c>
      <c r="K17" s="143" t="s">
        <v>12</v>
      </c>
      <c r="L17" s="183">
        <v>0.38</v>
      </c>
      <c r="M17" s="40">
        <v>1.38</v>
      </c>
    </row>
    <row r="18" spans="1:13" s="40" customFormat="1" ht="11.55" customHeight="1" x14ac:dyDescent="0.2">
      <c r="A18" s="42"/>
      <c r="B18" s="38" t="str">
        <f>'LabourProject Rates_Master'!$B$36</f>
        <v>Crew #1 - InGround Drainage</v>
      </c>
      <c r="C18" s="40" t="s">
        <v>10</v>
      </c>
      <c r="D18" s="315">
        <v>23</v>
      </c>
      <c r="E18" s="41">
        <f>'LabourProject Rates_Master'!$E$37</f>
        <v>2862.42609924812</v>
      </c>
      <c r="F18" s="41">
        <f t="shared" si="0"/>
        <v>65835.800282706754</v>
      </c>
      <c r="H18" s="457" t="s">
        <v>1119</v>
      </c>
      <c r="K18" s="143" t="s">
        <v>14</v>
      </c>
      <c r="L18" s="183">
        <v>0.15</v>
      </c>
      <c r="M18" s="40">
        <v>1.1499999999999999</v>
      </c>
    </row>
    <row r="19" spans="1:13" s="40" customFormat="1" ht="10.5" customHeight="1" x14ac:dyDescent="0.2">
      <c r="A19" s="42"/>
      <c r="B19" s="38" t="str">
        <f>'LabourProject Rates_Master'!$B$43</f>
        <v>Crew #2 - InGround Water/Fire</v>
      </c>
      <c r="C19" s="40" t="s">
        <v>10</v>
      </c>
      <c r="D19" s="315">
        <v>35</v>
      </c>
      <c r="E19" s="41">
        <f>'LabourProject Rates_Master'!$E$44</f>
        <v>2862.42609924812</v>
      </c>
      <c r="F19" s="41">
        <f t="shared" si="0"/>
        <v>100184.9134736842</v>
      </c>
      <c r="H19" s="457" t="s">
        <v>1120</v>
      </c>
      <c r="K19" s="143" t="s">
        <v>16</v>
      </c>
      <c r="L19" s="183">
        <v>0.2</v>
      </c>
      <c r="M19" s="40">
        <v>1.2</v>
      </c>
    </row>
    <row r="20" spans="1:13" s="40" customFormat="1" ht="10.5" customHeight="1" x14ac:dyDescent="0.2">
      <c r="A20" s="42"/>
      <c r="B20" s="38" t="str">
        <f>'LabourProject Rates_Master'!B51</f>
        <v>Crew #3 - Above Ground Drainage</v>
      </c>
      <c r="C20" s="40" t="s">
        <v>10</v>
      </c>
      <c r="D20" s="315"/>
      <c r="E20" s="41">
        <f>'LabourProject Rates_Master'!E52</f>
        <v>2862.42609924812</v>
      </c>
      <c r="F20" s="41">
        <f t="shared" si="0"/>
        <v>0</v>
      </c>
      <c r="K20" s="143"/>
      <c r="L20" s="183"/>
    </row>
    <row r="21" spans="1:13" s="40" customFormat="1" ht="10.5" customHeight="1" x14ac:dyDescent="0.2">
      <c r="A21" s="42"/>
      <c r="B21" s="38" t="str">
        <f>'LabourProject Rates_Master'!B59</f>
        <v>Crew #4 - Above Ground WATER/FIRE</v>
      </c>
      <c r="C21" s="40" t="s">
        <v>10</v>
      </c>
      <c r="D21" s="315"/>
      <c r="E21" s="41">
        <f>'LabourProject Rates_Master'!E60</f>
        <v>2862.42609924812</v>
      </c>
      <c r="F21" s="41">
        <f t="shared" si="0"/>
        <v>0</v>
      </c>
      <c r="K21" s="143"/>
      <c r="L21" s="183"/>
    </row>
    <row r="22" spans="1:13" s="40" customFormat="1" ht="10.5" customHeight="1" x14ac:dyDescent="0.2">
      <c r="A22" s="42"/>
      <c r="B22" s="38" t="str">
        <f>'LabourProject Rates_Master'!B67</f>
        <v>Crew #5 - Above Ground FitOff / Misc</v>
      </c>
      <c r="C22" s="40" t="s">
        <v>10</v>
      </c>
      <c r="D22" s="315"/>
      <c r="E22" s="41">
        <f>'LabourProject Rates_Master'!E68</f>
        <v>2862.42609924812</v>
      </c>
      <c r="F22" s="41">
        <f t="shared" si="0"/>
        <v>0</v>
      </c>
      <c r="K22" s="143"/>
      <c r="L22" s="183"/>
    </row>
    <row r="23" spans="1:13" s="40" customFormat="1" ht="10.5" customHeight="1" x14ac:dyDescent="0.2">
      <c r="A23" s="42"/>
      <c r="B23" s="38" t="str">
        <f>'LabourProject Rates_Master'!B75</f>
        <v>Crew #6 - DEMO</v>
      </c>
      <c r="C23" s="40" t="s">
        <v>10</v>
      </c>
      <c r="D23" s="315"/>
      <c r="E23" s="41">
        <f>'LabourProject Rates_Master'!E76</f>
        <v>1845.968192481203</v>
      </c>
      <c r="F23" s="41">
        <f t="shared" si="0"/>
        <v>0</v>
      </c>
      <c r="K23" s="143"/>
      <c r="L23" s="183"/>
    </row>
    <row r="24" spans="1:13" s="40" customFormat="1" ht="6.6" customHeight="1" x14ac:dyDescent="0.2">
      <c r="A24" s="42"/>
      <c r="B24" s="38"/>
      <c r="E24" s="48"/>
      <c r="F24" s="41"/>
    </row>
    <row r="25" spans="1:13" s="40" customFormat="1" ht="10.5" customHeight="1" x14ac:dyDescent="0.2">
      <c r="A25" s="38"/>
      <c r="B25" s="185" t="s">
        <v>20</v>
      </c>
      <c r="C25" s="42"/>
      <c r="D25" s="42"/>
      <c r="E25" s="41"/>
      <c r="F25" s="41"/>
    </row>
    <row r="26" spans="1:13" s="40" customFormat="1" x14ac:dyDescent="0.2">
      <c r="A26" s="38"/>
      <c r="B26" s="38" t="str">
        <f>'LabourProject Rates_Master'!$B$14</f>
        <v>TRADESMAN_LEADING HAND</v>
      </c>
      <c r="C26" s="40" t="s">
        <v>21</v>
      </c>
      <c r="D26" s="40">
        <v>489.2</v>
      </c>
      <c r="E26" s="41">
        <f>'LabourProject Rates_Master'!$E$14</f>
        <v>132.96342857142858</v>
      </c>
      <c r="F26" s="41">
        <f>E26*D26</f>
        <v>65045.709257142858</v>
      </c>
      <c r="H26" s="457" t="s">
        <v>1121</v>
      </c>
    </row>
    <row r="27" spans="1:13" s="40" customFormat="1" ht="11.55" customHeight="1" x14ac:dyDescent="0.2">
      <c r="A27" s="38"/>
      <c r="B27" s="38" t="str">
        <f>'LabourProject Rates_Master'!$B$23</f>
        <v>TRADESMAN_PLUMBER_OPERATOR</v>
      </c>
      <c r="C27" s="40" t="s">
        <v>21</v>
      </c>
      <c r="D27" s="40">
        <v>0</v>
      </c>
      <c r="E27" s="41">
        <f>'LabourProject Rates_Master'!$E$21</f>
        <v>101.6457906766917</v>
      </c>
      <c r="F27" s="41">
        <f>E27*D27</f>
        <v>0</v>
      </c>
    </row>
    <row r="28" spans="1:13" s="40" customFormat="1" ht="11.55" customHeight="1" x14ac:dyDescent="0.2">
      <c r="A28" s="42"/>
      <c r="B28" s="38" t="str">
        <f>'LabourProject Rates_Master'!$B$30</f>
        <v>T/A &amp; Apprentice</v>
      </c>
      <c r="C28" s="40" t="s">
        <v>21</v>
      </c>
      <c r="D28" s="40">
        <v>0</v>
      </c>
      <c r="E28" s="41">
        <f>'LabourProject Rates_Master'!$E$28</f>
        <v>82.95102857142858</v>
      </c>
      <c r="F28" s="41">
        <f>E28*D28</f>
        <v>0</v>
      </c>
    </row>
    <row r="29" spans="1:13" s="40" customFormat="1" ht="11.55" customHeight="1" x14ac:dyDescent="0.2">
      <c r="A29" s="42"/>
      <c r="B29" s="38" t="str">
        <f>'LabourProject Rates_Master'!$B$36</f>
        <v>Crew #1 - InGround Drainage</v>
      </c>
      <c r="C29" s="40" t="s">
        <v>21</v>
      </c>
      <c r="D29" s="40">
        <v>0</v>
      </c>
      <c r="E29" s="41">
        <f>'LabourProject Rates_Master'!$E$36</f>
        <v>286.24260992481197</v>
      </c>
      <c r="F29" s="41">
        <f>E29*D29</f>
        <v>0</v>
      </c>
    </row>
    <row r="30" spans="1:13" s="40" customFormat="1" ht="10.5" customHeight="1" x14ac:dyDescent="0.2">
      <c r="A30" s="42"/>
      <c r="B30" s="38" t="str">
        <f>'LabourProject Rates_Master'!$B$43</f>
        <v>Crew #2 - InGround Water/Fire</v>
      </c>
      <c r="C30" s="40" t="s">
        <v>21</v>
      </c>
      <c r="D30" s="40">
        <v>0</v>
      </c>
      <c r="E30" s="41">
        <f>'LabourProject Rates_Master'!$E$43</f>
        <v>286.24260992481197</v>
      </c>
      <c r="F30" s="41">
        <f>E30*D30</f>
        <v>0</v>
      </c>
    </row>
    <row r="31" spans="1:13" ht="7.5" customHeight="1" x14ac:dyDescent="0.2"/>
    <row r="32" spans="1:13" ht="10.8" customHeight="1" thickBot="1" x14ac:dyDescent="0.25">
      <c r="A32" s="40"/>
    </row>
    <row r="33" spans="1:6" ht="10.8" customHeight="1" thickBot="1" x14ac:dyDescent="0.25">
      <c r="A33" s="42"/>
      <c r="B33" s="368" t="s">
        <v>23</v>
      </c>
      <c r="C33" s="369"/>
      <c r="D33" s="369"/>
      <c r="E33" s="370"/>
      <c r="F33" s="370"/>
    </row>
    <row r="34" spans="1:6" ht="10.5" customHeight="1" x14ac:dyDescent="0.2">
      <c r="A34" s="40"/>
      <c r="B34" s="371" t="s">
        <v>24</v>
      </c>
      <c r="C34" s="369"/>
      <c r="D34" s="369"/>
      <c r="E34" s="370"/>
      <c r="F34" s="370"/>
    </row>
    <row r="35" spans="1:6" x14ac:dyDescent="0.2">
      <c r="A35" s="40"/>
      <c r="B35" s="372" t="str">
        <f>'Misc Subbie Rates_Master'!A49</f>
        <v>Asphalt Cutting</v>
      </c>
      <c r="C35" s="369" t="s">
        <v>25</v>
      </c>
      <c r="D35" s="373"/>
      <c r="E35" s="370">
        <f>'Misc Subbie Rates_Master'!D49+('Misc Subbie Rates_Master'!D49*$L$18)</f>
        <v>15.525</v>
      </c>
      <c r="F35" s="370">
        <f>E35*D35</f>
        <v>0</v>
      </c>
    </row>
    <row r="36" spans="1:6" x14ac:dyDescent="0.2">
      <c r="A36" s="40"/>
      <c r="B36" s="372" t="str">
        <f>'Misc Subbie Rates_Master'!A50</f>
        <v>Concrete Cutting</v>
      </c>
      <c r="C36" s="369" t="s">
        <v>25</v>
      </c>
      <c r="D36" s="369"/>
      <c r="E36" s="370">
        <f>'Misc Subbie Rates_Master'!D50+('Misc Subbie Rates_Master'!D50*$L$18)</f>
        <v>18.399999999999999</v>
      </c>
      <c r="F36" s="370">
        <f>E36*D36</f>
        <v>0</v>
      </c>
    </row>
    <row r="37" spans="1:6" x14ac:dyDescent="0.2">
      <c r="A37" s="40"/>
      <c r="B37" s="372" t="s">
        <v>26</v>
      </c>
      <c r="C37" s="369" t="s">
        <v>27</v>
      </c>
      <c r="D37" s="369"/>
      <c r="E37" s="370">
        <f>'Misc Subbie Rates_Master'!D51+('Misc Subbie Rates_Master'!D51*$L$18)</f>
        <v>92</v>
      </c>
      <c r="F37" s="370">
        <f>E37*D37</f>
        <v>0</v>
      </c>
    </row>
    <row r="38" spans="1:6" ht="10.5" customHeight="1" x14ac:dyDescent="0.2">
      <c r="A38" s="40"/>
      <c r="B38" s="371" t="s">
        <v>28</v>
      </c>
      <c r="C38" s="369"/>
      <c r="D38" s="369"/>
      <c r="E38" s="370"/>
      <c r="F38" s="370"/>
    </row>
    <row r="39" spans="1:6" x14ac:dyDescent="0.2">
      <c r="A39" s="40"/>
      <c r="B39" s="372" t="str">
        <f>'Misc Subbie Rates_Master'!A56</f>
        <v>Road/Drveway Reinstate; 1mW x 150 Thck, N25/20/80, Incl Reinforcement</v>
      </c>
      <c r="C39" s="369" t="s">
        <v>25</v>
      </c>
      <c r="D39" s="369"/>
      <c r="E39" s="370">
        <f>'Misc Subbie Rates_Master'!D56</f>
        <v>145</v>
      </c>
      <c r="F39" s="370">
        <f>E39*D39</f>
        <v>0</v>
      </c>
    </row>
    <row r="40" spans="1:6" x14ac:dyDescent="0.2">
      <c r="A40" s="40"/>
      <c r="B40" s="372" t="str">
        <f>'Misc Subbie Rates_Master'!A57</f>
        <v>Kerb &amp; Channel - 1m Wide</v>
      </c>
      <c r="C40" s="369" t="s">
        <v>27</v>
      </c>
      <c r="D40" s="369"/>
      <c r="E40" s="370">
        <f>'Misc Subbie Rates_Master'!D57</f>
        <v>155</v>
      </c>
      <c r="F40" s="370">
        <f>E40*D40</f>
        <v>0</v>
      </c>
    </row>
    <row r="41" spans="1:6" x14ac:dyDescent="0.2">
      <c r="A41" s="40"/>
      <c r="B41" s="372" t="str">
        <f>'Misc Subbie Rates_Master'!A58</f>
        <v>Footpath - 1.5mW, N25/20/80, Incl Reinforcement</v>
      </c>
      <c r="C41" s="369" t="s">
        <v>29</v>
      </c>
      <c r="D41" s="369"/>
      <c r="E41" s="370">
        <f>'Misc Subbie Rates_Master'!D58</f>
        <v>180</v>
      </c>
      <c r="F41" s="370">
        <f>E41*D41</f>
        <v>0</v>
      </c>
    </row>
    <row r="42" spans="1:6" x14ac:dyDescent="0.2">
      <c r="A42" s="40"/>
      <c r="B42" s="372" t="str">
        <f>'Misc Subbie Rates_Master'!A59</f>
        <v>Footpath - 1.5mW, EXPOSED AGG, N25/20/80, Incl Reinforcement</v>
      </c>
      <c r="C42" s="369" t="s">
        <v>29</v>
      </c>
      <c r="D42" s="369"/>
      <c r="E42" s="370">
        <f>'Misc Subbie Rates_Master'!D59</f>
        <v>185</v>
      </c>
      <c r="F42" s="370">
        <f>E42*D42</f>
        <v>0</v>
      </c>
    </row>
    <row r="43" spans="1:6" ht="10.5" customHeight="1" x14ac:dyDescent="0.2">
      <c r="A43" s="40"/>
      <c r="B43" s="371" t="s">
        <v>30</v>
      </c>
      <c r="C43" s="369"/>
      <c r="D43" s="369"/>
      <c r="E43" s="370"/>
      <c r="F43" s="370"/>
    </row>
    <row r="44" spans="1:6" x14ac:dyDescent="0.2">
      <c r="A44" s="40"/>
      <c r="B44" s="372" t="str">
        <f>'Misc Subbie Rates_Master'!A64</f>
        <v xml:space="preserve">50mm Thck - Trench Reinstatement Through Road/Driveway </v>
      </c>
      <c r="C44" s="369" t="s">
        <v>31</v>
      </c>
      <c r="D44" s="369"/>
      <c r="E44" s="370">
        <f>'Misc Subbie Rates_Master'!D64</f>
        <v>97</v>
      </c>
      <c r="F44" s="370">
        <f>E44*D44</f>
        <v>0</v>
      </c>
    </row>
    <row r="45" spans="1:6" x14ac:dyDescent="0.2">
      <c r="A45" s="40"/>
      <c r="B45" s="372" t="str">
        <f>'Misc Subbie Rates_Master'!A65</f>
        <v xml:space="preserve">50mm Thck - 1.5-2m Wide Footpath reinstatements </v>
      </c>
      <c r="C45" s="369" t="s">
        <v>31</v>
      </c>
      <c r="D45" s="369"/>
      <c r="E45" s="370">
        <f>'Misc Subbie Rates_Master'!D65</f>
        <v>97</v>
      </c>
      <c r="F45" s="370">
        <f>E45*D45</f>
        <v>0</v>
      </c>
    </row>
    <row r="46" spans="1:6" x14ac:dyDescent="0.2">
      <c r="A46" s="40"/>
      <c r="B46" s="372" t="str">
        <f>'Misc Subbie Rates_Master'!A66</f>
        <v>Establishment Fee (1 per stage)</v>
      </c>
      <c r="C46" s="369" t="s">
        <v>32</v>
      </c>
      <c r="D46" s="369"/>
      <c r="E46" s="370">
        <f>'Misc Subbie Rates_Master'!D66</f>
        <v>5500</v>
      </c>
      <c r="F46" s="370">
        <f>E46*D46</f>
        <v>0</v>
      </c>
    </row>
    <row r="47" spans="1:6" ht="10.8" customHeight="1" thickBot="1" x14ac:dyDescent="0.25">
      <c r="A47" s="40"/>
    </row>
    <row r="48" spans="1:6" ht="10.8" customHeight="1" thickBot="1" x14ac:dyDescent="0.25">
      <c r="A48" s="42"/>
      <c r="B48" s="47" t="s">
        <v>33</v>
      </c>
    </row>
    <row r="49" spans="1:6" x14ac:dyDescent="0.2">
      <c r="A49" s="40"/>
    </row>
    <row r="50" spans="1:6" ht="10.5" customHeight="1" x14ac:dyDescent="0.2">
      <c r="B50" s="273" t="s">
        <v>34</v>
      </c>
    </row>
    <row r="51" spans="1:6" hidden="1" x14ac:dyDescent="0.2">
      <c r="B51" s="38" t="s">
        <v>35</v>
      </c>
      <c r="C51" s="40" t="s">
        <v>36</v>
      </c>
      <c r="E51" s="41">
        <f>'Misc Subbie Rates_Master'!D10</f>
        <v>100</v>
      </c>
      <c r="F51" s="41">
        <f t="shared" ref="F51:F69" si="1">E51*D51</f>
        <v>0</v>
      </c>
    </row>
    <row r="52" spans="1:6" hidden="1" x14ac:dyDescent="0.2">
      <c r="B52" s="38" t="s">
        <v>37</v>
      </c>
      <c r="C52" s="40" t="s">
        <v>36</v>
      </c>
      <c r="E52" s="41">
        <f>'Misc Subbie Rates_Master'!D11</f>
        <v>115</v>
      </c>
      <c r="F52" s="41">
        <f t="shared" si="1"/>
        <v>0</v>
      </c>
    </row>
    <row r="53" spans="1:6" hidden="1" x14ac:dyDescent="0.2">
      <c r="B53" s="38" t="s">
        <v>38</v>
      </c>
      <c r="C53" s="40" t="s">
        <v>36</v>
      </c>
      <c r="E53" s="41">
        <f>'Misc Subbie Rates_Master'!D12</f>
        <v>154</v>
      </c>
      <c r="F53" s="41">
        <f t="shared" si="1"/>
        <v>0</v>
      </c>
    </row>
    <row r="54" spans="1:6" hidden="1" x14ac:dyDescent="0.2">
      <c r="B54" s="38" t="s">
        <v>39</v>
      </c>
      <c r="C54" s="40" t="s">
        <v>36</v>
      </c>
      <c r="E54" s="41">
        <f>'Misc Subbie Rates_Master'!D13</f>
        <v>21</v>
      </c>
      <c r="F54" s="41">
        <f t="shared" si="1"/>
        <v>0</v>
      </c>
    </row>
    <row r="55" spans="1:6" hidden="1" x14ac:dyDescent="0.2">
      <c r="B55" s="38" t="s">
        <v>40</v>
      </c>
      <c r="C55" s="40" t="s">
        <v>36</v>
      </c>
      <c r="E55" s="41">
        <f>'Misc Subbie Rates_Master'!D14</f>
        <v>10</v>
      </c>
      <c r="F55" s="41">
        <f t="shared" si="1"/>
        <v>0</v>
      </c>
    </row>
    <row r="56" spans="1:6" hidden="1" x14ac:dyDescent="0.2">
      <c r="B56" s="38" t="s">
        <v>41</v>
      </c>
      <c r="C56" s="40" t="s">
        <v>36</v>
      </c>
      <c r="E56" s="41">
        <f>'Misc Subbie Rates_Master'!D15</f>
        <v>150</v>
      </c>
      <c r="F56" s="41">
        <f t="shared" si="1"/>
        <v>0</v>
      </c>
    </row>
    <row r="57" spans="1:6" hidden="1" x14ac:dyDescent="0.2">
      <c r="B57" s="38" t="s">
        <v>42</v>
      </c>
      <c r="C57" s="40" t="s">
        <v>36</v>
      </c>
      <c r="E57" s="41">
        <f>'Misc Subbie Rates_Master'!D16</f>
        <v>50</v>
      </c>
      <c r="F57" s="41">
        <f t="shared" si="1"/>
        <v>0</v>
      </c>
    </row>
    <row r="58" spans="1:6" hidden="1" x14ac:dyDescent="0.2">
      <c r="B58" s="38" t="s">
        <v>43</v>
      </c>
      <c r="C58" s="40" t="s">
        <v>36</v>
      </c>
      <c r="E58" s="41">
        <f>'Misc Subbie Rates_Master'!D17</f>
        <v>140</v>
      </c>
      <c r="F58" s="41">
        <f t="shared" si="1"/>
        <v>0</v>
      </c>
    </row>
    <row r="59" spans="1:6" hidden="1" x14ac:dyDescent="0.2">
      <c r="B59" s="38" t="s">
        <v>44</v>
      </c>
      <c r="C59" s="40" t="s">
        <v>36</v>
      </c>
      <c r="E59" s="41">
        <f>'Misc Subbie Rates_Master'!D18</f>
        <v>128</v>
      </c>
      <c r="F59" s="41">
        <f t="shared" si="1"/>
        <v>0</v>
      </c>
    </row>
    <row r="60" spans="1:6" hidden="1" x14ac:dyDescent="0.2">
      <c r="B60" s="38" t="s">
        <v>45</v>
      </c>
      <c r="C60" s="40" t="s">
        <v>36</v>
      </c>
      <c r="E60" s="41">
        <f>'Misc Subbie Rates_Master'!D19</f>
        <v>26</v>
      </c>
      <c r="F60" s="41">
        <f t="shared" si="1"/>
        <v>0</v>
      </c>
    </row>
    <row r="61" spans="1:6" hidden="1" x14ac:dyDescent="0.2">
      <c r="B61" s="38" t="s">
        <v>46</v>
      </c>
      <c r="C61" s="40" t="s">
        <v>36</v>
      </c>
      <c r="E61" s="41">
        <f>'Misc Subbie Rates_Master'!D20</f>
        <v>10</v>
      </c>
      <c r="F61" s="41">
        <f t="shared" si="1"/>
        <v>0</v>
      </c>
    </row>
    <row r="62" spans="1:6" hidden="1" x14ac:dyDescent="0.2">
      <c r="B62" s="38" t="s">
        <v>47</v>
      </c>
      <c r="C62" s="40" t="s">
        <v>36</v>
      </c>
      <c r="E62" s="41">
        <f>'Misc Subbie Rates_Master'!D21</f>
        <v>153</v>
      </c>
      <c r="F62" s="41">
        <f t="shared" si="1"/>
        <v>0</v>
      </c>
    </row>
    <row r="63" spans="1:6" hidden="1" x14ac:dyDescent="0.2">
      <c r="B63" s="38" t="s">
        <v>48</v>
      </c>
      <c r="C63" s="40" t="s">
        <v>36</v>
      </c>
      <c r="E63" s="41">
        <f>'Misc Subbie Rates_Master'!D22</f>
        <v>36</v>
      </c>
      <c r="F63" s="41">
        <f t="shared" si="1"/>
        <v>0</v>
      </c>
    </row>
    <row r="64" spans="1:6" hidden="1" x14ac:dyDescent="0.2">
      <c r="B64" s="38" t="s">
        <v>49</v>
      </c>
      <c r="C64" s="40" t="s">
        <v>36</v>
      </c>
      <c r="E64" s="41">
        <f>'Misc Subbie Rates_Master'!D23</f>
        <v>10</v>
      </c>
      <c r="F64" s="41">
        <f t="shared" si="1"/>
        <v>0</v>
      </c>
    </row>
    <row r="65" spans="1:8" ht="12.45" hidden="1" customHeight="1" x14ac:dyDescent="0.25">
      <c r="B65" s="38" t="s">
        <v>50</v>
      </c>
      <c r="C65" s="40" t="s">
        <v>36</v>
      </c>
      <c r="D65">
        <v>20</v>
      </c>
      <c r="E65" s="41">
        <f>'Misc Subbie Rates_Master'!D24</f>
        <v>190</v>
      </c>
      <c r="F65" s="41">
        <f t="shared" si="1"/>
        <v>3800</v>
      </c>
      <c r="H65" s="457" t="s">
        <v>1122</v>
      </c>
    </row>
    <row r="66" spans="1:8" hidden="1" x14ac:dyDescent="0.2">
      <c r="B66" s="38" t="s">
        <v>51</v>
      </c>
      <c r="C66" s="40" t="s">
        <v>36</v>
      </c>
      <c r="E66" s="41">
        <f>'Misc Subbie Rates_Master'!D25</f>
        <v>220</v>
      </c>
      <c r="F66" s="41">
        <f t="shared" si="1"/>
        <v>0</v>
      </c>
    </row>
    <row r="67" spans="1:8" hidden="1" x14ac:dyDescent="0.2">
      <c r="B67" s="38" t="s">
        <v>52</v>
      </c>
      <c r="C67" s="40" t="s">
        <v>36</v>
      </c>
      <c r="E67" s="41">
        <f>'Misc Subbie Rates_Master'!D26</f>
        <v>250</v>
      </c>
      <c r="F67" s="41">
        <f t="shared" si="1"/>
        <v>0</v>
      </c>
    </row>
    <row r="68" spans="1:8" ht="12.45" hidden="1" customHeight="1" x14ac:dyDescent="0.25">
      <c r="B68" s="38" t="s">
        <v>53</v>
      </c>
      <c r="C68" s="40" t="s">
        <v>36</v>
      </c>
      <c r="D68">
        <v>30</v>
      </c>
      <c r="E68" s="41">
        <f>'Misc Subbie Rates_Master'!D27</f>
        <v>110</v>
      </c>
      <c r="F68" s="41">
        <f t="shared" si="1"/>
        <v>3300</v>
      </c>
      <c r="H68" s="457" t="s">
        <v>1123</v>
      </c>
    </row>
    <row r="69" spans="1:8" hidden="1" x14ac:dyDescent="0.2">
      <c r="B69" s="38" t="s">
        <v>54</v>
      </c>
      <c r="C69" s="40" t="s">
        <v>36</v>
      </c>
      <c r="E69" s="41">
        <f>'Misc Subbie Rates_Master'!D28</f>
        <v>110</v>
      </c>
      <c r="F69" s="41">
        <f t="shared" si="1"/>
        <v>0</v>
      </c>
    </row>
    <row r="71" spans="1:8" ht="10.5" customHeight="1" x14ac:dyDescent="0.2">
      <c r="B71" s="273" t="s">
        <v>55</v>
      </c>
    </row>
    <row r="72" spans="1:8" x14ac:dyDescent="0.2">
      <c r="A72" s="40"/>
      <c r="B72" s="194" t="s">
        <v>56</v>
      </c>
      <c r="C72" s="40" t="s">
        <v>10</v>
      </c>
      <c r="E72" s="41">
        <f>'Equip&amp;HIRE_Master'!D4</f>
        <v>225.43333333333331</v>
      </c>
      <c r="F72" s="41">
        <f t="shared" ref="F72:F103" si="2">E72*D72</f>
        <v>0</v>
      </c>
    </row>
    <row r="73" spans="1:8" x14ac:dyDescent="0.2">
      <c r="A73" s="40"/>
      <c r="B73" s="194" t="s">
        <v>57</v>
      </c>
      <c r="C73" s="40" t="s">
        <v>10</v>
      </c>
      <c r="E73" s="41">
        <f>'Equip&amp;HIRE_Master'!D5</f>
        <v>163.9666666666667</v>
      </c>
      <c r="F73" s="41">
        <f t="shared" si="2"/>
        <v>0</v>
      </c>
    </row>
    <row r="74" spans="1:8" x14ac:dyDescent="0.2">
      <c r="A74" s="40"/>
      <c r="B74" s="194" t="s">
        <v>58</v>
      </c>
      <c r="C74" s="40" t="s">
        <v>10</v>
      </c>
      <c r="E74" s="41">
        <f>'Equip&amp;HIRE_Master'!D6</f>
        <v>180</v>
      </c>
      <c r="F74" s="41">
        <f t="shared" si="2"/>
        <v>0</v>
      </c>
    </row>
    <row r="75" spans="1:8" ht="6" customHeight="1" x14ac:dyDescent="0.2">
      <c r="A75" s="40"/>
      <c r="B75" s="194"/>
      <c r="E75" s="41">
        <f>'Equip&amp;HIRE_Master'!D7</f>
        <v>0</v>
      </c>
      <c r="F75" s="41">
        <f t="shared" si="2"/>
        <v>0</v>
      </c>
    </row>
    <row r="76" spans="1:8" ht="12.45" customHeight="1" x14ac:dyDescent="0.25">
      <c r="A76" s="40"/>
      <c r="B76" s="194" t="s">
        <v>59</v>
      </c>
      <c r="C76" s="40" t="s">
        <v>10</v>
      </c>
      <c r="D76">
        <v>2</v>
      </c>
      <c r="E76" s="41">
        <f>'Equip&amp;HIRE_Master'!D8</f>
        <v>137.14285714285711</v>
      </c>
      <c r="F76" s="41">
        <f t="shared" si="2"/>
        <v>274.28571428571422</v>
      </c>
      <c r="H76" s="457" t="s">
        <v>1124</v>
      </c>
    </row>
    <row r="77" spans="1:8" x14ac:dyDescent="0.2">
      <c r="A77" s="40"/>
      <c r="B77" s="194" t="s">
        <v>61</v>
      </c>
      <c r="C77" s="40" t="s">
        <v>10</v>
      </c>
      <c r="E77" s="41">
        <f>'Equip&amp;HIRE_Master'!D9</f>
        <v>0</v>
      </c>
      <c r="F77" s="41">
        <f t="shared" si="2"/>
        <v>0</v>
      </c>
    </row>
    <row r="78" spans="1:8" ht="12.45" customHeight="1" x14ac:dyDescent="0.25">
      <c r="A78" s="40"/>
      <c r="B78" s="194" t="s">
        <v>62</v>
      </c>
      <c r="C78" s="40" t="s">
        <v>10</v>
      </c>
      <c r="D78">
        <v>11</v>
      </c>
      <c r="E78" s="41">
        <f>'Equip&amp;HIRE_Master'!D10</f>
        <v>238.66666666666671</v>
      </c>
      <c r="F78" s="41">
        <f t="shared" si="2"/>
        <v>2625.3333333333339</v>
      </c>
      <c r="H78" s="457" t="s">
        <v>1125</v>
      </c>
    </row>
    <row r="79" spans="1:8" ht="12.45" customHeight="1" x14ac:dyDescent="0.25">
      <c r="A79" s="40"/>
      <c r="B79" s="194" t="s">
        <v>63</v>
      </c>
      <c r="C79" s="40" t="s">
        <v>10</v>
      </c>
      <c r="D79">
        <v>6</v>
      </c>
      <c r="E79" s="41">
        <f>'Equip&amp;HIRE_Master'!D11</f>
        <v>261.16666666666669</v>
      </c>
      <c r="F79" s="41">
        <f t="shared" si="2"/>
        <v>1567</v>
      </c>
      <c r="H79" s="457" t="s">
        <v>1126</v>
      </c>
    </row>
    <row r="80" spans="1:8" x14ac:dyDescent="0.2">
      <c r="A80" s="40"/>
      <c r="B80" s="194" t="s">
        <v>64</v>
      </c>
      <c r="C80" s="40" t="s">
        <v>10</v>
      </c>
      <c r="E80" s="41">
        <f>'Equip&amp;HIRE_Master'!D12</f>
        <v>0</v>
      </c>
      <c r="F80" s="41">
        <f t="shared" si="2"/>
        <v>0</v>
      </c>
    </row>
    <row r="81" spans="1:8" ht="12.45" customHeight="1" x14ac:dyDescent="0.25">
      <c r="A81" s="40"/>
      <c r="B81" s="194" t="s">
        <v>65</v>
      </c>
      <c r="C81" s="40" t="s">
        <v>10</v>
      </c>
      <c r="D81">
        <v>16</v>
      </c>
      <c r="E81" s="41">
        <f>'Equip&amp;HIRE_Master'!D13</f>
        <v>317.2</v>
      </c>
      <c r="F81" s="41">
        <f t="shared" si="2"/>
        <v>5075.2</v>
      </c>
      <c r="H81" s="457" t="s">
        <v>1127</v>
      </c>
    </row>
    <row r="82" spans="1:8" x14ac:dyDescent="0.2">
      <c r="A82" s="40"/>
      <c r="B82" s="194" t="s">
        <v>66</v>
      </c>
      <c r="C82" s="40" t="s">
        <v>10</v>
      </c>
      <c r="E82" s="41">
        <f>'Equip&amp;HIRE_Master'!D14</f>
        <v>314.28571428571428</v>
      </c>
      <c r="F82" s="41">
        <f t="shared" si="2"/>
        <v>0</v>
      </c>
    </row>
    <row r="83" spans="1:8" ht="6.6" customHeight="1" x14ac:dyDescent="0.2">
      <c r="A83" s="40"/>
      <c r="B83" s="194"/>
      <c r="E83" s="41">
        <f>'Equip&amp;HIRE_Master'!D15</f>
        <v>0</v>
      </c>
      <c r="F83" s="41">
        <f t="shared" si="2"/>
        <v>0</v>
      </c>
    </row>
    <row r="84" spans="1:8" x14ac:dyDescent="0.2">
      <c r="A84" s="40"/>
      <c r="B84" s="194" t="s">
        <v>67</v>
      </c>
      <c r="C84" s="40" t="s">
        <v>10</v>
      </c>
      <c r="E84" s="41">
        <f>'Equip&amp;HIRE_Master'!D16</f>
        <v>0</v>
      </c>
      <c r="F84" s="41">
        <f t="shared" si="2"/>
        <v>0</v>
      </c>
    </row>
    <row r="85" spans="1:8" x14ac:dyDescent="0.2">
      <c r="A85" s="40"/>
      <c r="B85" s="194" t="s">
        <v>68</v>
      </c>
      <c r="C85" s="40" t="s">
        <v>10</v>
      </c>
      <c r="E85" s="41">
        <f>'Equip&amp;HIRE_Master'!D17</f>
        <v>32.74</v>
      </c>
      <c r="F85" s="41">
        <f t="shared" si="2"/>
        <v>0</v>
      </c>
    </row>
    <row r="86" spans="1:8" x14ac:dyDescent="0.2">
      <c r="A86" s="40"/>
      <c r="B86" s="194" t="s">
        <v>69</v>
      </c>
      <c r="C86" s="40" t="s">
        <v>10</v>
      </c>
      <c r="E86" s="41">
        <f>'Equip&amp;HIRE_Master'!D18</f>
        <v>0</v>
      </c>
      <c r="F86" s="41">
        <f t="shared" si="2"/>
        <v>0</v>
      </c>
    </row>
    <row r="87" spans="1:8" x14ac:dyDescent="0.2">
      <c r="A87" s="40"/>
      <c r="B87" s="194" t="s">
        <v>70</v>
      </c>
      <c r="C87" s="40" t="s">
        <v>10</v>
      </c>
      <c r="E87" s="41">
        <f>'Equip&amp;HIRE_Master'!D19</f>
        <v>40.380000000000003</v>
      </c>
      <c r="F87" s="41">
        <f t="shared" si="2"/>
        <v>0</v>
      </c>
    </row>
    <row r="88" spans="1:8" x14ac:dyDescent="0.2">
      <c r="A88" s="40"/>
      <c r="B88" s="194" t="s">
        <v>71</v>
      </c>
      <c r="C88" s="40" t="s">
        <v>10</v>
      </c>
      <c r="E88" s="41">
        <f>'Equip&amp;HIRE_Master'!D20</f>
        <v>123.33</v>
      </c>
      <c r="F88" s="41">
        <f t="shared" si="2"/>
        <v>0</v>
      </c>
    </row>
    <row r="89" spans="1:8" x14ac:dyDescent="0.2">
      <c r="A89" s="40"/>
      <c r="B89" s="194" t="s">
        <v>72</v>
      </c>
      <c r="C89" s="40" t="s">
        <v>10</v>
      </c>
      <c r="E89" s="41">
        <f>'Equip&amp;HIRE_Master'!D21</f>
        <v>165.89</v>
      </c>
      <c r="F89" s="41">
        <f t="shared" si="2"/>
        <v>0</v>
      </c>
    </row>
    <row r="90" spans="1:8" x14ac:dyDescent="0.2">
      <c r="A90" s="40"/>
      <c r="B90" s="194" t="s">
        <v>73</v>
      </c>
      <c r="C90" s="40" t="s">
        <v>10</v>
      </c>
      <c r="E90" s="41">
        <f>'Equip&amp;HIRE_Master'!D22</f>
        <v>165.89</v>
      </c>
      <c r="F90" s="41">
        <f t="shared" si="2"/>
        <v>0</v>
      </c>
    </row>
    <row r="91" spans="1:8" x14ac:dyDescent="0.2">
      <c r="A91" s="40"/>
      <c r="B91" s="194" t="s">
        <v>74</v>
      </c>
      <c r="C91" s="40" t="s">
        <v>10</v>
      </c>
      <c r="E91" s="41">
        <f>'Equip&amp;HIRE_Master'!D23</f>
        <v>0</v>
      </c>
      <c r="F91" s="41">
        <f t="shared" si="2"/>
        <v>0</v>
      </c>
    </row>
    <row r="92" spans="1:8" x14ac:dyDescent="0.2">
      <c r="A92" s="40"/>
      <c r="B92" s="194" t="s">
        <v>75</v>
      </c>
      <c r="C92" s="40" t="s">
        <v>10</v>
      </c>
      <c r="E92" s="41">
        <f>'Equip&amp;HIRE_Master'!D24</f>
        <v>203</v>
      </c>
      <c r="F92" s="41">
        <f t="shared" si="2"/>
        <v>0</v>
      </c>
    </row>
    <row r="93" spans="1:8" x14ac:dyDescent="0.2">
      <c r="A93" s="40"/>
      <c r="B93" s="194" t="s">
        <v>76</v>
      </c>
      <c r="E93" s="41">
        <f>'Equip&amp;HIRE_Master'!D25</f>
        <v>0</v>
      </c>
      <c r="F93" s="41">
        <f t="shared" si="2"/>
        <v>0</v>
      </c>
    </row>
    <row r="94" spans="1:8" x14ac:dyDescent="0.2">
      <c r="A94" s="40"/>
      <c r="B94" s="194" t="s">
        <v>77</v>
      </c>
      <c r="E94" s="41">
        <f>'Equip&amp;HIRE_Master'!D26</f>
        <v>0</v>
      </c>
      <c r="F94" s="41">
        <f t="shared" si="2"/>
        <v>0</v>
      </c>
    </row>
    <row r="95" spans="1:8" ht="4.95" customHeight="1" x14ac:dyDescent="0.2">
      <c r="A95" s="40"/>
      <c r="B95" s="194"/>
      <c r="E95" s="41">
        <f>'Equip&amp;HIRE_Master'!D27</f>
        <v>0</v>
      </c>
      <c r="F95" s="41">
        <f t="shared" si="2"/>
        <v>0</v>
      </c>
    </row>
    <row r="96" spans="1:8" x14ac:dyDescent="0.2">
      <c r="A96" s="40"/>
      <c r="B96" s="194" t="s">
        <v>78</v>
      </c>
      <c r="C96" s="40" t="s">
        <v>10</v>
      </c>
      <c r="E96" s="41">
        <f>'Equip&amp;HIRE_Master'!D28</f>
        <v>205</v>
      </c>
      <c r="F96" s="41">
        <f t="shared" si="2"/>
        <v>0</v>
      </c>
    </row>
    <row r="97" spans="1:8" x14ac:dyDescent="0.2">
      <c r="A97" s="40"/>
      <c r="B97" s="194" t="s">
        <v>79</v>
      </c>
      <c r="C97" s="40" t="s">
        <v>10</v>
      </c>
      <c r="E97" s="41">
        <f>'Equip&amp;HIRE_Master'!D29</f>
        <v>166.98</v>
      </c>
      <c r="F97" s="41">
        <f t="shared" si="2"/>
        <v>0</v>
      </c>
    </row>
    <row r="98" spans="1:8" ht="12.45" customHeight="1" x14ac:dyDescent="0.25">
      <c r="A98" s="40"/>
      <c r="B98" s="194" t="s">
        <v>80</v>
      </c>
      <c r="C98" s="40" t="s">
        <v>10</v>
      </c>
      <c r="D98">
        <v>18</v>
      </c>
      <c r="E98" s="41">
        <f>'Equip&amp;HIRE_Master'!D30</f>
        <v>171.42857142857139</v>
      </c>
      <c r="F98" s="41">
        <f t="shared" si="2"/>
        <v>3085.7142857142849</v>
      </c>
      <c r="H98" s="457" t="s">
        <v>1128</v>
      </c>
    </row>
    <row r="99" spans="1:8" ht="4.2" customHeight="1" x14ac:dyDescent="0.2">
      <c r="A99" s="40"/>
      <c r="B99" s="194"/>
      <c r="E99" s="41">
        <f>'Equip&amp;HIRE_Master'!D31</f>
        <v>0</v>
      </c>
      <c r="F99" s="41">
        <f t="shared" si="2"/>
        <v>0</v>
      </c>
    </row>
    <row r="100" spans="1:8" x14ac:dyDescent="0.2">
      <c r="A100" s="40"/>
      <c r="B100" s="194" t="s">
        <v>81</v>
      </c>
      <c r="C100" s="40" t="s">
        <v>10</v>
      </c>
      <c r="E100" s="41">
        <f>'Equip&amp;HIRE_Master'!D32</f>
        <v>0</v>
      </c>
      <c r="F100" s="41">
        <f t="shared" si="2"/>
        <v>0</v>
      </c>
    </row>
    <row r="101" spans="1:8" ht="12.45" customHeight="1" x14ac:dyDescent="0.25">
      <c r="A101" s="40"/>
      <c r="B101" s="194" t="s">
        <v>82</v>
      </c>
      <c r="C101" s="40" t="s">
        <v>10</v>
      </c>
      <c r="D101">
        <v>14</v>
      </c>
      <c r="E101" s="41">
        <f>'Equip&amp;HIRE_Master'!D33</f>
        <v>34.285714285714278</v>
      </c>
      <c r="F101" s="41">
        <f t="shared" si="2"/>
        <v>479.99999999999989</v>
      </c>
      <c r="H101" s="457" t="s">
        <v>1129</v>
      </c>
    </row>
    <row r="102" spans="1:8" ht="12.45" customHeight="1" x14ac:dyDescent="0.25">
      <c r="A102" s="40"/>
      <c r="B102" s="194" t="s">
        <v>84</v>
      </c>
      <c r="C102" s="40" t="s">
        <v>10</v>
      </c>
      <c r="D102">
        <v>22</v>
      </c>
      <c r="E102" s="41">
        <f>'Equip&amp;HIRE_Master'!D34</f>
        <v>165</v>
      </c>
      <c r="F102" s="41">
        <f t="shared" si="2"/>
        <v>3630</v>
      </c>
      <c r="H102" s="457" t="s">
        <v>1130</v>
      </c>
    </row>
    <row r="103" spans="1:8" x14ac:dyDescent="0.2">
      <c r="A103" s="40"/>
      <c r="B103" s="194" t="s">
        <v>85</v>
      </c>
      <c r="C103" s="40" t="s">
        <v>10</v>
      </c>
      <c r="E103" s="41">
        <f>'Equip&amp;HIRE_Master'!D35</f>
        <v>0</v>
      </c>
      <c r="F103" s="41">
        <f t="shared" si="2"/>
        <v>0</v>
      </c>
    </row>
    <row r="104" spans="1:8" x14ac:dyDescent="0.2">
      <c r="A104" s="40"/>
      <c r="B104" s="194" t="s">
        <v>86</v>
      </c>
      <c r="C104" s="40" t="s">
        <v>10</v>
      </c>
      <c r="E104" s="41">
        <v>300</v>
      </c>
      <c r="F104" s="41">
        <f t="shared" ref="F104:F135" si="3">E104*D104</f>
        <v>0</v>
      </c>
    </row>
    <row r="105" spans="1:8" x14ac:dyDescent="0.2">
      <c r="A105" s="40"/>
      <c r="B105" s="194" t="s">
        <v>87</v>
      </c>
      <c r="C105" s="40" t="s">
        <v>10</v>
      </c>
      <c r="E105" s="41">
        <f>'Equip&amp;HIRE_Master'!D37</f>
        <v>0</v>
      </c>
      <c r="F105" s="41">
        <f t="shared" si="3"/>
        <v>0</v>
      </c>
    </row>
    <row r="106" spans="1:8" x14ac:dyDescent="0.2">
      <c r="A106" s="40"/>
      <c r="B106" s="194" t="s">
        <v>88</v>
      </c>
      <c r="C106" s="40" t="s">
        <v>10</v>
      </c>
      <c r="E106" s="41">
        <f>'Equip&amp;HIRE_Master'!D38</f>
        <v>0</v>
      </c>
      <c r="F106" s="41">
        <f t="shared" si="3"/>
        <v>0</v>
      </c>
    </row>
    <row r="107" spans="1:8" ht="6" customHeight="1" x14ac:dyDescent="0.2">
      <c r="A107" s="40"/>
      <c r="B107" s="194"/>
      <c r="E107" s="41">
        <f>'Equip&amp;HIRE_Master'!D39</f>
        <v>0</v>
      </c>
      <c r="F107" s="41">
        <f t="shared" si="3"/>
        <v>0</v>
      </c>
    </row>
    <row r="108" spans="1:8" x14ac:dyDescent="0.2">
      <c r="A108" s="40"/>
      <c r="B108" s="194" t="s">
        <v>89</v>
      </c>
      <c r="C108" s="40" t="s">
        <v>10</v>
      </c>
      <c r="E108" s="41">
        <f>'Equip&amp;HIRE_Master'!D40</f>
        <v>5.46</v>
      </c>
      <c r="F108" s="41">
        <f t="shared" si="3"/>
        <v>0</v>
      </c>
    </row>
    <row r="109" spans="1:8" x14ac:dyDescent="0.2">
      <c r="A109" s="40"/>
      <c r="B109" s="194" t="s">
        <v>90</v>
      </c>
      <c r="C109" s="40" t="s">
        <v>10</v>
      </c>
      <c r="E109" s="41">
        <f>'Equip&amp;HIRE_Master'!D41</f>
        <v>23</v>
      </c>
      <c r="F109" s="41">
        <f t="shared" si="3"/>
        <v>0</v>
      </c>
    </row>
    <row r="110" spans="1:8" x14ac:dyDescent="0.2">
      <c r="A110" s="40"/>
      <c r="B110" s="194" t="s">
        <v>91</v>
      </c>
      <c r="C110" s="40" t="s">
        <v>10</v>
      </c>
      <c r="E110" s="41">
        <f>'Equip&amp;HIRE_Master'!D42</f>
        <v>23</v>
      </c>
      <c r="F110" s="41">
        <f t="shared" si="3"/>
        <v>0</v>
      </c>
    </row>
    <row r="111" spans="1:8" hidden="1" x14ac:dyDescent="0.2">
      <c r="A111" s="40"/>
      <c r="B111" s="194" t="s">
        <v>92</v>
      </c>
      <c r="C111" s="40" t="s">
        <v>10</v>
      </c>
      <c r="E111" s="41">
        <f>'Equip&amp;HIRE_Master'!D43</f>
        <v>0</v>
      </c>
      <c r="F111" s="41">
        <f t="shared" si="3"/>
        <v>0</v>
      </c>
    </row>
    <row r="112" spans="1:8" hidden="1" x14ac:dyDescent="0.2">
      <c r="A112" s="40"/>
      <c r="B112" s="194" t="s">
        <v>93</v>
      </c>
      <c r="C112" s="40" t="s">
        <v>10</v>
      </c>
      <c r="E112" s="41">
        <f>'Equip&amp;HIRE_Master'!D44</f>
        <v>0</v>
      </c>
      <c r="F112" s="41">
        <f t="shared" si="3"/>
        <v>0</v>
      </c>
    </row>
    <row r="113" spans="1:6" hidden="1" x14ac:dyDescent="0.2">
      <c r="A113" s="40"/>
      <c r="B113" s="194" t="s">
        <v>94</v>
      </c>
      <c r="C113" s="40" t="s">
        <v>10</v>
      </c>
      <c r="E113" s="41">
        <f>'Equip&amp;HIRE_Master'!D45</f>
        <v>0</v>
      </c>
      <c r="F113" s="41">
        <f t="shared" si="3"/>
        <v>0</v>
      </c>
    </row>
    <row r="114" spans="1:6" hidden="1" x14ac:dyDescent="0.2">
      <c r="A114" s="40"/>
      <c r="B114" s="194" t="s">
        <v>95</v>
      </c>
      <c r="C114" s="40" t="s">
        <v>10</v>
      </c>
      <c r="E114" s="41">
        <f>'Equip&amp;HIRE_Master'!D46</f>
        <v>0</v>
      </c>
      <c r="F114" s="41">
        <f t="shared" si="3"/>
        <v>0</v>
      </c>
    </row>
    <row r="115" spans="1:6" hidden="1" x14ac:dyDescent="0.2">
      <c r="A115" s="40"/>
      <c r="B115" s="194" t="s">
        <v>96</v>
      </c>
      <c r="C115" s="40" t="s">
        <v>10</v>
      </c>
      <c r="E115" s="41">
        <f>'Equip&amp;HIRE_Master'!D47</f>
        <v>0</v>
      </c>
      <c r="F115" s="41">
        <f t="shared" si="3"/>
        <v>0</v>
      </c>
    </row>
    <row r="116" spans="1:6" hidden="1" x14ac:dyDescent="0.2">
      <c r="A116" s="40"/>
      <c r="B116" s="194" t="s">
        <v>97</v>
      </c>
      <c r="C116" s="40" t="s">
        <v>10</v>
      </c>
      <c r="E116" s="41">
        <f>'Equip&amp;HIRE_Master'!D48</f>
        <v>0</v>
      </c>
      <c r="F116" s="41">
        <f t="shared" si="3"/>
        <v>0</v>
      </c>
    </row>
    <row r="117" spans="1:6" hidden="1" x14ac:dyDescent="0.2">
      <c r="A117" s="40"/>
      <c r="B117" s="194" t="s">
        <v>98</v>
      </c>
      <c r="C117" s="40" t="s">
        <v>10</v>
      </c>
      <c r="E117" s="41">
        <f>'Equip&amp;HIRE_Master'!D49</f>
        <v>0</v>
      </c>
      <c r="F117" s="41">
        <f t="shared" si="3"/>
        <v>0</v>
      </c>
    </row>
    <row r="118" spans="1:6" hidden="1" x14ac:dyDescent="0.2">
      <c r="A118" s="40"/>
      <c r="B118" s="194" t="s">
        <v>99</v>
      </c>
      <c r="C118" s="40" t="s">
        <v>10</v>
      </c>
      <c r="E118" s="41">
        <f>'Equip&amp;HIRE_Master'!D50</f>
        <v>0</v>
      </c>
      <c r="F118" s="41">
        <f t="shared" si="3"/>
        <v>0</v>
      </c>
    </row>
    <row r="119" spans="1:6" hidden="1" x14ac:dyDescent="0.2">
      <c r="A119" s="40"/>
      <c r="B119" s="194" t="s">
        <v>100</v>
      </c>
      <c r="C119" s="40" t="s">
        <v>10</v>
      </c>
      <c r="E119" s="41">
        <f>'Equip&amp;HIRE_Master'!D51</f>
        <v>0</v>
      </c>
      <c r="F119" s="41">
        <f t="shared" si="3"/>
        <v>0</v>
      </c>
    </row>
    <row r="120" spans="1:6" hidden="1" x14ac:dyDescent="0.2">
      <c r="A120" s="40"/>
      <c r="B120" s="194" t="s">
        <v>101</v>
      </c>
      <c r="C120" s="40" t="s">
        <v>10</v>
      </c>
      <c r="E120" s="41">
        <f>'Equip&amp;HIRE_Master'!D52</f>
        <v>0</v>
      </c>
      <c r="F120" s="41">
        <f t="shared" si="3"/>
        <v>0</v>
      </c>
    </row>
    <row r="121" spans="1:6" ht="6" customHeight="1" x14ac:dyDescent="0.2">
      <c r="A121" s="40"/>
      <c r="B121" s="194"/>
      <c r="E121" s="41">
        <f>'Equip&amp;HIRE_Master'!D53</f>
        <v>0</v>
      </c>
      <c r="F121" s="41">
        <f t="shared" si="3"/>
        <v>0</v>
      </c>
    </row>
    <row r="122" spans="1:6" x14ac:dyDescent="0.2">
      <c r="A122" s="40"/>
      <c r="B122" s="194" t="s">
        <v>102</v>
      </c>
      <c r="C122" s="40" t="s">
        <v>10</v>
      </c>
      <c r="E122" s="41">
        <f>'Equip&amp;HIRE_Master'!D54</f>
        <v>0</v>
      </c>
      <c r="F122" s="41">
        <f t="shared" si="3"/>
        <v>0</v>
      </c>
    </row>
    <row r="123" spans="1:6" x14ac:dyDescent="0.2">
      <c r="A123" s="40"/>
      <c r="B123" s="194" t="s">
        <v>103</v>
      </c>
      <c r="C123" s="40" t="s">
        <v>104</v>
      </c>
      <c r="E123" s="41">
        <f>'Equip&amp;HIRE_Master'!D55</f>
        <v>230</v>
      </c>
      <c r="F123" s="41">
        <f t="shared" si="3"/>
        <v>0</v>
      </c>
    </row>
    <row r="124" spans="1:6" x14ac:dyDescent="0.2">
      <c r="A124" s="40"/>
      <c r="B124" s="194" t="s">
        <v>105</v>
      </c>
      <c r="C124" s="40" t="s">
        <v>106</v>
      </c>
      <c r="E124" s="41">
        <f>'Equip&amp;HIRE_Master'!D56</f>
        <v>309</v>
      </c>
      <c r="F124" s="41">
        <f t="shared" si="3"/>
        <v>0</v>
      </c>
    </row>
    <row r="125" spans="1:6" x14ac:dyDescent="0.2">
      <c r="A125" s="40"/>
      <c r="B125" s="194" t="s">
        <v>107</v>
      </c>
      <c r="C125" s="40" t="s">
        <v>108</v>
      </c>
      <c r="E125" s="41">
        <f>'Equip&amp;HIRE_Master'!D57</f>
        <v>35</v>
      </c>
      <c r="F125" s="41">
        <f t="shared" si="3"/>
        <v>0</v>
      </c>
    </row>
    <row r="126" spans="1:6" x14ac:dyDescent="0.2">
      <c r="A126" s="40"/>
      <c r="B126" s="194" t="s">
        <v>109</v>
      </c>
      <c r="C126" s="40" t="s">
        <v>110</v>
      </c>
      <c r="E126" s="41">
        <f>'Equip&amp;HIRE_Master'!D58</f>
        <v>229.9</v>
      </c>
      <c r="F126" s="41">
        <f t="shared" si="3"/>
        <v>0</v>
      </c>
    </row>
    <row r="127" spans="1:6" x14ac:dyDescent="0.2">
      <c r="A127" s="40"/>
      <c r="B127" s="194" t="s">
        <v>111</v>
      </c>
      <c r="C127" s="40" t="s">
        <v>110</v>
      </c>
      <c r="E127" s="41">
        <f>'Equip&amp;HIRE_Master'!D59</f>
        <v>239.8</v>
      </c>
      <c r="F127" s="41">
        <f t="shared" si="3"/>
        <v>0</v>
      </c>
    </row>
    <row r="128" spans="1:6" x14ac:dyDescent="0.2">
      <c r="A128" s="40"/>
      <c r="B128" s="194" t="s">
        <v>112</v>
      </c>
      <c r="C128" s="40" t="s">
        <v>106</v>
      </c>
      <c r="E128" s="41">
        <f>'Equip&amp;HIRE_Master'!D60</f>
        <v>309</v>
      </c>
      <c r="F128" s="41">
        <f t="shared" si="3"/>
        <v>0</v>
      </c>
    </row>
    <row r="129" spans="1:8" x14ac:dyDescent="0.2">
      <c r="A129" s="40"/>
      <c r="B129" s="194" t="s">
        <v>113</v>
      </c>
      <c r="C129" s="40" t="s">
        <v>108</v>
      </c>
      <c r="E129" s="41">
        <f>'Equip&amp;HIRE_Master'!D61</f>
        <v>35</v>
      </c>
      <c r="F129" s="41">
        <f t="shared" si="3"/>
        <v>0</v>
      </c>
    </row>
    <row r="130" spans="1:8" x14ac:dyDescent="0.2">
      <c r="A130" s="40"/>
      <c r="B130" s="194" t="s">
        <v>114</v>
      </c>
      <c r="C130" s="40" t="s">
        <v>10</v>
      </c>
      <c r="E130" s="41">
        <f>'Equip&amp;HIRE_Master'!D62</f>
        <v>295.77</v>
      </c>
      <c r="F130" s="41">
        <f t="shared" si="3"/>
        <v>0</v>
      </c>
    </row>
    <row r="131" spans="1:8" ht="12.45" customHeight="1" x14ac:dyDescent="0.25">
      <c r="A131" s="40"/>
      <c r="B131" s="194" t="s">
        <v>115</v>
      </c>
      <c r="C131" s="40" t="s">
        <v>10</v>
      </c>
      <c r="D131">
        <v>1</v>
      </c>
      <c r="E131" s="41">
        <f>'Equip&amp;HIRE_Master'!D63</f>
        <v>355</v>
      </c>
      <c r="F131" s="41">
        <f t="shared" si="3"/>
        <v>355</v>
      </c>
      <c r="H131" s="457" t="s">
        <v>1131</v>
      </c>
    </row>
    <row r="132" spans="1:8" ht="6" customHeight="1" x14ac:dyDescent="0.2">
      <c r="A132" s="40"/>
      <c r="B132" s="194"/>
      <c r="E132" s="41">
        <f>'Equip&amp;HIRE_Master'!D64</f>
        <v>0</v>
      </c>
      <c r="F132" s="41">
        <f t="shared" si="3"/>
        <v>0</v>
      </c>
    </row>
    <row r="133" spans="1:8" x14ac:dyDescent="0.2">
      <c r="A133" s="40"/>
      <c r="B133" s="194" t="s">
        <v>116</v>
      </c>
      <c r="C133" s="40" t="s">
        <v>10</v>
      </c>
      <c r="E133" s="41">
        <f>'Equip&amp;HIRE_Master'!D65</f>
        <v>0</v>
      </c>
      <c r="F133" s="41">
        <f t="shared" si="3"/>
        <v>0</v>
      </c>
    </row>
    <row r="134" spans="1:8" x14ac:dyDescent="0.2">
      <c r="A134" s="40"/>
      <c r="B134" s="194" t="s">
        <v>117</v>
      </c>
      <c r="C134" s="40" t="s">
        <v>118</v>
      </c>
      <c r="E134" s="41">
        <f>'Equip&amp;HIRE_Master'!D66</f>
        <v>180</v>
      </c>
      <c r="F134" s="41">
        <f t="shared" si="3"/>
        <v>0</v>
      </c>
    </row>
    <row r="135" spans="1:8" x14ac:dyDescent="0.2">
      <c r="A135" s="40"/>
      <c r="B135" s="194" t="s">
        <v>119</v>
      </c>
      <c r="C135" s="40" t="s">
        <v>118</v>
      </c>
      <c r="E135" s="41">
        <f>'Equip&amp;HIRE_Master'!D67</f>
        <v>125</v>
      </c>
      <c r="F135" s="41">
        <f t="shared" si="3"/>
        <v>0</v>
      </c>
    </row>
    <row r="136" spans="1:8" x14ac:dyDescent="0.2">
      <c r="A136" s="40"/>
      <c r="B136" s="194" t="s">
        <v>120</v>
      </c>
      <c r="C136" s="40" t="s">
        <v>118</v>
      </c>
      <c r="E136" s="41">
        <f>'Equip&amp;HIRE_Master'!D68</f>
        <v>160</v>
      </c>
      <c r="F136" s="41">
        <f t="shared" ref="F136:F138" si="4">E136*D136</f>
        <v>0</v>
      </c>
    </row>
    <row r="137" spans="1:8" x14ac:dyDescent="0.2">
      <c r="A137" s="40"/>
      <c r="B137" s="194" t="s">
        <v>121</v>
      </c>
      <c r="C137" s="40" t="s">
        <v>118</v>
      </c>
      <c r="E137" s="41">
        <f>'Equip&amp;HIRE_Master'!D69</f>
        <v>200</v>
      </c>
      <c r="F137" s="41">
        <f t="shared" si="4"/>
        <v>0</v>
      </c>
    </row>
    <row r="138" spans="1:8" ht="12.45" customHeight="1" x14ac:dyDescent="0.25">
      <c r="A138" s="40"/>
      <c r="B138" t="s">
        <v>1132</v>
      </c>
      <c r="C138" t="s">
        <v>10</v>
      </c>
      <c r="D138">
        <v>16</v>
      </c>
      <c r="E138" s="41">
        <v>350</v>
      </c>
      <c r="F138" s="41">
        <f t="shared" si="4"/>
        <v>5600</v>
      </c>
      <c r="H138" s="457" t="s">
        <v>1133</v>
      </c>
    </row>
    <row r="139" spans="1:8" x14ac:dyDescent="0.2">
      <c r="A139" s="40"/>
      <c r="B139" s="194" t="s">
        <v>122</v>
      </c>
      <c r="C139" s="40" t="s">
        <v>108</v>
      </c>
      <c r="E139" s="41">
        <v>1850</v>
      </c>
      <c r="F139" s="41">
        <f>E139*D149</f>
        <v>1850</v>
      </c>
    </row>
    <row r="140" spans="1:8" ht="10.8" customHeight="1" thickBot="1" x14ac:dyDescent="0.25">
      <c r="A140" s="40"/>
    </row>
    <row r="141" spans="1:8" ht="10.8" customHeight="1" thickBot="1" x14ac:dyDescent="0.25">
      <c r="A141" s="42"/>
      <c r="B141" s="47" t="s">
        <v>123</v>
      </c>
    </row>
    <row r="143" spans="1:8" ht="12.45" customHeight="1" x14ac:dyDescent="0.25">
      <c r="B143" s="38" t="s">
        <v>124</v>
      </c>
      <c r="C143" s="40" t="s">
        <v>27</v>
      </c>
      <c r="D143">
        <v>16</v>
      </c>
      <c r="E143" s="41">
        <f>'Misc Subbie Rates_Master'!D35</f>
        <v>180</v>
      </c>
      <c r="F143" s="41">
        <f t="shared" ref="F143:F153" si="5">E143*D143</f>
        <v>2880</v>
      </c>
      <c r="H143" s="457" t="s">
        <v>1134</v>
      </c>
    </row>
    <row r="144" spans="1:8" ht="12.45" customHeight="1" x14ac:dyDescent="0.25">
      <c r="B144" s="38" t="s">
        <v>125</v>
      </c>
      <c r="C144" s="40" t="s">
        <v>27</v>
      </c>
      <c r="D144">
        <v>10</v>
      </c>
      <c r="E144" s="41">
        <f>'Misc Subbie Rates_Master'!D42</f>
        <v>130</v>
      </c>
      <c r="F144" s="41">
        <f t="shared" si="5"/>
        <v>1300</v>
      </c>
      <c r="H144" s="457" t="s">
        <v>1135</v>
      </c>
    </row>
    <row r="145" spans="1:8" x14ac:dyDescent="0.2">
      <c r="B145" s="38" t="s">
        <v>126</v>
      </c>
      <c r="C145" s="40" t="s">
        <v>27</v>
      </c>
      <c r="D145" s="40">
        <f>ROUNDUP(C886*'ClubHouse (NBC )'!$D$147/'ClubHouse (NBC )'!$C$955,0)</f>
        <v>36</v>
      </c>
      <c r="E145" s="41">
        <f>'Misc Subbie Rates_Master'!D72</f>
        <v>115</v>
      </c>
      <c r="F145" s="41">
        <f t="shared" si="5"/>
        <v>4140</v>
      </c>
      <c r="H145" s="38" t="s">
        <v>1543</v>
      </c>
    </row>
    <row r="146" spans="1:8" x14ac:dyDescent="0.2">
      <c r="B146" s="38" t="s">
        <v>127</v>
      </c>
      <c r="C146" s="40" t="s">
        <v>27</v>
      </c>
      <c r="D146" s="40">
        <f>ROUNDUP(D145/('ClubHouse (NBC )'!$D$147/'ClubHouse (NBC )'!$D$148),0)</f>
        <v>10</v>
      </c>
      <c r="E146" s="41">
        <f>'Misc Subbie Rates_Master'!D73</f>
        <v>90</v>
      </c>
      <c r="F146" s="41">
        <f t="shared" si="5"/>
        <v>900</v>
      </c>
      <c r="H146" s="38" t="s">
        <v>1544</v>
      </c>
    </row>
    <row r="147" spans="1:8" ht="12.45" customHeight="1" x14ac:dyDescent="0.25">
      <c r="B147" t="s">
        <v>1136</v>
      </c>
      <c r="C147" s="40" t="s">
        <v>132</v>
      </c>
      <c r="D147">
        <v>1</v>
      </c>
      <c r="E147" s="41">
        <v>5000</v>
      </c>
      <c r="F147" s="41">
        <f t="shared" si="5"/>
        <v>5000</v>
      </c>
      <c r="H147" s="457" t="s">
        <v>1137</v>
      </c>
    </row>
    <row r="148" spans="1:8" ht="12.45" customHeight="1" x14ac:dyDescent="0.25">
      <c r="B148" t="s">
        <v>1138</v>
      </c>
      <c r="C148" s="40" t="s">
        <v>132</v>
      </c>
      <c r="D148">
        <v>1</v>
      </c>
      <c r="E148" s="41">
        <v>1500</v>
      </c>
      <c r="F148" s="41">
        <f t="shared" si="5"/>
        <v>1500</v>
      </c>
      <c r="H148" s="457" t="s">
        <v>1139</v>
      </c>
    </row>
    <row r="149" spans="1:8" ht="12.45" customHeight="1" x14ac:dyDescent="0.25">
      <c r="B149" s="273" t="s">
        <v>128</v>
      </c>
      <c r="C149" s="40" t="s">
        <v>27</v>
      </c>
      <c r="D149">
        <v>1</v>
      </c>
      <c r="E149" s="41">
        <v>3560</v>
      </c>
      <c r="F149" s="41">
        <f t="shared" si="5"/>
        <v>3560</v>
      </c>
      <c r="H149" s="457" t="s">
        <v>1140</v>
      </c>
    </row>
    <row r="150" spans="1:8" ht="12.45" customHeight="1" x14ac:dyDescent="0.25">
      <c r="B150" s="1" t="s">
        <v>129</v>
      </c>
      <c r="C150" s="40" t="s">
        <v>27</v>
      </c>
      <c r="D150">
        <v>3</v>
      </c>
      <c r="E150" s="41">
        <f>'Misc Subbie Rates_Master'!D84</f>
        <v>1945</v>
      </c>
      <c r="F150" s="41">
        <f t="shared" si="5"/>
        <v>5835</v>
      </c>
      <c r="H150" s="457" t="s">
        <v>1141</v>
      </c>
    </row>
    <row r="151" spans="1:8" ht="12.45" customHeight="1" x14ac:dyDescent="0.25">
      <c r="B151" s="38" t="s">
        <v>130</v>
      </c>
      <c r="C151" s="40" t="s">
        <v>27</v>
      </c>
      <c r="D151">
        <v>1</v>
      </c>
      <c r="E151" s="41">
        <f>'Misc Subbie Rates_Master'!D86</f>
        <v>350</v>
      </c>
      <c r="F151" s="41">
        <f t="shared" si="5"/>
        <v>350</v>
      </c>
      <c r="H151" s="457" t="s">
        <v>1142</v>
      </c>
    </row>
    <row r="152" spans="1:8" ht="12.45" customHeight="1" x14ac:dyDescent="0.25">
      <c r="B152" t="s">
        <v>1143</v>
      </c>
      <c r="C152" t="s">
        <v>36</v>
      </c>
      <c r="D152">
        <v>10</v>
      </c>
      <c r="E152" s="41">
        <v>180</v>
      </c>
      <c r="F152" s="41">
        <f t="shared" si="5"/>
        <v>1800</v>
      </c>
      <c r="H152" s="457" t="s">
        <v>1144</v>
      </c>
    </row>
    <row r="153" spans="1:8" ht="10.8" customHeight="1" thickBot="1" x14ac:dyDescent="0.3">
      <c r="B153" t="s">
        <v>1145</v>
      </c>
      <c r="C153" t="s">
        <v>132</v>
      </c>
      <c r="D153">
        <v>1</v>
      </c>
      <c r="E153">
        <v>1200</v>
      </c>
      <c r="F153">
        <f t="shared" si="5"/>
        <v>1200</v>
      </c>
      <c r="H153" s="484" t="s">
        <v>1146</v>
      </c>
    </row>
    <row r="154" spans="1:8" ht="10.8" customHeight="1" thickBot="1" x14ac:dyDescent="0.25">
      <c r="A154" s="42"/>
      <c r="B154" s="47" t="s">
        <v>134</v>
      </c>
    </row>
    <row r="156" spans="1:8" ht="12.45" customHeight="1" x14ac:dyDescent="0.25">
      <c r="B156" s="38" t="str">
        <f>'Material Rates_Master'!A185</f>
        <v>Bedding / Fill Sand</v>
      </c>
      <c r="C156" s="40" t="str">
        <f>'Material Rates_Master'!B185</f>
        <v>m3</v>
      </c>
      <c r="D156">
        <f>I902</f>
        <v>174.74183999999997</v>
      </c>
      <c r="E156" s="41">
        <f>'Material Rates_Master'!D185</f>
        <v>39.75</v>
      </c>
      <c r="F156" s="41">
        <f t="shared" ref="F156:F166" si="6">E156*D156</f>
        <v>6945.9881399999986</v>
      </c>
      <c r="H156" s="457" t="s">
        <v>1147</v>
      </c>
    </row>
    <row r="157" spans="1:8" x14ac:dyDescent="0.2">
      <c r="B157" s="38" t="str">
        <f>'Material Rates_Master'!A186</f>
        <v>CBR 45/2.5 Roadbase</v>
      </c>
      <c r="C157" s="40" t="str">
        <f>'Material Rates_Master'!B186</f>
        <v>m3</v>
      </c>
      <c r="E157" s="41">
        <f>'Material Rates_Master'!D186</f>
        <v>41.9</v>
      </c>
      <c r="F157" s="41">
        <f t="shared" si="6"/>
        <v>0</v>
      </c>
    </row>
    <row r="158" spans="1:8" x14ac:dyDescent="0.2">
      <c r="B158" s="38" t="str">
        <f>'Material Rates_Master'!A187</f>
        <v>Turf Underlay/Topsoil</v>
      </c>
      <c r="C158" s="40" t="str">
        <f>'Material Rates_Master'!B187</f>
        <v>m3</v>
      </c>
      <c r="E158" s="41">
        <f>'Material Rates_Master'!D187</f>
        <v>45.25</v>
      </c>
      <c r="F158" s="41">
        <f t="shared" si="6"/>
        <v>0</v>
      </c>
    </row>
    <row r="159" spans="1:8" x14ac:dyDescent="0.2">
      <c r="B159" s="38" t="str">
        <f>'Material Rates_Master'!A188</f>
        <v>Standard Garden Woodchip</v>
      </c>
      <c r="C159" s="40" t="str">
        <f>'Material Rates_Master'!B188</f>
        <v>m3</v>
      </c>
      <c r="E159" s="41">
        <f>'Material Rates_Master'!D188</f>
        <v>87</v>
      </c>
      <c r="F159" s="41">
        <f t="shared" si="6"/>
        <v>0</v>
      </c>
    </row>
    <row r="160" spans="1:8" x14ac:dyDescent="0.2">
      <c r="B160" s="38" t="str">
        <f>'Material Rates_Master'!A189</f>
        <v>Turf - Standard Couch or Similar</v>
      </c>
      <c r="C160" s="40" t="str">
        <f>'Material Rates_Master'!B189</f>
        <v>Slab (.5m2)</v>
      </c>
      <c r="E160" s="41">
        <f>'Material Rates_Master'!D189</f>
        <v>6.48</v>
      </c>
      <c r="F160" s="41">
        <f t="shared" si="6"/>
        <v>0</v>
      </c>
    </row>
    <row r="161" spans="1:10" ht="4.2" customHeight="1" x14ac:dyDescent="0.25">
      <c r="B161" t="s">
        <v>1148</v>
      </c>
      <c r="C161" t="s">
        <v>132</v>
      </c>
      <c r="D161">
        <v>1</v>
      </c>
      <c r="E161" s="41">
        <f>M902</f>
        <v>2621.1275999999993</v>
      </c>
      <c r="F161" s="41">
        <f t="shared" si="6"/>
        <v>2621.1275999999993</v>
      </c>
      <c r="H161" s="457" t="s">
        <v>1149</v>
      </c>
    </row>
    <row r="162" spans="1:10" x14ac:dyDescent="0.2">
      <c r="B162" s="38" t="str">
        <f>'Material Rates_Master'!A193</f>
        <v>Cement Stabalized Sand (3-5%)</v>
      </c>
      <c r="C162" s="40" t="str">
        <f>'Material Rates_Master'!B193</f>
        <v>m3</v>
      </c>
      <c r="E162" s="41">
        <f>'Material Rates_Master'!D193</f>
        <v>169</v>
      </c>
      <c r="F162" s="41">
        <f t="shared" si="6"/>
        <v>0</v>
      </c>
    </row>
    <row r="163" spans="1:10" x14ac:dyDescent="0.2">
      <c r="B163" s="38" t="str">
        <f>'Material Rates_Master'!A194</f>
        <v>Exposed Agg Concrete - Standard/Cheapest Exposed Agg Stone</v>
      </c>
      <c r="C163" s="40" t="str">
        <f>'Material Rates_Master'!B194</f>
        <v>m3</v>
      </c>
      <c r="E163" s="41">
        <f>'Material Rates_Master'!D194</f>
        <v>252</v>
      </c>
      <c r="F163" s="41">
        <f t="shared" si="6"/>
        <v>0</v>
      </c>
    </row>
    <row r="164" spans="1:10" x14ac:dyDescent="0.2">
      <c r="B164" s="38" t="str">
        <f>'Material Rates_Master'!A195</f>
        <v>N25 20mm 80 Slump Concrete</v>
      </c>
      <c r="C164" s="40" t="str">
        <f>'Material Rates_Master'!B195</f>
        <v>m3</v>
      </c>
      <c r="E164" s="41">
        <f>'Material Rates_Master'!D195</f>
        <v>263</v>
      </c>
      <c r="F164" s="41">
        <f t="shared" si="6"/>
        <v>0</v>
      </c>
    </row>
    <row r="165" spans="1:10" ht="12.45" customHeight="1" x14ac:dyDescent="0.25">
      <c r="B165" t="s">
        <v>1150</v>
      </c>
      <c r="C165" t="s">
        <v>132</v>
      </c>
      <c r="D165">
        <v>1</v>
      </c>
      <c r="E165" s="41">
        <v>2500</v>
      </c>
      <c r="F165" s="41">
        <f t="shared" si="6"/>
        <v>2500</v>
      </c>
      <c r="H165" s="457" t="s">
        <v>1151</v>
      </c>
    </row>
    <row r="166" spans="1:10" x14ac:dyDescent="0.2">
      <c r="B166" s="38" t="s">
        <v>138</v>
      </c>
      <c r="C166" s="40" t="s">
        <v>27</v>
      </c>
      <c r="E166" s="41">
        <v>380</v>
      </c>
      <c r="F166" s="41">
        <f t="shared" si="6"/>
        <v>0</v>
      </c>
    </row>
    <row r="168" spans="1:10" x14ac:dyDescent="0.2">
      <c r="B168" s="194"/>
      <c r="C168" s="38"/>
      <c r="D168" s="38"/>
      <c r="E168" s="38"/>
      <c r="F168" s="38"/>
    </row>
    <row r="169" spans="1:10" ht="10.5" customHeight="1" x14ac:dyDescent="0.2">
      <c r="A169" s="42"/>
      <c r="B169" s="314" t="s">
        <v>139</v>
      </c>
    </row>
    <row r="171" spans="1:10" ht="13.2" customHeight="1" x14ac:dyDescent="0.2">
      <c r="A171" s="40"/>
      <c r="B171" s="287" t="s">
        <v>140</v>
      </c>
      <c r="C171" s="40" t="str">
        <f>'Material Rates_Master'!B5</f>
        <v>m</v>
      </c>
      <c r="D171" s="281"/>
      <c r="E171" s="41">
        <f>'Material Rates_Master'!D5*$M$16</f>
        <v>46.810749999999985</v>
      </c>
      <c r="F171" s="41">
        <f>E171*D171</f>
        <v>0</v>
      </c>
      <c r="H171" s="20"/>
      <c r="I171" s="46"/>
      <c r="J171" s="46"/>
    </row>
    <row r="172" spans="1:10" x14ac:dyDescent="0.2">
      <c r="A172" s="40"/>
      <c r="B172" s="287" t="s">
        <v>141</v>
      </c>
      <c r="C172" s="40" t="str">
        <f>'Material Rates_Master'!B6</f>
        <v>m</v>
      </c>
      <c r="D172" s="229"/>
      <c r="E172" s="41">
        <f>'Material Rates_Master'!D6*$M$16</f>
        <v>35.143999999999998</v>
      </c>
      <c r="F172" s="41">
        <f>E172*D172</f>
        <v>0</v>
      </c>
      <c r="H172" s="20"/>
    </row>
    <row r="173" spans="1:10" ht="12.45" customHeight="1" x14ac:dyDescent="0.25">
      <c r="A173" s="40"/>
      <c r="B173" s="287" t="s">
        <v>142</v>
      </c>
      <c r="C173" s="40" t="str">
        <f>'Material Rates_Master'!B7</f>
        <v>m</v>
      </c>
      <c r="D173" s="37">
        <v>217.73</v>
      </c>
      <c r="E173" s="41">
        <f>'Material Rates_Master'!D7*$M$16</f>
        <v>16.993550000000003</v>
      </c>
      <c r="F173" s="41">
        <f>E173*D173</f>
        <v>3700.0056415000004</v>
      </c>
      <c r="G173">
        <v>218</v>
      </c>
      <c r="H173" s="474" t="s">
        <v>1152</v>
      </c>
    </row>
    <row r="174" spans="1:10" x14ac:dyDescent="0.2">
      <c r="A174" s="40"/>
      <c r="B174" s="287" t="s">
        <v>143</v>
      </c>
      <c r="C174" s="40" t="str">
        <f>'Material Rates_Master'!B8</f>
        <v>m</v>
      </c>
      <c r="D174" s="37"/>
      <c r="E174" s="41">
        <f>'Material Rates_Master'!D8*$M$16</f>
        <v>1.6779419999999998</v>
      </c>
      <c r="F174" s="41">
        <f>E174*D174</f>
        <v>0</v>
      </c>
      <c r="H174" s="20"/>
    </row>
    <row r="175" spans="1:10" ht="4.2" customHeight="1" x14ac:dyDescent="0.2">
      <c r="A175" s="40"/>
      <c r="B175" s="287"/>
      <c r="E175" s="41">
        <f>'Material Rates_Master'!D9*$M$16</f>
        <v>0</v>
      </c>
      <c r="H175" s="20"/>
    </row>
    <row r="176" spans="1:10" x14ac:dyDescent="0.2">
      <c r="A176" s="40"/>
      <c r="B176" s="287" t="s">
        <v>144</v>
      </c>
      <c r="C176" s="40" t="str">
        <f>'Material Rates_Master'!B10</f>
        <v>ea</v>
      </c>
      <c r="D176" s="229"/>
      <c r="E176" s="41">
        <f>'Material Rates_Master'!D10*$M$16</f>
        <v>60.802799999999998</v>
      </c>
      <c r="F176" s="41">
        <f t="shared" ref="F176:F207" si="7">E176*D176</f>
        <v>0</v>
      </c>
      <c r="H176" s="20"/>
    </row>
    <row r="177" spans="1:8" x14ac:dyDescent="0.2">
      <c r="A177" s="40"/>
      <c r="B177" s="287" t="s">
        <v>145</v>
      </c>
      <c r="C177" s="40" t="str">
        <f>'Material Rates_Master'!B11</f>
        <v>ea</v>
      </c>
      <c r="D177" s="37"/>
      <c r="E177" s="41">
        <f>'Material Rates_Master'!D11*$M$16</f>
        <v>35.493599999999994</v>
      </c>
      <c r="F177" s="41">
        <f t="shared" si="7"/>
        <v>0</v>
      </c>
      <c r="H177" s="20"/>
    </row>
    <row r="178" spans="1:8" x14ac:dyDescent="0.2">
      <c r="A178" s="40"/>
      <c r="B178" s="287" t="s">
        <v>146</v>
      </c>
      <c r="C178" s="40" t="str">
        <f>'Material Rates_Master'!B12</f>
        <v>ea</v>
      </c>
      <c r="D178" s="229">
        <v>1</v>
      </c>
      <c r="E178" s="41">
        <f>'Material Rates_Master'!D12*$M$16</f>
        <v>19.471799999999998</v>
      </c>
      <c r="F178" s="41">
        <f t="shared" si="7"/>
        <v>19.471799999999998</v>
      </c>
      <c r="H178" s="20"/>
    </row>
    <row r="179" spans="1:8" x14ac:dyDescent="0.2">
      <c r="A179" s="40"/>
      <c r="B179" s="287" t="s">
        <v>147</v>
      </c>
      <c r="C179" s="40" t="str">
        <f>'Material Rates_Master'!B13</f>
        <v>ea</v>
      </c>
      <c r="D179" s="229"/>
      <c r="E179" s="41">
        <f>'Material Rates_Master'!D13*$M$16</f>
        <v>150.64079999999998</v>
      </c>
      <c r="F179" s="41">
        <f t="shared" si="7"/>
        <v>0</v>
      </c>
      <c r="H179" s="20"/>
    </row>
    <row r="180" spans="1:8" x14ac:dyDescent="0.2">
      <c r="A180" s="40"/>
      <c r="B180" s="287" t="s">
        <v>148</v>
      </c>
      <c r="C180" s="40" t="str">
        <f>'Material Rates_Master'!B14</f>
        <v>ea</v>
      </c>
      <c r="D180" s="229"/>
      <c r="E180" s="41">
        <f>'Material Rates_Master'!D14*$M$16</f>
        <v>135.1986</v>
      </c>
      <c r="F180" s="41">
        <f t="shared" si="7"/>
        <v>0</v>
      </c>
      <c r="H180" s="20"/>
    </row>
    <row r="181" spans="1:8" x14ac:dyDescent="0.2">
      <c r="A181" s="40"/>
      <c r="B181" s="287" t="s">
        <v>149</v>
      </c>
      <c r="C181" s="40" t="str">
        <f>'Material Rates_Master'!B15</f>
        <v>ea</v>
      </c>
      <c r="D181" s="229"/>
      <c r="E181" s="41">
        <f>'Material Rates_Master'!D15*$M$16</f>
        <v>61.672199999999989</v>
      </c>
      <c r="F181" s="41">
        <f t="shared" si="7"/>
        <v>0</v>
      </c>
      <c r="H181" s="20"/>
    </row>
    <row r="182" spans="1:8" x14ac:dyDescent="0.2">
      <c r="A182" s="40"/>
      <c r="B182" s="287" t="s">
        <v>150</v>
      </c>
      <c r="C182" s="40" t="str">
        <f>'Material Rates_Master'!B16</f>
        <v>ea</v>
      </c>
      <c r="D182" s="229"/>
      <c r="E182" s="41">
        <f>'Material Rates_Master'!D16*$M$16</f>
        <v>150.64079999999998</v>
      </c>
      <c r="F182" s="41">
        <f t="shared" si="7"/>
        <v>0</v>
      </c>
      <c r="H182" s="20"/>
    </row>
    <row r="183" spans="1:8" x14ac:dyDescent="0.2">
      <c r="A183" s="40"/>
      <c r="B183" s="287" t="s">
        <v>151</v>
      </c>
      <c r="C183" s="40" t="str">
        <f>'Material Rates_Master'!B17</f>
        <v>ea</v>
      </c>
      <c r="D183" s="229"/>
      <c r="E183" s="41">
        <f>'Material Rates_Master'!D17*$M$16</f>
        <v>134.9778</v>
      </c>
      <c r="F183" s="41">
        <f t="shared" si="7"/>
        <v>0</v>
      </c>
      <c r="H183" s="20"/>
    </row>
    <row r="184" spans="1:8" x14ac:dyDescent="0.2">
      <c r="A184" s="40"/>
      <c r="B184" s="287" t="s">
        <v>152</v>
      </c>
      <c r="C184" s="40" t="str">
        <f>'Material Rates_Master'!B18</f>
        <v>ea</v>
      </c>
      <c r="D184" s="229">
        <v>6</v>
      </c>
      <c r="E184" s="41">
        <v>70</v>
      </c>
      <c r="F184" s="41">
        <f t="shared" si="7"/>
        <v>420</v>
      </c>
      <c r="H184" s="20"/>
    </row>
    <row r="185" spans="1:8" x14ac:dyDescent="0.2">
      <c r="A185" s="40"/>
      <c r="B185" s="287" t="s">
        <v>149</v>
      </c>
      <c r="C185" s="40" t="s">
        <v>27</v>
      </c>
      <c r="D185" s="229">
        <v>3</v>
      </c>
      <c r="E185" s="41">
        <v>62</v>
      </c>
      <c r="F185" s="41">
        <f t="shared" si="7"/>
        <v>186</v>
      </c>
      <c r="H185" s="20"/>
    </row>
    <row r="186" spans="1:8" x14ac:dyDescent="0.2">
      <c r="A186" s="40"/>
      <c r="B186" s="287" t="s">
        <v>153</v>
      </c>
      <c r="C186" s="40" t="str">
        <f>'Material Rates_Master'!B19</f>
        <v>ea</v>
      </c>
      <c r="D186" s="229"/>
      <c r="E186" s="41">
        <f>'Material Rates_Master'!D19*$M$16</f>
        <v>151.45499999999998</v>
      </c>
      <c r="F186" s="41">
        <f t="shared" si="7"/>
        <v>0</v>
      </c>
      <c r="H186" s="20"/>
    </row>
    <row r="187" spans="1:8" x14ac:dyDescent="0.2">
      <c r="A187" s="40"/>
      <c r="B187" s="287" t="s">
        <v>154</v>
      </c>
      <c r="C187" s="40" t="str">
        <f>'Material Rates_Master'!B20</f>
        <v>ea</v>
      </c>
      <c r="D187" s="229"/>
      <c r="E187" s="41">
        <f>'Material Rates_Master'!D20*$M$16</f>
        <v>157.7064</v>
      </c>
      <c r="F187" s="41">
        <f t="shared" si="7"/>
        <v>0</v>
      </c>
      <c r="H187" s="20"/>
    </row>
    <row r="188" spans="1:8" x14ac:dyDescent="0.2">
      <c r="A188" s="40"/>
      <c r="B188" s="287" t="s">
        <v>155</v>
      </c>
      <c r="C188" s="40" t="str">
        <f>'Material Rates_Master'!B21</f>
        <v>ea</v>
      </c>
      <c r="D188" s="229">
        <v>1</v>
      </c>
      <c r="E188" s="41">
        <f>'Material Rates_Master'!D21*$M$16</f>
        <v>67.964999999999989</v>
      </c>
      <c r="F188" s="41">
        <f t="shared" si="7"/>
        <v>67.964999999999989</v>
      </c>
      <c r="H188" s="20"/>
    </row>
    <row r="189" spans="1:8" x14ac:dyDescent="0.2">
      <c r="A189" s="40"/>
      <c r="B189" s="287" t="s">
        <v>156</v>
      </c>
      <c r="C189" s="40" t="str">
        <f>'Material Rates_Master'!B22</f>
        <v>ea</v>
      </c>
      <c r="D189" s="229"/>
      <c r="E189" s="41">
        <f>'Material Rates_Master'!D22*$M$16</f>
        <v>289.0686</v>
      </c>
      <c r="F189" s="41">
        <f t="shared" si="7"/>
        <v>0</v>
      </c>
      <c r="H189" s="20"/>
    </row>
    <row r="190" spans="1:8" x14ac:dyDescent="0.2">
      <c r="A190" s="40"/>
      <c r="B190" s="287" t="s">
        <v>157</v>
      </c>
      <c r="C190" s="40" t="str">
        <f>'Material Rates_Master'!B23</f>
        <v>ea</v>
      </c>
      <c r="D190" s="229"/>
      <c r="E190" s="41">
        <f>'Material Rates_Master'!D23*$M$16</f>
        <v>301.41959999999995</v>
      </c>
      <c r="F190" s="41">
        <f t="shared" si="7"/>
        <v>0</v>
      </c>
      <c r="H190" s="20"/>
    </row>
    <row r="191" spans="1:8" x14ac:dyDescent="0.2">
      <c r="A191" s="40"/>
      <c r="B191" s="287" t="s">
        <v>158</v>
      </c>
      <c r="C191" s="40" t="str">
        <f>'Material Rates_Master'!B24</f>
        <v>ea</v>
      </c>
      <c r="D191" s="229"/>
      <c r="E191" s="41">
        <f>'Material Rates_Master'!D24*$M$16</f>
        <v>168.53939999999997</v>
      </c>
      <c r="F191" s="41">
        <f t="shared" si="7"/>
        <v>0</v>
      </c>
      <c r="H191" s="20"/>
    </row>
    <row r="192" spans="1:8" x14ac:dyDescent="0.2">
      <c r="A192" s="40"/>
      <c r="B192" s="287" t="s">
        <v>159</v>
      </c>
      <c r="C192" s="40" t="str">
        <f>'Material Rates_Master'!B25</f>
        <v>ea</v>
      </c>
      <c r="D192" s="229"/>
      <c r="E192" s="41">
        <f>'Material Rates_Master'!D25*$M$16</f>
        <v>173.35559999999998</v>
      </c>
      <c r="F192" s="41">
        <f t="shared" si="7"/>
        <v>0</v>
      </c>
      <c r="H192" s="20"/>
    </row>
    <row r="193" spans="1:8" x14ac:dyDescent="0.2">
      <c r="A193" s="40"/>
      <c r="B193" s="287" t="s">
        <v>160</v>
      </c>
      <c r="C193" s="40" t="str">
        <f>'Material Rates_Master'!B26</f>
        <v>ea</v>
      </c>
      <c r="D193" s="229"/>
      <c r="E193" s="41">
        <f>'Material Rates_Master'!D26*$M$16</f>
        <v>82.938000000000002</v>
      </c>
      <c r="F193" s="41">
        <f t="shared" si="7"/>
        <v>0</v>
      </c>
      <c r="H193" s="20"/>
    </row>
    <row r="194" spans="1:8" x14ac:dyDescent="0.2">
      <c r="A194" s="40"/>
      <c r="B194" s="287" t="s">
        <v>161</v>
      </c>
      <c r="C194" s="40" t="str">
        <f>'Material Rates_Master'!B27</f>
        <v>ea</v>
      </c>
      <c r="D194" s="229"/>
      <c r="E194" s="41">
        <f>'Material Rates_Master'!D27*$M$16</f>
        <v>472.44299999999998</v>
      </c>
      <c r="F194" s="41">
        <f t="shared" si="7"/>
        <v>0</v>
      </c>
      <c r="H194" s="20"/>
    </row>
    <row r="195" spans="1:8" x14ac:dyDescent="0.2">
      <c r="A195" s="40"/>
      <c r="B195" s="287" t="s">
        <v>162</v>
      </c>
      <c r="C195" s="40" t="str">
        <f>'Material Rates_Master'!B28</f>
        <v>ea</v>
      </c>
      <c r="D195" s="229"/>
      <c r="E195" s="41">
        <f>'Material Rates_Master'!D28*$M$16</f>
        <v>179.08260000000001</v>
      </c>
      <c r="F195" s="41">
        <f t="shared" si="7"/>
        <v>0</v>
      </c>
      <c r="H195" s="20"/>
    </row>
    <row r="196" spans="1:8" x14ac:dyDescent="0.2">
      <c r="A196" s="40"/>
      <c r="B196" s="287" t="s">
        <v>163</v>
      </c>
      <c r="C196" s="40" t="str">
        <f>'Material Rates_Master'!B29</f>
        <v>ea</v>
      </c>
      <c r="D196" s="229"/>
      <c r="E196" s="41">
        <f>'Material Rates_Master'!D29*$M$16</f>
        <v>127.88459999999999</v>
      </c>
      <c r="F196" s="41">
        <f t="shared" si="7"/>
        <v>0</v>
      </c>
      <c r="H196" s="20"/>
    </row>
    <row r="197" spans="1:8" x14ac:dyDescent="0.2">
      <c r="A197" s="40"/>
      <c r="B197" s="287" t="s">
        <v>164</v>
      </c>
      <c r="C197" s="40" t="str">
        <f>'Material Rates_Master'!B30</f>
        <v>ea</v>
      </c>
      <c r="D197" s="229"/>
      <c r="E197" s="41">
        <f>'Material Rates_Master'!D30*$M$16</f>
        <v>432.20219999999995</v>
      </c>
      <c r="F197" s="41">
        <f t="shared" si="7"/>
        <v>0</v>
      </c>
      <c r="H197" s="20"/>
    </row>
    <row r="198" spans="1:8" x14ac:dyDescent="0.2">
      <c r="A198" s="40"/>
      <c r="B198" s="287" t="s">
        <v>165</v>
      </c>
      <c r="C198" s="40" t="str">
        <f>'Material Rates_Master'!B31</f>
        <v>ea</v>
      </c>
      <c r="D198" s="229">
        <v>1</v>
      </c>
      <c r="E198" s="41">
        <f>'Material Rates_Master'!D31*$M$16</f>
        <v>281.67180000000002</v>
      </c>
      <c r="F198" s="41">
        <f t="shared" si="7"/>
        <v>281.67180000000002</v>
      </c>
      <c r="H198" s="20"/>
    </row>
    <row r="199" spans="1:8" ht="6" customHeight="1" x14ac:dyDescent="0.2">
      <c r="A199" s="40"/>
      <c r="B199" s="287"/>
      <c r="C199" s="40">
        <f>'Material Rates_Master'!B32</f>
        <v>0</v>
      </c>
      <c r="E199" s="41">
        <f>'Material Rates_Master'!D32*$M$16</f>
        <v>0</v>
      </c>
      <c r="F199" s="41">
        <f t="shared" si="7"/>
        <v>0</v>
      </c>
      <c r="H199" s="20"/>
    </row>
    <row r="200" spans="1:8" x14ac:dyDescent="0.2">
      <c r="A200" s="40"/>
      <c r="B200" s="1" t="s">
        <v>166</v>
      </c>
      <c r="C200" s="40" t="str">
        <f>'Material Rates_Master'!B33</f>
        <v>ea</v>
      </c>
      <c r="E200" s="41">
        <f>'Material Rates_Master'!D33*$M$16</f>
        <v>435.67979999999994</v>
      </c>
      <c r="F200" s="41">
        <f t="shared" si="7"/>
        <v>0</v>
      </c>
      <c r="H200" s="20"/>
    </row>
    <row r="201" spans="1:8" x14ac:dyDescent="0.2">
      <c r="A201" s="40"/>
      <c r="B201" s="1" t="s">
        <v>167</v>
      </c>
      <c r="C201" s="40" t="str">
        <f>'Material Rates_Master'!B34</f>
        <v>ea</v>
      </c>
      <c r="E201" s="41">
        <f>'Material Rates_Master'!D34*$M$16</f>
        <v>277.97339999999997</v>
      </c>
      <c r="F201" s="41">
        <f t="shared" si="7"/>
        <v>0</v>
      </c>
      <c r="H201" s="20"/>
    </row>
    <row r="202" spans="1:8" x14ac:dyDescent="0.2">
      <c r="A202" s="40"/>
      <c r="B202" s="287" t="s">
        <v>168</v>
      </c>
      <c r="C202" s="40" t="str">
        <f>'Material Rates_Master'!B35</f>
        <v>ea</v>
      </c>
      <c r="D202" s="229"/>
      <c r="E202" s="41">
        <f>'Material Rates_Master'!D35*$M$16</f>
        <v>94.5852</v>
      </c>
      <c r="F202" s="41">
        <f t="shared" si="7"/>
        <v>0</v>
      </c>
      <c r="H202" s="20"/>
    </row>
    <row r="203" spans="1:8" x14ac:dyDescent="0.2">
      <c r="A203" s="40"/>
      <c r="B203" s="287" t="s">
        <v>169</v>
      </c>
      <c r="C203" s="40" t="str">
        <f>'Material Rates_Master'!B36</f>
        <v>ea</v>
      </c>
      <c r="D203" s="229"/>
      <c r="E203" s="41">
        <f>'Material Rates_Master'!D36*$M$16</f>
        <v>88.954799999999977</v>
      </c>
      <c r="F203" s="41">
        <f t="shared" si="7"/>
        <v>0</v>
      </c>
      <c r="H203" s="20"/>
    </row>
    <row r="204" spans="1:8" x14ac:dyDescent="0.2">
      <c r="A204" s="40"/>
      <c r="B204" s="287" t="s">
        <v>170</v>
      </c>
      <c r="C204" s="40" t="str">
        <f>'Material Rates_Master'!B37</f>
        <v>ea</v>
      </c>
      <c r="D204" s="229"/>
      <c r="E204" s="41">
        <f>'Material Rates_Master'!D37*$M$16</f>
        <v>53.488799999999991</v>
      </c>
      <c r="F204" s="41">
        <f t="shared" si="7"/>
        <v>0</v>
      </c>
      <c r="H204" s="20"/>
    </row>
    <row r="205" spans="1:8" x14ac:dyDescent="0.2">
      <c r="A205" s="40"/>
      <c r="B205" s="287" t="s">
        <v>171</v>
      </c>
      <c r="C205" s="40" t="str">
        <f>'Material Rates_Master'!B38</f>
        <v>ea</v>
      </c>
      <c r="D205" s="229"/>
      <c r="E205" s="41">
        <f>'Material Rates_Master'!D38*$M$16</f>
        <v>118.91459999999999</v>
      </c>
      <c r="F205" s="41">
        <f t="shared" si="7"/>
        <v>0</v>
      </c>
      <c r="H205" s="20"/>
    </row>
    <row r="206" spans="1:8" x14ac:dyDescent="0.2">
      <c r="A206" s="40"/>
      <c r="B206" s="287" t="s">
        <v>172</v>
      </c>
      <c r="C206" s="40" t="str">
        <f>'Material Rates_Master'!B39</f>
        <v>ea</v>
      </c>
      <c r="D206" s="229"/>
      <c r="E206" s="41">
        <f>'Material Rates_Master'!D39*$M$16</f>
        <v>93.991799999999998</v>
      </c>
      <c r="F206" s="41">
        <f t="shared" si="7"/>
        <v>0</v>
      </c>
      <c r="H206" s="20"/>
    </row>
    <row r="207" spans="1:8" x14ac:dyDescent="0.2">
      <c r="A207" s="40"/>
      <c r="B207" s="287" t="s">
        <v>173</v>
      </c>
      <c r="C207" s="40" t="str">
        <f>'Material Rates_Master'!B40</f>
        <v>ea</v>
      </c>
      <c r="D207" s="229"/>
      <c r="E207" s="41">
        <f>'Material Rates_Master'!D40*$M$16</f>
        <v>43.676999999999992</v>
      </c>
      <c r="F207" s="41">
        <f t="shared" si="7"/>
        <v>0</v>
      </c>
      <c r="H207" s="20"/>
    </row>
    <row r="208" spans="1:8" x14ac:dyDescent="0.2">
      <c r="A208" s="40"/>
      <c r="B208" s="287" t="s">
        <v>174</v>
      </c>
      <c r="C208" s="40" t="str">
        <f>'Material Rates_Master'!B41</f>
        <v>ea</v>
      </c>
      <c r="D208" s="229"/>
      <c r="E208" s="41">
        <f>'Material Rates_Master'!D41*$M$16</f>
        <v>176.14319999999998</v>
      </c>
      <c r="F208" s="41">
        <f t="shared" ref="F208:F239" si="8">E208*D208</f>
        <v>0</v>
      </c>
      <c r="H208" s="20"/>
    </row>
    <row r="209" spans="1:8" x14ac:dyDescent="0.2">
      <c r="A209" s="40"/>
      <c r="B209" s="287" t="s">
        <v>175</v>
      </c>
      <c r="C209" s="40" t="str">
        <f>'Material Rates_Master'!B42</f>
        <v>ea</v>
      </c>
      <c r="D209" s="229"/>
      <c r="E209" s="41">
        <f>'Material Rates_Master'!D42*$M$16</f>
        <v>157.62359999999998</v>
      </c>
      <c r="F209" s="41">
        <f t="shared" si="8"/>
        <v>0</v>
      </c>
      <c r="H209" s="20"/>
    </row>
    <row r="210" spans="1:8" x14ac:dyDescent="0.2">
      <c r="A210" s="40"/>
      <c r="B210" s="287" t="s">
        <v>176</v>
      </c>
      <c r="C210" s="40" t="str">
        <f>'Material Rates_Master'!B43</f>
        <v>ea</v>
      </c>
      <c r="D210" s="229"/>
      <c r="E210" s="41">
        <f>'Material Rates_Master'!D43*$M$16</f>
        <v>52.798799999999993</v>
      </c>
      <c r="F210" s="41">
        <f t="shared" si="8"/>
        <v>0</v>
      </c>
      <c r="H210" s="20"/>
    </row>
    <row r="211" spans="1:8" x14ac:dyDescent="0.2">
      <c r="A211" s="40"/>
      <c r="B211" s="287" t="s">
        <v>177</v>
      </c>
      <c r="C211" s="40" t="str">
        <f>'Material Rates_Master'!B44</f>
        <v>ea</v>
      </c>
      <c r="D211" s="229"/>
      <c r="E211" s="41">
        <f>'Material Rates_Master'!D44*$M$16</f>
        <v>253.20239999999995</v>
      </c>
      <c r="F211" s="41">
        <f t="shared" si="8"/>
        <v>0</v>
      </c>
      <c r="H211" s="20"/>
    </row>
    <row r="212" spans="1:8" x14ac:dyDescent="0.2">
      <c r="A212" s="40"/>
      <c r="B212" s="287" t="s">
        <v>178</v>
      </c>
      <c r="C212" s="40" t="str">
        <f>'Material Rates_Master'!B45</f>
        <v>ea</v>
      </c>
      <c r="D212" s="229"/>
      <c r="E212" s="41">
        <f>'Material Rates_Master'!D45*$M$16</f>
        <v>265.55340000000001</v>
      </c>
      <c r="F212" s="41">
        <f t="shared" si="8"/>
        <v>0</v>
      </c>
      <c r="H212" s="20"/>
    </row>
    <row r="213" spans="1:8" x14ac:dyDescent="0.2">
      <c r="A213" s="40"/>
      <c r="B213" s="287" t="s">
        <v>179</v>
      </c>
      <c r="C213" s="40" t="str">
        <f>'Material Rates_Master'!B46</f>
        <v>ea</v>
      </c>
      <c r="D213" s="229"/>
      <c r="E213" s="41">
        <f>'Material Rates_Master'!D46*$M$16</f>
        <v>256.27979999999997</v>
      </c>
      <c r="F213" s="41">
        <f t="shared" si="8"/>
        <v>0</v>
      </c>
      <c r="H213" s="20"/>
    </row>
    <row r="214" spans="1:8" x14ac:dyDescent="0.2">
      <c r="A214" s="40"/>
      <c r="B214" s="287" t="s">
        <v>180</v>
      </c>
      <c r="C214" s="40" t="str">
        <f>'Material Rates_Master'!B47</f>
        <v>ea</v>
      </c>
      <c r="D214" s="229"/>
      <c r="E214" s="41">
        <f>'Material Rates_Master'!D47*$M$16</f>
        <v>77.059200000000004</v>
      </c>
      <c r="F214" s="41">
        <f t="shared" si="8"/>
        <v>0</v>
      </c>
      <c r="H214" s="20"/>
    </row>
    <row r="215" spans="1:8" x14ac:dyDescent="0.2">
      <c r="A215" s="40"/>
      <c r="B215" s="287" t="s">
        <v>181</v>
      </c>
      <c r="C215" s="40" t="str">
        <f>'Material Rates_Master'!B48</f>
        <v>ea</v>
      </c>
      <c r="D215" s="229"/>
      <c r="E215" s="41">
        <f>'Material Rates_Master'!D48*$M$16</f>
        <v>54.965399999999995</v>
      </c>
      <c r="F215" s="41">
        <f t="shared" si="8"/>
        <v>0</v>
      </c>
      <c r="H215" s="20"/>
    </row>
    <row r="216" spans="1:8" ht="6.6" customHeight="1" x14ac:dyDescent="0.2">
      <c r="A216" s="40"/>
      <c r="B216" s="287"/>
      <c r="C216" s="40">
        <f>'Material Rates_Master'!B49</f>
        <v>0</v>
      </c>
      <c r="E216" s="41">
        <f>'Material Rates_Master'!D49</f>
        <v>0</v>
      </c>
      <c r="F216" s="41">
        <f t="shared" si="8"/>
        <v>0</v>
      </c>
    </row>
    <row r="217" spans="1:8" x14ac:dyDescent="0.2">
      <c r="A217" s="40"/>
      <c r="B217" s="287" t="s">
        <v>182</v>
      </c>
      <c r="C217" s="40" t="str">
        <f>'Material Rates_Master'!B50</f>
        <v>ea</v>
      </c>
      <c r="D217" s="229"/>
      <c r="E217" s="41">
        <f>'Material Rates_Master'!D50</f>
        <v>679.41</v>
      </c>
      <c r="F217" s="41">
        <f t="shared" si="8"/>
        <v>0</v>
      </c>
    </row>
    <row r="218" spans="1:8" x14ac:dyDescent="0.2">
      <c r="A218" s="40"/>
      <c r="B218" s="287" t="s">
        <v>183</v>
      </c>
      <c r="C218" s="40" t="str">
        <f>'Material Rates_Master'!B51</f>
        <v>ea</v>
      </c>
      <c r="D218" s="229"/>
      <c r="E218" s="41">
        <f>'Material Rates_Master'!D51</f>
        <v>323.52999999999997</v>
      </c>
      <c r="F218" s="41">
        <f t="shared" si="8"/>
        <v>0</v>
      </c>
    </row>
    <row r="219" spans="1:8" x14ac:dyDescent="0.2">
      <c r="A219" s="40"/>
      <c r="B219" s="287" t="s">
        <v>184</v>
      </c>
      <c r="C219" s="40" t="str">
        <f>'Material Rates_Master'!B52</f>
        <v>ea</v>
      </c>
      <c r="D219" s="229"/>
      <c r="E219" s="41">
        <f>'Material Rates_Master'!D52</f>
        <v>202.94</v>
      </c>
      <c r="F219" s="41">
        <f t="shared" si="8"/>
        <v>0</v>
      </c>
    </row>
    <row r="220" spans="1:8" x14ac:dyDescent="0.2">
      <c r="A220" s="40"/>
      <c r="B220" s="287" t="s">
        <v>185</v>
      </c>
      <c r="C220" s="40" t="str">
        <f>'Material Rates_Master'!B53</f>
        <v>ea</v>
      </c>
      <c r="D220" s="229"/>
      <c r="E220" s="41">
        <f>'Material Rates_Master'!D53</f>
        <v>136.94</v>
      </c>
      <c r="F220" s="41">
        <f t="shared" si="8"/>
        <v>0</v>
      </c>
    </row>
    <row r="221" spans="1:8" x14ac:dyDescent="0.2">
      <c r="A221" s="40"/>
      <c r="B221" s="287" t="s">
        <v>186</v>
      </c>
      <c r="C221" s="40" t="str">
        <f>'Material Rates_Master'!B54</f>
        <v>ea</v>
      </c>
      <c r="D221" s="229"/>
      <c r="E221" s="41">
        <f>'Material Rates_Master'!D54</f>
        <v>123.53</v>
      </c>
      <c r="F221" s="41">
        <f t="shared" si="8"/>
        <v>0</v>
      </c>
    </row>
    <row r="222" spans="1:8" x14ac:dyDescent="0.2">
      <c r="A222" s="40"/>
      <c r="B222" s="287" t="s">
        <v>187</v>
      </c>
      <c r="C222" s="40" t="str">
        <f>'Material Rates_Master'!B55</f>
        <v>ea</v>
      </c>
      <c r="D222" s="229"/>
      <c r="E222" s="41">
        <f>'Material Rates_Master'!D55</f>
        <v>98.82</v>
      </c>
      <c r="F222" s="41">
        <f t="shared" si="8"/>
        <v>0</v>
      </c>
    </row>
    <row r="223" spans="1:8" ht="4.95" customHeight="1" x14ac:dyDescent="0.2">
      <c r="A223" s="40"/>
      <c r="B223" s="287"/>
      <c r="C223" s="40">
        <f>'Material Rates_Master'!B56</f>
        <v>0</v>
      </c>
      <c r="E223" s="41">
        <f>'Material Rates_Master'!D56</f>
        <v>0</v>
      </c>
      <c r="F223" s="41">
        <f t="shared" si="8"/>
        <v>0</v>
      </c>
    </row>
    <row r="224" spans="1:8" x14ac:dyDescent="0.2">
      <c r="A224" s="40"/>
      <c r="B224" s="287" t="s">
        <v>188</v>
      </c>
      <c r="C224" s="40" t="str">
        <f>'Material Rates_Master'!B57</f>
        <v>ea</v>
      </c>
      <c r="D224" s="229"/>
      <c r="E224" s="41">
        <f>'Material Rates_Master'!D57</f>
        <v>291.18</v>
      </c>
      <c r="F224" s="41">
        <f t="shared" si="8"/>
        <v>0</v>
      </c>
    </row>
    <row r="225" spans="1:6" x14ac:dyDescent="0.2">
      <c r="A225" s="40"/>
      <c r="B225" s="287" t="s">
        <v>189</v>
      </c>
      <c r="C225" s="40" t="str">
        <f>'Material Rates_Master'!B58</f>
        <v>ea</v>
      </c>
      <c r="D225" s="229"/>
      <c r="E225" s="41">
        <f>'Material Rates_Master'!D58</f>
        <v>330</v>
      </c>
      <c r="F225" s="41">
        <f t="shared" si="8"/>
        <v>0</v>
      </c>
    </row>
    <row r="226" spans="1:6" x14ac:dyDescent="0.2">
      <c r="A226" s="40"/>
      <c r="B226" s="287" t="s">
        <v>190</v>
      </c>
      <c r="C226" s="40" t="str">
        <f>'Material Rates_Master'!B59</f>
        <v>ea</v>
      </c>
      <c r="D226" s="229"/>
      <c r="E226" s="41">
        <f>'Material Rates_Master'!D59</f>
        <v>156</v>
      </c>
      <c r="F226" s="41">
        <f t="shared" si="8"/>
        <v>0</v>
      </c>
    </row>
    <row r="227" spans="1:6" x14ac:dyDescent="0.2">
      <c r="A227" s="40"/>
      <c r="B227" s="287" t="s">
        <v>191</v>
      </c>
      <c r="C227" s="40" t="str">
        <f>'Material Rates_Master'!B60</f>
        <v>ea</v>
      </c>
      <c r="D227" s="229"/>
      <c r="E227" s="41">
        <f>'Material Rates_Master'!D60</f>
        <v>106.24</v>
      </c>
      <c r="F227" s="41">
        <f t="shared" si="8"/>
        <v>0</v>
      </c>
    </row>
    <row r="228" spans="1:6" x14ac:dyDescent="0.2">
      <c r="A228" s="40"/>
      <c r="B228" s="287" t="s">
        <v>192</v>
      </c>
      <c r="C228" s="40" t="str">
        <f>'Material Rates_Master'!B61</f>
        <v>ea</v>
      </c>
      <c r="D228" s="229"/>
      <c r="E228" s="41">
        <f>'Material Rates_Master'!D61</f>
        <v>70.59</v>
      </c>
      <c r="F228" s="41">
        <f t="shared" si="8"/>
        <v>0</v>
      </c>
    </row>
    <row r="229" spans="1:6" x14ac:dyDescent="0.2">
      <c r="A229" s="40"/>
      <c r="B229" s="287" t="s">
        <v>193</v>
      </c>
      <c r="C229" s="40" t="str">
        <f>'Material Rates_Master'!B62</f>
        <v>ea</v>
      </c>
      <c r="D229" s="229"/>
      <c r="E229" s="41">
        <f>'Material Rates_Master'!D62</f>
        <v>516.35</v>
      </c>
      <c r="F229" s="41">
        <f t="shared" si="8"/>
        <v>0</v>
      </c>
    </row>
    <row r="230" spans="1:6" x14ac:dyDescent="0.2">
      <c r="A230" s="40"/>
      <c r="B230" s="287" t="s">
        <v>194</v>
      </c>
      <c r="C230" s="40" t="str">
        <f>'Material Rates_Master'!B63</f>
        <v>ea</v>
      </c>
      <c r="D230" s="229"/>
      <c r="E230" s="41">
        <f>'Material Rates_Master'!D63</f>
        <v>198.88</v>
      </c>
      <c r="F230" s="41">
        <f t="shared" si="8"/>
        <v>0</v>
      </c>
    </row>
    <row r="231" spans="1:6" x14ac:dyDescent="0.2">
      <c r="A231" s="40"/>
      <c r="B231" s="287" t="s">
        <v>195</v>
      </c>
      <c r="C231" s="40" t="str">
        <f>'Material Rates_Master'!B64</f>
        <v>ea</v>
      </c>
      <c r="D231" s="229"/>
      <c r="E231" s="41">
        <f>'Material Rates_Master'!D64</f>
        <v>108.71</v>
      </c>
      <c r="F231" s="41">
        <f t="shared" si="8"/>
        <v>0</v>
      </c>
    </row>
    <row r="232" spans="1:6" x14ac:dyDescent="0.2">
      <c r="A232" s="40"/>
      <c r="B232" s="287" t="s">
        <v>196</v>
      </c>
      <c r="C232" s="40" t="str">
        <f>'Material Rates_Master'!B65</f>
        <v>ea</v>
      </c>
      <c r="D232" s="229"/>
      <c r="E232" s="41">
        <f>'Material Rates_Master'!D65</f>
        <v>672.65</v>
      </c>
      <c r="F232" s="41">
        <f t="shared" si="8"/>
        <v>0</v>
      </c>
    </row>
    <row r="233" spans="1:6" x14ac:dyDescent="0.2">
      <c r="A233" s="40"/>
      <c r="B233" s="287" t="s">
        <v>197</v>
      </c>
      <c r="C233" s="40" t="str">
        <f>'Material Rates_Master'!B66</f>
        <v>ea</v>
      </c>
      <c r="D233" s="229"/>
      <c r="E233" s="41">
        <f>'Material Rates_Master'!D66</f>
        <v>228.24</v>
      </c>
      <c r="F233" s="41">
        <f t="shared" si="8"/>
        <v>0</v>
      </c>
    </row>
    <row r="234" spans="1:6" x14ac:dyDescent="0.2">
      <c r="A234" s="40"/>
      <c r="B234" s="287" t="s">
        <v>198</v>
      </c>
      <c r="C234" s="40" t="str">
        <f>'Material Rates_Master'!B67</f>
        <v>ea</v>
      </c>
      <c r="D234" s="229"/>
      <c r="E234" s="41">
        <f>'Material Rates_Master'!D67</f>
        <v>128.24</v>
      </c>
      <c r="F234" s="41">
        <f t="shared" si="8"/>
        <v>0</v>
      </c>
    </row>
    <row r="235" spans="1:6" x14ac:dyDescent="0.2">
      <c r="A235" s="40"/>
      <c r="B235" s="287" t="s">
        <v>199</v>
      </c>
      <c r="C235" s="40" t="str">
        <f>'Material Rates_Master'!B68</f>
        <v>ea</v>
      </c>
      <c r="D235" s="229"/>
      <c r="E235" s="41">
        <f>'Material Rates_Master'!D68</f>
        <v>536.76</v>
      </c>
      <c r="F235" s="41">
        <f t="shared" si="8"/>
        <v>0</v>
      </c>
    </row>
    <row r="236" spans="1:6" x14ac:dyDescent="0.2">
      <c r="A236" s="40"/>
      <c r="B236" s="287" t="s">
        <v>200</v>
      </c>
      <c r="C236" s="40" t="str">
        <f>'Material Rates_Master'!B69</f>
        <v>ea</v>
      </c>
      <c r="D236" s="229"/>
      <c r="E236" s="41">
        <f>'Material Rates_Master'!D69</f>
        <v>576.47</v>
      </c>
      <c r="F236" s="41">
        <f t="shared" si="8"/>
        <v>0</v>
      </c>
    </row>
    <row r="237" spans="1:6" x14ac:dyDescent="0.2">
      <c r="A237" s="40"/>
      <c r="B237" s="287" t="s">
        <v>201</v>
      </c>
      <c r="C237" s="40" t="str">
        <f>'Material Rates_Master'!B70</f>
        <v>ea</v>
      </c>
      <c r="D237" s="229"/>
      <c r="E237" s="41">
        <f>'Material Rates_Master'!D70</f>
        <v>198.82</v>
      </c>
      <c r="F237" s="41">
        <f t="shared" si="8"/>
        <v>0</v>
      </c>
    </row>
    <row r="238" spans="1:6" x14ac:dyDescent="0.2">
      <c r="A238" s="40"/>
      <c r="B238" s="287" t="s">
        <v>202</v>
      </c>
      <c r="C238" s="40" t="str">
        <f>'Material Rates_Master'!B71</f>
        <v>ea</v>
      </c>
      <c r="D238" s="229"/>
      <c r="E238" s="41">
        <f>'Material Rates_Master'!D71</f>
        <v>898.82</v>
      </c>
      <c r="F238" s="41">
        <f t="shared" si="8"/>
        <v>0</v>
      </c>
    </row>
    <row r="239" spans="1:6" x14ac:dyDescent="0.2">
      <c r="A239" s="40"/>
      <c r="B239" s="287" t="s">
        <v>203</v>
      </c>
      <c r="C239" s="40" t="str">
        <f>'Material Rates_Master'!B72</f>
        <v>ea</v>
      </c>
      <c r="D239" s="229"/>
      <c r="E239" s="41">
        <f>'Material Rates_Master'!D72</f>
        <v>640</v>
      </c>
      <c r="F239" s="41">
        <f t="shared" si="8"/>
        <v>0</v>
      </c>
    </row>
    <row r="240" spans="1:6" x14ac:dyDescent="0.2">
      <c r="A240" s="40"/>
      <c r="B240" s="287" t="s">
        <v>204</v>
      </c>
      <c r="C240" s="40" t="str">
        <f>'Material Rates_Master'!B73</f>
        <v>ea</v>
      </c>
      <c r="D240" s="229"/>
      <c r="E240" s="41">
        <f>'Material Rates_Master'!D73</f>
        <v>355.29</v>
      </c>
      <c r="F240" s="41">
        <f t="shared" ref="F240:F271" si="9">E240*D240</f>
        <v>0</v>
      </c>
    </row>
    <row r="241" spans="1:6" x14ac:dyDescent="0.2">
      <c r="A241" s="40"/>
      <c r="B241" s="287" t="s">
        <v>205</v>
      </c>
      <c r="C241" s="40" t="str">
        <f>'Material Rates_Master'!B74</f>
        <v>ea</v>
      </c>
      <c r="D241" s="229"/>
      <c r="E241" s="41">
        <f>'Material Rates_Master'!D74</f>
        <v>534.41</v>
      </c>
      <c r="F241" s="41">
        <f t="shared" si="9"/>
        <v>0</v>
      </c>
    </row>
    <row r="242" spans="1:6" x14ac:dyDescent="0.2">
      <c r="A242" s="40"/>
      <c r="B242" s="287" t="s">
        <v>206</v>
      </c>
      <c r="C242" s="40" t="str">
        <f>'Material Rates_Master'!B75</f>
        <v>ea</v>
      </c>
      <c r="D242" s="229"/>
      <c r="E242" s="41">
        <f>'Material Rates_Master'!D75</f>
        <v>280</v>
      </c>
      <c r="F242" s="41">
        <f t="shared" si="9"/>
        <v>0</v>
      </c>
    </row>
    <row r="243" spans="1:6" x14ac:dyDescent="0.2">
      <c r="A243" s="40"/>
      <c r="B243" s="287" t="s">
        <v>207</v>
      </c>
      <c r="C243" s="40" t="str">
        <f>'Material Rates_Master'!B76</f>
        <v>ea</v>
      </c>
      <c r="D243" s="229"/>
      <c r="E243" s="41">
        <f>'Material Rates_Master'!D76</f>
        <v>236.47</v>
      </c>
      <c r="F243" s="41">
        <f t="shared" si="9"/>
        <v>0</v>
      </c>
    </row>
    <row r="244" spans="1:6" x14ac:dyDescent="0.2">
      <c r="A244" s="40"/>
      <c r="B244" s="287" t="s">
        <v>208</v>
      </c>
      <c r="C244" s="40" t="str">
        <f>'Material Rates_Master'!B77</f>
        <v>ea</v>
      </c>
      <c r="D244" s="229"/>
      <c r="E244" s="41">
        <f>'Material Rates_Master'!D77</f>
        <v>178.8</v>
      </c>
      <c r="F244" s="41">
        <f t="shared" si="9"/>
        <v>0</v>
      </c>
    </row>
    <row r="245" spans="1:6" x14ac:dyDescent="0.2">
      <c r="A245" s="40"/>
      <c r="B245" s="287" t="s">
        <v>209</v>
      </c>
      <c r="C245" s="40" t="str">
        <f>'Material Rates_Master'!B78</f>
        <v>ea</v>
      </c>
      <c r="D245" s="229"/>
      <c r="E245" s="41">
        <f>'Material Rates_Master'!D78</f>
        <v>362.35</v>
      </c>
      <c r="F245" s="41">
        <f t="shared" si="9"/>
        <v>0</v>
      </c>
    </row>
    <row r="246" spans="1:6" x14ac:dyDescent="0.2">
      <c r="A246" s="40"/>
      <c r="B246" s="287" t="s">
        <v>210</v>
      </c>
      <c r="C246" s="40" t="str">
        <f>'Material Rates_Master'!B79</f>
        <v>ea</v>
      </c>
      <c r="D246" s="229"/>
      <c r="E246" s="41">
        <f>'Material Rates_Master'!D79</f>
        <v>144.71</v>
      </c>
      <c r="F246" s="41">
        <f t="shared" si="9"/>
        <v>0</v>
      </c>
    </row>
    <row r="247" spans="1:6" x14ac:dyDescent="0.2">
      <c r="A247" s="40"/>
      <c r="B247" s="287" t="s">
        <v>211</v>
      </c>
      <c r="C247" s="40" t="str">
        <f>'Material Rates_Master'!B80</f>
        <v>ea</v>
      </c>
      <c r="D247" s="229"/>
      <c r="E247" s="41">
        <f>'Material Rates_Master'!D80</f>
        <v>135.88</v>
      </c>
      <c r="F247" s="41">
        <f t="shared" si="9"/>
        <v>0</v>
      </c>
    </row>
    <row r="248" spans="1:6" x14ac:dyDescent="0.2">
      <c r="A248" s="40"/>
      <c r="B248" s="287" t="s">
        <v>212</v>
      </c>
      <c r="C248" s="40" t="str">
        <f>'Material Rates_Master'!B81</f>
        <v>ea</v>
      </c>
      <c r="D248" s="229"/>
      <c r="E248" s="41">
        <f>'Material Rates_Master'!D81</f>
        <v>76.47</v>
      </c>
      <c r="F248" s="41">
        <f t="shared" si="9"/>
        <v>0</v>
      </c>
    </row>
    <row r="249" spans="1:6" x14ac:dyDescent="0.2">
      <c r="A249" s="40"/>
      <c r="B249" s="287" t="s">
        <v>213</v>
      </c>
      <c r="C249" s="40" t="str">
        <f>'Material Rates_Master'!B82</f>
        <v>ea</v>
      </c>
      <c r="D249" s="229"/>
      <c r="E249" s="41">
        <f>'Material Rates_Master'!D82</f>
        <v>67.650000000000006</v>
      </c>
      <c r="F249" s="41">
        <f t="shared" si="9"/>
        <v>0</v>
      </c>
    </row>
    <row r="250" spans="1:6" x14ac:dyDescent="0.2">
      <c r="A250" s="40"/>
      <c r="B250" s="287" t="s">
        <v>214</v>
      </c>
      <c r="C250" s="40" t="str">
        <f>'Material Rates_Master'!B83</f>
        <v>ea</v>
      </c>
      <c r="D250" s="229"/>
      <c r="E250" s="41">
        <f>'Material Rates_Master'!D83</f>
        <v>43.53</v>
      </c>
      <c r="F250" s="41">
        <f t="shared" si="9"/>
        <v>0</v>
      </c>
    </row>
    <row r="251" spans="1:6" ht="6.6" customHeight="1" x14ac:dyDescent="0.2">
      <c r="A251" s="40"/>
      <c r="B251" s="287"/>
      <c r="C251" s="40">
        <f>'Material Rates_Master'!B84</f>
        <v>0</v>
      </c>
      <c r="E251" s="41">
        <f>'Material Rates_Master'!D84</f>
        <v>0</v>
      </c>
      <c r="F251" s="41">
        <f t="shared" si="9"/>
        <v>0</v>
      </c>
    </row>
    <row r="252" spans="1:6" x14ac:dyDescent="0.2">
      <c r="A252" s="40"/>
      <c r="B252" s="287" t="s">
        <v>215</v>
      </c>
      <c r="C252" s="40" t="str">
        <f>'Material Rates_Master'!B85</f>
        <v>ea</v>
      </c>
      <c r="D252" s="229"/>
      <c r="E252" s="41">
        <f>'Material Rates_Master'!D85</f>
        <v>67.06</v>
      </c>
      <c r="F252" s="41">
        <f t="shared" si="9"/>
        <v>0</v>
      </c>
    </row>
    <row r="253" spans="1:6" x14ac:dyDescent="0.2">
      <c r="A253" s="40"/>
      <c r="B253" s="287" t="s">
        <v>216</v>
      </c>
      <c r="C253" s="40" t="str">
        <f>'Material Rates_Master'!B86</f>
        <v>ea</v>
      </c>
      <c r="D253" s="229"/>
      <c r="E253" s="41">
        <f>'Material Rates_Master'!D86</f>
        <v>46.71</v>
      </c>
      <c r="F253" s="41">
        <f t="shared" si="9"/>
        <v>0</v>
      </c>
    </row>
    <row r="254" spans="1:6" x14ac:dyDescent="0.2">
      <c r="A254" s="40"/>
      <c r="B254" s="287" t="s">
        <v>217</v>
      </c>
      <c r="C254" s="40" t="str">
        <f>'Material Rates_Master'!B87</f>
        <v>ea</v>
      </c>
      <c r="D254" s="229"/>
      <c r="E254" s="41">
        <f>'Material Rates_Master'!D87</f>
        <v>60</v>
      </c>
      <c r="F254" s="41">
        <f t="shared" si="9"/>
        <v>0</v>
      </c>
    </row>
    <row r="255" spans="1:6" x14ac:dyDescent="0.2">
      <c r="A255" s="40"/>
      <c r="B255" s="287" t="s">
        <v>218</v>
      </c>
      <c r="C255" s="40" t="str">
        <f>'Material Rates_Master'!B88</f>
        <v>ea</v>
      </c>
      <c r="D255" s="229"/>
      <c r="E255" s="41">
        <f>'Material Rates_Master'!D88</f>
        <v>42.35</v>
      </c>
      <c r="F255" s="41">
        <f t="shared" si="9"/>
        <v>0</v>
      </c>
    </row>
    <row r="256" spans="1:6" x14ac:dyDescent="0.2">
      <c r="A256" s="40"/>
      <c r="B256" s="287" t="s">
        <v>219</v>
      </c>
      <c r="C256" s="40" t="str">
        <f>'Material Rates_Master'!B89</f>
        <v>ea</v>
      </c>
      <c r="D256" s="229"/>
      <c r="E256" s="41">
        <f>'Material Rates_Master'!D89</f>
        <v>24.71</v>
      </c>
      <c r="F256" s="41">
        <f t="shared" si="9"/>
        <v>0</v>
      </c>
    </row>
    <row r="257" spans="1:6" x14ac:dyDescent="0.2">
      <c r="A257" s="40"/>
      <c r="B257" s="287" t="s">
        <v>220</v>
      </c>
      <c r="C257" s="40" t="str">
        <f>'Material Rates_Master'!B90</f>
        <v>ea</v>
      </c>
      <c r="D257" s="229"/>
      <c r="E257" s="41">
        <f>'Material Rates_Master'!D90</f>
        <v>20</v>
      </c>
      <c r="F257" s="41">
        <f t="shared" si="9"/>
        <v>0</v>
      </c>
    </row>
    <row r="258" spans="1:6" ht="6.6" customHeight="1" x14ac:dyDescent="0.2">
      <c r="A258" s="40"/>
      <c r="B258" s="287"/>
      <c r="C258" s="40">
        <f>'Material Rates_Master'!B91</f>
        <v>0</v>
      </c>
      <c r="E258" s="41">
        <f>'Material Rates_Master'!D91</f>
        <v>0</v>
      </c>
      <c r="F258" s="41">
        <f t="shared" si="9"/>
        <v>0</v>
      </c>
    </row>
    <row r="259" spans="1:6" x14ac:dyDescent="0.2">
      <c r="A259" s="40"/>
      <c r="B259" s="287" t="s">
        <v>221</v>
      </c>
      <c r="C259" s="40" t="str">
        <f>'Material Rates_Master'!B92</f>
        <v>ea</v>
      </c>
      <c r="D259" s="229"/>
      <c r="E259" s="41">
        <f>'Material Rates_Master'!D92</f>
        <v>108.71</v>
      </c>
      <c r="F259" s="41">
        <f t="shared" si="9"/>
        <v>0</v>
      </c>
    </row>
    <row r="260" spans="1:6" x14ac:dyDescent="0.2">
      <c r="A260" s="40"/>
      <c r="B260" s="287" t="s">
        <v>222</v>
      </c>
      <c r="C260" s="40" t="str">
        <f>'Material Rates_Master'!B93</f>
        <v>ea</v>
      </c>
      <c r="D260" s="229"/>
      <c r="E260" s="41">
        <f>'Material Rates_Master'!D93</f>
        <v>87.06</v>
      </c>
      <c r="F260" s="41">
        <f t="shared" si="9"/>
        <v>0</v>
      </c>
    </row>
    <row r="261" spans="1:6" x14ac:dyDescent="0.2">
      <c r="A261" s="40"/>
      <c r="B261" s="287" t="s">
        <v>223</v>
      </c>
      <c r="C261" s="40" t="str">
        <f>'Material Rates_Master'!B94</f>
        <v>ea</v>
      </c>
      <c r="D261" s="229"/>
      <c r="E261" s="41">
        <f>'Material Rates_Master'!D94</f>
        <v>305.88</v>
      </c>
      <c r="F261" s="41">
        <f t="shared" si="9"/>
        <v>0</v>
      </c>
    </row>
    <row r="262" spans="1:6" x14ac:dyDescent="0.2">
      <c r="A262" s="40"/>
      <c r="B262" s="287" t="s">
        <v>224</v>
      </c>
      <c r="C262" s="40" t="str">
        <f>'Material Rates_Master'!B95</f>
        <v>ea</v>
      </c>
      <c r="D262" s="229"/>
      <c r="E262" s="41">
        <f>'Material Rates_Master'!D95</f>
        <v>182.35</v>
      </c>
      <c r="F262" s="41">
        <f t="shared" si="9"/>
        <v>0</v>
      </c>
    </row>
    <row r="263" spans="1:6" x14ac:dyDescent="0.2">
      <c r="A263" s="40"/>
      <c r="B263" s="287" t="s">
        <v>225</v>
      </c>
      <c r="C263" s="40" t="str">
        <f>'Material Rates_Master'!B96</f>
        <v>ea</v>
      </c>
      <c r="D263" s="229"/>
      <c r="E263" s="41">
        <f>'Material Rates_Master'!D96</f>
        <v>229.41</v>
      </c>
      <c r="F263" s="41">
        <f t="shared" si="9"/>
        <v>0</v>
      </c>
    </row>
    <row r="264" spans="1:6" x14ac:dyDescent="0.2">
      <c r="A264" s="40"/>
      <c r="B264" s="287" t="s">
        <v>226</v>
      </c>
      <c r="C264" s="40" t="str">
        <f>'Material Rates_Master'!B97</f>
        <v>ea</v>
      </c>
      <c r="D264" s="229"/>
      <c r="E264" s="41">
        <f>'Material Rates_Master'!D97</f>
        <v>152.94</v>
      </c>
      <c r="F264" s="41">
        <f t="shared" si="9"/>
        <v>0</v>
      </c>
    </row>
    <row r="265" spans="1:6" x14ac:dyDescent="0.2">
      <c r="A265" s="40"/>
      <c r="B265" s="287" t="s">
        <v>227</v>
      </c>
      <c r="C265" s="40" t="str">
        <f>'Material Rates_Master'!B98</f>
        <v>ea</v>
      </c>
      <c r="D265" s="229"/>
      <c r="E265" s="41">
        <f>'Material Rates_Master'!D98</f>
        <v>690</v>
      </c>
      <c r="F265" s="41">
        <f t="shared" si="9"/>
        <v>0</v>
      </c>
    </row>
    <row r="266" spans="1:6" x14ac:dyDescent="0.2">
      <c r="A266" s="40"/>
      <c r="B266" s="287" t="s">
        <v>228</v>
      </c>
      <c r="C266" s="40" t="str">
        <f>'Material Rates_Master'!B99</f>
        <v>ea</v>
      </c>
      <c r="D266" s="229"/>
      <c r="E266" s="41">
        <f>'Material Rates_Master'!D99</f>
        <v>408.47</v>
      </c>
      <c r="F266" s="41">
        <f t="shared" si="9"/>
        <v>0</v>
      </c>
    </row>
    <row r="267" spans="1:6" ht="6.6" customHeight="1" x14ac:dyDescent="0.2">
      <c r="A267" s="40"/>
      <c r="B267" s="287"/>
      <c r="C267" s="40">
        <f>'Material Rates_Master'!B100</f>
        <v>0</v>
      </c>
      <c r="E267" s="41">
        <f>'Material Rates_Master'!D100</f>
        <v>0</v>
      </c>
      <c r="F267" s="41">
        <f t="shared" si="9"/>
        <v>0</v>
      </c>
    </row>
    <row r="268" spans="1:6" x14ac:dyDescent="0.2">
      <c r="A268" s="40"/>
      <c r="B268" s="287" t="s">
        <v>229</v>
      </c>
      <c r="C268" s="40" t="str">
        <f>'Material Rates_Master'!B101</f>
        <v>ea</v>
      </c>
      <c r="D268" s="229"/>
      <c r="E268" s="41">
        <f>'Material Rates_Master'!D101</f>
        <v>90</v>
      </c>
      <c r="F268" s="41">
        <f t="shared" si="9"/>
        <v>0</v>
      </c>
    </row>
    <row r="269" spans="1:6" x14ac:dyDescent="0.2">
      <c r="A269" s="40"/>
      <c r="B269" s="287" t="s">
        <v>230</v>
      </c>
      <c r="C269" s="40" t="str">
        <f>'Material Rates_Master'!B102</f>
        <v>ea</v>
      </c>
      <c r="D269" s="229"/>
      <c r="E269" s="41">
        <f>'Material Rates_Master'!D102</f>
        <v>13.5</v>
      </c>
      <c r="F269" s="41">
        <f t="shared" si="9"/>
        <v>0</v>
      </c>
    </row>
    <row r="270" spans="1:6" x14ac:dyDescent="0.2">
      <c r="A270" s="40"/>
      <c r="B270" s="287" t="s">
        <v>231</v>
      </c>
      <c r="C270" s="40" t="str">
        <f>'Material Rates_Master'!B103</f>
        <v>ea</v>
      </c>
      <c r="D270" s="229"/>
      <c r="E270" s="41">
        <f>'Material Rates_Master'!D103</f>
        <v>27.14</v>
      </c>
      <c r="F270" s="41">
        <f t="shared" si="9"/>
        <v>0</v>
      </c>
    </row>
    <row r="271" spans="1:6" x14ac:dyDescent="0.2">
      <c r="A271" s="40"/>
      <c r="B271" s="287" t="s">
        <v>232</v>
      </c>
      <c r="C271" s="40" t="str">
        <f>'Material Rates_Master'!B104</f>
        <v>ea</v>
      </c>
      <c r="D271" s="229"/>
      <c r="E271" s="41">
        <f>'Material Rates_Master'!D104</f>
        <v>27.14</v>
      </c>
      <c r="F271" s="41">
        <f t="shared" si="9"/>
        <v>0</v>
      </c>
    </row>
    <row r="272" spans="1:6" x14ac:dyDescent="0.2">
      <c r="A272" s="40"/>
      <c r="B272" s="287"/>
      <c r="F272" s="41">
        <f t="shared" ref="F272:F273" si="10">E272*D272</f>
        <v>0</v>
      </c>
    </row>
    <row r="273" spans="1:6" ht="10.5" customHeight="1" x14ac:dyDescent="0.2">
      <c r="A273" s="40"/>
      <c r="B273" s="314" t="s">
        <v>233</v>
      </c>
      <c r="F273" s="41">
        <f t="shared" si="10"/>
        <v>0</v>
      </c>
    </row>
    <row r="274" spans="1:6" ht="10.5" customHeight="1" x14ac:dyDescent="0.2">
      <c r="A274" s="40"/>
      <c r="B274" s="288" t="s">
        <v>234</v>
      </c>
      <c r="C274" s="40" t="str">
        <f>'Material Rates_Master'!B107</f>
        <v>Unit</v>
      </c>
    </row>
    <row r="275" spans="1:6" x14ac:dyDescent="0.2">
      <c r="A275" s="40"/>
      <c r="B275" s="287" t="s">
        <v>235</v>
      </c>
      <c r="C275" s="40" t="str">
        <f>'Material Rates_Master'!B108</f>
        <v>m</v>
      </c>
      <c r="D275" s="37"/>
      <c r="E275" s="41">
        <f>'Material Rates_Master'!D108</f>
        <v>43.846153846153847</v>
      </c>
      <c r="F275" s="41">
        <f t="shared" ref="F275:F306" si="11">E275*D275</f>
        <v>0</v>
      </c>
    </row>
    <row r="276" spans="1:6" x14ac:dyDescent="0.2">
      <c r="A276" s="40"/>
      <c r="B276" s="287" t="s">
        <v>236</v>
      </c>
      <c r="C276" s="40" t="str">
        <f>'Material Rates_Master'!B109</f>
        <v>m</v>
      </c>
      <c r="D276" s="37"/>
      <c r="E276" s="41">
        <f>'Material Rates_Master'!D109</f>
        <v>28.46153846153846</v>
      </c>
      <c r="F276" s="41">
        <f t="shared" si="11"/>
        <v>0</v>
      </c>
    </row>
    <row r="277" spans="1:6" x14ac:dyDescent="0.2">
      <c r="A277" s="40"/>
      <c r="B277" s="287" t="s">
        <v>237</v>
      </c>
      <c r="C277" s="40" t="str">
        <f>'Material Rates_Master'!B110</f>
        <v>m</v>
      </c>
      <c r="D277" s="37"/>
      <c r="E277" s="41">
        <f>'Material Rates_Master'!D110</f>
        <v>106.2416666666667</v>
      </c>
      <c r="F277" s="41">
        <f t="shared" si="11"/>
        <v>0</v>
      </c>
    </row>
    <row r="278" spans="1:6" x14ac:dyDescent="0.2">
      <c r="A278" s="40"/>
      <c r="B278" s="287" t="s">
        <v>238</v>
      </c>
      <c r="C278" s="40" t="str">
        <f>'Material Rates_Master'!B111</f>
        <v>m</v>
      </c>
      <c r="D278" s="37"/>
      <c r="E278" s="41">
        <f>'Material Rates_Master'!D111</f>
        <v>59.82</v>
      </c>
      <c r="F278" s="41">
        <f t="shared" si="11"/>
        <v>0</v>
      </c>
    </row>
    <row r="279" spans="1:6" ht="8.25" customHeight="1" x14ac:dyDescent="0.2">
      <c r="A279" s="40"/>
      <c r="B279" s="287"/>
      <c r="C279" s="40">
        <f>'Material Rates_Master'!B112</f>
        <v>0</v>
      </c>
      <c r="D279" s="37"/>
      <c r="E279" s="41">
        <f>'Material Rates_Master'!D112</f>
        <v>0</v>
      </c>
      <c r="F279" s="41">
        <f t="shared" si="11"/>
        <v>0</v>
      </c>
    </row>
    <row r="280" spans="1:6" x14ac:dyDescent="0.2">
      <c r="A280" s="40"/>
      <c r="B280" s="287" t="s">
        <v>239</v>
      </c>
      <c r="C280" s="40" t="str">
        <f>'Material Rates_Master'!B113</f>
        <v>ea</v>
      </c>
      <c r="D280" s="37"/>
      <c r="E280" s="41">
        <f>'Material Rates_Master'!D113</f>
        <v>12.83</v>
      </c>
      <c r="F280" s="41">
        <f t="shared" si="11"/>
        <v>0</v>
      </c>
    </row>
    <row r="281" spans="1:6" x14ac:dyDescent="0.2">
      <c r="A281" s="40"/>
      <c r="B281" s="287" t="s">
        <v>240</v>
      </c>
      <c r="C281" s="40" t="str">
        <f>'Material Rates_Master'!B114</f>
        <v>ea</v>
      </c>
      <c r="D281" s="37"/>
      <c r="E281" s="41">
        <f>'Material Rates_Master'!D114</f>
        <v>7.55</v>
      </c>
      <c r="F281" s="41">
        <f t="shared" si="11"/>
        <v>0</v>
      </c>
    </row>
    <row r="282" spans="1:6" x14ac:dyDescent="0.2">
      <c r="A282" s="40"/>
      <c r="B282" s="287" t="s">
        <v>241</v>
      </c>
      <c r="C282" s="40" t="str">
        <f>'Material Rates_Master'!B115</f>
        <v>ea</v>
      </c>
      <c r="D282" s="37"/>
      <c r="E282" s="41">
        <f>'Material Rates_Master'!D115</f>
        <v>35.5</v>
      </c>
      <c r="F282" s="41">
        <f t="shared" si="11"/>
        <v>0</v>
      </c>
    </row>
    <row r="283" spans="1:6" x14ac:dyDescent="0.2">
      <c r="A283" s="40"/>
      <c r="B283" s="287" t="s">
        <v>242</v>
      </c>
      <c r="C283" s="40" t="str">
        <f>'Material Rates_Master'!B116</f>
        <v>ea</v>
      </c>
      <c r="D283" s="37"/>
      <c r="E283" s="41">
        <f>'Material Rates_Master'!D116</f>
        <v>16.93</v>
      </c>
      <c r="F283" s="41">
        <f t="shared" si="11"/>
        <v>0</v>
      </c>
    </row>
    <row r="284" spans="1:6" x14ac:dyDescent="0.2">
      <c r="A284" s="40"/>
      <c r="B284" s="287" t="s">
        <v>243</v>
      </c>
      <c r="C284" s="40" t="str">
        <f>'Material Rates_Master'!B117</f>
        <v>ea</v>
      </c>
      <c r="D284" s="37"/>
      <c r="E284" s="41">
        <f>'Material Rates_Master'!D117</f>
        <v>22.85</v>
      </c>
      <c r="F284" s="41">
        <f t="shared" si="11"/>
        <v>0</v>
      </c>
    </row>
    <row r="285" spans="1:6" x14ac:dyDescent="0.2">
      <c r="A285" s="40"/>
      <c r="B285" s="287" t="s">
        <v>244</v>
      </c>
      <c r="C285" s="40" t="str">
        <f>'Material Rates_Master'!B118</f>
        <v>ea</v>
      </c>
      <c r="D285" s="37"/>
      <c r="E285" s="41">
        <f>'Material Rates_Master'!D118</f>
        <v>10.62</v>
      </c>
      <c r="F285" s="41">
        <f t="shared" si="11"/>
        <v>0</v>
      </c>
    </row>
    <row r="286" spans="1:6" x14ac:dyDescent="0.2">
      <c r="A286" s="40"/>
      <c r="B286" s="287" t="s">
        <v>245</v>
      </c>
      <c r="C286" s="40" t="str">
        <f>'Material Rates_Master'!B119</f>
        <v>ea</v>
      </c>
      <c r="D286" s="37"/>
      <c r="E286" s="41">
        <f>'Material Rates_Master'!D119</f>
        <v>23.5</v>
      </c>
      <c r="F286" s="41">
        <f t="shared" si="11"/>
        <v>0</v>
      </c>
    </row>
    <row r="287" spans="1:6" x14ac:dyDescent="0.2">
      <c r="A287" s="40"/>
      <c r="B287" s="287" t="s">
        <v>246</v>
      </c>
      <c r="C287" s="40" t="str">
        <f>'Material Rates_Master'!B120</f>
        <v>ea</v>
      </c>
      <c r="D287" s="37"/>
      <c r="E287" s="41">
        <f>'Material Rates_Master'!D120</f>
        <v>11.4</v>
      </c>
      <c r="F287" s="41">
        <f t="shared" si="11"/>
        <v>0</v>
      </c>
    </row>
    <row r="288" spans="1:6" x14ac:dyDescent="0.2">
      <c r="A288" s="40"/>
      <c r="B288" s="287" t="s">
        <v>247</v>
      </c>
      <c r="C288" s="40" t="str">
        <f>'Material Rates_Master'!B121</f>
        <v>ea</v>
      </c>
      <c r="D288" s="37"/>
      <c r="E288" s="41">
        <f>'Material Rates_Master'!D121</f>
        <v>30.75</v>
      </c>
      <c r="F288" s="41">
        <f t="shared" si="11"/>
        <v>0</v>
      </c>
    </row>
    <row r="289" spans="1:6" x14ac:dyDescent="0.2">
      <c r="A289" s="40"/>
      <c r="B289" s="287" t="s">
        <v>248</v>
      </c>
      <c r="C289" s="40" t="str">
        <f>'Material Rates_Master'!B122</f>
        <v>ea</v>
      </c>
      <c r="D289" s="37"/>
      <c r="E289" s="41">
        <f>'Material Rates_Master'!D122</f>
        <v>23.21</v>
      </c>
      <c r="F289" s="41">
        <f t="shared" si="11"/>
        <v>0</v>
      </c>
    </row>
    <row r="290" spans="1:6" x14ac:dyDescent="0.2">
      <c r="A290" s="40"/>
      <c r="B290" s="287" t="s">
        <v>249</v>
      </c>
      <c r="C290" s="40" t="str">
        <f>'Material Rates_Master'!B123</f>
        <v>ea</v>
      </c>
      <c r="D290" s="37"/>
      <c r="E290" s="41">
        <f>'Material Rates_Master'!D123</f>
        <v>217.8</v>
      </c>
      <c r="F290" s="41">
        <f t="shared" si="11"/>
        <v>0</v>
      </c>
    </row>
    <row r="291" spans="1:6" x14ac:dyDescent="0.2">
      <c r="A291" s="40"/>
      <c r="B291" s="287" t="s">
        <v>250</v>
      </c>
      <c r="C291" s="40" t="str">
        <f>'Material Rates_Master'!B124</f>
        <v>ea</v>
      </c>
      <c r="D291" s="37"/>
      <c r="E291" s="41">
        <f>'Material Rates_Master'!D124</f>
        <v>169.4</v>
      </c>
      <c r="F291" s="41">
        <f t="shared" si="11"/>
        <v>0</v>
      </c>
    </row>
    <row r="292" spans="1:6" ht="5.55" customHeight="1" x14ac:dyDescent="0.2">
      <c r="A292" s="40"/>
      <c r="B292" s="287"/>
      <c r="C292" s="40">
        <f>'Material Rates_Master'!B125</f>
        <v>0</v>
      </c>
      <c r="D292" s="37"/>
      <c r="E292" s="41">
        <f>'Material Rates_Master'!D125</f>
        <v>0</v>
      </c>
      <c r="F292" s="41">
        <f t="shared" si="11"/>
        <v>0</v>
      </c>
    </row>
    <row r="293" spans="1:6" x14ac:dyDescent="0.2">
      <c r="A293" s="40"/>
      <c r="B293" s="287" t="s">
        <v>251</v>
      </c>
      <c r="C293" s="40" t="str">
        <f>'Material Rates_Master'!B126</f>
        <v>ea</v>
      </c>
      <c r="D293" s="37">
        <v>1</v>
      </c>
      <c r="E293" s="41">
        <f>'Material Rates_Master'!D126</f>
        <v>2350</v>
      </c>
      <c r="F293" s="41">
        <f t="shared" si="11"/>
        <v>2350</v>
      </c>
    </row>
    <row r="294" spans="1:6" x14ac:dyDescent="0.2">
      <c r="A294" s="40"/>
      <c r="B294" s="287" t="s">
        <v>252</v>
      </c>
      <c r="C294" s="40" t="str">
        <f>'Material Rates_Master'!B127</f>
        <v>ea</v>
      </c>
      <c r="D294" s="37">
        <v>1</v>
      </c>
      <c r="E294" s="41">
        <f>'Material Rates_Master'!D127</f>
        <v>1155</v>
      </c>
      <c r="F294" s="41">
        <f t="shared" si="11"/>
        <v>1155</v>
      </c>
    </row>
    <row r="295" spans="1:6" ht="6.6" customHeight="1" x14ac:dyDescent="0.2">
      <c r="A295" s="40"/>
      <c r="B295" s="287"/>
      <c r="C295" s="40">
        <f>'Material Rates_Master'!B128</f>
        <v>0</v>
      </c>
      <c r="D295" s="37"/>
      <c r="E295" s="41">
        <f>'Material Rates_Master'!D128</f>
        <v>0</v>
      </c>
      <c r="F295" s="41">
        <f t="shared" si="11"/>
        <v>0</v>
      </c>
    </row>
    <row r="296" spans="1:6" x14ac:dyDescent="0.2">
      <c r="A296" s="40"/>
      <c r="B296" s="287" t="s">
        <v>253</v>
      </c>
      <c r="C296" s="40" t="str">
        <f>'Material Rates_Master'!B129</f>
        <v>ea</v>
      </c>
      <c r="D296" s="229">
        <v>1</v>
      </c>
      <c r="E296" s="41">
        <f>'Material Rates_Master'!D129</f>
        <v>365</v>
      </c>
      <c r="F296" s="41">
        <f t="shared" si="11"/>
        <v>365</v>
      </c>
    </row>
    <row r="297" spans="1:6" x14ac:dyDescent="0.2">
      <c r="A297" s="40"/>
      <c r="B297" s="287" t="s">
        <v>254</v>
      </c>
      <c r="C297" s="40" t="str">
        <f>'Material Rates_Master'!B130</f>
        <v>ea</v>
      </c>
      <c r="D297" s="229"/>
      <c r="E297" s="41">
        <f>'Material Rates_Master'!D130</f>
        <v>365</v>
      </c>
      <c r="F297" s="41">
        <f t="shared" si="11"/>
        <v>0</v>
      </c>
    </row>
    <row r="298" spans="1:6" x14ac:dyDescent="0.2">
      <c r="A298" s="40"/>
      <c r="B298" s="287" t="s">
        <v>255</v>
      </c>
      <c r="C298" s="40" t="str">
        <f>'Material Rates_Master'!B131</f>
        <v>ea</v>
      </c>
      <c r="D298" s="229"/>
      <c r="E298" s="41">
        <f>'Material Rates_Master'!D131</f>
        <v>90</v>
      </c>
      <c r="F298" s="41">
        <f t="shared" si="11"/>
        <v>0</v>
      </c>
    </row>
    <row r="299" spans="1:6" x14ac:dyDescent="0.2">
      <c r="A299" s="40"/>
      <c r="B299" s="287" t="s">
        <v>256</v>
      </c>
      <c r="C299" s="40" t="str">
        <f>'Material Rates_Master'!B132</f>
        <v>ea</v>
      </c>
      <c r="D299" s="229"/>
      <c r="E299" s="41">
        <f>'Material Rates_Master'!D132</f>
        <v>5</v>
      </c>
      <c r="F299" s="41">
        <f t="shared" si="11"/>
        <v>0</v>
      </c>
    </row>
    <row r="300" spans="1:6" x14ac:dyDescent="0.2">
      <c r="A300" s="40"/>
      <c r="B300" s="287" t="s">
        <v>257</v>
      </c>
      <c r="C300" s="40" t="str">
        <f>'Material Rates_Master'!B133</f>
        <v>ea</v>
      </c>
      <c r="D300" s="229"/>
      <c r="E300" s="41">
        <f>'Material Rates_Master'!D133</f>
        <v>125</v>
      </c>
      <c r="F300" s="41">
        <f t="shared" si="11"/>
        <v>0</v>
      </c>
    </row>
    <row r="301" spans="1:6" x14ac:dyDescent="0.2">
      <c r="A301" s="40"/>
      <c r="B301" s="287" t="s">
        <v>258</v>
      </c>
      <c r="C301" s="40" t="str">
        <f>'Material Rates_Master'!B134</f>
        <v>ea</v>
      </c>
      <c r="D301" s="229"/>
      <c r="E301" s="41">
        <f>'Material Rates_Master'!D134</f>
        <v>39</v>
      </c>
      <c r="F301" s="41">
        <f t="shared" si="11"/>
        <v>0</v>
      </c>
    </row>
    <row r="302" spans="1:6" ht="6.6" customHeight="1" x14ac:dyDescent="0.2">
      <c r="A302" s="40"/>
      <c r="B302" s="287"/>
      <c r="C302" s="40">
        <f>'Material Rates_Master'!B135</f>
        <v>0</v>
      </c>
      <c r="D302" s="37"/>
      <c r="E302" s="41">
        <f>'Material Rates_Master'!D135</f>
        <v>0</v>
      </c>
      <c r="F302" s="41">
        <f t="shared" si="11"/>
        <v>0</v>
      </c>
    </row>
    <row r="303" spans="1:6" x14ac:dyDescent="0.2">
      <c r="A303" s="40"/>
      <c r="B303" s="287" t="s">
        <v>259</v>
      </c>
      <c r="C303" s="40" t="str">
        <f>'Material Rates_Master'!B136</f>
        <v>ea</v>
      </c>
      <c r="D303" s="37"/>
      <c r="E303" s="41">
        <f>'Material Rates_Master'!D136</f>
        <v>3100.7</v>
      </c>
      <c r="F303" s="41">
        <f t="shared" si="11"/>
        <v>0</v>
      </c>
    </row>
    <row r="304" spans="1:6" x14ac:dyDescent="0.2">
      <c r="A304" s="40"/>
      <c r="B304" s="287" t="s">
        <v>260</v>
      </c>
      <c r="C304" s="40" t="str">
        <f>'Material Rates_Master'!B137</f>
        <v>ea</v>
      </c>
      <c r="D304" s="37"/>
      <c r="E304" s="41">
        <f>'Material Rates_Master'!D137</f>
        <v>4237.09</v>
      </c>
      <c r="F304" s="41">
        <f t="shared" si="11"/>
        <v>0</v>
      </c>
    </row>
    <row r="305" spans="1:6" ht="7.2" customHeight="1" x14ac:dyDescent="0.2">
      <c r="A305" s="40"/>
      <c r="B305" s="287"/>
      <c r="C305" s="40">
        <f>'Material Rates_Master'!B138</f>
        <v>0</v>
      </c>
      <c r="D305" s="37"/>
      <c r="E305" s="41">
        <f>'Material Rates_Master'!D138</f>
        <v>0</v>
      </c>
      <c r="F305" s="41">
        <f t="shared" si="11"/>
        <v>0</v>
      </c>
    </row>
    <row r="306" spans="1:6" x14ac:dyDescent="0.2">
      <c r="A306" s="40"/>
      <c r="B306" s="287" t="s">
        <v>261</v>
      </c>
      <c r="C306" s="40" t="str">
        <f>'Material Rates_Master'!B139</f>
        <v>ea</v>
      </c>
      <c r="D306" s="37"/>
      <c r="E306" s="41">
        <f>'Material Rates_Master'!D139</f>
        <v>114.44</v>
      </c>
      <c r="F306" s="41">
        <f t="shared" si="11"/>
        <v>0</v>
      </c>
    </row>
    <row r="307" spans="1:6" x14ac:dyDescent="0.2">
      <c r="A307" s="40"/>
      <c r="B307" s="287" t="s">
        <v>1153</v>
      </c>
      <c r="C307" s="40" t="s">
        <v>25</v>
      </c>
      <c r="D307" s="37"/>
      <c r="E307" s="41">
        <f>736/6</f>
        <v>122.66666666666667</v>
      </c>
      <c r="F307" s="41">
        <f t="shared" ref="F307:F335" si="12">E307*D307</f>
        <v>0</v>
      </c>
    </row>
    <row r="308" spans="1:6" x14ac:dyDescent="0.2">
      <c r="A308" s="40"/>
      <c r="B308" s="287" t="s">
        <v>262</v>
      </c>
      <c r="C308" s="40" t="str">
        <f>'Material Rates_Master'!B140</f>
        <v>ea</v>
      </c>
      <c r="D308" s="37"/>
      <c r="E308" s="41">
        <f>'Material Rates_Master'!D140</f>
        <v>219.36</v>
      </c>
      <c r="F308" s="41">
        <f t="shared" si="12"/>
        <v>0</v>
      </c>
    </row>
    <row r="309" spans="1:6" x14ac:dyDescent="0.2">
      <c r="A309" s="40"/>
      <c r="B309" s="287" t="s">
        <v>263</v>
      </c>
      <c r="C309" s="40" t="str">
        <f>'Material Rates_Master'!B141</f>
        <v>ea</v>
      </c>
      <c r="D309" s="37"/>
      <c r="E309" s="41">
        <v>155.6</v>
      </c>
      <c r="F309" s="41">
        <f t="shared" si="12"/>
        <v>0</v>
      </c>
    </row>
    <row r="310" spans="1:6" x14ac:dyDescent="0.2">
      <c r="A310" s="40"/>
      <c r="B310" s="287" t="s">
        <v>264</v>
      </c>
      <c r="C310" s="40" t="str">
        <f>'Material Rates_Master'!B142</f>
        <v>ea</v>
      </c>
      <c r="D310" s="37"/>
      <c r="E310" s="41">
        <f>'Material Rates_Master'!D142</f>
        <v>125.77</v>
      </c>
      <c r="F310" s="41">
        <f t="shared" si="12"/>
        <v>0</v>
      </c>
    </row>
    <row r="311" spans="1:6" x14ac:dyDescent="0.2">
      <c r="A311" s="40"/>
      <c r="B311" s="287" t="s">
        <v>265</v>
      </c>
      <c r="C311" s="40" t="str">
        <f>'Material Rates_Master'!B143</f>
        <v>ea</v>
      </c>
      <c r="D311" s="37"/>
      <c r="E311" s="41">
        <f>'Material Rates_Master'!D143</f>
        <v>83.25</v>
      </c>
      <c r="F311" s="41">
        <f t="shared" si="12"/>
        <v>0</v>
      </c>
    </row>
    <row r="312" spans="1:6" x14ac:dyDescent="0.2">
      <c r="A312" s="40"/>
      <c r="B312" s="287" t="s">
        <v>266</v>
      </c>
      <c r="C312" s="40" t="str">
        <f>'Material Rates_Master'!B144</f>
        <v>ea</v>
      </c>
      <c r="D312" s="37"/>
      <c r="E312" s="41">
        <f>'Material Rates_Master'!D144</f>
        <v>52.25</v>
      </c>
      <c r="F312" s="41">
        <f t="shared" si="12"/>
        <v>0</v>
      </c>
    </row>
    <row r="313" spans="1:6" x14ac:dyDescent="0.2">
      <c r="A313" s="40"/>
      <c r="B313" s="287" t="s">
        <v>267</v>
      </c>
      <c r="C313" s="40" t="str">
        <f>'Material Rates_Master'!B145</f>
        <v>ea</v>
      </c>
      <c r="D313" s="37"/>
      <c r="E313" s="41">
        <f>'Material Rates_Master'!D145</f>
        <v>175.66</v>
      </c>
      <c r="F313" s="41">
        <f t="shared" si="12"/>
        <v>0</v>
      </c>
    </row>
    <row r="314" spans="1:6" x14ac:dyDescent="0.2">
      <c r="A314" s="40"/>
      <c r="B314" s="287" t="s">
        <v>268</v>
      </c>
      <c r="C314" s="40" t="str">
        <f>'Material Rates_Master'!B146</f>
        <v>ea</v>
      </c>
      <c r="D314" s="37"/>
      <c r="E314" s="41">
        <f>'Material Rates_Master'!D146</f>
        <v>164.08</v>
      </c>
      <c r="F314" s="41">
        <f t="shared" si="12"/>
        <v>0</v>
      </c>
    </row>
    <row r="315" spans="1:6" ht="7.2" customHeight="1" x14ac:dyDescent="0.2">
      <c r="A315" s="40"/>
      <c r="B315" s="287"/>
      <c r="C315" s="40">
        <f>'Material Rates_Master'!B147</f>
        <v>0</v>
      </c>
      <c r="D315" s="229"/>
      <c r="E315" s="41">
        <f>'Material Rates_Master'!D147</f>
        <v>0</v>
      </c>
      <c r="F315" s="41">
        <f t="shared" si="12"/>
        <v>0</v>
      </c>
    </row>
    <row r="316" spans="1:6" x14ac:dyDescent="0.2">
      <c r="A316" s="40"/>
      <c r="B316" s="287" t="s">
        <v>269</v>
      </c>
      <c r="C316" s="40" t="str">
        <f>'Material Rates_Master'!B148</f>
        <v>ea</v>
      </c>
      <c r="D316" s="229"/>
      <c r="E316" s="41">
        <f>'Material Rates_Master'!D148</f>
        <v>77.95</v>
      </c>
      <c r="F316" s="41">
        <f t="shared" si="12"/>
        <v>0</v>
      </c>
    </row>
    <row r="317" spans="1:6" x14ac:dyDescent="0.2">
      <c r="A317" s="40"/>
      <c r="B317" s="287" t="s">
        <v>270</v>
      </c>
      <c r="C317" s="40" t="str">
        <f>'Material Rates_Master'!B149</f>
        <v>ea</v>
      </c>
      <c r="D317" s="229"/>
      <c r="E317" s="41">
        <f>'Material Rates_Master'!D149</f>
        <v>17.16</v>
      </c>
      <c r="F317" s="41">
        <f t="shared" si="12"/>
        <v>0</v>
      </c>
    </row>
    <row r="318" spans="1:6" x14ac:dyDescent="0.2">
      <c r="A318" s="40"/>
      <c r="B318" s="287" t="s">
        <v>271</v>
      </c>
      <c r="C318" s="40" t="str">
        <f>'Material Rates_Master'!B150</f>
        <v>ea</v>
      </c>
      <c r="D318" s="229"/>
      <c r="E318" s="41">
        <f>'Material Rates_Master'!D150</f>
        <v>7.23</v>
      </c>
      <c r="F318" s="41">
        <f t="shared" si="12"/>
        <v>0</v>
      </c>
    </row>
    <row r="319" spans="1:6" x14ac:dyDescent="0.2">
      <c r="A319" s="40"/>
      <c r="B319" s="287" t="s">
        <v>272</v>
      </c>
      <c r="C319" s="40" t="str">
        <f>'Material Rates_Master'!B151</f>
        <v>ea</v>
      </c>
      <c r="D319" s="229"/>
      <c r="E319" s="41">
        <f>'Material Rates_Master'!D151</f>
        <v>14.31</v>
      </c>
      <c r="F319" s="41">
        <f t="shared" si="12"/>
        <v>0</v>
      </c>
    </row>
    <row r="320" spans="1:6" x14ac:dyDescent="0.2">
      <c r="A320" s="40"/>
      <c r="B320" s="287" t="s">
        <v>273</v>
      </c>
      <c r="C320" s="40" t="str">
        <f>'Material Rates_Master'!B152</f>
        <v>ea</v>
      </c>
      <c r="D320" s="229"/>
      <c r="E320" s="41">
        <f>'Material Rates_Master'!D152</f>
        <v>16.239999999999998</v>
      </c>
      <c r="F320" s="41">
        <f t="shared" si="12"/>
        <v>0</v>
      </c>
    </row>
    <row r="321" spans="1:6" x14ac:dyDescent="0.2">
      <c r="A321" s="40"/>
      <c r="B321" s="287" t="s">
        <v>274</v>
      </c>
      <c r="C321" s="40" t="str">
        <f>'Material Rates_Master'!B153</f>
        <v>ea</v>
      </c>
      <c r="D321" s="229"/>
      <c r="E321" s="41">
        <f>'Material Rates_Master'!D153</f>
        <v>14.36</v>
      </c>
      <c r="F321" s="41">
        <f t="shared" si="12"/>
        <v>0</v>
      </c>
    </row>
    <row r="322" spans="1:6" x14ac:dyDescent="0.2">
      <c r="A322" s="40"/>
      <c r="B322" s="287" t="s">
        <v>275</v>
      </c>
      <c r="C322" s="40" t="str">
        <f>'Material Rates_Master'!B154</f>
        <v>ea</v>
      </c>
      <c r="D322" s="229"/>
      <c r="E322" s="41">
        <f>'Material Rates_Master'!D154</f>
        <v>46.94</v>
      </c>
      <c r="F322" s="41">
        <f t="shared" si="12"/>
        <v>0</v>
      </c>
    </row>
    <row r="323" spans="1:6" x14ac:dyDescent="0.2">
      <c r="A323" s="40"/>
      <c r="B323" s="287" t="s">
        <v>276</v>
      </c>
      <c r="C323" s="40" t="str">
        <f>'Material Rates_Master'!B155</f>
        <v>ea</v>
      </c>
      <c r="D323" s="229"/>
      <c r="E323" s="41">
        <f>'Material Rates_Master'!D155</f>
        <v>8.4600000000000009</v>
      </c>
      <c r="F323" s="41">
        <f t="shared" si="12"/>
        <v>0</v>
      </c>
    </row>
    <row r="324" spans="1:6" x14ac:dyDescent="0.2">
      <c r="A324" s="40"/>
      <c r="B324" s="287" t="s">
        <v>277</v>
      </c>
      <c r="C324" s="40" t="str">
        <f>'Material Rates_Master'!B156</f>
        <v>ea</v>
      </c>
      <c r="D324" s="229"/>
      <c r="E324" s="41">
        <f>'Material Rates_Master'!D156</f>
        <v>5.74</v>
      </c>
      <c r="F324" s="41">
        <f t="shared" si="12"/>
        <v>0</v>
      </c>
    </row>
    <row r="325" spans="1:6" x14ac:dyDescent="0.2">
      <c r="A325" s="40"/>
      <c r="B325" s="287" t="s">
        <v>278</v>
      </c>
      <c r="C325" s="40" t="str">
        <f>'Material Rates_Master'!B157</f>
        <v>ea</v>
      </c>
      <c r="D325" s="229"/>
      <c r="E325" s="41">
        <f>'Material Rates_Master'!D157</f>
        <v>7.7</v>
      </c>
      <c r="F325" s="41">
        <f t="shared" si="12"/>
        <v>0</v>
      </c>
    </row>
    <row r="326" spans="1:6" x14ac:dyDescent="0.2">
      <c r="A326" s="40"/>
      <c r="B326" s="287" t="s">
        <v>279</v>
      </c>
      <c r="C326" s="40" t="str">
        <f>'Material Rates_Master'!B158</f>
        <v>ea</v>
      </c>
      <c r="D326" s="229"/>
      <c r="E326" s="41">
        <f>'Material Rates_Master'!D158</f>
        <v>10.19</v>
      </c>
      <c r="F326" s="41">
        <f t="shared" si="12"/>
        <v>0</v>
      </c>
    </row>
    <row r="327" spans="1:6" ht="9" customHeight="1" x14ac:dyDescent="0.2">
      <c r="A327" s="40"/>
      <c r="B327" s="287"/>
      <c r="C327" s="40">
        <f>'Material Rates_Master'!B159</f>
        <v>0</v>
      </c>
      <c r="D327" s="229"/>
      <c r="E327" s="41">
        <f>'Material Rates_Master'!D159</f>
        <v>0</v>
      </c>
      <c r="F327" s="41">
        <f t="shared" si="12"/>
        <v>0</v>
      </c>
    </row>
    <row r="328" spans="1:6" x14ac:dyDescent="0.2">
      <c r="A328" s="40"/>
      <c r="B328" s="287" t="s">
        <v>280</v>
      </c>
      <c r="C328" s="40" t="str">
        <f>'Material Rates_Master'!B160</f>
        <v>ea</v>
      </c>
      <c r="D328" s="37"/>
      <c r="E328" s="41">
        <f>'Material Rates_Master'!D160</f>
        <v>5.86</v>
      </c>
      <c r="F328" s="41">
        <f t="shared" si="12"/>
        <v>0</v>
      </c>
    </row>
    <row r="329" spans="1:6" x14ac:dyDescent="0.2">
      <c r="A329" s="40"/>
      <c r="B329" s="287" t="s">
        <v>281</v>
      </c>
      <c r="C329" s="40" t="str">
        <f>'Material Rates_Master'!B161</f>
        <v>ea</v>
      </c>
      <c r="D329" s="37"/>
      <c r="E329" s="41">
        <f>'Material Rates_Master'!D161</f>
        <v>4.41</v>
      </c>
      <c r="F329" s="41">
        <f t="shared" si="12"/>
        <v>0</v>
      </c>
    </row>
    <row r="330" spans="1:6" x14ac:dyDescent="0.2">
      <c r="A330" s="40"/>
      <c r="B330" s="287" t="s">
        <v>282</v>
      </c>
      <c r="C330" s="40" t="str">
        <f>'Material Rates_Master'!B162</f>
        <v>ea</v>
      </c>
      <c r="D330" s="37"/>
      <c r="E330" s="41">
        <f>'Material Rates_Master'!D162</f>
        <v>5.36</v>
      </c>
      <c r="F330" s="41">
        <f t="shared" si="12"/>
        <v>0</v>
      </c>
    </row>
    <row r="331" spans="1:6" x14ac:dyDescent="0.2">
      <c r="A331" s="40"/>
      <c r="B331" s="287" t="s">
        <v>283</v>
      </c>
      <c r="C331" s="40" t="str">
        <f>'Material Rates_Master'!B163</f>
        <v>ea</v>
      </c>
      <c r="D331" s="37"/>
      <c r="E331" s="41">
        <f>'Material Rates_Master'!D163</f>
        <v>4.4000000000000004</v>
      </c>
      <c r="F331" s="41">
        <f t="shared" si="12"/>
        <v>0</v>
      </c>
    </row>
    <row r="332" spans="1:6" x14ac:dyDescent="0.2">
      <c r="A332" s="40"/>
      <c r="B332" s="287" t="s">
        <v>284</v>
      </c>
      <c r="C332" s="40" t="str">
        <f>'Material Rates_Master'!B164</f>
        <v>ea</v>
      </c>
      <c r="D332" s="37"/>
      <c r="E332" s="41">
        <f>'Material Rates_Master'!D164</f>
        <v>10.64</v>
      </c>
      <c r="F332" s="41">
        <f t="shared" si="12"/>
        <v>0</v>
      </c>
    </row>
    <row r="333" spans="1:6" x14ac:dyDescent="0.2">
      <c r="A333" s="40"/>
      <c r="B333" s="287" t="s">
        <v>285</v>
      </c>
      <c r="C333" s="40" t="str">
        <f>'Material Rates_Master'!B165</f>
        <v>ea</v>
      </c>
      <c r="D333" s="37"/>
      <c r="E333" s="41">
        <f>'Material Rates_Master'!D165</f>
        <v>20</v>
      </c>
      <c r="F333" s="41">
        <f t="shared" si="12"/>
        <v>0</v>
      </c>
    </row>
    <row r="334" spans="1:6" x14ac:dyDescent="0.2">
      <c r="A334" s="40"/>
      <c r="B334" s="287" t="s">
        <v>286</v>
      </c>
      <c r="C334" s="40" t="str">
        <f>'Material Rates_Master'!B166</f>
        <v>ea</v>
      </c>
      <c r="D334" s="37"/>
      <c r="E334" s="41">
        <f>'Material Rates_Master'!D166</f>
        <v>19.5</v>
      </c>
      <c r="F334" s="41">
        <f t="shared" si="12"/>
        <v>0</v>
      </c>
    </row>
    <row r="335" spans="1:6" x14ac:dyDescent="0.2">
      <c r="A335" s="40"/>
      <c r="B335" s="287" t="s">
        <v>220</v>
      </c>
      <c r="C335" s="40" t="str">
        <f>'Material Rates_Master'!B167</f>
        <v>ea</v>
      </c>
      <c r="D335" s="37"/>
      <c r="E335" s="41">
        <f>'Material Rates_Master'!D167</f>
        <v>20</v>
      </c>
      <c r="F335" s="41">
        <f t="shared" si="12"/>
        <v>0</v>
      </c>
    </row>
    <row r="336" spans="1:6" ht="10.95" customHeight="1" x14ac:dyDescent="0.2">
      <c r="A336" s="40"/>
      <c r="B336" s="287"/>
      <c r="D336" s="37"/>
    </row>
    <row r="337" spans="1:9" ht="10.5" customHeight="1" x14ac:dyDescent="0.2">
      <c r="A337" s="40"/>
      <c r="B337" s="314" t="s">
        <v>287</v>
      </c>
      <c r="D337" s="37"/>
    </row>
    <row r="338" spans="1:9" ht="14.55" customHeight="1" x14ac:dyDescent="0.2">
      <c r="A338" s="40"/>
      <c r="B338" s="288" t="s">
        <v>234</v>
      </c>
      <c r="D338" s="37"/>
    </row>
    <row r="339" spans="1:9" x14ac:dyDescent="0.2">
      <c r="A339" s="40"/>
      <c r="B339" s="287" t="s">
        <v>288</v>
      </c>
      <c r="C339" s="40" t="str">
        <f>'Material Rates_Master'!B171</f>
        <v>ea</v>
      </c>
      <c r="D339" s="37"/>
      <c r="E339" s="41">
        <v>1388</v>
      </c>
      <c r="F339" s="41">
        <f t="shared" ref="F339:F344" si="13">E339*D339</f>
        <v>0</v>
      </c>
    </row>
    <row r="340" spans="1:9" x14ac:dyDescent="0.2">
      <c r="A340" s="40"/>
      <c r="B340" s="287" t="s">
        <v>289</v>
      </c>
      <c r="C340" s="40" t="str">
        <f>'Material Rates_Master'!B172</f>
        <v>ea</v>
      </c>
      <c r="D340" s="37"/>
      <c r="E340" s="41">
        <f>'Material Rates_Master'!D172</f>
        <v>0</v>
      </c>
      <c r="F340" s="41">
        <f t="shared" si="13"/>
        <v>0</v>
      </c>
    </row>
    <row r="341" spans="1:9" x14ac:dyDescent="0.2">
      <c r="A341" s="40"/>
      <c r="B341" s="287" t="s">
        <v>290</v>
      </c>
      <c r="C341" s="40" t="s">
        <v>291</v>
      </c>
      <c r="D341" s="37"/>
      <c r="E341" s="41">
        <v>450</v>
      </c>
      <c r="F341" s="41">
        <f t="shared" si="13"/>
        <v>0</v>
      </c>
    </row>
    <row r="342" spans="1:9" x14ac:dyDescent="0.2">
      <c r="A342" s="40"/>
      <c r="B342" s="287" t="s">
        <v>292</v>
      </c>
      <c r="C342" s="40" t="str">
        <f>'Material Rates_Master'!B174</f>
        <v>ea</v>
      </c>
      <c r="D342" s="37"/>
      <c r="E342" s="41">
        <f>'Material Rates_Master'!D174</f>
        <v>0</v>
      </c>
      <c r="F342" s="41">
        <f t="shared" si="13"/>
        <v>0</v>
      </c>
    </row>
    <row r="343" spans="1:9" x14ac:dyDescent="0.2">
      <c r="A343" s="40"/>
      <c r="B343" s="287" t="s">
        <v>293</v>
      </c>
      <c r="C343" s="40" t="str">
        <f>'Material Rates_Master'!B175</f>
        <v>ea</v>
      </c>
      <c r="D343" s="37"/>
      <c r="E343" s="41">
        <f>'Material Rates_Master'!D175</f>
        <v>2178.48</v>
      </c>
      <c r="F343" s="41">
        <f t="shared" si="13"/>
        <v>0</v>
      </c>
    </row>
    <row r="344" spans="1:9" x14ac:dyDescent="0.2">
      <c r="A344" s="40"/>
      <c r="B344" s="287" t="s">
        <v>294</v>
      </c>
      <c r="C344" s="40" t="str">
        <f>'Material Rates_Master'!B176</f>
        <v>ea</v>
      </c>
      <c r="D344" s="37"/>
      <c r="E344" s="41">
        <f>'Material Rates_Master'!D176</f>
        <v>2178.48</v>
      </c>
      <c r="F344" s="41">
        <f t="shared" si="13"/>
        <v>0</v>
      </c>
    </row>
    <row r="346" spans="1:9" s="40" customFormat="1" ht="14.4" customHeight="1" x14ac:dyDescent="0.3">
      <c r="A346" s="306"/>
      <c r="B346" s="307" t="s">
        <v>295</v>
      </c>
      <c r="C346" s="42"/>
      <c r="D346" s="42"/>
      <c r="E346" s="41"/>
      <c r="F346" s="41"/>
    </row>
    <row r="347" spans="1:9" s="40" customFormat="1" ht="14.4" customHeight="1" x14ac:dyDescent="0.3">
      <c r="A347" s="306"/>
      <c r="B347" s="309" t="s">
        <v>234</v>
      </c>
      <c r="C347" s="42"/>
      <c r="D347" s="42"/>
      <c r="E347" s="41"/>
      <c r="F347" s="41"/>
    </row>
    <row r="348" spans="1:9" s="40" customFormat="1" ht="14.4" customHeight="1" x14ac:dyDescent="0.3">
      <c r="A348" s="306"/>
      <c r="B348" s="306"/>
      <c r="C348" s="42"/>
      <c r="D348" s="42"/>
      <c r="E348" s="41"/>
      <c r="F348" s="41"/>
    </row>
    <row r="349" spans="1:9" s="40" customFormat="1" ht="14.4" customHeight="1" x14ac:dyDescent="0.3">
      <c r="A349" s="306"/>
      <c r="B349" s="429" t="s">
        <v>1154</v>
      </c>
      <c r="C349" s="430" t="s">
        <v>25</v>
      </c>
      <c r="D349" s="430">
        <v>134.63</v>
      </c>
      <c r="E349" s="381">
        <f>124.4333*$M$16</f>
        <v>171.71795399999999</v>
      </c>
      <c r="F349" s="381">
        <f t="shared" ref="F349:F412" si="14">E349*D349</f>
        <v>23118.388147019999</v>
      </c>
      <c r="G349">
        <v>135</v>
      </c>
      <c r="H349" s="457" t="s">
        <v>1155</v>
      </c>
      <c r="I349" s="457" t="s">
        <v>1156</v>
      </c>
    </row>
    <row r="350" spans="1:9" s="40" customFormat="1" ht="14.4" customHeight="1" x14ac:dyDescent="0.3">
      <c r="A350" s="306"/>
      <c r="B350" s="427" t="s">
        <v>1157</v>
      </c>
      <c r="C350" s="42" t="s">
        <v>27</v>
      </c>
      <c r="D350" s="42">
        <v>2</v>
      </c>
      <c r="E350" s="41">
        <v>390</v>
      </c>
      <c r="F350" s="41">
        <f t="shared" si="14"/>
        <v>780</v>
      </c>
    </row>
    <row r="351" spans="1:9" s="40" customFormat="1" ht="14.4" customHeight="1" x14ac:dyDescent="0.3">
      <c r="A351" s="306"/>
      <c r="B351" s="427" t="s">
        <v>1158</v>
      </c>
      <c r="C351" s="42" t="s">
        <v>27</v>
      </c>
      <c r="D351" s="42">
        <v>1</v>
      </c>
      <c r="E351" s="41">
        <v>420</v>
      </c>
      <c r="F351" s="41">
        <f t="shared" si="14"/>
        <v>420</v>
      </c>
    </row>
    <row r="352" spans="1:9" s="40" customFormat="1" ht="14.4" customHeight="1" x14ac:dyDescent="0.3">
      <c r="A352" s="306"/>
      <c r="B352" s="429" t="s">
        <v>1159</v>
      </c>
      <c r="C352" s="430" t="s">
        <v>27</v>
      </c>
      <c r="D352" s="430">
        <v>1</v>
      </c>
      <c r="E352" s="381">
        <v>800</v>
      </c>
      <c r="F352" s="381">
        <f t="shared" si="14"/>
        <v>800</v>
      </c>
    </row>
    <row r="353" spans="1:8" s="40" customFormat="1" ht="14.4" customHeight="1" x14ac:dyDescent="0.3">
      <c r="A353" s="306"/>
      <c r="B353" s="306" t="s">
        <v>296</v>
      </c>
      <c r="C353" s="310" t="s">
        <v>25</v>
      </c>
      <c r="D353" s="40">
        <v>236.88</v>
      </c>
      <c r="E353" s="308">
        <v>34.5</v>
      </c>
      <c r="F353" s="41">
        <f t="shared" si="14"/>
        <v>8172.36</v>
      </c>
      <c r="G353">
        <v>237</v>
      </c>
      <c r="H353" s="457" t="s">
        <v>1160</v>
      </c>
    </row>
    <row r="354" spans="1:8" s="40" customFormat="1" ht="14.4" customHeight="1" x14ac:dyDescent="0.3">
      <c r="A354" s="306"/>
      <c r="B354" s="306" t="s">
        <v>297</v>
      </c>
      <c r="C354" s="310" t="s">
        <v>25</v>
      </c>
      <c r="E354" s="308">
        <v>12.31</v>
      </c>
      <c r="F354" s="41">
        <f t="shared" si="14"/>
        <v>0</v>
      </c>
    </row>
    <row r="355" spans="1:8" s="40" customFormat="1" ht="14.4" customHeight="1" x14ac:dyDescent="0.3">
      <c r="A355" s="306"/>
      <c r="B355" s="306" t="s">
        <v>298</v>
      </c>
      <c r="C355" s="310" t="s">
        <v>25</v>
      </c>
      <c r="E355" s="308">
        <v>9.66</v>
      </c>
      <c r="F355" s="41">
        <f t="shared" si="14"/>
        <v>0</v>
      </c>
    </row>
    <row r="356" spans="1:8" s="40" customFormat="1" ht="14.4" customHeight="1" x14ac:dyDescent="0.3">
      <c r="A356" s="306"/>
      <c r="B356" s="306" t="s">
        <v>299</v>
      </c>
      <c r="C356" s="310" t="s">
        <v>25</v>
      </c>
      <c r="E356" s="308">
        <v>4.63</v>
      </c>
      <c r="F356" s="41">
        <f t="shared" si="14"/>
        <v>0</v>
      </c>
    </row>
    <row r="357" spans="1:8" s="40" customFormat="1" ht="14.4" customHeight="1" x14ac:dyDescent="0.3">
      <c r="A357" s="306"/>
      <c r="B357" s="387" t="s">
        <v>300</v>
      </c>
      <c r="C357" s="310" t="s">
        <v>25</v>
      </c>
      <c r="E357" s="308">
        <v>5.4</v>
      </c>
      <c r="F357" s="41">
        <f t="shared" si="14"/>
        <v>0</v>
      </c>
    </row>
    <row r="358" spans="1:8" s="40" customFormat="1" ht="14.4" customHeight="1" x14ac:dyDescent="0.3">
      <c r="A358" s="306"/>
      <c r="B358" s="387" t="s">
        <v>301</v>
      </c>
      <c r="C358" s="310" t="s">
        <v>25</v>
      </c>
      <c r="E358" s="308">
        <v>4.4000000000000004</v>
      </c>
      <c r="F358" s="41">
        <f t="shared" si="14"/>
        <v>0</v>
      </c>
    </row>
    <row r="359" spans="1:8" s="40" customFormat="1" ht="14.4" customHeight="1" x14ac:dyDescent="0.3">
      <c r="A359" s="306"/>
      <c r="B359" s="306" t="s">
        <v>303</v>
      </c>
      <c r="C359" s="310" t="s">
        <v>25</v>
      </c>
      <c r="E359" s="308">
        <f>354.31/150</f>
        <v>2.3620666666666668</v>
      </c>
      <c r="F359" s="41">
        <f t="shared" si="14"/>
        <v>0</v>
      </c>
    </row>
    <row r="360" spans="1:8" ht="14.4" customHeight="1" x14ac:dyDescent="0.3">
      <c r="A360" s="306"/>
      <c r="B360" s="387" t="s">
        <v>304</v>
      </c>
      <c r="C360" s="310" t="s">
        <v>25</v>
      </c>
      <c r="D360" s="40">
        <v>37.26</v>
      </c>
      <c r="E360" s="308">
        <v>2.1</v>
      </c>
      <c r="F360" s="41">
        <f t="shared" si="14"/>
        <v>78.245999999999995</v>
      </c>
      <c r="G360">
        <v>38</v>
      </c>
      <c r="H360" s="457" t="s">
        <v>1161</v>
      </c>
    </row>
    <row r="361" spans="1:8" ht="14.4" customHeight="1" x14ac:dyDescent="0.3">
      <c r="A361" s="306"/>
      <c r="B361" s="306" t="s">
        <v>305</v>
      </c>
      <c r="C361" s="310" t="s">
        <v>25</v>
      </c>
      <c r="D361" s="40">
        <v>74.25</v>
      </c>
      <c r="E361" s="308">
        <v>1.22</v>
      </c>
      <c r="F361" s="41">
        <f t="shared" si="14"/>
        <v>90.584999999999994</v>
      </c>
      <c r="G361">
        <v>75</v>
      </c>
      <c r="H361" s="457" t="s">
        <v>1162</v>
      </c>
    </row>
    <row r="362" spans="1:8" ht="14.4" customHeight="1" x14ac:dyDescent="0.3">
      <c r="A362" s="306"/>
      <c r="B362" s="306" t="s">
        <v>306</v>
      </c>
      <c r="C362" s="310" t="s">
        <v>25</v>
      </c>
      <c r="E362" s="308">
        <v>2.4300000000000002</v>
      </c>
      <c r="F362" s="41">
        <f t="shared" si="14"/>
        <v>0</v>
      </c>
    </row>
    <row r="363" spans="1:8" ht="14.4" customHeight="1" x14ac:dyDescent="0.3">
      <c r="A363" s="306"/>
      <c r="B363" s="306" t="s">
        <v>307</v>
      </c>
      <c r="C363" s="310" t="s">
        <v>25</v>
      </c>
      <c r="E363" s="308">
        <v>1.38</v>
      </c>
      <c r="F363" s="41">
        <f t="shared" si="14"/>
        <v>0</v>
      </c>
    </row>
    <row r="364" spans="1:8" ht="14.4" customHeight="1" x14ac:dyDescent="0.3">
      <c r="A364" s="306"/>
      <c r="B364" s="306" t="s">
        <v>308</v>
      </c>
      <c r="C364" s="310" t="s">
        <v>27</v>
      </c>
      <c r="D364" s="40">
        <v>8</v>
      </c>
      <c r="E364" s="308">
        <v>22</v>
      </c>
      <c r="F364" s="41">
        <f t="shared" si="14"/>
        <v>176</v>
      </c>
    </row>
    <row r="365" spans="1:8" ht="14.4" customHeight="1" x14ac:dyDescent="0.3">
      <c r="A365" s="306"/>
      <c r="B365" s="306" t="s">
        <v>309</v>
      </c>
      <c r="C365" s="310" t="s">
        <v>27</v>
      </c>
      <c r="E365" s="308">
        <v>57.75</v>
      </c>
      <c r="F365" s="41">
        <f t="shared" si="14"/>
        <v>0</v>
      </c>
    </row>
    <row r="366" spans="1:8" ht="14.4" customHeight="1" x14ac:dyDescent="0.3">
      <c r="A366" s="306"/>
      <c r="B366" s="306" t="s">
        <v>310</v>
      </c>
      <c r="C366" s="310" t="s">
        <v>27</v>
      </c>
      <c r="E366" s="308">
        <v>139</v>
      </c>
      <c r="F366" s="41">
        <f t="shared" si="14"/>
        <v>0</v>
      </c>
    </row>
    <row r="367" spans="1:8" ht="14.4" customHeight="1" x14ac:dyDescent="0.3">
      <c r="A367" s="306"/>
      <c r="B367" s="306" t="s">
        <v>311</v>
      </c>
      <c r="C367" s="310" t="s">
        <v>27</v>
      </c>
      <c r="E367" s="308">
        <v>104.15</v>
      </c>
      <c r="F367" s="41">
        <f t="shared" si="14"/>
        <v>0</v>
      </c>
    </row>
    <row r="368" spans="1:8" ht="14.4" customHeight="1" x14ac:dyDescent="0.3">
      <c r="A368" s="306"/>
      <c r="B368" s="306" t="s">
        <v>312</v>
      </c>
      <c r="C368" s="310" t="s">
        <v>27</v>
      </c>
      <c r="E368" s="308">
        <v>26.1</v>
      </c>
      <c r="F368" s="41">
        <f t="shared" si="14"/>
        <v>0</v>
      </c>
    </row>
    <row r="369" spans="1:6" ht="14.4" customHeight="1" x14ac:dyDescent="0.3">
      <c r="A369" s="306"/>
      <c r="B369" s="306" t="s">
        <v>313</v>
      </c>
      <c r="C369" s="310" t="s">
        <v>27</v>
      </c>
      <c r="E369" s="308">
        <v>37.5</v>
      </c>
      <c r="F369" s="41">
        <f t="shared" si="14"/>
        <v>0</v>
      </c>
    </row>
    <row r="370" spans="1:6" ht="14.4" customHeight="1" x14ac:dyDescent="0.3">
      <c r="A370" s="306"/>
      <c r="B370" s="306" t="s">
        <v>314</v>
      </c>
      <c r="C370" s="310" t="s">
        <v>27</v>
      </c>
      <c r="E370" s="308">
        <v>35.93</v>
      </c>
      <c r="F370" s="41">
        <f t="shared" si="14"/>
        <v>0</v>
      </c>
    </row>
    <row r="371" spans="1:6" ht="14.4" customHeight="1" x14ac:dyDescent="0.3">
      <c r="A371" s="306"/>
      <c r="B371" s="387" t="s">
        <v>315</v>
      </c>
      <c r="C371" s="310" t="s">
        <v>27</v>
      </c>
      <c r="E371" s="308">
        <v>35</v>
      </c>
      <c r="F371" s="41">
        <f t="shared" si="14"/>
        <v>0</v>
      </c>
    </row>
    <row r="372" spans="1:6" ht="14.4" customHeight="1" x14ac:dyDescent="0.3">
      <c r="A372" s="306"/>
      <c r="B372" s="387" t="s">
        <v>316</v>
      </c>
      <c r="C372" s="310" t="s">
        <v>27</v>
      </c>
      <c r="E372" s="308">
        <v>35</v>
      </c>
      <c r="F372" s="41">
        <f t="shared" si="14"/>
        <v>0</v>
      </c>
    </row>
    <row r="373" spans="1:6" ht="14.4" customHeight="1" x14ac:dyDescent="0.3">
      <c r="A373" s="306"/>
      <c r="B373" s="387" t="s">
        <v>317</v>
      </c>
      <c r="C373" s="310" t="s">
        <v>27</v>
      </c>
      <c r="D373" s="40">
        <v>2</v>
      </c>
      <c r="E373" s="308">
        <v>35</v>
      </c>
      <c r="F373" s="41">
        <f t="shared" si="14"/>
        <v>70</v>
      </c>
    </row>
    <row r="374" spans="1:6" ht="14.4" customHeight="1" x14ac:dyDescent="0.3">
      <c r="A374" s="306"/>
      <c r="B374" s="306" t="s">
        <v>318</v>
      </c>
      <c r="C374" s="310" t="s">
        <v>27</v>
      </c>
      <c r="D374" s="40">
        <v>2</v>
      </c>
      <c r="E374" s="308">
        <v>20</v>
      </c>
      <c r="F374" s="41">
        <f t="shared" si="14"/>
        <v>40</v>
      </c>
    </row>
    <row r="375" spans="1:6" ht="14.4" customHeight="1" x14ac:dyDescent="0.3">
      <c r="A375" s="306"/>
      <c r="B375" s="306" t="s">
        <v>319</v>
      </c>
      <c r="C375" s="310" t="s">
        <v>27</v>
      </c>
      <c r="D375" s="40">
        <v>5</v>
      </c>
      <c r="E375" s="308">
        <v>50</v>
      </c>
      <c r="F375" s="41">
        <f t="shared" si="14"/>
        <v>250</v>
      </c>
    </row>
    <row r="376" spans="1:6" ht="14.4" customHeight="1" x14ac:dyDescent="0.3">
      <c r="A376" s="306"/>
      <c r="B376" s="306" t="s">
        <v>1030</v>
      </c>
      <c r="C376" s="310" t="s">
        <v>27</v>
      </c>
      <c r="E376" s="308">
        <v>54</v>
      </c>
      <c r="F376" s="41">
        <f t="shared" si="14"/>
        <v>0</v>
      </c>
    </row>
    <row r="377" spans="1:6" ht="14.4" customHeight="1" x14ac:dyDescent="0.3">
      <c r="A377" s="306"/>
      <c r="B377" s="387" t="s">
        <v>320</v>
      </c>
      <c r="C377" s="310" t="s">
        <v>27</v>
      </c>
      <c r="E377" s="308"/>
      <c r="F377" s="41">
        <f t="shared" si="14"/>
        <v>0</v>
      </c>
    </row>
    <row r="378" spans="1:6" ht="14.4" customHeight="1" x14ac:dyDescent="0.3">
      <c r="A378" s="306"/>
      <c r="B378" s="387" t="s">
        <v>321</v>
      </c>
      <c r="C378" s="310" t="s">
        <v>27</v>
      </c>
      <c r="E378" s="308">
        <v>15.55</v>
      </c>
      <c r="F378" s="41">
        <f t="shared" si="14"/>
        <v>0</v>
      </c>
    </row>
    <row r="379" spans="1:6" ht="14.4" customHeight="1" x14ac:dyDescent="0.3">
      <c r="A379" s="306"/>
      <c r="B379" s="387" t="s">
        <v>322</v>
      </c>
      <c r="C379" s="386" t="s">
        <v>27</v>
      </c>
      <c r="E379" s="308">
        <v>15</v>
      </c>
      <c r="F379" s="41">
        <f t="shared" si="14"/>
        <v>0</v>
      </c>
    </row>
    <row r="380" spans="1:6" ht="14.4" customHeight="1" x14ac:dyDescent="0.3">
      <c r="A380" s="306"/>
      <c r="B380" s="387" t="s">
        <v>323</v>
      </c>
      <c r="C380" s="310" t="s">
        <v>27</v>
      </c>
      <c r="E380" s="308">
        <v>10.87</v>
      </c>
      <c r="F380" s="41">
        <f t="shared" si="14"/>
        <v>0</v>
      </c>
    </row>
    <row r="381" spans="1:6" ht="14.4" customHeight="1" x14ac:dyDescent="0.3">
      <c r="A381" s="306"/>
      <c r="B381" s="387" t="s">
        <v>324</v>
      </c>
      <c r="C381" s="310" t="s">
        <v>27</v>
      </c>
      <c r="D381" s="40">
        <v>3</v>
      </c>
      <c r="E381" s="308">
        <v>55</v>
      </c>
      <c r="F381" s="41">
        <f t="shared" si="14"/>
        <v>165</v>
      </c>
    </row>
    <row r="382" spans="1:6" ht="14.4" customHeight="1" x14ac:dyDescent="0.3">
      <c r="A382" s="306"/>
      <c r="B382" s="427" t="s">
        <v>1163</v>
      </c>
      <c r="C382" s="310" t="s">
        <v>27</v>
      </c>
      <c r="D382" s="40">
        <v>1</v>
      </c>
      <c r="E382" s="308">
        <v>35</v>
      </c>
      <c r="F382" s="41">
        <f t="shared" si="14"/>
        <v>35</v>
      </c>
    </row>
    <row r="383" spans="1:6" ht="14.4" customHeight="1" x14ac:dyDescent="0.3">
      <c r="A383" s="306"/>
      <c r="B383" s="387" t="s">
        <v>325</v>
      </c>
      <c r="C383" s="310" t="s">
        <v>27</v>
      </c>
      <c r="E383" s="308">
        <v>55</v>
      </c>
      <c r="F383" s="41">
        <f t="shared" si="14"/>
        <v>0</v>
      </c>
    </row>
    <row r="384" spans="1:6" ht="14.4" customHeight="1" x14ac:dyDescent="0.3">
      <c r="A384" s="306"/>
      <c r="B384" s="306" t="s">
        <v>326</v>
      </c>
      <c r="C384" s="310" t="s">
        <v>27</v>
      </c>
      <c r="E384" s="308">
        <v>35</v>
      </c>
      <c r="F384" s="41">
        <f t="shared" si="14"/>
        <v>0</v>
      </c>
    </row>
    <row r="385" spans="1:6" ht="14.4" customHeight="1" x14ac:dyDescent="0.3">
      <c r="A385" s="306"/>
      <c r="B385" s="306" t="s">
        <v>327</v>
      </c>
      <c r="C385" s="310" t="s">
        <v>27</v>
      </c>
      <c r="E385" s="308">
        <v>35</v>
      </c>
      <c r="F385" s="41">
        <f t="shared" si="14"/>
        <v>0</v>
      </c>
    </row>
    <row r="386" spans="1:6" ht="14.4" customHeight="1" x14ac:dyDescent="0.3">
      <c r="A386" s="306"/>
      <c r="B386" s="306" t="s">
        <v>329</v>
      </c>
      <c r="C386" s="310" t="s">
        <v>27</v>
      </c>
      <c r="E386" s="308">
        <v>35</v>
      </c>
      <c r="F386" s="41">
        <f t="shared" si="14"/>
        <v>0</v>
      </c>
    </row>
    <row r="387" spans="1:6" ht="14.4" customHeight="1" x14ac:dyDescent="0.3">
      <c r="A387" s="306"/>
      <c r="B387" s="387" t="s">
        <v>330</v>
      </c>
      <c r="C387" s="310" t="s">
        <v>27</v>
      </c>
      <c r="E387" s="308">
        <v>35</v>
      </c>
      <c r="F387" s="41">
        <f t="shared" si="14"/>
        <v>0</v>
      </c>
    </row>
    <row r="388" spans="1:6" ht="14.4" customHeight="1" x14ac:dyDescent="0.3">
      <c r="A388" s="306"/>
      <c r="B388" s="387" t="s">
        <v>331</v>
      </c>
      <c r="C388" s="310" t="s">
        <v>27</v>
      </c>
      <c r="E388" s="308">
        <v>35</v>
      </c>
      <c r="F388" s="41">
        <f t="shared" si="14"/>
        <v>0</v>
      </c>
    </row>
    <row r="389" spans="1:6" ht="14.4" customHeight="1" x14ac:dyDescent="0.3">
      <c r="A389" s="306"/>
      <c r="B389" s="306" t="s">
        <v>332</v>
      </c>
      <c r="C389" s="310" t="s">
        <v>27</v>
      </c>
      <c r="E389" s="308">
        <v>35</v>
      </c>
      <c r="F389" s="41">
        <f t="shared" si="14"/>
        <v>0</v>
      </c>
    </row>
    <row r="390" spans="1:6" ht="14.4" customHeight="1" x14ac:dyDescent="0.3">
      <c r="A390" s="306"/>
      <c r="B390" s="306" t="s">
        <v>333</v>
      </c>
      <c r="C390" s="310" t="s">
        <v>27</v>
      </c>
      <c r="E390" s="308">
        <v>35</v>
      </c>
      <c r="F390" s="41">
        <f t="shared" si="14"/>
        <v>0</v>
      </c>
    </row>
    <row r="391" spans="1:6" ht="14.4" customHeight="1" x14ac:dyDescent="0.3">
      <c r="A391" s="306"/>
      <c r="B391" s="387" t="s">
        <v>334</v>
      </c>
      <c r="C391" s="310" t="s">
        <v>27</v>
      </c>
      <c r="E391" s="308">
        <v>26</v>
      </c>
      <c r="F391" s="41">
        <f t="shared" si="14"/>
        <v>0</v>
      </c>
    </row>
    <row r="392" spans="1:6" ht="14.4" customHeight="1" x14ac:dyDescent="0.3">
      <c r="A392" s="306"/>
      <c r="B392" s="387" t="s">
        <v>335</v>
      </c>
      <c r="C392" s="310" t="s">
        <v>27</v>
      </c>
      <c r="E392" s="308">
        <v>35</v>
      </c>
      <c r="F392" s="41">
        <f t="shared" si="14"/>
        <v>0</v>
      </c>
    </row>
    <row r="393" spans="1:6" ht="14.4" customHeight="1" x14ac:dyDescent="0.3">
      <c r="A393" s="306"/>
      <c r="B393" s="306" t="s">
        <v>336</v>
      </c>
      <c r="C393" s="310" t="s">
        <v>27</v>
      </c>
      <c r="E393" s="308">
        <v>10.87</v>
      </c>
      <c r="F393" s="41">
        <f t="shared" si="14"/>
        <v>0</v>
      </c>
    </row>
    <row r="394" spans="1:6" ht="14.4" customHeight="1" x14ac:dyDescent="0.3">
      <c r="A394" s="306"/>
      <c r="B394" s="306" t="s">
        <v>337</v>
      </c>
      <c r="C394" s="310" t="s">
        <v>27</v>
      </c>
      <c r="D394" s="40">
        <v>2</v>
      </c>
      <c r="E394" s="308">
        <v>35</v>
      </c>
      <c r="F394" s="41">
        <f t="shared" si="14"/>
        <v>70</v>
      </c>
    </row>
    <row r="395" spans="1:6" ht="14.4" customHeight="1" x14ac:dyDescent="0.3">
      <c r="A395" s="306"/>
      <c r="B395" s="387" t="s">
        <v>338</v>
      </c>
      <c r="C395" s="310" t="s">
        <v>27</v>
      </c>
      <c r="D395" s="40">
        <v>1</v>
      </c>
      <c r="E395" s="308">
        <v>20</v>
      </c>
      <c r="F395" s="41">
        <f t="shared" si="14"/>
        <v>20</v>
      </c>
    </row>
    <row r="396" spans="1:6" ht="14.4" customHeight="1" x14ac:dyDescent="0.3">
      <c r="A396" s="306"/>
      <c r="B396" s="387" t="s">
        <v>339</v>
      </c>
      <c r="C396" s="310" t="s">
        <v>27</v>
      </c>
      <c r="E396" s="308">
        <v>20</v>
      </c>
      <c r="F396" s="41">
        <f t="shared" si="14"/>
        <v>0</v>
      </c>
    </row>
    <row r="397" spans="1:6" ht="14.4" customHeight="1" x14ac:dyDescent="0.3">
      <c r="A397" s="306"/>
      <c r="B397" s="387" t="s">
        <v>340</v>
      </c>
      <c r="C397" s="310" t="s">
        <v>27</v>
      </c>
      <c r="D397" s="40">
        <v>2</v>
      </c>
      <c r="E397" s="308">
        <v>25</v>
      </c>
      <c r="F397" s="41">
        <f t="shared" si="14"/>
        <v>50</v>
      </c>
    </row>
    <row r="398" spans="1:6" ht="14.4" customHeight="1" x14ac:dyDescent="0.3">
      <c r="A398" s="306"/>
      <c r="B398" s="306" t="s">
        <v>341</v>
      </c>
      <c r="C398" s="310" t="s">
        <v>27</v>
      </c>
      <c r="E398" s="308">
        <v>35</v>
      </c>
      <c r="F398" s="41">
        <f t="shared" si="14"/>
        <v>0</v>
      </c>
    </row>
    <row r="399" spans="1:6" ht="14.4" customHeight="1" x14ac:dyDescent="0.3">
      <c r="A399" s="306"/>
      <c r="B399" s="306" t="s">
        <v>342</v>
      </c>
      <c r="C399" s="310" t="s">
        <v>27</v>
      </c>
      <c r="E399" s="308">
        <v>102.5</v>
      </c>
      <c r="F399" s="41">
        <f t="shared" si="14"/>
        <v>0</v>
      </c>
    </row>
    <row r="400" spans="1:6" ht="14.4" customHeight="1" x14ac:dyDescent="0.3">
      <c r="A400" s="306"/>
      <c r="B400" s="306" t="s">
        <v>343</v>
      </c>
      <c r="C400" s="310" t="s">
        <v>27</v>
      </c>
      <c r="E400" s="308">
        <v>235</v>
      </c>
      <c r="F400" s="41">
        <f t="shared" si="14"/>
        <v>0</v>
      </c>
    </row>
    <row r="401" spans="1:14" ht="14.4" customHeight="1" x14ac:dyDescent="0.3">
      <c r="A401" s="306"/>
      <c r="B401" s="306" t="s">
        <v>344</v>
      </c>
      <c r="C401" s="310" t="s">
        <v>27</v>
      </c>
      <c r="E401" s="308">
        <v>100</v>
      </c>
      <c r="F401" s="41">
        <f t="shared" si="14"/>
        <v>0</v>
      </c>
    </row>
    <row r="402" spans="1:14" ht="14.4" customHeight="1" x14ac:dyDescent="0.3">
      <c r="A402" s="306"/>
      <c r="B402" s="306" t="s">
        <v>345</v>
      </c>
      <c r="C402" s="310" t="s">
        <v>27</v>
      </c>
      <c r="D402" s="40">
        <v>1</v>
      </c>
      <c r="E402" s="308">
        <v>47.41</v>
      </c>
      <c r="F402" s="41">
        <f t="shared" si="14"/>
        <v>47.41</v>
      </c>
    </row>
    <row r="403" spans="1:14" ht="14.4" customHeight="1" x14ac:dyDescent="0.3">
      <c r="A403" s="306"/>
      <c r="B403" s="306" t="s">
        <v>346</v>
      </c>
      <c r="C403" s="310" t="s">
        <v>27</v>
      </c>
      <c r="E403" s="308">
        <v>41.69</v>
      </c>
      <c r="F403" s="41">
        <f t="shared" si="14"/>
        <v>0</v>
      </c>
    </row>
    <row r="404" spans="1:14" ht="14.4" customHeight="1" x14ac:dyDescent="0.3">
      <c r="A404" s="306"/>
      <c r="B404" s="306"/>
      <c r="C404" s="310" t="s">
        <v>27</v>
      </c>
      <c r="E404" s="308">
        <v>85.55</v>
      </c>
      <c r="F404" s="41">
        <f t="shared" si="14"/>
        <v>0</v>
      </c>
    </row>
    <row r="405" spans="1:14" ht="14.4" customHeight="1" x14ac:dyDescent="0.3">
      <c r="A405" s="306"/>
      <c r="B405" s="306"/>
      <c r="C405" s="306"/>
      <c r="E405" s="308"/>
      <c r="F405" s="41">
        <f t="shared" si="14"/>
        <v>0</v>
      </c>
      <c r="I405" s="306"/>
    </row>
    <row r="406" spans="1:14" ht="14.4" customHeight="1" x14ac:dyDescent="0.3">
      <c r="A406" s="306"/>
      <c r="B406" s="306" t="s">
        <v>347</v>
      </c>
      <c r="C406" s="310" t="s">
        <v>27</v>
      </c>
      <c r="E406" s="308">
        <v>70</v>
      </c>
      <c r="F406" s="41">
        <f t="shared" si="14"/>
        <v>0</v>
      </c>
      <c r="I406" s="306"/>
    </row>
    <row r="407" spans="1:14" ht="14.4" customHeight="1" x14ac:dyDescent="0.3">
      <c r="A407" s="306"/>
      <c r="B407" s="306" t="s">
        <v>348</v>
      </c>
      <c r="C407" s="310" t="s">
        <v>27</v>
      </c>
      <c r="E407" s="308">
        <v>19</v>
      </c>
      <c r="F407" s="41">
        <f t="shared" si="14"/>
        <v>0</v>
      </c>
      <c r="I407" s="306"/>
    </row>
    <row r="408" spans="1:14" ht="14.4" customHeight="1" x14ac:dyDescent="0.3">
      <c r="A408" s="306"/>
      <c r="B408" s="306" t="s">
        <v>349</v>
      </c>
      <c r="C408" s="310" t="s">
        <v>27</v>
      </c>
      <c r="E408" s="308">
        <v>16</v>
      </c>
      <c r="F408" s="41">
        <f t="shared" si="14"/>
        <v>0</v>
      </c>
    </row>
    <row r="409" spans="1:14" ht="14.4" customHeight="1" x14ac:dyDescent="0.3">
      <c r="A409" s="306"/>
      <c r="B409" s="387" t="s">
        <v>350</v>
      </c>
      <c r="C409" s="310" t="s">
        <v>25</v>
      </c>
      <c r="E409" s="308">
        <v>40.21</v>
      </c>
      <c r="F409" s="41">
        <f t="shared" si="14"/>
        <v>0</v>
      </c>
    </row>
    <row r="410" spans="1:14" ht="14.4" customHeight="1" x14ac:dyDescent="0.3">
      <c r="A410" s="306"/>
      <c r="B410" s="306" t="s">
        <v>351</v>
      </c>
      <c r="C410" s="310" t="s">
        <v>25</v>
      </c>
      <c r="E410" s="311">
        <v>32</v>
      </c>
      <c r="F410" s="41">
        <f t="shared" si="14"/>
        <v>0</v>
      </c>
      <c r="K410" s="310"/>
      <c r="L410" s="40"/>
      <c r="M410" s="308"/>
      <c r="N410" s="41"/>
    </row>
    <row r="411" spans="1:14" ht="14.4" customHeight="1" x14ac:dyDescent="0.3">
      <c r="A411" s="306"/>
      <c r="B411" s="387" t="s">
        <v>1164</v>
      </c>
      <c r="C411" s="310" t="s">
        <v>25</v>
      </c>
      <c r="E411" s="311">
        <f>119.88/6</f>
        <v>19.98</v>
      </c>
      <c r="F411" s="41">
        <f t="shared" si="14"/>
        <v>0</v>
      </c>
      <c r="K411" s="310"/>
      <c r="L411" s="40"/>
      <c r="M411" s="311"/>
      <c r="N411" s="41"/>
    </row>
    <row r="412" spans="1:14" ht="14.4" customHeight="1" x14ac:dyDescent="0.3">
      <c r="A412" s="306"/>
      <c r="B412" s="306" t="s">
        <v>1165</v>
      </c>
      <c r="C412" s="310" t="s">
        <v>27</v>
      </c>
      <c r="E412" s="311">
        <v>16.329999999999998</v>
      </c>
      <c r="F412" s="41">
        <f t="shared" si="14"/>
        <v>0</v>
      </c>
      <c r="K412" s="310"/>
      <c r="L412" s="40"/>
      <c r="M412" s="311"/>
      <c r="N412" s="41"/>
    </row>
    <row r="413" spans="1:14" ht="14.4" customHeight="1" x14ac:dyDescent="0.3">
      <c r="A413" s="306"/>
      <c r="B413" s="306" t="s">
        <v>1166</v>
      </c>
      <c r="C413" s="310" t="s">
        <v>25</v>
      </c>
      <c r="E413" s="311">
        <v>17.52</v>
      </c>
      <c r="F413" s="41">
        <f t="shared" ref="F413:F476" si="15">E413*D413</f>
        <v>0</v>
      </c>
      <c r="K413" s="310"/>
      <c r="L413" s="40"/>
      <c r="M413" s="311"/>
      <c r="N413" s="41"/>
    </row>
    <row r="414" spans="1:14" ht="14.4" customHeight="1" x14ac:dyDescent="0.3">
      <c r="A414" s="306"/>
      <c r="B414" s="387" t="s">
        <v>1167</v>
      </c>
      <c r="C414" s="386" t="s">
        <v>27</v>
      </c>
      <c r="E414" s="311">
        <v>15</v>
      </c>
      <c r="F414" s="41">
        <f t="shared" si="15"/>
        <v>0</v>
      </c>
      <c r="K414" s="310"/>
      <c r="L414" s="40"/>
      <c r="M414" s="311"/>
      <c r="N414" s="41"/>
    </row>
    <row r="415" spans="1:14" ht="14.4" customHeight="1" x14ac:dyDescent="0.3">
      <c r="A415" s="306"/>
      <c r="B415" s="387" t="s">
        <v>360</v>
      </c>
      <c r="C415" s="310" t="s">
        <v>27</v>
      </c>
      <c r="E415" s="311">
        <v>7.17</v>
      </c>
      <c r="F415" s="41">
        <f t="shared" si="15"/>
        <v>0</v>
      </c>
      <c r="K415" s="386"/>
      <c r="L415" s="40"/>
      <c r="M415" s="311"/>
      <c r="N415" s="41"/>
    </row>
    <row r="416" spans="1:14" ht="14.4" customHeight="1" x14ac:dyDescent="0.3">
      <c r="A416" s="306"/>
      <c r="B416" s="306" t="s">
        <v>1168</v>
      </c>
      <c r="C416" s="310" t="s">
        <v>27</v>
      </c>
      <c r="E416" s="311">
        <f>82/6</f>
        <v>13.666666666666666</v>
      </c>
      <c r="F416" s="41">
        <f t="shared" si="15"/>
        <v>0</v>
      </c>
      <c r="K416" s="310"/>
      <c r="L416" s="40"/>
      <c r="M416" s="311"/>
      <c r="N416" s="41"/>
    </row>
    <row r="417" spans="1:14" ht="14.4" customHeight="1" x14ac:dyDescent="0.3">
      <c r="A417" s="306"/>
      <c r="B417" s="306" t="s">
        <v>362</v>
      </c>
      <c r="C417" s="310" t="s">
        <v>25</v>
      </c>
      <c r="E417" s="311">
        <f>82/6</f>
        <v>13.666666666666666</v>
      </c>
      <c r="F417" s="41">
        <f t="shared" si="15"/>
        <v>0</v>
      </c>
      <c r="K417" s="310"/>
      <c r="L417" s="40"/>
      <c r="M417" s="311"/>
      <c r="N417" s="41"/>
    </row>
    <row r="418" spans="1:14" ht="14.4" customHeight="1" x14ac:dyDescent="0.3">
      <c r="A418" s="306"/>
      <c r="B418" s="387" t="s">
        <v>364</v>
      </c>
      <c r="C418" s="386" t="s">
        <v>27</v>
      </c>
      <c r="E418" s="311">
        <v>6.88</v>
      </c>
      <c r="F418" s="41">
        <f t="shared" si="15"/>
        <v>0</v>
      </c>
      <c r="K418" s="310"/>
      <c r="L418" s="40"/>
      <c r="M418" s="311"/>
      <c r="N418" s="41"/>
    </row>
    <row r="419" spans="1:14" ht="14.4" customHeight="1" x14ac:dyDescent="0.3">
      <c r="A419" s="306"/>
      <c r="B419" s="306" t="s">
        <v>365</v>
      </c>
      <c r="C419" s="310" t="s">
        <v>27</v>
      </c>
      <c r="E419" s="308">
        <v>1.4</v>
      </c>
      <c r="F419" s="41">
        <f t="shared" si="15"/>
        <v>0</v>
      </c>
      <c r="K419" s="386"/>
      <c r="L419" s="40"/>
      <c r="M419" s="311"/>
      <c r="N419" s="41"/>
    </row>
    <row r="420" spans="1:14" ht="14.4" customHeight="1" x14ac:dyDescent="0.3">
      <c r="A420" s="306"/>
      <c r="B420" s="306" t="s">
        <v>366</v>
      </c>
      <c r="C420" s="310" t="s">
        <v>27</v>
      </c>
      <c r="E420" s="308">
        <v>1.38</v>
      </c>
      <c r="F420" s="41">
        <f t="shared" si="15"/>
        <v>0</v>
      </c>
      <c r="K420" s="310"/>
      <c r="L420" s="40"/>
      <c r="M420" s="308"/>
      <c r="N420" s="41"/>
    </row>
    <row r="421" spans="1:14" ht="14.4" customHeight="1" x14ac:dyDescent="0.3">
      <c r="A421" s="306"/>
      <c r="B421" s="306" t="s">
        <v>367</v>
      </c>
      <c r="C421" s="310" t="s">
        <v>27</v>
      </c>
      <c r="E421" s="308">
        <v>1.32</v>
      </c>
      <c r="F421" s="41">
        <f t="shared" si="15"/>
        <v>0</v>
      </c>
      <c r="K421" s="310"/>
      <c r="L421" s="40"/>
      <c r="M421" s="308"/>
      <c r="N421" s="41"/>
    </row>
    <row r="422" spans="1:14" ht="14.4" customHeight="1" x14ac:dyDescent="0.3">
      <c r="A422" s="306"/>
      <c r="B422" s="306" t="s">
        <v>368</v>
      </c>
      <c r="C422" s="310" t="s">
        <v>27</v>
      </c>
      <c r="E422" s="308">
        <v>1.24</v>
      </c>
      <c r="F422" s="41">
        <f t="shared" si="15"/>
        <v>0</v>
      </c>
      <c r="K422" s="310"/>
      <c r="L422" s="40"/>
      <c r="M422" s="308"/>
      <c r="N422" s="41"/>
    </row>
    <row r="423" spans="1:14" ht="14.4" customHeight="1" x14ac:dyDescent="0.3">
      <c r="A423" s="306"/>
      <c r="B423" s="306" t="s">
        <v>369</v>
      </c>
      <c r="C423" s="310" t="s">
        <v>25</v>
      </c>
      <c r="E423" s="308">
        <v>5.0999999999999996</v>
      </c>
      <c r="F423" s="41">
        <f t="shared" si="15"/>
        <v>0</v>
      </c>
      <c r="K423" s="310"/>
      <c r="L423" s="40"/>
      <c r="M423" s="308"/>
      <c r="N423" s="41"/>
    </row>
    <row r="424" spans="1:14" ht="14.4" customHeight="1" x14ac:dyDescent="0.3">
      <c r="A424" s="306"/>
      <c r="B424" s="306"/>
      <c r="C424" s="310"/>
      <c r="E424" s="308"/>
      <c r="F424" s="41">
        <f t="shared" si="15"/>
        <v>0</v>
      </c>
      <c r="K424" s="310"/>
      <c r="L424" s="40"/>
      <c r="M424" s="308"/>
      <c r="N424" s="41"/>
    </row>
    <row r="425" spans="1:14" ht="14.4" customHeight="1" x14ac:dyDescent="0.3">
      <c r="A425" s="306"/>
      <c r="B425" s="387"/>
      <c r="C425" s="310"/>
      <c r="E425" s="308"/>
      <c r="F425" s="41">
        <f t="shared" si="15"/>
        <v>0</v>
      </c>
    </row>
    <row r="426" spans="1:14" ht="14.4" customHeight="1" x14ac:dyDescent="0.3">
      <c r="A426" s="306"/>
      <c r="B426" s="387" t="s">
        <v>1169</v>
      </c>
      <c r="C426" s="310" t="s">
        <v>27</v>
      </c>
      <c r="E426" s="308">
        <v>14.31</v>
      </c>
      <c r="F426" s="41">
        <f t="shared" si="15"/>
        <v>0</v>
      </c>
      <c r="J426" s="387"/>
    </row>
    <row r="427" spans="1:14" ht="14.4" customHeight="1" x14ac:dyDescent="0.3">
      <c r="A427" s="306"/>
      <c r="B427" s="387" t="s">
        <v>1170</v>
      </c>
      <c r="C427" s="310" t="s">
        <v>27</v>
      </c>
      <c r="E427" s="308">
        <v>4.58</v>
      </c>
      <c r="F427" s="41">
        <f t="shared" si="15"/>
        <v>0</v>
      </c>
      <c r="J427" s="387"/>
    </row>
    <row r="428" spans="1:14" ht="14.4" customHeight="1" x14ac:dyDescent="0.3">
      <c r="A428" s="306"/>
      <c r="B428" s="387" t="s">
        <v>373</v>
      </c>
      <c r="C428" s="310" t="s">
        <v>27</v>
      </c>
      <c r="E428" s="308">
        <v>4.58</v>
      </c>
      <c r="F428" s="41">
        <f t="shared" si="15"/>
        <v>0</v>
      </c>
      <c r="J428" s="387"/>
    </row>
    <row r="429" spans="1:14" ht="14.4" customHeight="1" x14ac:dyDescent="0.3">
      <c r="A429" s="306"/>
      <c r="B429" s="306"/>
      <c r="C429" s="310"/>
      <c r="E429" s="308"/>
      <c r="F429" s="41">
        <f t="shared" si="15"/>
        <v>0</v>
      </c>
    </row>
    <row r="430" spans="1:14" ht="14.4" customHeight="1" x14ac:dyDescent="0.3">
      <c r="A430" s="306"/>
      <c r="B430" s="306"/>
      <c r="C430" s="310"/>
      <c r="E430" s="308"/>
      <c r="F430" s="41">
        <f t="shared" si="15"/>
        <v>0</v>
      </c>
    </row>
    <row r="431" spans="1:14" ht="14.4" customHeight="1" x14ac:dyDescent="0.3">
      <c r="A431" s="306"/>
      <c r="B431" s="306"/>
      <c r="C431" s="310"/>
      <c r="E431" s="308"/>
      <c r="F431" s="41">
        <f t="shared" si="15"/>
        <v>0</v>
      </c>
    </row>
    <row r="432" spans="1:14" ht="14.4" customHeight="1" x14ac:dyDescent="0.3">
      <c r="A432" s="387" t="s">
        <v>376</v>
      </c>
      <c r="B432" s="306"/>
      <c r="C432" s="310"/>
      <c r="E432" s="308"/>
      <c r="F432" s="41">
        <f t="shared" si="15"/>
        <v>0</v>
      </c>
    </row>
    <row r="433" spans="1:6" ht="14.4" customHeight="1" x14ac:dyDescent="0.3">
      <c r="A433" s="306"/>
      <c r="B433" s="306" t="s">
        <v>377</v>
      </c>
      <c r="C433" s="310"/>
      <c r="E433" s="308"/>
      <c r="F433" s="41">
        <f t="shared" si="15"/>
        <v>0</v>
      </c>
    </row>
    <row r="434" spans="1:6" ht="14.4" customHeight="1" x14ac:dyDescent="0.3">
      <c r="A434" s="306"/>
      <c r="B434" s="306" t="s">
        <v>378</v>
      </c>
      <c r="C434" s="310" t="s">
        <v>27</v>
      </c>
      <c r="E434" s="308">
        <v>13.5</v>
      </c>
      <c r="F434" s="41">
        <f t="shared" si="15"/>
        <v>0</v>
      </c>
    </row>
    <row r="435" spans="1:6" ht="14.4" customHeight="1" x14ac:dyDescent="0.3">
      <c r="A435" s="306"/>
      <c r="B435" s="306" t="s">
        <v>379</v>
      </c>
      <c r="C435" s="310" t="s">
        <v>27</v>
      </c>
      <c r="E435" s="308">
        <v>13.5</v>
      </c>
      <c r="F435" s="41">
        <f t="shared" si="15"/>
        <v>0</v>
      </c>
    </row>
    <row r="436" spans="1:6" ht="14.4" customHeight="1" x14ac:dyDescent="0.3">
      <c r="A436" s="306"/>
      <c r="B436" s="306" t="s">
        <v>380</v>
      </c>
      <c r="C436" s="310" t="s">
        <v>27</v>
      </c>
      <c r="E436" s="308">
        <v>9.5</v>
      </c>
      <c r="F436" s="41">
        <f t="shared" si="15"/>
        <v>0</v>
      </c>
    </row>
    <row r="437" spans="1:6" ht="14.4" customHeight="1" x14ac:dyDescent="0.3">
      <c r="A437" s="306"/>
      <c r="B437" s="306" t="s">
        <v>381</v>
      </c>
      <c r="C437" s="310" t="s">
        <v>27</v>
      </c>
      <c r="E437" s="308">
        <v>18.5</v>
      </c>
      <c r="F437" s="41">
        <f t="shared" si="15"/>
        <v>0</v>
      </c>
    </row>
    <row r="438" spans="1:6" ht="14.4" customHeight="1" x14ac:dyDescent="0.3">
      <c r="A438" s="306"/>
      <c r="B438" s="306" t="s">
        <v>382</v>
      </c>
      <c r="C438" s="310" t="s">
        <v>27</v>
      </c>
      <c r="E438" s="308">
        <v>18.5</v>
      </c>
      <c r="F438" s="41">
        <f t="shared" si="15"/>
        <v>0</v>
      </c>
    </row>
    <row r="439" spans="1:6" ht="14.4" customHeight="1" x14ac:dyDescent="0.3">
      <c r="A439" s="306"/>
      <c r="B439" s="306" t="s">
        <v>383</v>
      </c>
      <c r="C439" s="310" t="s">
        <v>27</v>
      </c>
      <c r="E439" s="308">
        <v>6</v>
      </c>
      <c r="F439" s="41">
        <f t="shared" si="15"/>
        <v>0</v>
      </c>
    </row>
    <row r="440" spans="1:6" ht="14.4" customHeight="1" x14ac:dyDescent="0.3">
      <c r="A440" s="306"/>
      <c r="B440" s="306" t="s">
        <v>384</v>
      </c>
      <c r="C440" s="310" t="s">
        <v>27</v>
      </c>
      <c r="E440" s="308">
        <v>5.5</v>
      </c>
      <c r="F440" s="41">
        <f t="shared" si="15"/>
        <v>0</v>
      </c>
    </row>
    <row r="441" spans="1:6" ht="14.4" customHeight="1" x14ac:dyDescent="0.3">
      <c r="A441" s="306"/>
      <c r="B441" s="306" t="s">
        <v>385</v>
      </c>
      <c r="C441" s="310" t="s">
        <v>27</v>
      </c>
      <c r="E441" s="308">
        <v>17.5</v>
      </c>
      <c r="F441" s="41">
        <f t="shared" si="15"/>
        <v>0</v>
      </c>
    </row>
    <row r="442" spans="1:6" ht="14.4" customHeight="1" x14ac:dyDescent="0.3">
      <c r="A442" s="306"/>
      <c r="B442" s="306" t="s">
        <v>386</v>
      </c>
      <c r="C442" s="310" t="s">
        <v>27</v>
      </c>
      <c r="E442" s="308">
        <v>16.5</v>
      </c>
      <c r="F442" s="41">
        <f t="shared" si="15"/>
        <v>0</v>
      </c>
    </row>
    <row r="443" spans="1:6" ht="14.4" customHeight="1" x14ac:dyDescent="0.3">
      <c r="A443" s="306"/>
      <c r="B443" s="306" t="s">
        <v>387</v>
      </c>
      <c r="C443" s="310" t="s">
        <v>27</v>
      </c>
      <c r="E443" s="308">
        <v>2.5</v>
      </c>
      <c r="F443" s="41">
        <f t="shared" si="15"/>
        <v>0</v>
      </c>
    </row>
    <row r="444" spans="1:6" ht="14.4" customHeight="1" x14ac:dyDescent="0.3">
      <c r="A444" s="306"/>
      <c r="B444" s="306" t="s">
        <v>388</v>
      </c>
      <c r="C444" s="310" t="s">
        <v>27</v>
      </c>
      <c r="E444" s="308">
        <v>43.5</v>
      </c>
      <c r="F444" s="41">
        <f t="shared" si="15"/>
        <v>0</v>
      </c>
    </row>
    <row r="445" spans="1:6" ht="14.4" customHeight="1" x14ac:dyDescent="0.3">
      <c r="A445" s="306"/>
      <c r="B445" s="306" t="s">
        <v>389</v>
      </c>
      <c r="C445" s="310" t="s">
        <v>27</v>
      </c>
      <c r="E445" s="308">
        <v>43.5</v>
      </c>
      <c r="F445" s="41">
        <f t="shared" si="15"/>
        <v>0</v>
      </c>
    </row>
    <row r="446" spans="1:6" ht="14.4" customHeight="1" x14ac:dyDescent="0.3">
      <c r="A446" s="306"/>
      <c r="B446" s="306" t="s">
        <v>390</v>
      </c>
      <c r="C446" s="310" t="s">
        <v>27</v>
      </c>
      <c r="E446" s="308">
        <v>45.5</v>
      </c>
      <c r="F446" s="41">
        <f t="shared" si="15"/>
        <v>0</v>
      </c>
    </row>
    <row r="447" spans="1:6" ht="14.4" customHeight="1" x14ac:dyDescent="0.3">
      <c r="A447" s="306"/>
      <c r="B447" s="306" t="s">
        <v>391</v>
      </c>
      <c r="C447" s="310" t="s">
        <v>27</v>
      </c>
      <c r="E447" s="308">
        <v>76</v>
      </c>
      <c r="F447" s="41">
        <f t="shared" si="15"/>
        <v>0</v>
      </c>
    </row>
    <row r="448" spans="1:6" ht="14.4" customHeight="1" x14ac:dyDescent="0.3">
      <c r="A448" s="306"/>
      <c r="B448" s="306" t="s">
        <v>392</v>
      </c>
      <c r="C448" s="310" t="s">
        <v>27</v>
      </c>
      <c r="E448" s="308">
        <v>11.5</v>
      </c>
      <c r="F448" s="41">
        <f t="shared" si="15"/>
        <v>0</v>
      </c>
    </row>
    <row r="449" spans="1:6" ht="14.4" customHeight="1" x14ac:dyDescent="0.3">
      <c r="A449" s="306"/>
      <c r="B449" s="306" t="s">
        <v>393</v>
      </c>
      <c r="C449" s="310" t="s">
        <v>27</v>
      </c>
      <c r="E449" s="308">
        <v>11.5</v>
      </c>
      <c r="F449" s="41">
        <f t="shared" si="15"/>
        <v>0</v>
      </c>
    </row>
    <row r="450" spans="1:6" ht="14.4" customHeight="1" x14ac:dyDescent="0.3">
      <c r="A450" s="306"/>
      <c r="B450" s="306" t="s">
        <v>394</v>
      </c>
      <c r="C450" s="310" t="s">
        <v>27</v>
      </c>
      <c r="E450" s="308">
        <v>12</v>
      </c>
      <c r="F450" s="41">
        <f t="shared" si="15"/>
        <v>0</v>
      </c>
    </row>
    <row r="451" spans="1:6" ht="14.4" customHeight="1" x14ac:dyDescent="0.3">
      <c r="A451" s="306"/>
      <c r="B451" s="306" t="s">
        <v>395</v>
      </c>
      <c r="C451" s="310" t="s">
        <v>27</v>
      </c>
      <c r="E451" s="308">
        <v>18.5</v>
      </c>
      <c r="F451" s="41">
        <f t="shared" si="15"/>
        <v>0</v>
      </c>
    </row>
    <row r="452" spans="1:6" ht="14.4" customHeight="1" x14ac:dyDescent="0.3">
      <c r="A452" s="306"/>
      <c r="B452" s="306" t="s">
        <v>396</v>
      </c>
      <c r="C452" s="310" t="s">
        <v>27</v>
      </c>
      <c r="E452" s="308">
        <v>19.5</v>
      </c>
      <c r="F452" s="41">
        <f t="shared" si="15"/>
        <v>0</v>
      </c>
    </row>
    <row r="453" spans="1:6" ht="14.4" customHeight="1" x14ac:dyDescent="0.3">
      <c r="A453" s="306"/>
      <c r="B453" s="306" t="s">
        <v>397</v>
      </c>
      <c r="C453" s="310" t="s">
        <v>27</v>
      </c>
      <c r="E453" s="308">
        <v>4.5</v>
      </c>
      <c r="F453" s="41">
        <f t="shared" si="15"/>
        <v>0</v>
      </c>
    </row>
    <row r="454" spans="1:6" ht="14.4" customHeight="1" x14ac:dyDescent="0.3">
      <c r="A454" s="306"/>
      <c r="B454" s="306" t="s">
        <v>398</v>
      </c>
      <c r="C454" s="310" t="s">
        <v>27</v>
      </c>
      <c r="E454" s="308">
        <v>10.5</v>
      </c>
      <c r="F454" s="41">
        <f t="shared" si="15"/>
        <v>0</v>
      </c>
    </row>
    <row r="455" spans="1:6" ht="14.4" customHeight="1" x14ac:dyDescent="0.3">
      <c r="A455" s="306"/>
      <c r="B455" s="306" t="s">
        <v>399</v>
      </c>
      <c r="C455" s="310" t="s">
        <v>27</v>
      </c>
      <c r="E455" s="308">
        <v>14.5</v>
      </c>
      <c r="F455" s="41">
        <f t="shared" si="15"/>
        <v>0</v>
      </c>
    </row>
    <row r="456" spans="1:6" ht="14.4" customHeight="1" x14ac:dyDescent="0.3">
      <c r="A456" s="306"/>
      <c r="B456" s="306" t="s">
        <v>400</v>
      </c>
      <c r="C456" s="310" t="s">
        <v>27</v>
      </c>
      <c r="E456" s="308">
        <v>28.5</v>
      </c>
      <c r="F456" s="41">
        <f t="shared" si="15"/>
        <v>0</v>
      </c>
    </row>
    <row r="457" spans="1:6" ht="14.4" customHeight="1" x14ac:dyDescent="0.3">
      <c r="A457" s="306"/>
      <c r="B457" s="306" t="s">
        <v>401</v>
      </c>
      <c r="C457" s="310" t="s">
        <v>27</v>
      </c>
      <c r="E457" s="308">
        <v>29.5</v>
      </c>
      <c r="F457" s="41">
        <f t="shared" si="15"/>
        <v>0</v>
      </c>
    </row>
    <row r="458" spans="1:6" ht="14.4" customHeight="1" x14ac:dyDescent="0.3">
      <c r="A458" s="306"/>
      <c r="B458" s="306" t="s">
        <v>402</v>
      </c>
      <c r="C458" s="310" t="s">
        <v>27</v>
      </c>
      <c r="E458" s="308">
        <v>36</v>
      </c>
      <c r="F458" s="41">
        <f t="shared" si="15"/>
        <v>0</v>
      </c>
    </row>
    <row r="459" spans="1:6" ht="14.4" customHeight="1" x14ac:dyDescent="0.3">
      <c r="A459" s="306"/>
      <c r="B459" s="306" t="s">
        <v>403</v>
      </c>
      <c r="C459" s="310" t="s">
        <v>27</v>
      </c>
      <c r="E459" s="308">
        <v>54</v>
      </c>
      <c r="F459" s="41">
        <f t="shared" si="15"/>
        <v>0</v>
      </c>
    </row>
    <row r="460" spans="1:6" ht="14.4" customHeight="1" x14ac:dyDescent="0.3">
      <c r="A460" s="306"/>
      <c r="B460" s="306" t="s">
        <v>404</v>
      </c>
      <c r="C460" s="310" t="s">
        <v>27</v>
      </c>
      <c r="E460" s="308">
        <v>10.5</v>
      </c>
      <c r="F460" s="41">
        <f t="shared" si="15"/>
        <v>0</v>
      </c>
    </row>
    <row r="461" spans="1:6" ht="14.4" customHeight="1" x14ac:dyDescent="0.3">
      <c r="A461" s="306"/>
      <c r="B461" s="306" t="s">
        <v>405</v>
      </c>
      <c r="C461" s="310" t="s">
        <v>27</v>
      </c>
      <c r="E461" s="308">
        <v>10</v>
      </c>
      <c r="F461" s="41">
        <f t="shared" si="15"/>
        <v>0</v>
      </c>
    </row>
    <row r="462" spans="1:6" ht="14.4" customHeight="1" x14ac:dyDescent="0.3">
      <c r="A462" s="306"/>
      <c r="B462" s="306" t="s">
        <v>406</v>
      </c>
      <c r="C462" s="310" t="s">
        <v>27</v>
      </c>
      <c r="E462" s="308">
        <v>5.5</v>
      </c>
      <c r="F462" s="41">
        <f t="shared" si="15"/>
        <v>0</v>
      </c>
    </row>
    <row r="463" spans="1:6" ht="14.4" customHeight="1" x14ac:dyDescent="0.3">
      <c r="A463" s="306"/>
      <c r="B463" s="306" t="s">
        <v>407</v>
      </c>
      <c r="C463" s="310" t="s">
        <v>27</v>
      </c>
      <c r="E463" s="308">
        <v>18</v>
      </c>
      <c r="F463" s="41">
        <f t="shared" si="15"/>
        <v>0</v>
      </c>
    </row>
    <row r="464" spans="1:6" ht="14.4" customHeight="1" x14ac:dyDescent="0.3">
      <c r="A464" s="306"/>
      <c r="B464" s="306" t="s">
        <v>408</v>
      </c>
      <c r="C464" s="310" t="s">
        <v>27</v>
      </c>
      <c r="E464" s="308">
        <v>4.5</v>
      </c>
      <c r="F464" s="41">
        <f t="shared" si="15"/>
        <v>0</v>
      </c>
    </row>
    <row r="465" spans="1:6" ht="14.4" customHeight="1" x14ac:dyDescent="0.3">
      <c r="A465" s="306"/>
      <c r="B465" s="306" t="s">
        <v>409</v>
      </c>
      <c r="C465" s="310" t="s">
        <v>27</v>
      </c>
      <c r="E465" s="308">
        <v>6.5</v>
      </c>
      <c r="F465" s="41">
        <f t="shared" si="15"/>
        <v>0</v>
      </c>
    </row>
    <row r="466" spans="1:6" ht="14.4" customHeight="1" x14ac:dyDescent="0.3">
      <c r="A466" s="306"/>
      <c r="B466" s="306" t="s">
        <v>410</v>
      </c>
      <c r="C466" s="310" t="s">
        <v>27</v>
      </c>
      <c r="E466" s="308">
        <v>25.5</v>
      </c>
      <c r="F466" s="41">
        <f t="shared" si="15"/>
        <v>0</v>
      </c>
    </row>
    <row r="467" spans="1:6" ht="14.4" customHeight="1" x14ac:dyDescent="0.3">
      <c r="A467" s="306"/>
      <c r="B467" s="306" t="s">
        <v>411</v>
      </c>
      <c r="C467" s="310" t="s">
        <v>27</v>
      </c>
      <c r="E467" s="308">
        <v>22.5</v>
      </c>
      <c r="F467" s="41">
        <f t="shared" si="15"/>
        <v>0</v>
      </c>
    </row>
    <row r="468" spans="1:6" ht="14.4" customHeight="1" x14ac:dyDescent="0.3">
      <c r="A468" s="306"/>
      <c r="B468" s="306" t="s">
        <v>412</v>
      </c>
      <c r="C468" s="310" t="s">
        <v>27</v>
      </c>
      <c r="E468" s="308">
        <v>8.5</v>
      </c>
      <c r="F468" s="41">
        <f t="shared" si="15"/>
        <v>0</v>
      </c>
    </row>
    <row r="469" spans="1:6" ht="14.4" customHeight="1" x14ac:dyDescent="0.3">
      <c r="A469" s="306"/>
      <c r="B469" s="306" t="s">
        <v>413</v>
      </c>
      <c r="C469" s="310" t="s">
        <v>27</v>
      </c>
      <c r="E469" s="308">
        <v>6.5</v>
      </c>
      <c r="F469" s="41">
        <f t="shared" si="15"/>
        <v>0</v>
      </c>
    </row>
    <row r="470" spans="1:6" ht="14.4" customHeight="1" x14ac:dyDescent="0.3">
      <c r="A470" s="306"/>
      <c r="B470" s="306" t="s">
        <v>414</v>
      </c>
      <c r="C470" s="310" t="s">
        <v>27</v>
      </c>
      <c r="E470" s="308">
        <v>10.5</v>
      </c>
      <c r="F470" s="41">
        <f t="shared" si="15"/>
        <v>0</v>
      </c>
    </row>
    <row r="471" spans="1:6" ht="14.4" customHeight="1" x14ac:dyDescent="0.3">
      <c r="A471" s="306"/>
      <c r="B471" s="306" t="s">
        <v>415</v>
      </c>
      <c r="C471" s="310" t="s">
        <v>27</v>
      </c>
      <c r="E471" s="308">
        <v>0</v>
      </c>
      <c r="F471" s="41">
        <f t="shared" si="15"/>
        <v>0</v>
      </c>
    </row>
    <row r="472" spans="1:6" ht="14.4" customHeight="1" x14ac:dyDescent="0.3">
      <c r="A472" s="306"/>
      <c r="B472" s="306" t="s">
        <v>416</v>
      </c>
      <c r="C472" s="310" t="s">
        <v>27</v>
      </c>
      <c r="E472" s="308">
        <v>4.5</v>
      </c>
      <c r="F472" s="41">
        <f t="shared" si="15"/>
        <v>0</v>
      </c>
    </row>
    <row r="473" spans="1:6" ht="14.4" customHeight="1" x14ac:dyDescent="0.3">
      <c r="A473" s="306"/>
      <c r="B473" s="306" t="s">
        <v>417</v>
      </c>
      <c r="C473" s="310" t="s">
        <v>27</v>
      </c>
      <c r="E473" s="308">
        <v>4</v>
      </c>
      <c r="F473" s="41">
        <f t="shared" si="15"/>
        <v>0</v>
      </c>
    </row>
    <row r="474" spans="1:6" ht="14.4" customHeight="1" x14ac:dyDescent="0.3">
      <c r="A474" s="306"/>
      <c r="B474" s="306" t="s">
        <v>418</v>
      </c>
      <c r="C474" s="310" t="s">
        <v>27</v>
      </c>
      <c r="E474" s="308">
        <v>17</v>
      </c>
      <c r="F474" s="41">
        <f t="shared" si="15"/>
        <v>0</v>
      </c>
    </row>
    <row r="475" spans="1:6" ht="14.4" customHeight="1" x14ac:dyDescent="0.3">
      <c r="A475" s="306"/>
      <c r="B475" s="306" t="s">
        <v>419</v>
      </c>
      <c r="C475" s="310" t="s">
        <v>27</v>
      </c>
      <c r="E475" s="308">
        <v>17.5</v>
      </c>
      <c r="F475" s="41">
        <f t="shared" si="15"/>
        <v>0</v>
      </c>
    </row>
    <row r="476" spans="1:6" ht="14.4" customHeight="1" x14ac:dyDescent="0.3">
      <c r="A476" s="306"/>
      <c r="B476" s="306" t="s">
        <v>420</v>
      </c>
      <c r="C476" s="310" t="s">
        <v>27</v>
      </c>
      <c r="E476" s="308">
        <v>4.5</v>
      </c>
      <c r="F476" s="41">
        <f t="shared" si="15"/>
        <v>0</v>
      </c>
    </row>
    <row r="477" spans="1:6" ht="14.4" customHeight="1" x14ac:dyDescent="0.3">
      <c r="A477" s="306"/>
      <c r="B477" s="306" t="s">
        <v>421</v>
      </c>
      <c r="C477" s="310" t="s">
        <v>27</v>
      </c>
      <c r="E477" s="308">
        <v>2</v>
      </c>
      <c r="F477" s="41">
        <f t="shared" ref="F477:F540" si="16">E477*D477</f>
        <v>0</v>
      </c>
    </row>
    <row r="478" spans="1:6" ht="14.4" customHeight="1" x14ac:dyDescent="0.3">
      <c r="A478" s="306"/>
      <c r="B478" s="306" t="s">
        <v>422</v>
      </c>
      <c r="C478" s="310" t="s">
        <v>27</v>
      </c>
      <c r="E478" s="308">
        <v>8.5</v>
      </c>
      <c r="F478" s="41">
        <f t="shared" si="16"/>
        <v>0</v>
      </c>
    </row>
    <row r="479" spans="1:6" ht="14.4" customHeight="1" x14ac:dyDescent="0.3">
      <c r="A479" s="387" t="s">
        <v>376</v>
      </c>
      <c r="B479" s="306"/>
      <c r="C479" s="310" t="s">
        <v>27</v>
      </c>
      <c r="E479" s="308">
        <v>4</v>
      </c>
      <c r="F479" s="41">
        <f t="shared" si="16"/>
        <v>0</v>
      </c>
    </row>
    <row r="480" spans="1:6" ht="14.4" customHeight="1" x14ac:dyDescent="0.3">
      <c r="A480" s="306"/>
      <c r="B480" s="306" t="s">
        <v>423</v>
      </c>
      <c r="C480" s="310"/>
      <c r="E480" s="308"/>
      <c r="F480" s="41">
        <f t="shared" si="16"/>
        <v>0</v>
      </c>
    </row>
    <row r="481" spans="1:6" ht="14.4" customHeight="1" x14ac:dyDescent="0.3">
      <c r="A481" s="306"/>
      <c r="B481" s="306" t="s">
        <v>424</v>
      </c>
      <c r="C481" s="310" t="s">
        <v>27</v>
      </c>
      <c r="E481" s="308">
        <v>137</v>
      </c>
      <c r="F481" s="41">
        <f t="shared" si="16"/>
        <v>0</v>
      </c>
    </row>
    <row r="482" spans="1:6" ht="14.4" customHeight="1" x14ac:dyDescent="0.3">
      <c r="A482" s="306"/>
      <c r="B482" s="306" t="s">
        <v>425</v>
      </c>
      <c r="C482" s="310" t="s">
        <v>27</v>
      </c>
      <c r="E482" s="308">
        <v>139.5</v>
      </c>
      <c r="F482" s="41">
        <f t="shared" si="16"/>
        <v>0</v>
      </c>
    </row>
    <row r="483" spans="1:6" ht="14.4" customHeight="1" x14ac:dyDescent="0.3">
      <c r="A483" s="306"/>
      <c r="B483" s="306" t="s">
        <v>426</v>
      </c>
      <c r="C483" s="310" t="s">
        <v>27</v>
      </c>
      <c r="E483" s="308">
        <v>183</v>
      </c>
      <c r="F483" s="41">
        <f t="shared" si="16"/>
        <v>0</v>
      </c>
    </row>
    <row r="484" spans="1:6" ht="14.4" customHeight="1" x14ac:dyDescent="0.3">
      <c r="A484" s="306"/>
      <c r="B484" s="306" t="s">
        <v>427</v>
      </c>
      <c r="C484" s="310" t="s">
        <v>27</v>
      </c>
      <c r="E484" s="308">
        <v>184.5</v>
      </c>
      <c r="F484" s="41">
        <f t="shared" si="16"/>
        <v>0</v>
      </c>
    </row>
    <row r="485" spans="1:6" ht="14.4" customHeight="1" x14ac:dyDescent="0.3">
      <c r="A485" s="306"/>
      <c r="B485" s="306" t="s">
        <v>428</v>
      </c>
      <c r="C485" s="310" t="s">
        <v>27</v>
      </c>
      <c r="E485" s="308">
        <v>56</v>
      </c>
      <c r="F485" s="41">
        <f t="shared" si="16"/>
        <v>0</v>
      </c>
    </row>
    <row r="486" spans="1:6" ht="14.4" customHeight="1" x14ac:dyDescent="0.3">
      <c r="A486" s="306"/>
      <c r="B486" s="306" t="s">
        <v>429</v>
      </c>
      <c r="C486" s="310" t="s">
        <v>27</v>
      </c>
      <c r="E486" s="308">
        <v>103</v>
      </c>
      <c r="F486" s="41">
        <f t="shared" si="16"/>
        <v>0</v>
      </c>
    </row>
    <row r="487" spans="1:6" ht="14.4" customHeight="1" x14ac:dyDescent="0.3">
      <c r="A487" s="306"/>
      <c r="B487" s="306" t="s">
        <v>430</v>
      </c>
      <c r="C487" s="310" t="s">
        <v>27</v>
      </c>
      <c r="E487" s="308">
        <v>95</v>
      </c>
      <c r="F487" s="41">
        <f t="shared" si="16"/>
        <v>0</v>
      </c>
    </row>
    <row r="488" spans="1:6" ht="14.4" customHeight="1" x14ac:dyDescent="0.3">
      <c r="A488" s="306"/>
      <c r="B488" s="387" t="s">
        <v>431</v>
      </c>
      <c r="C488" s="310" t="s">
        <v>27</v>
      </c>
      <c r="E488" s="308">
        <v>99.5</v>
      </c>
      <c r="F488" s="41">
        <f t="shared" si="16"/>
        <v>0</v>
      </c>
    </row>
    <row r="489" spans="1:6" ht="14.4" customHeight="1" x14ac:dyDescent="0.3">
      <c r="A489" s="306"/>
      <c r="B489" s="306" t="s">
        <v>432</v>
      </c>
      <c r="C489" s="310" t="s">
        <v>27</v>
      </c>
      <c r="E489" s="308">
        <v>33.5</v>
      </c>
      <c r="F489" s="41">
        <f t="shared" si="16"/>
        <v>0</v>
      </c>
    </row>
    <row r="490" spans="1:6" ht="14.4" customHeight="1" x14ac:dyDescent="0.3">
      <c r="A490" s="306"/>
      <c r="B490" s="387" t="s">
        <v>433</v>
      </c>
      <c r="C490" s="310" t="s">
        <v>27</v>
      </c>
      <c r="E490" s="308">
        <v>33</v>
      </c>
      <c r="F490" s="41">
        <f t="shared" si="16"/>
        <v>0</v>
      </c>
    </row>
    <row r="491" spans="1:6" ht="14.4" customHeight="1" x14ac:dyDescent="0.3">
      <c r="A491" s="306"/>
      <c r="B491" s="306" t="s">
        <v>434</v>
      </c>
      <c r="C491" s="310" t="s">
        <v>27</v>
      </c>
      <c r="E491" s="308">
        <v>60.5</v>
      </c>
      <c r="F491" s="41">
        <f t="shared" si="16"/>
        <v>0</v>
      </c>
    </row>
    <row r="492" spans="1:6" ht="14.4" customHeight="1" x14ac:dyDescent="0.3">
      <c r="A492" s="306"/>
      <c r="B492" s="306" t="s">
        <v>435</v>
      </c>
      <c r="C492" s="310" t="s">
        <v>27</v>
      </c>
      <c r="E492" s="308">
        <v>61</v>
      </c>
      <c r="F492" s="41">
        <f t="shared" si="16"/>
        <v>0</v>
      </c>
    </row>
    <row r="493" spans="1:6" ht="14.4" customHeight="1" x14ac:dyDescent="0.3">
      <c r="A493" s="306"/>
      <c r="B493" s="306" t="s">
        <v>436</v>
      </c>
      <c r="C493" s="310" t="s">
        <v>27</v>
      </c>
      <c r="E493" s="308">
        <v>65</v>
      </c>
      <c r="F493" s="41">
        <f t="shared" si="16"/>
        <v>0</v>
      </c>
    </row>
    <row r="494" spans="1:6" ht="14.4" customHeight="1" x14ac:dyDescent="0.3">
      <c r="A494" s="306"/>
      <c r="B494" s="306" t="s">
        <v>437</v>
      </c>
      <c r="C494" s="310" t="s">
        <v>27</v>
      </c>
      <c r="E494" s="308">
        <v>65</v>
      </c>
      <c r="F494" s="41">
        <f t="shared" si="16"/>
        <v>0</v>
      </c>
    </row>
    <row r="495" spans="1:6" ht="14.4" customHeight="1" x14ac:dyDescent="0.3">
      <c r="A495" s="306"/>
      <c r="B495" s="306" t="s">
        <v>438</v>
      </c>
      <c r="C495" s="310" t="s">
        <v>27</v>
      </c>
      <c r="E495" s="308">
        <v>65</v>
      </c>
      <c r="F495" s="41">
        <f t="shared" si="16"/>
        <v>0</v>
      </c>
    </row>
    <row r="496" spans="1:6" ht="14.4" customHeight="1" x14ac:dyDescent="0.3">
      <c r="A496" s="306"/>
      <c r="B496" s="306" t="s">
        <v>439</v>
      </c>
      <c r="C496" s="310" t="s">
        <v>27</v>
      </c>
      <c r="E496" s="308">
        <v>65</v>
      </c>
      <c r="F496" s="41">
        <f t="shared" si="16"/>
        <v>0</v>
      </c>
    </row>
    <row r="497" spans="1:6" ht="14.4" customHeight="1" x14ac:dyDescent="0.3">
      <c r="A497" s="306"/>
      <c r="B497" s="306" t="s">
        <v>440</v>
      </c>
      <c r="C497" s="310" t="s">
        <v>27</v>
      </c>
      <c r="E497" s="308">
        <v>45</v>
      </c>
      <c r="F497" s="41">
        <f t="shared" si="16"/>
        <v>0</v>
      </c>
    </row>
    <row r="498" spans="1:6" ht="14.4" customHeight="1" x14ac:dyDescent="0.3">
      <c r="A498" s="306"/>
      <c r="B498" s="306" t="s">
        <v>441</v>
      </c>
      <c r="C498" s="310" t="s">
        <v>27</v>
      </c>
      <c r="E498" s="308">
        <v>55</v>
      </c>
      <c r="F498" s="41">
        <f t="shared" si="16"/>
        <v>0</v>
      </c>
    </row>
    <row r="499" spans="1:6" ht="14.4" customHeight="1" x14ac:dyDescent="0.3">
      <c r="A499" s="306"/>
      <c r="B499" s="387" t="s">
        <v>442</v>
      </c>
      <c r="C499" s="310" t="s">
        <v>27</v>
      </c>
      <c r="E499" s="308">
        <v>55</v>
      </c>
      <c r="F499" s="41">
        <f t="shared" si="16"/>
        <v>0</v>
      </c>
    </row>
    <row r="500" spans="1:6" ht="14.4" customHeight="1" x14ac:dyDescent="0.3">
      <c r="A500" s="306"/>
      <c r="B500" s="306" t="s">
        <v>443</v>
      </c>
      <c r="C500" s="310" t="s">
        <v>27</v>
      </c>
      <c r="E500" s="308">
        <v>21.5</v>
      </c>
      <c r="F500" s="41">
        <f t="shared" si="16"/>
        <v>0</v>
      </c>
    </row>
    <row r="501" spans="1:6" ht="14.4" customHeight="1" x14ac:dyDescent="0.3">
      <c r="A501" s="306"/>
      <c r="B501" s="306" t="s">
        <v>444</v>
      </c>
      <c r="C501" s="310" t="s">
        <v>27</v>
      </c>
      <c r="E501" s="308">
        <v>25</v>
      </c>
      <c r="F501" s="41">
        <f t="shared" si="16"/>
        <v>0</v>
      </c>
    </row>
    <row r="502" spans="1:6" ht="14.4" customHeight="1" x14ac:dyDescent="0.3">
      <c r="A502" s="306"/>
      <c r="B502" s="306" t="s">
        <v>445</v>
      </c>
      <c r="C502" s="310" t="s">
        <v>27</v>
      </c>
      <c r="E502" s="308">
        <v>22</v>
      </c>
      <c r="F502" s="41">
        <f t="shared" si="16"/>
        <v>0</v>
      </c>
    </row>
    <row r="503" spans="1:6" ht="14.4" customHeight="1" x14ac:dyDescent="0.3">
      <c r="A503" s="306"/>
      <c r="B503" s="306" t="s">
        <v>446</v>
      </c>
      <c r="C503" s="310" t="s">
        <v>27</v>
      </c>
      <c r="E503" s="308">
        <v>22</v>
      </c>
      <c r="F503" s="41">
        <f t="shared" si="16"/>
        <v>0</v>
      </c>
    </row>
    <row r="504" spans="1:6" ht="14.4" customHeight="1" x14ac:dyDescent="0.3">
      <c r="A504" s="306"/>
      <c r="B504" s="306" t="s">
        <v>447</v>
      </c>
      <c r="C504" s="310" t="s">
        <v>27</v>
      </c>
      <c r="E504" s="308">
        <v>22</v>
      </c>
      <c r="F504" s="41">
        <f t="shared" si="16"/>
        <v>0</v>
      </c>
    </row>
    <row r="505" spans="1:6" ht="14.4" customHeight="1" x14ac:dyDescent="0.3">
      <c r="A505" s="306"/>
      <c r="B505" s="306" t="s">
        <v>448</v>
      </c>
      <c r="C505" s="310" t="s">
        <v>27</v>
      </c>
      <c r="E505" s="308">
        <v>78</v>
      </c>
      <c r="F505" s="41">
        <f t="shared" si="16"/>
        <v>0</v>
      </c>
    </row>
    <row r="506" spans="1:6" ht="14.4" customHeight="1" x14ac:dyDescent="0.3">
      <c r="A506" s="306"/>
      <c r="B506" s="306" t="s">
        <v>449</v>
      </c>
      <c r="C506" s="310" t="s">
        <v>27</v>
      </c>
      <c r="E506" s="308">
        <v>89</v>
      </c>
      <c r="F506" s="41">
        <f t="shared" si="16"/>
        <v>0</v>
      </c>
    </row>
    <row r="507" spans="1:6" ht="14.4" customHeight="1" x14ac:dyDescent="0.3">
      <c r="A507" s="306"/>
      <c r="B507" s="306" t="s">
        <v>450</v>
      </c>
      <c r="C507" s="310" t="s">
        <v>27</v>
      </c>
      <c r="E507" s="308">
        <v>21</v>
      </c>
      <c r="F507" s="41">
        <f t="shared" si="16"/>
        <v>0</v>
      </c>
    </row>
    <row r="508" spans="1:6" ht="14.4" customHeight="1" x14ac:dyDescent="0.3">
      <c r="A508" s="306"/>
      <c r="B508" s="306" t="s">
        <v>451</v>
      </c>
      <c r="C508" s="310" t="s">
        <v>27</v>
      </c>
      <c r="E508" s="308">
        <v>21</v>
      </c>
      <c r="F508" s="41">
        <f t="shared" si="16"/>
        <v>0</v>
      </c>
    </row>
    <row r="509" spans="1:6" ht="14.4" customHeight="1" x14ac:dyDescent="0.3">
      <c r="A509" s="306"/>
      <c r="B509" s="306" t="s">
        <v>452</v>
      </c>
      <c r="C509" s="310" t="s">
        <v>27</v>
      </c>
      <c r="E509" s="308">
        <v>0</v>
      </c>
      <c r="F509" s="41">
        <f t="shared" si="16"/>
        <v>0</v>
      </c>
    </row>
    <row r="510" spans="1:6" ht="14.4" customHeight="1" x14ac:dyDescent="0.3">
      <c r="A510" s="306"/>
      <c r="B510" s="306" t="s">
        <v>453</v>
      </c>
      <c r="C510" s="310" t="s">
        <v>27</v>
      </c>
      <c r="E510" s="308">
        <v>0</v>
      </c>
      <c r="F510" s="41">
        <f t="shared" si="16"/>
        <v>0</v>
      </c>
    </row>
    <row r="511" spans="1:6" ht="14.4" customHeight="1" x14ac:dyDescent="0.3">
      <c r="A511" s="306"/>
      <c r="B511" s="387" t="s">
        <v>454</v>
      </c>
      <c r="C511" s="310" t="s">
        <v>27</v>
      </c>
      <c r="E511" s="308">
        <v>0</v>
      </c>
      <c r="F511" s="41">
        <f t="shared" si="16"/>
        <v>0</v>
      </c>
    </row>
    <row r="512" spans="1:6" ht="14.4" customHeight="1" x14ac:dyDescent="0.3">
      <c r="A512" s="306"/>
      <c r="B512" s="306" t="s">
        <v>455</v>
      </c>
      <c r="C512" s="310" t="s">
        <v>27</v>
      </c>
      <c r="E512" s="308">
        <v>0</v>
      </c>
      <c r="F512" s="41">
        <f t="shared" si="16"/>
        <v>0</v>
      </c>
    </row>
    <row r="513" spans="1:6" ht="14.4" customHeight="1" x14ac:dyDescent="0.3">
      <c r="A513" s="306"/>
      <c r="B513" s="306" t="s">
        <v>456</v>
      </c>
      <c r="C513" s="310" t="s">
        <v>27</v>
      </c>
      <c r="E513" s="308">
        <v>0</v>
      </c>
      <c r="F513" s="41">
        <f t="shared" si="16"/>
        <v>0</v>
      </c>
    </row>
    <row r="514" spans="1:6" ht="14.4" customHeight="1" x14ac:dyDescent="0.3">
      <c r="A514" s="306"/>
      <c r="B514" s="306" t="s">
        <v>457</v>
      </c>
      <c r="C514" s="310" t="s">
        <v>27</v>
      </c>
      <c r="E514" s="308">
        <v>0</v>
      </c>
      <c r="F514" s="41">
        <f t="shared" si="16"/>
        <v>0</v>
      </c>
    </row>
    <row r="515" spans="1:6" ht="14.4" customHeight="1" x14ac:dyDescent="0.3">
      <c r="A515" s="306"/>
      <c r="B515" s="306" t="s">
        <v>458</v>
      </c>
      <c r="C515" s="310" t="s">
        <v>27</v>
      </c>
      <c r="E515" s="308">
        <v>0</v>
      </c>
      <c r="F515" s="41">
        <f t="shared" si="16"/>
        <v>0</v>
      </c>
    </row>
    <row r="516" spans="1:6" ht="14.4" customHeight="1" x14ac:dyDescent="0.3">
      <c r="A516" s="306"/>
      <c r="B516" s="306" t="s">
        <v>459</v>
      </c>
      <c r="C516" s="310" t="s">
        <v>27</v>
      </c>
      <c r="E516" s="308">
        <v>0</v>
      </c>
      <c r="F516" s="41">
        <f t="shared" si="16"/>
        <v>0</v>
      </c>
    </row>
    <row r="517" spans="1:6" ht="14.4" customHeight="1" x14ac:dyDescent="0.3">
      <c r="A517" s="306"/>
      <c r="B517" s="306" t="s">
        <v>460</v>
      </c>
      <c r="C517" s="310" t="s">
        <v>27</v>
      </c>
      <c r="E517" s="308">
        <v>0</v>
      </c>
      <c r="F517" s="41">
        <f t="shared" si="16"/>
        <v>0</v>
      </c>
    </row>
    <row r="518" spans="1:6" ht="14.4" customHeight="1" x14ac:dyDescent="0.3">
      <c r="A518" s="306"/>
      <c r="B518" s="306" t="s">
        <v>461</v>
      </c>
      <c r="C518" s="310" t="s">
        <v>27</v>
      </c>
      <c r="E518" s="308">
        <v>0</v>
      </c>
      <c r="F518" s="41">
        <f t="shared" si="16"/>
        <v>0</v>
      </c>
    </row>
    <row r="519" spans="1:6" ht="14.4" customHeight="1" x14ac:dyDescent="0.3">
      <c r="A519" s="306"/>
      <c r="B519" s="306" t="s">
        <v>462</v>
      </c>
      <c r="C519" s="310" t="s">
        <v>27</v>
      </c>
      <c r="E519" s="308">
        <v>0</v>
      </c>
      <c r="F519" s="41">
        <f t="shared" si="16"/>
        <v>0</v>
      </c>
    </row>
    <row r="520" spans="1:6" ht="14.4" customHeight="1" x14ac:dyDescent="0.3">
      <c r="A520" s="306"/>
      <c r="B520" s="306" t="s">
        <v>463</v>
      </c>
      <c r="C520" s="310" t="s">
        <v>27</v>
      </c>
      <c r="E520" s="308">
        <v>0</v>
      </c>
      <c r="F520" s="41">
        <f t="shared" si="16"/>
        <v>0</v>
      </c>
    </row>
    <row r="521" spans="1:6" ht="14.4" customHeight="1" x14ac:dyDescent="0.3">
      <c r="A521" s="306"/>
      <c r="B521" s="306" t="s">
        <v>464</v>
      </c>
      <c r="C521" s="310" t="s">
        <v>27</v>
      </c>
      <c r="E521" s="308">
        <v>0</v>
      </c>
      <c r="F521" s="41">
        <f t="shared" si="16"/>
        <v>0</v>
      </c>
    </row>
    <row r="522" spans="1:6" ht="14.4" customHeight="1" x14ac:dyDescent="0.3">
      <c r="A522" s="306"/>
      <c r="B522" s="306" t="s">
        <v>465</v>
      </c>
      <c r="C522" s="310" t="s">
        <v>27</v>
      </c>
      <c r="E522" s="308">
        <v>0</v>
      </c>
      <c r="F522" s="41">
        <f t="shared" si="16"/>
        <v>0</v>
      </c>
    </row>
    <row r="523" spans="1:6" ht="14.4" customHeight="1" x14ac:dyDescent="0.3">
      <c r="A523" s="306"/>
      <c r="B523" s="306" t="s">
        <v>466</v>
      </c>
      <c r="C523" s="310" t="s">
        <v>27</v>
      </c>
      <c r="E523" s="308">
        <v>0</v>
      </c>
      <c r="F523" s="41">
        <f t="shared" si="16"/>
        <v>0</v>
      </c>
    </row>
    <row r="524" spans="1:6" ht="14.4" customHeight="1" x14ac:dyDescent="0.3">
      <c r="A524" s="306"/>
      <c r="B524" s="306" t="s">
        <v>467</v>
      </c>
      <c r="C524" s="310" t="s">
        <v>27</v>
      </c>
      <c r="E524" s="308">
        <v>0</v>
      </c>
      <c r="F524" s="41">
        <f t="shared" si="16"/>
        <v>0</v>
      </c>
    </row>
    <row r="525" spans="1:6" ht="14.4" customHeight="1" x14ac:dyDescent="0.3">
      <c r="A525" s="306"/>
      <c r="B525" s="306" t="s">
        <v>468</v>
      </c>
      <c r="C525" s="310" t="s">
        <v>27</v>
      </c>
      <c r="E525" s="308">
        <v>0</v>
      </c>
      <c r="F525" s="41">
        <f t="shared" si="16"/>
        <v>0</v>
      </c>
    </row>
    <row r="526" spans="1:6" ht="14.4" customHeight="1" x14ac:dyDescent="0.3">
      <c r="A526" s="306"/>
      <c r="B526" s="306" t="s">
        <v>469</v>
      </c>
      <c r="C526" s="310" t="s">
        <v>27</v>
      </c>
      <c r="E526" s="308">
        <v>0</v>
      </c>
      <c r="F526" s="41">
        <f t="shared" si="16"/>
        <v>0</v>
      </c>
    </row>
    <row r="527" spans="1:6" ht="14.4" customHeight="1" x14ac:dyDescent="0.3">
      <c r="A527" s="306"/>
      <c r="B527" s="306" t="s">
        <v>470</v>
      </c>
      <c r="C527" s="310" t="s">
        <v>27</v>
      </c>
      <c r="E527" s="308">
        <v>0</v>
      </c>
      <c r="F527" s="41">
        <f t="shared" si="16"/>
        <v>0</v>
      </c>
    </row>
    <row r="528" spans="1:6" ht="14.4" customHeight="1" x14ac:dyDescent="0.3">
      <c r="A528" s="306"/>
      <c r="B528" s="306" t="s">
        <v>471</v>
      </c>
      <c r="C528" s="310" t="s">
        <v>27</v>
      </c>
      <c r="E528" s="308">
        <v>0</v>
      </c>
      <c r="F528" s="41">
        <f t="shared" si="16"/>
        <v>0</v>
      </c>
    </row>
    <row r="529" spans="1:6" ht="14.4" customHeight="1" x14ac:dyDescent="0.3">
      <c r="A529" s="306"/>
      <c r="B529" s="306" t="s">
        <v>472</v>
      </c>
      <c r="C529" s="310" t="s">
        <v>27</v>
      </c>
      <c r="E529" s="308">
        <v>0</v>
      </c>
      <c r="F529" s="41">
        <f t="shared" si="16"/>
        <v>0</v>
      </c>
    </row>
    <row r="530" spans="1:6" ht="14.4" customHeight="1" x14ac:dyDescent="0.3">
      <c r="A530" s="306"/>
      <c r="B530" s="306" t="s">
        <v>473</v>
      </c>
      <c r="C530" s="310" t="s">
        <v>27</v>
      </c>
      <c r="E530" s="308">
        <v>0</v>
      </c>
      <c r="F530" s="41">
        <f t="shared" si="16"/>
        <v>0</v>
      </c>
    </row>
    <row r="531" spans="1:6" ht="14.4" customHeight="1" x14ac:dyDescent="0.3">
      <c r="A531" s="306"/>
      <c r="B531" s="306" t="s">
        <v>474</v>
      </c>
      <c r="C531" s="310" t="s">
        <v>27</v>
      </c>
      <c r="E531" s="308">
        <v>0</v>
      </c>
      <c r="F531" s="41">
        <f t="shared" si="16"/>
        <v>0</v>
      </c>
    </row>
    <row r="532" spans="1:6" ht="14.4" customHeight="1" x14ac:dyDescent="0.3">
      <c r="A532" s="306"/>
      <c r="B532" s="306" t="s">
        <v>475</v>
      </c>
      <c r="C532" s="310" t="s">
        <v>27</v>
      </c>
      <c r="E532" s="308">
        <v>0</v>
      </c>
      <c r="F532" s="41">
        <f t="shared" si="16"/>
        <v>0</v>
      </c>
    </row>
    <row r="533" spans="1:6" ht="14.4" customHeight="1" x14ac:dyDescent="0.3">
      <c r="A533" s="306"/>
      <c r="B533" s="306" t="s">
        <v>476</v>
      </c>
      <c r="C533" s="310" t="s">
        <v>27</v>
      </c>
      <c r="E533" s="308">
        <v>0</v>
      </c>
      <c r="F533" s="41">
        <f t="shared" si="16"/>
        <v>0</v>
      </c>
    </row>
    <row r="534" spans="1:6" ht="14.4" customHeight="1" x14ac:dyDescent="0.3">
      <c r="A534" s="306"/>
      <c r="B534" s="387" t="s">
        <v>477</v>
      </c>
      <c r="C534" s="310" t="s">
        <v>27</v>
      </c>
      <c r="E534" s="308">
        <v>0</v>
      </c>
      <c r="F534" s="41">
        <f t="shared" si="16"/>
        <v>0</v>
      </c>
    </row>
    <row r="535" spans="1:6" ht="14.4" customHeight="1" x14ac:dyDescent="0.3">
      <c r="A535" s="306"/>
      <c r="B535" s="306" t="s">
        <v>478</v>
      </c>
      <c r="C535" s="310" t="s">
        <v>27</v>
      </c>
      <c r="E535" s="308">
        <v>0</v>
      </c>
      <c r="F535" s="41">
        <f t="shared" si="16"/>
        <v>0</v>
      </c>
    </row>
    <row r="536" spans="1:6" ht="14.4" customHeight="1" x14ac:dyDescent="0.3">
      <c r="A536" s="306"/>
      <c r="B536" s="306" t="s">
        <v>479</v>
      </c>
      <c r="C536" s="310" t="s">
        <v>27</v>
      </c>
      <c r="E536" s="308">
        <v>0</v>
      </c>
      <c r="F536" s="41">
        <f t="shared" si="16"/>
        <v>0</v>
      </c>
    </row>
    <row r="537" spans="1:6" ht="14.4" customHeight="1" x14ac:dyDescent="0.3">
      <c r="A537" s="306"/>
      <c r="B537" s="387" t="s">
        <v>480</v>
      </c>
      <c r="C537" s="310" t="s">
        <v>27</v>
      </c>
      <c r="E537" s="308">
        <v>0</v>
      </c>
      <c r="F537" s="41">
        <f t="shared" si="16"/>
        <v>0</v>
      </c>
    </row>
    <row r="538" spans="1:6" ht="14.4" customHeight="1" x14ac:dyDescent="0.3">
      <c r="A538" s="306"/>
      <c r="B538" s="387" t="s">
        <v>481</v>
      </c>
      <c r="C538" s="310" t="s">
        <v>27</v>
      </c>
      <c r="E538" s="308">
        <v>0</v>
      </c>
      <c r="F538" s="41">
        <f t="shared" si="16"/>
        <v>0</v>
      </c>
    </row>
    <row r="539" spans="1:6" ht="14.4" customHeight="1" x14ac:dyDescent="0.3">
      <c r="A539" s="306"/>
      <c r="B539" s="306" t="s">
        <v>482</v>
      </c>
      <c r="C539" s="310" t="s">
        <v>27</v>
      </c>
      <c r="E539" s="308">
        <v>18.54</v>
      </c>
      <c r="F539" s="41">
        <f t="shared" si="16"/>
        <v>0</v>
      </c>
    </row>
    <row r="540" spans="1:6" ht="14.4" customHeight="1" x14ac:dyDescent="0.3">
      <c r="A540" s="306"/>
      <c r="B540" s="306" t="s">
        <v>483</v>
      </c>
      <c r="C540" s="310" t="s">
        <v>27</v>
      </c>
      <c r="E540" s="308">
        <v>0</v>
      </c>
      <c r="F540" s="41">
        <f t="shared" si="16"/>
        <v>0</v>
      </c>
    </row>
    <row r="541" spans="1:6" ht="14.4" customHeight="1" x14ac:dyDescent="0.3">
      <c r="A541" s="306"/>
      <c r="B541" s="306" t="s">
        <v>484</v>
      </c>
      <c r="C541" s="310" t="s">
        <v>27</v>
      </c>
      <c r="E541" s="308">
        <v>0</v>
      </c>
      <c r="F541" s="41">
        <f t="shared" ref="F541:F604" si="17">E541*D541</f>
        <v>0</v>
      </c>
    </row>
    <row r="542" spans="1:6" ht="14.4" customHeight="1" x14ac:dyDescent="0.3">
      <c r="A542" s="306"/>
      <c r="B542" s="306" t="s">
        <v>485</v>
      </c>
      <c r="C542" s="310" t="s">
        <v>27</v>
      </c>
      <c r="E542" s="308">
        <v>18.350000000000001</v>
      </c>
      <c r="F542" s="41">
        <f t="shared" si="17"/>
        <v>0</v>
      </c>
    </row>
    <row r="543" spans="1:6" ht="14.4" customHeight="1" x14ac:dyDescent="0.3">
      <c r="A543" s="306"/>
      <c r="B543" s="306" t="s">
        <v>486</v>
      </c>
      <c r="C543" s="310" t="s">
        <v>27</v>
      </c>
      <c r="E543" s="308">
        <v>0</v>
      </c>
      <c r="F543" s="41">
        <f t="shared" si="17"/>
        <v>0</v>
      </c>
    </row>
    <row r="544" spans="1:6" ht="14.4" customHeight="1" x14ac:dyDescent="0.3">
      <c r="A544" s="306"/>
      <c r="B544" s="306" t="s">
        <v>487</v>
      </c>
      <c r="C544" s="310" t="s">
        <v>27</v>
      </c>
      <c r="E544" s="308">
        <v>0</v>
      </c>
      <c r="F544" s="41">
        <f t="shared" si="17"/>
        <v>0</v>
      </c>
    </row>
    <row r="545" spans="1:6" ht="14.4" customHeight="1" x14ac:dyDescent="0.3">
      <c r="A545" s="306"/>
      <c r="B545" s="306" t="s">
        <v>488</v>
      </c>
      <c r="C545" s="310" t="s">
        <v>27</v>
      </c>
      <c r="E545" s="308">
        <v>0</v>
      </c>
      <c r="F545" s="41">
        <f t="shared" si="17"/>
        <v>0</v>
      </c>
    </row>
    <row r="546" spans="1:6" ht="14.4" customHeight="1" x14ac:dyDescent="0.3">
      <c r="A546" s="306"/>
      <c r="B546" s="306" t="s">
        <v>489</v>
      </c>
      <c r="C546" s="310" t="s">
        <v>27</v>
      </c>
      <c r="E546" s="308">
        <v>0</v>
      </c>
      <c r="F546" s="41">
        <f t="shared" si="17"/>
        <v>0</v>
      </c>
    </row>
    <row r="547" spans="1:6" ht="14.4" customHeight="1" x14ac:dyDescent="0.3">
      <c r="A547" s="306"/>
      <c r="B547" s="306" t="s">
        <v>490</v>
      </c>
      <c r="C547" s="310" t="s">
        <v>27</v>
      </c>
      <c r="E547" s="308">
        <v>0</v>
      </c>
      <c r="F547" s="41">
        <f t="shared" si="17"/>
        <v>0</v>
      </c>
    </row>
    <row r="548" spans="1:6" ht="14.4" customHeight="1" x14ac:dyDescent="0.3">
      <c r="A548" s="306"/>
      <c r="B548" s="387" t="s">
        <v>491</v>
      </c>
      <c r="C548" s="310" t="s">
        <v>27</v>
      </c>
      <c r="E548" s="308">
        <v>0</v>
      </c>
      <c r="F548" s="41">
        <f t="shared" si="17"/>
        <v>0</v>
      </c>
    </row>
    <row r="549" spans="1:6" ht="14.4" customHeight="1" x14ac:dyDescent="0.3">
      <c r="A549" s="306"/>
      <c r="B549" s="306" t="s">
        <v>492</v>
      </c>
      <c r="C549" s="310" t="s">
        <v>27</v>
      </c>
      <c r="E549" s="308">
        <v>16.329999999999998</v>
      </c>
      <c r="F549" s="41">
        <f t="shared" si="17"/>
        <v>0</v>
      </c>
    </row>
    <row r="550" spans="1:6" ht="14.4" customHeight="1" x14ac:dyDescent="0.3">
      <c r="A550" s="306"/>
      <c r="B550" s="306" t="s">
        <v>493</v>
      </c>
      <c r="C550" s="310" t="s">
        <v>27</v>
      </c>
      <c r="E550" s="308">
        <v>0</v>
      </c>
      <c r="F550" s="41">
        <f t="shared" si="17"/>
        <v>0</v>
      </c>
    </row>
    <row r="551" spans="1:6" ht="14.4" customHeight="1" x14ac:dyDescent="0.3">
      <c r="A551" s="306"/>
      <c r="B551" s="306" t="s">
        <v>494</v>
      </c>
      <c r="C551" s="310" t="s">
        <v>27</v>
      </c>
      <c r="E551" s="308">
        <v>0</v>
      </c>
      <c r="F551" s="41">
        <f t="shared" si="17"/>
        <v>0</v>
      </c>
    </row>
    <row r="552" spans="1:6" ht="14.4" customHeight="1" x14ac:dyDescent="0.3">
      <c r="A552" s="306"/>
      <c r="B552" s="306" t="s">
        <v>495</v>
      </c>
      <c r="C552" s="310" t="s">
        <v>27</v>
      </c>
      <c r="E552" s="308">
        <v>0</v>
      </c>
      <c r="F552" s="41">
        <f t="shared" si="17"/>
        <v>0</v>
      </c>
    </row>
    <row r="553" spans="1:6" ht="14.4" customHeight="1" x14ac:dyDescent="0.3">
      <c r="A553" s="306"/>
      <c r="B553" s="306" t="s">
        <v>496</v>
      </c>
      <c r="C553" s="310" t="s">
        <v>27</v>
      </c>
      <c r="E553" s="308">
        <v>0</v>
      </c>
      <c r="F553" s="41">
        <f t="shared" si="17"/>
        <v>0</v>
      </c>
    </row>
    <row r="554" spans="1:6" ht="14.4" customHeight="1" x14ac:dyDescent="0.3">
      <c r="A554" s="306"/>
      <c r="B554" s="306" t="s">
        <v>497</v>
      </c>
      <c r="C554" s="310" t="s">
        <v>27</v>
      </c>
      <c r="E554" s="308">
        <v>0</v>
      </c>
      <c r="F554" s="41">
        <f t="shared" si="17"/>
        <v>0</v>
      </c>
    </row>
    <row r="555" spans="1:6" ht="14.4" customHeight="1" x14ac:dyDescent="0.3">
      <c r="A555" s="306"/>
      <c r="B555" s="306" t="s">
        <v>498</v>
      </c>
      <c r="C555" s="310" t="s">
        <v>27</v>
      </c>
      <c r="E555" s="308">
        <v>0</v>
      </c>
      <c r="F555" s="41">
        <f t="shared" si="17"/>
        <v>0</v>
      </c>
    </row>
    <row r="556" spans="1:6" ht="14.4" customHeight="1" x14ac:dyDescent="0.3">
      <c r="A556" s="306"/>
      <c r="B556" s="306" t="s">
        <v>499</v>
      </c>
      <c r="C556" s="310" t="s">
        <v>27</v>
      </c>
      <c r="E556" s="308">
        <v>0</v>
      </c>
      <c r="F556" s="41">
        <f t="shared" si="17"/>
        <v>0</v>
      </c>
    </row>
    <row r="557" spans="1:6" ht="14.4" customHeight="1" x14ac:dyDescent="0.3">
      <c r="A557" s="306"/>
      <c r="B557" s="306" t="s">
        <v>500</v>
      </c>
      <c r="C557" s="310" t="s">
        <v>27</v>
      </c>
      <c r="E557" s="308">
        <v>0</v>
      </c>
      <c r="F557" s="41">
        <f t="shared" si="17"/>
        <v>0</v>
      </c>
    </row>
    <row r="558" spans="1:6" ht="14.4" customHeight="1" x14ac:dyDescent="0.3">
      <c r="A558" s="306"/>
      <c r="B558" s="306" t="s">
        <v>501</v>
      </c>
      <c r="C558" s="310" t="s">
        <v>27</v>
      </c>
      <c r="E558" s="308">
        <v>0</v>
      </c>
      <c r="F558" s="41">
        <f t="shared" si="17"/>
        <v>0</v>
      </c>
    </row>
    <row r="559" spans="1:6" ht="14.4" customHeight="1" x14ac:dyDescent="0.3">
      <c r="A559" s="306"/>
      <c r="B559" s="306" t="s">
        <v>502</v>
      </c>
      <c r="C559" s="310" t="s">
        <v>27</v>
      </c>
      <c r="E559" s="308">
        <v>0</v>
      </c>
      <c r="F559" s="41">
        <f t="shared" si="17"/>
        <v>0</v>
      </c>
    </row>
    <row r="560" spans="1:6" ht="14.4" customHeight="1" x14ac:dyDescent="0.3">
      <c r="A560" s="306"/>
      <c r="B560" s="306" t="s">
        <v>503</v>
      </c>
      <c r="C560" s="310" t="s">
        <v>27</v>
      </c>
      <c r="E560" s="308">
        <v>0</v>
      </c>
      <c r="F560" s="41">
        <f t="shared" si="17"/>
        <v>0</v>
      </c>
    </row>
    <row r="561" spans="1:6" ht="14.4" customHeight="1" x14ac:dyDescent="0.3">
      <c r="A561" s="306"/>
      <c r="B561" s="306" t="s">
        <v>504</v>
      </c>
      <c r="C561" s="310" t="s">
        <v>27</v>
      </c>
      <c r="E561" s="308">
        <v>0</v>
      </c>
      <c r="F561" s="41">
        <f t="shared" si="17"/>
        <v>0</v>
      </c>
    </row>
    <row r="562" spans="1:6" ht="14.4" customHeight="1" x14ac:dyDescent="0.3">
      <c r="A562" s="306"/>
      <c r="B562" s="306" t="s">
        <v>505</v>
      </c>
      <c r="C562" s="310" t="s">
        <v>27</v>
      </c>
      <c r="E562" s="308">
        <v>0</v>
      </c>
      <c r="F562" s="41">
        <f t="shared" si="17"/>
        <v>0</v>
      </c>
    </row>
    <row r="563" spans="1:6" ht="14.4" customHeight="1" x14ac:dyDescent="0.3">
      <c r="A563" s="306"/>
      <c r="B563" s="306" t="s">
        <v>506</v>
      </c>
      <c r="C563" s="310" t="s">
        <v>27</v>
      </c>
      <c r="E563" s="308">
        <v>0</v>
      </c>
      <c r="F563" s="41">
        <f t="shared" si="17"/>
        <v>0</v>
      </c>
    </row>
    <row r="564" spans="1:6" ht="14.4" customHeight="1" x14ac:dyDescent="0.3">
      <c r="A564" s="306"/>
      <c r="B564" s="306" t="s">
        <v>507</v>
      </c>
      <c r="C564" s="310" t="s">
        <v>27</v>
      </c>
      <c r="E564" s="308">
        <v>0</v>
      </c>
      <c r="F564" s="41">
        <f t="shared" si="17"/>
        <v>0</v>
      </c>
    </row>
    <row r="565" spans="1:6" ht="14.4" customHeight="1" x14ac:dyDescent="0.3">
      <c r="A565" s="306"/>
      <c r="B565" s="306" t="s">
        <v>508</v>
      </c>
      <c r="C565" s="310" t="s">
        <v>27</v>
      </c>
      <c r="E565" s="308">
        <v>0</v>
      </c>
      <c r="F565" s="41">
        <f t="shared" si="17"/>
        <v>0</v>
      </c>
    </row>
    <row r="566" spans="1:6" ht="14.4" customHeight="1" x14ac:dyDescent="0.3">
      <c r="A566" s="306"/>
      <c r="B566" s="306" t="s">
        <v>509</v>
      </c>
      <c r="C566" s="310" t="s">
        <v>27</v>
      </c>
      <c r="E566" s="308">
        <v>0</v>
      </c>
      <c r="F566" s="41">
        <f t="shared" si="17"/>
        <v>0</v>
      </c>
    </row>
    <row r="567" spans="1:6" ht="14.4" customHeight="1" x14ac:dyDescent="0.3">
      <c r="A567" s="306"/>
      <c r="B567" s="306" t="s">
        <v>510</v>
      </c>
      <c r="C567" s="310" t="s">
        <v>27</v>
      </c>
      <c r="E567" s="308">
        <v>0</v>
      </c>
      <c r="F567" s="41">
        <f t="shared" si="17"/>
        <v>0</v>
      </c>
    </row>
    <row r="568" spans="1:6" ht="14.4" customHeight="1" x14ac:dyDescent="0.3">
      <c r="A568" s="306"/>
      <c r="B568" s="306" t="s">
        <v>511</v>
      </c>
      <c r="C568" s="310" t="s">
        <v>27</v>
      </c>
      <c r="E568" s="308">
        <v>0</v>
      </c>
      <c r="F568" s="41">
        <f t="shared" si="17"/>
        <v>0</v>
      </c>
    </row>
    <row r="569" spans="1:6" ht="14.4" customHeight="1" x14ac:dyDescent="0.3">
      <c r="A569" s="306"/>
      <c r="B569" s="306" t="s">
        <v>512</v>
      </c>
      <c r="C569" s="310" t="s">
        <v>27</v>
      </c>
      <c r="E569" s="308">
        <v>0</v>
      </c>
      <c r="F569" s="41">
        <f t="shared" si="17"/>
        <v>0</v>
      </c>
    </row>
    <row r="570" spans="1:6" ht="14.4" customHeight="1" x14ac:dyDescent="0.3">
      <c r="A570" s="306"/>
      <c r="B570" s="306" t="s">
        <v>513</v>
      </c>
      <c r="C570" s="310" t="s">
        <v>27</v>
      </c>
      <c r="E570" s="308">
        <v>0</v>
      </c>
      <c r="F570" s="41">
        <f t="shared" si="17"/>
        <v>0</v>
      </c>
    </row>
    <row r="571" spans="1:6" ht="14.4" customHeight="1" x14ac:dyDescent="0.3">
      <c r="A571" s="306"/>
      <c r="B571" s="306" t="s">
        <v>514</v>
      </c>
      <c r="C571" s="310" t="s">
        <v>27</v>
      </c>
      <c r="E571" s="308">
        <v>0</v>
      </c>
      <c r="F571" s="41">
        <f t="shared" si="17"/>
        <v>0</v>
      </c>
    </row>
    <row r="572" spans="1:6" ht="14.4" customHeight="1" x14ac:dyDescent="0.3">
      <c r="A572" s="306"/>
      <c r="B572" s="306" t="s">
        <v>515</v>
      </c>
      <c r="C572" s="310" t="s">
        <v>27</v>
      </c>
      <c r="E572" s="308">
        <v>0</v>
      </c>
      <c r="F572" s="41">
        <f t="shared" si="17"/>
        <v>0</v>
      </c>
    </row>
    <row r="573" spans="1:6" ht="14.4" customHeight="1" x14ac:dyDescent="0.3">
      <c r="A573" s="306"/>
      <c r="B573" s="306" t="s">
        <v>516</v>
      </c>
      <c r="C573" s="310" t="s">
        <v>27</v>
      </c>
      <c r="E573" s="308">
        <v>0</v>
      </c>
      <c r="F573" s="41">
        <f t="shared" si="17"/>
        <v>0</v>
      </c>
    </row>
    <row r="574" spans="1:6" ht="14.4" customHeight="1" x14ac:dyDescent="0.3">
      <c r="A574" s="306"/>
      <c r="B574" s="306" t="s">
        <v>517</v>
      </c>
      <c r="C574" s="310" t="s">
        <v>27</v>
      </c>
      <c r="E574" s="308">
        <v>0</v>
      </c>
      <c r="F574" s="41">
        <f t="shared" si="17"/>
        <v>0</v>
      </c>
    </row>
    <row r="575" spans="1:6" ht="14.4" customHeight="1" x14ac:dyDescent="0.3">
      <c r="A575" s="306"/>
      <c r="B575" s="306" t="s">
        <v>518</v>
      </c>
      <c r="C575" s="310" t="s">
        <v>27</v>
      </c>
      <c r="E575" s="308">
        <v>0</v>
      </c>
      <c r="F575" s="41">
        <f t="shared" si="17"/>
        <v>0</v>
      </c>
    </row>
    <row r="576" spans="1:6" ht="14.4" customHeight="1" x14ac:dyDescent="0.3">
      <c r="A576" s="306"/>
      <c r="B576" s="306" t="s">
        <v>519</v>
      </c>
      <c r="C576" s="310" t="s">
        <v>27</v>
      </c>
      <c r="E576" s="308">
        <v>0</v>
      </c>
      <c r="F576" s="41">
        <f t="shared" si="17"/>
        <v>0</v>
      </c>
    </row>
    <row r="577" spans="1:6" ht="14.4" customHeight="1" x14ac:dyDescent="0.3">
      <c r="A577" s="306"/>
      <c r="B577" s="306" t="s">
        <v>520</v>
      </c>
      <c r="C577" s="310" t="s">
        <v>27</v>
      </c>
      <c r="E577" s="308">
        <v>0</v>
      </c>
      <c r="F577" s="41">
        <f t="shared" si="17"/>
        <v>0</v>
      </c>
    </row>
    <row r="578" spans="1:6" ht="14.4" customHeight="1" x14ac:dyDescent="0.3">
      <c r="A578" s="306"/>
      <c r="B578" s="306" t="s">
        <v>521</v>
      </c>
      <c r="C578" s="310" t="s">
        <v>27</v>
      </c>
      <c r="E578" s="308">
        <v>0</v>
      </c>
      <c r="F578" s="41">
        <f t="shared" si="17"/>
        <v>0</v>
      </c>
    </row>
    <row r="579" spans="1:6" ht="14.4" customHeight="1" x14ac:dyDescent="0.3">
      <c r="A579" s="306"/>
      <c r="B579" s="306" t="s">
        <v>522</v>
      </c>
      <c r="C579" s="310" t="s">
        <v>27</v>
      </c>
      <c r="E579" s="308">
        <v>0</v>
      </c>
      <c r="F579" s="41">
        <f t="shared" si="17"/>
        <v>0</v>
      </c>
    </row>
    <row r="580" spans="1:6" ht="14.4" customHeight="1" x14ac:dyDescent="0.3">
      <c r="A580" s="306"/>
      <c r="B580" s="306" t="s">
        <v>523</v>
      </c>
      <c r="C580" s="310" t="s">
        <v>27</v>
      </c>
      <c r="E580" s="308">
        <v>0</v>
      </c>
      <c r="F580" s="41">
        <f t="shared" si="17"/>
        <v>0</v>
      </c>
    </row>
    <row r="581" spans="1:6" ht="14.4" customHeight="1" x14ac:dyDescent="0.3">
      <c r="A581" s="306"/>
      <c r="B581" s="306" t="s">
        <v>524</v>
      </c>
      <c r="C581" s="310" t="s">
        <v>27</v>
      </c>
      <c r="E581" s="308">
        <v>5.61</v>
      </c>
      <c r="F581" s="41">
        <f t="shared" si="17"/>
        <v>0</v>
      </c>
    </row>
    <row r="582" spans="1:6" ht="14.4" customHeight="1" x14ac:dyDescent="0.3">
      <c r="A582" s="306"/>
      <c r="B582" s="306" t="s">
        <v>525</v>
      </c>
      <c r="C582" s="310" t="s">
        <v>27</v>
      </c>
      <c r="E582" s="308">
        <v>0</v>
      </c>
      <c r="F582" s="41">
        <f t="shared" si="17"/>
        <v>0</v>
      </c>
    </row>
    <row r="583" spans="1:6" ht="14.4" customHeight="1" x14ac:dyDescent="0.3">
      <c r="A583" s="306"/>
      <c r="B583" s="306" t="s">
        <v>526</v>
      </c>
      <c r="C583" s="310" t="s">
        <v>27</v>
      </c>
      <c r="E583" s="308">
        <v>0</v>
      </c>
      <c r="F583" s="41">
        <f t="shared" si="17"/>
        <v>0</v>
      </c>
    </row>
    <row r="584" spans="1:6" ht="14.4" customHeight="1" x14ac:dyDescent="0.3">
      <c r="A584" s="306"/>
      <c r="B584" s="306" t="s">
        <v>527</v>
      </c>
      <c r="C584" s="310" t="s">
        <v>27</v>
      </c>
      <c r="E584" s="308">
        <v>0</v>
      </c>
      <c r="F584" s="41">
        <f t="shared" si="17"/>
        <v>0</v>
      </c>
    </row>
    <row r="585" spans="1:6" ht="14.4" customHeight="1" x14ac:dyDescent="0.3">
      <c r="A585" s="306"/>
      <c r="B585" s="306" t="s">
        <v>528</v>
      </c>
      <c r="C585" s="310" t="s">
        <v>27</v>
      </c>
      <c r="E585" s="308">
        <v>0</v>
      </c>
      <c r="F585" s="41">
        <f t="shared" si="17"/>
        <v>0</v>
      </c>
    </row>
    <row r="586" spans="1:6" ht="14.4" customHeight="1" x14ac:dyDescent="0.3">
      <c r="A586" s="306"/>
      <c r="B586" s="306" t="s">
        <v>529</v>
      </c>
      <c r="C586" s="310" t="s">
        <v>27</v>
      </c>
      <c r="E586" s="308">
        <v>0</v>
      </c>
      <c r="F586" s="41">
        <f t="shared" si="17"/>
        <v>0</v>
      </c>
    </row>
    <row r="587" spans="1:6" ht="14.4" customHeight="1" x14ac:dyDescent="0.3">
      <c r="A587" s="306"/>
      <c r="B587" s="306" t="s">
        <v>530</v>
      </c>
      <c r="C587" s="310" t="s">
        <v>27</v>
      </c>
      <c r="E587" s="308">
        <v>0</v>
      </c>
      <c r="F587" s="41">
        <f t="shared" si="17"/>
        <v>0</v>
      </c>
    </row>
    <row r="588" spans="1:6" ht="14.4" customHeight="1" x14ac:dyDescent="0.3">
      <c r="A588" s="306"/>
      <c r="B588" s="306" t="s">
        <v>531</v>
      </c>
      <c r="C588" s="310" t="s">
        <v>27</v>
      </c>
      <c r="E588" s="308">
        <v>0</v>
      </c>
      <c r="F588" s="41">
        <f t="shared" si="17"/>
        <v>0</v>
      </c>
    </row>
    <row r="589" spans="1:6" ht="14.4" customHeight="1" x14ac:dyDescent="0.3">
      <c r="A589" s="306"/>
      <c r="B589" s="306" t="s">
        <v>532</v>
      </c>
      <c r="C589" s="310" t="s">
        <v>27</v>
      </c>
      <c r="E589" s="308">
        <v>0</v>
      </c>
      <c r="F589" s="41">
        <f t="shared" si="17"/>
        <v>0</v>
      </c>
    </row>
    <row r="590" spans="1:6" ht="14.4" customHeight="1" x14ac:dyDescent="0.3">
      <c r="A590" s="306"/>
      <c r="B590" s="306" t="s">
        <v>533</v>
      </c>
      <c r="C590" s="310" t="s">
        <v>27</v>
      </c>
      <c r="E590" s="308">
        <v>0</v>
      </c>
      <c r="F590" s="41">
        <f t="shared" si="17"/>
        <v>0</v>
      </c>
    </row>
    <row r="591" spans="1:6" ht="14.4" customHeight="1" x14ac:dyDescent="0.3">
      <c r="A591" s="306"/>
      <c r="B591" s="306" t="s">
        <v>534</v>
      </c>
      <c r="C591" s="310" t="s">
        <v>27</v>
      </c>
      <c r="E591" s="308">
        <v>0</v>
      </c>
      <c r="F591" s="41">
        <f t="shared" si="17"/>
        <v>0</v>
      </c>
    </row>
    <row r="592" spans="1:6" ht="14.4" customHeight="1" x14ac:dyDescent="0.3">
      <c r="A592" s="306"/>
      <c r="B592" s="306" t="s">
        <v>535</v>
      </c>
      <c r="C592" s="310" t="s">
        <v>27</v>
      </c>
      <c r="E592" s="308">
        <v>0</v>
      </c>
      <c r="F592" s="41">
        <f t="shared" si="17"/>
        <v>0</v>
      </c>
    </row>
    <row r="593" spans="1:6" ht="14.4" customHeight="1" x14ac:dyDescent="0.3">
      <c r="A593" s="306"/>
      <c r="B593" s="306" t="s">
        <v>536</v>
      </c>
      <c r="C593" s="310" t="s">
        <v>27</v>
      </c>
      <c r="E593" s="308">
        <v>0</v>
      </c>
      <c r="F593" s="41">
        <f t="shared" si="17"/>
        <v>0</v>
      </c>
    </row>
    <row r="594" spans="1:6" ht="14.4" customHeight="1" x14ac:dyDescent="0.3">
      <c r="A594" s="306"/>
      <c r="B594" s="306" t="s">
        <v>537</v>
      </c>
      <c r="C594" s="310" t="s">
        <v>27</v>
      </c>
      <c r="E594" s="308">
        <v>0</v>
      </c>
      <c r="F594" s="41">
        <f t="shared" si="17"/>
        <v>0</v>
      </c>
    </row>
    <row r="595" spans="1:6" ht="14.4" customHeight="1" x14ac:dyDescent="0.3">
      <c r="A595" s="306"/>
      <c r="B595" s="306" t="s">
        <v>538</v>
      </c>
      <c r="C595" s="310" t="s">
        <v>27</v>
      </c>
      <c r="E595" s="308">
        <v>0</v>
      </c>
      <c r="F595" s="41">
        <f t="shared" si="17"/>
        <v>0</v>
      </c>
    </row>
    <row r="596" spans="1:6" ht="14.4" customHeight="1" x14ac:dyDescent="0.3">
      <c r="A596" s="306"/>
      <c r="B596" s="306" t="s">
        <v>539</v>
      </c>
      <c r="C596" s="310" t="s">
        <v>27</v>
      </c>
      <c r="E596" s="308">
        <v>0</v>
      </c>
      <c r="F596" s="41">
        <f t="shared" si="17"/>
        <v>0</v>
      </c>
    </row>
    <row r="597" spans="1:6" ht="14.4" customHeight="1" x14ac:dyDescent="0.3">
      <c r="A597" s="306"/>
      <c r="B597" s="306" t="s">
        <v>540</v>
      </c>
      <c r="C597" s="310" t="s">
        <v>27</v>
      </c>
      <c r="E597" s="308">
        <v>0</v>
      </c>
      <c r="F597" s="41">
        <f t="shared" si="17"/>
        <v>0</v>
      </c>
    </row>
    <row r="598" spans="1:6" ht="14.4" customHeight="1" x14ac:dyDescent="0.3">
      <c r="A598" s="306"/>
      <c r="B598" s="306" t="s">
        <v>541</v>
      </c>
      <c r="C598" s="310" t="s">
        <v>27</v>
      </c>
      <c r="E598" s="308">
        <v>0</v>
      </c>
      <c r="F598" s="41">
        <f t="shared" si="17"/>
        <v>0</v>
      </c>
    </row>
    <row r="599" spans="1:6" ht="14.4" customHeight="1" x14ac:dyDescent="0.3">
      <c r="A599" s="306"/>
      <c r="B599" s="306" t="s">
        <v>542</v>
      </c>
      <c r="C599" s="310" t="s">
        <v>27</v>
      </c>
      <c r="E599" s="308">
        <v>0</v>
      </c>
      <c r="F599" s="41">
        <f t="shared" si="17"/>
        <v>0</v>
      </c>
    </row>
    <row r="600" spans="1:6" ht="14.4" customHeight="1" x14ac:dyDescent="0.3">
      <c r="A600" s="306"/>
      <c r="B600" s="306" t="s">
        <v>543</v>
      </c>
      <c r="C600" s="310" t="s">
        <v>27</v>
      </c>
      <c r="E600" s="308">
        <v>0</v>
      </c>
      <c r="F600" s="41">
        <f t="shared" si="17"/>
        <v>0</v>
      </c>
    </row>
    <row r="601" spans="1:6" ht="14.4" customHeight="1" x14ac:dyDescent="0.3">
      <c r="A601" s="306"/>
      <c r="B601" s="306" t="s">
        <v>544</v>
      </c>
      <c r="C601" s="310" t="s">
        <v>27</v>
      </c>
      <c r="E601" s="308">
        <v>0</v>
      </c>
      <c r="F601" s="41">
        <f t="shared" si="17"/>
        <v>0</v>
      </c>
    </row>
    <row r="602" spans="1:6" ht="14.4" customHeight="1" x14ac:dyDescent="0.3">
      <c r="A602" s="306"/>
      <c r="B602" s="306" t="s">
        <v>545</v>
      </c>
      <c r="C602" s="310" t="s">
        <v>27</v>
      </c>
      <c r="E602" s="308">
        <v>0</v>
      </c>
      <c r="F602" s="41">
        <f t="shared" si="17"/>
        <v>0</v>
      </c>
    </row>
    <row r="603" spans="1:6" ht="14.4" customHeight="1" x14ac:dyDescent="0.3">
      <c r="A603" s="306"/>
      <c r="B603" s="306" t="s">
        <v>546</v>
      </c>
      <c r="C603" s="310" t="s">
        <v>27</v>
      </c>
      <c r="E603" s="308">
        <v>0</v>
      </c>
      <c r="F603" s="41">
        <f t="shared" si="17"/>
        <v>0</v>
      </c>
    </row>
    <row r="604" spans="1:6" ht="14.4" customHeight="1" x14ac:dyDescent="0.3">
      <c r="A604" s="306"/>
      <c r="B604" s="306" t="s">
        <v>547</v>
      </c>
      <c r="C604" s="310" t="s">
        <v>27</v>
      </c>
      <c r="E604" s="308">
        <v>0</v>
      </c>
      <c r="F604" s="41">
        <f t="shared" si="17"/>
        <v>0</v>
      </c>
    </row>
    <row r="605" spans="1:6" ht="14.4" customHeight="1" x14ac:dyDescent="0.3">
      <c r="A605" s="306"/>
      <c r="B605" s="306" t="s">
        <v>548</v>
      </c>
      <c r="C605" s="310" t="s">
        <v>27</v>
      </c>
      <c r="E605" s="308">
        <v>0</v>
      </c>
      <c r="F605" s="41">
        <f t="shared" ref="F605:F668" si="18">E605*D605</f>
        <v>0</v>
      </c>
    </row>
    <row r="606" spans="1:6" ht="14.4" customHeight="1" x14ac:dyDescent="0.3">
      <c r="A606" s="306"/>
      <c r="B606" s="306" t="s">
        <v>549</v>
      </c>
      <c r="C606" s="310" t="s">
        <v>27</v>
      </c>
      <c r="E606" s="308">
        <v>0</v>
      </c>
      <c r="F606" s="41">
        <f t="shared" si="18"/>
        <v>0</v>
      </c>
    </row>
    <row r="607" spans="1:6" ht="14.4" customHeight="1" x14ac:dyDescent="0.3">
      <c r="A607" s="306"/>
      <c r="B607" s="306" t="s">
        <v>550</v>
      </c>
      <c r="C607" s="310" t="s">
        <v>27</v>
      </c>
      <c r="E607" s="308">
        <v>26.25</v>
      </c>
      <c r="F607" s="41">
        <f t="shared" si="18"/>
        <v>0</v>
      </c>
    </row>
    <row r="608" spans="1:6" ht="14.4" customHeight="1" x14ac:dyDescent="0.3">
      <c r="A608" s="306"/>
      <c r="B608" s="306" t="s">
        <v>551</v>
      </c>
      <c r="C608" s="310" t="s">
        <v>27</v>
      </c>
      <c r="E608" s="308">
        <v>0</v>
      </c>
      <c r="F608" s="41">
        <f t="shared" si="18"/>
        <v>0</v>
      </c>
    </row>
    <row r="609" spans="1:6" ht="14.4" customHeight="1" x14ac:dyDescent="0.3">
      <c r="A609" s="306"/>
      <c r="B609" s="306" t="s">
        <v>552</v>
      </c>
      <c r="C609" s="310" t="s">
        <v>27</v>
      </c>
      <c r="E609" s="308">
        <v>0</v>
      </c>
      <c r="F609" s="41">
        <f t="shared" si="18"/>
        <v>0</v>
      </c>
    </row>
    <row r="610" spans="1:6" ht="14.4" customHeight="1" x14ac:dyDescent="0.3">
      <c r="A610" s="306"/>
      <c r="B610" s="306" t="s">
        <v>553</v>
      </c>
      <c r="C610" s="310" t="s">
        <v>27</v>
      </c>
      <c r="E610" s="308">
        <v>0</v>
      </c>
      <c r="F610" s="41">
        <f t="shared" si="18"/>
        <v>0</v>
      </c>
    </row>
    <row r="611" spans="1:6" ht="14.4" customHeight="1" x14ac:dyDescent="0.3">
      <c r="A611" s="306"/>
      <c r="B611" s="306" t="s">
        <v>554</v>
      </c>
      <c r="C611" s="310" t="s">
        <v>27</v>
      </c>
      <c r="E611" s="308">
        <v>0</v>
      </c>
      <c r="F611" s="41">
        <f t="shared" si="18"/>
        <v>0</v>
      </c>
    </row>
    <row r="612" spans="1:6" ht="14.4" customHeight="1" x14ac:dyDescent="0.3">
      <c r="A612" s="306"/>
      <c r="B612" s="306" t="s">
        <v>555</v>
      </c>
      <c r="C612" s="310" t="s">
        <v>27</v>
      </c>
      <c r="E612" s="308">
        <v>0</v>
      </c>
      <c r="F612" s="41">
        <f t="shared" si="18"/>
        <v>0</v>
      </c>
    </row>
    <row r="613" spans="1:6" ht="14.4" customHeight="1" x14ac:dyDescent="0.3">
      <c r="A613" s="306"/>
      <c r="B613" s="306" t="s">
        <v>556</v>
      </c>
      <c r="C613" s="310" t="s">
        <v>27</v>
      </c>
      <c r="E613" s="308">
        <v>0</v>
      </c>
      <c r="F613" s="41">
        <f t="shared" si="18"/>
        <v>0</v>
      </c>
    </row>
    <row r="614" spans="1:6" ht="14.4" customHeight="1" x14ac:dyDescent="0.3">
      <c r="A614" s="306"/>
      <c r="B614" s="306" t="s">
        <v>557</v>
      </c>
      <c r="C614" s="310" t="s">
        <v>27</v>
      </c>
      <c r="E614" s="308">
        <v>0</v>
      </c>
      <c r="F614" s="41">
        <f t="shared" si="18"/>
        <v>0</v>
      </c>
    </row>
    <row r="615" spans="1:6" ht="14.4" customHeight="1" x14ac:dyDescent="0.3">
      <c r="A615" s="306"/>
      <c r="B615" s="306" t="s">
        <v>558</v>
      </c>
      <c r="C615" s="310" t="s">
        <v>27</v>
      </c>
      <c r="E615" s="308">
        <v>0</v>
      </c>
      <c r="F615" s="41">
        <f t="shared" si="18"/>
        <v>0</v>
      </c>
    </row>
    <row r="616" spans="1:6" ht="14.4" customHeight="1" x14ac:dyDescent="0.3">
      <c r="A616" s="306"/>
      <c r="B616" s="306" t="s">
        <v>559</v>
      </c>
      <c r="C616" s="310" t="s">
        <v>27</v>
      </c>
      <c r="E616" s="308">
        <v>0</v>
      </c>
      <c r="F616" s="41">
        <f t="shared" si="18"/>
        <v>0</v>
      </c>
    </row>
    <row r="617" spans="1:6" ht="14.4" customHeight="1" x14ac:dyDescent="0.3">
      <c r="A617" s="306"/>
      <c r="B617" s="306" t="s">
        <v>560</v>
      </c>
      <c r="C617" s="310" t="s">
        <v>27</v>
      </c>
      <c r="E617" s="308">
        <v>0</v>
      </c>
      <c r="F617" s="41">
        <f t="shared" si="18"/>
        <v>0</v>
      </c>
    </row>
    <row r="618" spans="1:6" ht="14.4" customHeight="1" x14ac:dyDescent="0.3">
      <c r="A618" s="306"/>
      <c r="B618" s="306" t="s">
        <v>561</v>
      </c>
      <c r="C618" s="310" t="s">
        <v>27</v>
      </c>
      <c r="E618" s="308">
        <v>0</v>
      </c>
      <c r="F618" s="41">
        <f t="shared" si="18"/>
        <v>0</v>
      </c>
    </row>
    <row r="619" spans="1:6" ht="14.4" customHeight="1" x14ac:dyDescent="0.3">
      <c r="A619" s="306"/>
      <c r="B619" s="306" t="s">
        <v>562</v>
      </c>
      <c r="C619" s="310" t="s">
        <v>27</v>
      </c>
      <c r="E619" s="308">
        <v>0</v>
      </c>
      <c r="F619" s="41">
        <f t="shared" si="18"/>
        <v>0</v>
      </c>
    </row>
    <row r="620" spans="1:6" ht="14.4" customHeight="1" x14ac:dyDescent="0.3">
      <c r="A620" s="306"/>
      <c r="B620" s="306" t="s">
        <v>563</v>
      </c>
      <c r="C620" s="310" t="s">
        <v>27</v>
      </c>
      <c r="E620" s="308">
        <v>0</v>
      </c>
      <c r="F620" s="41">
        <f t="shared" si="18"/>
        <v>0</v>
      </c>
    </row>
    <row r="621" spans="1:6" ht="14.4" customHeight="1" x14ac:dyDescent="0.3">
      <c r="A621" s="306"/>
      <c r="B621" s="306" t="s">
        <v>564</v>
      </c>
      <c r="C621" s="310" t="s">
        <v>27</v>
      </c>
      <c r="E621" s="308">
        <v>0</v>
      </c>
      <c r="F621" s="41">
        <f t="shared" si="18"/>
        <v>0</v>
      </c>
    </row>
    <row r="622" spans="1:6" ht="14.4" customHeight="1" x14ac:dyDescent="0.3">
      <c r="A622" s="306"/>
      <c r="B622" s="306" t="s">
        <v>565</v>
      </c>
      <c r="C622" s="310" t="s">
        <v>27</v>
      </c>
      <c r="E622" s="308">
        <v>0</v>
      </c>
      <c r="F622" s="41">
        <f t="shared" si="18"/>
        <v>0</v>
      </c>
    </row>
    <row r="623" spans="1:6" ht="14.4" customHeight="1" x14ac:dyDescent="0.3">
      <c r="A623" s="306"/>
      <c r="B623" s="306" t="s">
        <v>566</v>
      </c>
      <c r="C623" s="310" t="s">
        <v>27</v>
      </c>
      <c r="E623" s="308">
        <v>0</v>
      </c>
      <c r="F623" s="41">
        <f t="shared" si="18"/>
        <v>0</v>
      </c>
    </row>
    <row r="624" spans="1:6" ht="14.4" customHeight="1" x14ac:dyDescent="0.3">
      <c r="A624" s="306"/>
      <c r="B624" s="306" t="s">
        <v>567</v>
      </c>
      <c r="C624" s="310" t="s">
        <v>27</v>
      </c>
      <c r="E624" s="308">
        <v>0</v>
      </c>
      <c r="F624" s="41">
        <f t="shared" si="18"/>
        <v>0</v>
      </c>
    </row>
    <row r="625" spans="1:6" ht="14.4" customHeight="1" x14ac:dyDescent="0.3">
      <c r="A625" s="306"/>
      <c r="B625" s="306" t="s">
        <v>568</v>
      </c>
      <c r="C625" s="310" t="s">
        <v>27</v>
      </c>
      <c r="E625" s="308">
        <v>0</v>
      </c>
      <c r="F625" s="41">
        <f t="shared" si="18"/>
        <v>0</v>
      </c>
    </row>
    <row r="626" spans="1:6" ht="14.4" customHeight="1" x14ac:dyDescent="0.3">
      <c r="A626" s="306"/>
      <c r="B626" s="306" t="s">
        <v>569</v>
      </c>
      <c r="C626" s="310" t="s">
        <v>27</v>
      </c>
      <c r="E626" s="308">
        <v>0</v>
      </c>
      <c r="F626" s="41">
        <f t="shared" si="18"/>
        <v>0</v>
      </c>
    </row>
    <row r="627" spans="1:6" ht="14.4" customHeight="1" x14ac:dyDescent="0.3">
      <c r="A627" s="306"/>
      <c r="B627" s="306" t="s">
        <v>570</v>
      </c>
      <c r="C627" s="310" t="s">
        <v>27</v>
      </c>
      <c r="E627" s="308">
        <v>0</v>
      </c>
      <c r="F627" s="41">
        <f t="shared" si="18"/>
        <v>0</v>
      </c>
    </row>
    <row r="628" spans="1:6" ht="14.4" customHeight="1" x14ac:dyDescent="0.3">
      <c r="A628" s="306"/>
      <c r="B628" s="306" t="s">
        <v>571</v>
      </c>
      <c r="C628" s="310" t="s">
        <v>27</v>
      </c>
      <c r="E628" s="308">
        <v>0</v>
      </c>
      <c r="F628" s="41">
        <f t="shared" si="18"/>
        <v>0</v>
      </c>
    </row>
    <row r="629" spans="1:6" ht="14.4" customHeight="1" x14ac:dyDescent="0.3">
      <c r="A629" s="306"/>
      <c r="B629" s="306" t="s">
        <v>572</v>
      </c>
      <c r="C629" s="310" t="s">
        <v>27</v>
      </c>
      <c r="E629" s="308">
        <v>0</v>
      </c>
      <c r="F629" s="41">
        <f t="shared" si="18"/>
        <v>0</v>
      </c>
    </row>
    <row r="630" spans="1:6" ht="14.4" customHeight="1" x14ac:dyDescent="0.3">
      <c r="A630" s="306"/>
      <c r="B630" s="306" t="s">
        <v>573</v>
      </c>
      <c r="C630" s="310" t="s">
        <v>27</v>
      </c>
      <c r="E630" s="308">
        <v>0</v>
      </c>
      <c r="F630" s="41">
        <f t="shared" si="18"/>
        <v>0</v>
      </c>
    </row>
    <row r="631" spans="1:6" ht="14.4" customHeight="1" x14ac:dyDescent="0.3">
      <c r="A631" s="306"/>
      <c r="B631" s="306" t="s">
        <v>574</v>
      </c>
      <c r="C631" s="310" t="s">
        <v>27</v>
      </c>
      <c r="E631" s="308">
        <v>0</v>
      </c>
      <c r="F631" s="41">
        <f t="shared" si="18"/>
        <v>0</v>
      </c>
    </row>
    <row r="632" spans="1:6" ht="14.4" customHeight="1" x14ac:dyDescent="0.3">
      <c r="A632" s="306"/>
      <c r="B632" s="306" t="s">
        <v>575</v>
      </c>
      <c r="C632" s="310" t="s">
        <v>27</v>
      </c>
      <c r="E632" s="308">
        <v>0</v>
      </c>
      <c r="F632" s="41">
        <f t="shared" si="18"/>
        <v>0</v>
      </c>
    </row>
    <row r="633" spans="1:6" ht="14.4" customHeight="1" x14ac:dyDescent="0.3">
      <c r="A633" s="306"/>
      <c r="B633" s="306" t="s">
        <v>576</v>
      </c>
      <c r="C633" s="310" t="s">
        <v>27</v>
      </c>
      <c r="E633" s="308">
        <v>0</v>
      </c>
      <c r="F633" s="41">
        <f t="shared" si="18"/>
        <v>0</v>
      </c>
    </row>
    <row r="634" spans="1:6" ht="14.4" customHeight="1" x14ac:dyDescent="0.3">
      <c r="A634" s="306"/>
      <c r="B634" s="306"/>
      <c r="C634" s="310" t="s">
        <v>27</v>
      </c>
      <c r="E634" s="308">
        <v>0</v>
      </c>
      <c r="F634" s="41">
        <f t="shared" si="18"/>
        <v>0</v>
      </c>
    </row>
    <row r="635" spans="1:6" ht="14.4" customHeight="1" x14ac:dyDescent="0.3">
      <c r="A635" s="306"/>
      <c r="B635" s="306" t="s">
        <v>577</v>
      </c>
      <c r="C635" s="310"/>
      <c r="E635" s="308">
        <v>0</v>
      </c>
      <c r="F635" s="41">
        <f t="shared" si="18"/>
        <v>0</v>
      </c>
    </row>
    <row r="636" spans="1:6" ht="14.4" customHeight="1" x14ac:dyDescent="0.3">
      <c r="A636" s="306"/>
      <c r="B636" s="306" t="s">
        <v>579</v>
      </c>
      <c r="C636" s="310" t="s">
        <v>25</v>
      </c>
      <c r="E636" s="308">
        <v>0</v>
      </c>
      <c r="F636" s="41">
        <f t="shared" si="18"/>
        <v>0</v>
      </c>
    </row>
    <row r="637" spans="1:6" ht="14.4" customHeight="1" x14ac:dyDescent="0.3">
      <c r="A637" s="306"/>
      <c r="B637" s="306" t="s">
        <v>580</v>
      </c>
      <c r="C637" s="310" t="s">
        <v>25</v>
      </c>
      <c r="E637" s="308">
        <v>0</v>
      </c>
      <c r="F637" s="41">
        <f t="shared" si="18"/>
        <v>0</v>
      </c>
    </row>
    <row r="638" spans="1:6" ht="14.4" customHeight="1" x14ac:dyDescent="0.3">
      <c r="A638" s="306"/>
      <c r="B638" s="306" t="s">
        <v>581</v>
      </c>
      <c r="C638" s="310" t="s">
        <v>25</v>
      </c>
      <c r="E638" s="308">
        <v>0</v>
      </c>
      <c r="F638" s="41">
        <f t="shared" si="18"/>
        <v>0</v>
      </c>
    </row>
    <row r="639" spans="1:6" ht="14.4" customHeight="1" x14ac:dyDescent="0.3">
      <c r="A639" s="306"/>
      <c r="B639" s="306" t="s">
        <v>582</v>
      </c>
      <c r="C639" s="310" t="s">
        <v>27</v>
      </c>
      <c r="E639" s="308">
        <v>0</v>
      </c>
      <c r="F639" s="41">
        <f t="shared" si="18"/>
        <v>0</v>
      </c>
    </row>
    <row r="640" spans="1:6" ht="14.4" customHeight="1" x14ac:dyDescent="0.3">
      <c r="A640" s="306"/>
      <c r="B640" s="306" t="s">
        <v>583</v>
      </c>
      <c r="C640" s="310" t="s">
        <v>27</v>
      </c>
      <c r="E640" s="308">
        <v>0</v>
      </c>
      <c r="F640" s="41">
        <f t="shared" si="18"/>
        <v>0</v>
      </c>
    </row>
    <row r="641" spans="1:7" ht="14.4" customHeight="1" x14ac:dyDescent="0.3">
      <c r="A641" s="306"/>
      <c r="B641" s="306" t="s">
        <v>584</v>
      </c>
      <c r="C641" s="310" t="s">
        <v>27</v>
      </c>
      <c r="E641" s="308">
        <v>0</v>
      </c>
      <c r="F641" s="41">
        <f t="shared" si="18"/>
        <v>0</v>
      </c>
    </row>
    <row r="642" spans="1:7" ht="14.4" customHeight="1" x14ac:dyDescent="0.3">
      <c r="A642" s="306"/>
      <c r="B642" s="306" t="s">
        <v>585</v>
      </c>
      <c r="C642" s="310" t="s">
        <v>27</v>
      </c>
      <c r="E642" s="308">
        <v>0</v>
      </c>
      <c r="F642" s="41">
        <f t="shared" si="18"/>
        <v>0</v>
      </c>
    </row>
    <row r="643" spans="1:7" ht="14.4" customHeight="1" x14ac:dyDescent="0.3">
      <c r="A643" s="306"/>
      <c r="B643" s="306" t="s">
        <v>586</v>
      </c>
      <c r="C643" s="310" t="s">
        <v>27</v>
      </c>
      <c r="E643" s="308">
        <v>0</v>
      </c>
      <c r="F643" s="41">
        <f t="shared" si="18"/>
        <v>0</v>
      </c>
    </row>
    <row r="644" spans="1:7" ht="14.4" customHeight="1" x14ac:dyDescent="0.3">
      <c r="A644" s="306"/>
      <c r="B644" s="306" t="s">
        <v>589</v>
      </c>
      <c r="C644" s="310" t="s">
        <v>27</v>
      </c>
      <c r="E644" s="308">
        <v>0</v>
      </c>
      <c r="F644" s="41">
        <f t="shared" si="18"/>
        <v>0</v>
      </c>
    </row>
    <row r="645" spans="1:7" ht="14.4" customHeight="1" x14ac:dyDescent="0.3">
      <c r="A645" s="306"/>
      <c r="B645" s="306" t="s">
        <v>590</v>
      </c>
      <c r="C645" s="310" t="s">
        <v>27</v>
      </c>
      <c r="E645" s="308">
        <v>0</v>
      </c>
      <c r="F645" s="41">
        <f t="shared" si="18"/>
        <v>0</v>
      </c>
    </row>
    <row r="646" spans="1:7" ht="14.4" customHeight="1" x14ac:dyDescent="0.3">
      <c r="A646" s="306"/>
      <c r="B646" s="306" t="s">
        <v>591</v>
      </c>
      <c r="C646" s="310" t="s">
        <v>27</v>
      </c>
      <c r="E646" s="308">
        <v>0</v>
      </c>
      <c r="F646" s="41">
        <f t="shared" si="18"/>
        <v>0</v>
      </c>
    </row>
    <row r="647" spans="1:7" ht="14.4" customHeight="1" x14ac:dyDescent="0.3">
      <c r="A647" s="306"/>
      <c r="B647" s="306" t="s">
        <v>592</v>
      </c>
      <c r="C647" s="310" t="s">
        <v>27</v>
      </c>
      <c r="E647" s="308">
        <v>0</v>
      </c>
      <c r="F647" s="41">
        <f t="shared" si="18"/>
        <v>0</v>
      </c>
    </row>
    <row r="648" spans="1:7" ht="14.4" customHeight="1" x14ac:dyDescent="0.3">
      <c r="A648" s="306"/>
      <c r="B648" s="306" t="s">
        <v>593</v>
      </c>
      <c r="C648" s="310" t="s">
        <v>27</v>
      </c>
      <c r="E648" s="308">
        <v>0</v>
      </c>
      <c r="F648" s="41">
        <f t="shared" si="18"/>
        <v>0</v>
      </c>
    </row>
    <row r="649" spans="1:7" ht="14.4" customHeight="1" x14ac:dyDescent="0.3">
      <c r="A649" s="306"/>
      <c r="B649" s="306" t="s">
        <v>594</v>
      </c>
      <c r="C649" s="310" t="s">
        <v>27</v>
      </c>
      <c r="E649" s="308">
        <v>0</v>
      </c>
      <c r="F649" s="41">
        <f t="shared" si="18"/>
        <v>0</v>
      </c>
    </row>
    <row r="650" spans="1:7" ht="14.4" customHeight="1" x14ac:dyDescent="0.3">
      <c r="A650" s="306"/>
      <c r="B650" s="306" t="s">
        <v>595</v>
      </c>
      <c r="C650" s="310" t="s">
        <v>27</v>
      </c>
      <c r="E650" s="308">
        <v>0</v>
      </c>
      <c r="F650" s="41">
        <f t="shared" si="18"/>
        <v>0</v>
      </c>
    </row>
    <row r="651" spans="1:7" ht="14.4" customHeight="1" x14ac:dyDescent="0.3">
      <c r="A651" s="306"/>
      <c r="B651" s="306" t="s">
        <v>596</v>
      </c>
      <c r="C651" s="310" t="s">
        <v>27</v>
      </c>
      <c r="E651" s="308">
        <v>0</v>
      </c>
      <c r="F651" s="41">
        <f t="shared" si="18"/>
        <v>0</v>
      </c>
    </row>
    <row r="652" spans="1:7" ht="14.4" customHeight="1" x14ac:dyDescent="0.3">
      <c r="A652" s="306"/>
      <c r="B652" s="306" t="s">
        <v>597</v>
      </c>
      <c r="C652" s="310" t="s">
        <v>27</v>
      </c>
      <c r="E652" s="308">
        <v>0</v>
      </c>
      <c r="F652" s="41">
        <f t="shared" si="18"/>
        <v>0</v>
      </c>
    </row>
    <row r="653" spans="1:7" ht="14.4" customHeight="1" x14ac:dyDescent="0.3">
      <c r="A653" s="306"/>
      <c r="B653" s="306" t="s">
        <v>598</v>
      </c>
      <c r="C653" s="310" t="s">
        <v>27</v>
      </c>
      <c r="E653" s="308">
        <v>0</v>
      </c>
      <c r="F653" s="41">
        <f t="shared" si="18"/>
        <v>0</v>
      </c>
    </row>
    <row r="654" spans="1:7" ht="14.4" customHeight="1" x14ac:dyDescent="0.3">
      <c r="A654" s="306"/>
      <c r="B654" s="306" t="s">
        <v>599</v>
      </c>
      <c r="C654" s="310" t="s">
        <v>27</v>
      </c>
      <c r="E654" s="308">
        <v>0</v>
      </c>
      <c r="F654" s="41">
        <f t="shared" si="18"/>
        <v>0</v>
      </c>
    </row>
    <row r="655" spans="1:7" ht="14.4" customHeight="1" x14ac:dyDescent="0.3">
      <c r="A655" s="306"/>
      <c r="B655" s="306"/>
      <c r="C655" s="310" t="s">
        <v>27</v>
      </c>
      <c r="E655" s="308">
        <v>0</v>
      </c>
      <c r="F655" s="41">
        <f t="shared" si="18"/>
        <v>0</v>
      </c>
    </row>
    <row r="656" spans="1:7" ht="14.4" customHeight="1" x14ac:dyDescent="0.3">
      <c r="B656" s="312" t="s">
        <v>600</v>
      </c>
      <c r="C656" s="310" t="s">
        <v>27</v>
      </c>
      <c r="D656" s="40">
        <v>1</v>
      </c>
      <c r="E656" s="308">
        <v>56</v>
      </c>
      <c r="F656" s="41">
        <f t="shared" si="18"/>
        <v>56</v>
      </c>
      <c r="G656" s="308"/>
    </row>
    <row r="657" spans="2:7" ht="14.4" customHeight="1" x14ac:dyDescent="0.3">
      <c r="B657" t="s">
        <v>1171</v>
      </c>
      <c r="C657" s="426" t="s">
        <v>27</v>
      </c>
      <c r="D657" s="40">
        <v>6</v>
      </c>
      <c r="E657" s="308">
        <v>472.44</v>
      </c>
      <c r="F657" s="41">
        <f t="shared" si="18"/>
        <v>2834.64</v>
      </c>
      <c r="G657" s="308"/>
    </row>
    <row r="658" spans="2:7" ht="14.4" customHeight="1" x14ac:dyDescent="0.3">
      <c r="B658" t="s">
        <v>182</v>
      </c>
      <c r="C658" s="426" t="s">
        <v>27</v>
      </c>
      <c r="D658" s="40">
        <v>3</v>
      </c>
      <c r="E658" s="308">
        <v>679</v>
      </c>
      <c r="F658" s="41">
        <f t="shared" si="18"/>
        <v>2037</v>
      </c>
      <c r="G658" s="308"/>
    </row>
    <row r="659" spans="2:7" ht="14.4" customHeight="1" x14ac:dyDescent="0.3">
      <c r="B659" s="427" t="s">
        <v>1172</v>
      </c>
      <c r="C659" s="42" t="s">
        <v>27</v>
      </c>
      <c r="D659" s="42">
        <v>6</v>
      </c>
      <c r="E659" s="41">
        <v>47</v>
      </c>
      <c r="F659" s="41">
        <f t="shared" si="18"/>
        <v>282</v>
      </c>
      <c r="G659" s="308"/>
    </row>
    <row r="660" spans="2:7" ht="14.4" customHeight="1" x14ac:dyDescent="0.3">
      <c r="B660" t="s">
        <v>601</v>
      </c>
      <c r="C660" s="289" t="s">
        <v>27</v>
      </c>
      <c r="D660" s="40">
        <v>6</v>
      </c>
      <c r="E660" s="308">
        <v>202.94</v>
      </c>
      <c r="F660" s="41">
        <f t="shared" si="18"/>
        <v>1217.6399999999999</v>
      </c>
      <c r="G660" s="308"/>
    </row>
    <row r="661" spans="2:7" ht="14.4" customHeight="1" x14ac:dyDescent="0.3">
      <c r="B661" s="431" t="s">
        <v>1103</v>
      </c>
      <c r="C661" s="433" t="s">
        <v>27</v>
      </c>
      <c r="D661" s="379">
        <v>6</v>
      </c>
      <c r="E661" s="380">
        <v>880</v>
      </c>
      <c r="F661" s="381">
        <f t="shared" si="18"/>
        <v>5280</v>
      </c>
      <c r="G661" s="308"/>
    </row>
    <row r="662" spans="2:7" ht="14.4" customHeight="1" x14ac:dyDescent="0.3">
      <c r="B662" t="s">
        <v>602</v>
      </c>
      <c r="C662" s="289" t="s">
        <v>27</v>
      </c>
      <c r="D662" s="40">
        <v>12</v>
      </c>
      <c r="E662" s="308">
        <v>92.67</v>
      </c>
      <c r="F662" s="41">
        <f t="shared" si="18"/>
        <v>1112.04</v>
      </c>
      <c r="G662" s="308"/>
    </row>
    <row r="663" spans="2:7" ht="14.4" customHeight="1" x14ac:dyDescent="0.3">
      <c r="B663" t="s">
        <v>603</v>
      </c>
      <c r="C663" s="289" t="s">
        <v>27</v>
      </c>
      <c r="D663" s="40">
        <v>6</v>
      </c>
      <c r="E663" s="308">
        <v>24.71</v>
      </c>
      <c r="F663" s="41">
        <f t="shared" si="18"/>
        <v>148.26</v>
      </c>
      <c r="G663" s="308"/>
    </row>
    <row r="664" spans="2:7" ht="14.4" customHeight="1" x14ac:dyDescent="0.3">
      <c r="B664" t="s">
        <v>220</v>
      </c>
      <c r="C664" s="289" t="s">
        <v>27</v>
      </c>
      <c r="D664" s="40">
        <v>6</v>
      </c>
      <c r="E664" s="308">
        <v>20</v>
      </c>
      <c r="F664" s="41">
        <f t="shared" si="18"/>
        <v>120</v>
      </c>
      <c r="G664" s="308"/>
    </row>
    <row r="665" spans="2:7" ht="14.4" customHeight="1" x14ac:dyDescent="0.3">
      <c r="B665" t="s">
        <v>185</v>
      </c>
      <c r="C665" s="289" t="s">
        <v>27</v>
      </c>
      <c r="E665" s="308">
        <v>136.94</v>
      </c>
      <c r="F665" s="41">
        <f t="shared" si="18"/>
        <v>0</v>
      </c>
      <c r="G665" s="308"/>
    </row>
    <row r="666" spans="2:7" ht="14.4" customHeight="1" x14ac:dyDescent="0.3">
      <c r="B666" t="s">
        <v>254</v>
      </c>
      <c r="C666" s="289" t="s">
        <v>27</v>
      </c>
      <c r="E666" s="308">
        <v>365</v>
      </c>
      <c r="F666" s="41">
        <f t="shared" si="18"/>
        <v>0</v>
      </c>
      <c r="G666" s="308"/>
    </row>
    <row r="667" spans="2:7" ht="14.4" customHeight="1" x14ac:dyDescent="0.3">
      <c r="B667" t="s">
        <v>604</v>
      </c>
      <c r="C667" s="289" t="s">
        <v>27</v>
      </c>
      <c r="E667" s="308">
        <v>201.43</v>
      </c>
      <c r="F667" s="41">
        <f t="shared" si="18"/>
        <v>0</v>
      </c>
      <c r="G667" s="308"/>
    </row>
    <row r="668" spans="2:7" ht="14.4" customHeight="1" x14ac:dyDescent="0.3">
      <c r="B668" t="s">
        <v>256</v>
      </c>
      <c r="C668" s="289" t="s">
        <v>27</v>
      </c>
      <c r="E668" s="308">
        <v>5</v>
      </c>
      <c r="F668" s="41">
        <f t="shared" si="18"/>
        <v>0</v>
      </c>
      <c r="G668" s="308"/>
    </row>
    <row r="669" spans="2:7" ht="14.4" customHeight="1" x14ac:dyDescent="0.3">
      <c r="B669" t="s">
        <v>605</v>
      </c>
      <c r="C669" s="289" t="s">
        <v>27</v>
      </c>
      <c r="E669" s="308">
        <v>853</v>
      </c>
      <c r="F669" s="41">
        <f t="shared" ref="F669:F685" si="19">E669*D669</f>
        <v>0</v>
      </c>
      <c r="G669" s="308"/>
    </row>
    <row r="670" spans="2:7" ht="14.4" customHeight="1" x14ac:dyDescent="0.3">
      <c r="B670" t="s">
        <v>606</v>
      </c>
      <c r="C670" s="289" t="s">
        <v>27</v>
      </c>
      <c r="E670" s="308">
        <v>503</v>
      </c>
      <c r="F670" s="41">
        <f t="shared" si="19"/>
        <v>0</v>
      </c>
      <c r="G670" s="308"/>
    </row>
    <row r="671" spans="2:7" ht="14.4" customHeight="1" x14ac:dyDescent="0.3">
      <c r="B671" t="s">
        <v>607</v>
      </c>
      <c r="C671" s="289" t="s">
        <v>27</v>
      </c>
      <c r="E671" s="308">
        <v>1809.63</v>
      </c>
      <c r="F671" s="41">
        <f t="shared" si="19"/>
        <v>0</v>
      </c>
      <c r="G671" s="308"/>
    </row>
    <row r="672" spans="2:7" ht="14.4" customHeight="1" x14ac:dyDescent="0.3">
      <c r="B672" s="60" t="s">
        <v>608</v>
      </c>
      <c r="C672" s="289" t="s">
        <v>27</v>
      </c>
      <c r="E672" s="308">
        <v>1650</v>
      </c>
      <c r="F672" s="41">
        <f t="shared" si="19"/>
        <v>0</v>
      </c>
      <c r="G672" s="308"/>
    </row>
    <row r="673" spans="1:7" ht="14.4" customHeight="1" x14ac:dyDescent="0.3">
      <c r="B673" s="60" t="s">
        <v>609</v>
      </c>
      <c r="C673" s="289" t="s">
        <v>27</v>
      </c>
      <c r="E673" s="308">
        <v>160</v>
      </c>
      <c r="F673" s="41">
        <f t="shared" si="19"/>
        <v>0</v>
      </c>
      <c r="G673" s="308"/>
    </row>
    <row r="674" spans="1:7" ht="14.4" customHeight="1" x14ac:dyDescent="0.3">
      <c r="B674" s="60" t="s">
        <v>610</v>
      </c>
      <c r="C674" s="289" t="s">
        <v>27</v>
      </c>
      <c r="E674" s="308">
        <v>750</v>
      </c>
      <c r="F674" s="41">
        <f t="shared" si="19"/>
        <v>0</v>
      </c>
      <c r="G674" s="308"/>
    </row>
    <row r="675" spans="1:7" ht="14.4" customHeight="1" x14ac:dyDescent="0.3">
      <c r="B675" s="60" t="s">
        <v>611</v>
      </c>
      <c r="C675" s="289" t="s">
        <v>27</v>
      </c>
      <c r="E675" s="308">
        <v>450</v>
      </c>
      <c r="F675" s="41">
        <f t="shared" si="19"/>
        <v>0</v>
      </c>
      <c r="G675" s="308"/>
    </row>
    <row r="676" spans="1:7" ht="14.4" customHeight="1" x14ac:dyDescent="0.3">
      <c r="B676" s="60" t="s">
        <v>612</v>
      </c>
      <c r="C676" s="289" t="s">
        <v>27</v>
      </c>
      <c r="E676" s="308">
        <v>1250</v>
      </c>
      <c r="F676" s="41">
        <f t="shared" si="19"/>
        <v>0</v>
      </c>
      <c r="G676" s="308"/>
    </row>
    <row r="677" spans="1:7" ht="14.4" customHeight="1" x14ac:dyDescent="0.3">
      <c r="B677" t="s">
        <v>613</v>
      </c>
      <c r="C677" s="289" t="s">
        <v>27</v>
      </c>
      <c r="E677" s="308">
        <v>190</v>
      </c>
      <c r="F677" s="41">
        <f t="shared" si="19"/>
        <v>0</v>
      </c>
      <c r="G677" s="308"/>
    </row>
    <row r="678" spans="1:7" ht="14.4" customHeight="1" x14ac:dyDescent="0.3">
      <c r="B678" t="s">
        <v>614</v>
      </c>
      <c r="C678" s="289" t="s">
        <v>27</v>
      </c>
      <c r="E678" s="308">
        <v>412.59</v>
      </c>
      <c r="F678" s="41">
        <f t="shared" si="19"/>
        <v>0</v>
      </c>
    </row>
    <row r="679" spans="1:7" ht="14.4" customHeight="1" x14ac:dyDescent="0.3">
      <c r="B679" t="s">
        <v>1173</v>
      </c>
      <c r="C679" s="289" t="s">
        <v>27</v>
      </c>
      <c r="E679" s="308">
        <v>284.07</v>
      </c>
      <c r="F679" s="41">
        <f t="shared" si="19"/>
        <v>0</v>
      </c>
    </row>
    <row r="680" spans="1:7" ht="27" customHeight="1" x14ac:dyDescent="0.3">
      <c r="B680" s="384" t="s">
        <v>1174</v>
      </c>
      <c r="C680" s="289" t="s">
        <v>27</v>
      </c>
      <c r="E680" s="308">
        <v>502.1</v>
      </c>
      <c r="F680" s="41">
        <f t="shared" si="19"/>
        <v>0</v>
      </c>
    </row>
    <row r="681" spans="1:7" ht="14.4" customHeight="1" x14ac:dyDescent="0.3">
      <c r="B681" t="s">
        <v>1052</v>
      </c>
      <c r="C681" s="289" t="s">
        <v>27</v>
      </c>
      <c r="D681" s="40">
        <v>1</v>
      </c>
      <c r="E681" s="308">
        <v>70</v>
      </c>
      <c r="F681" s="41">
        <f t="shared" si="19"/>
        <v>70</v>
      </c>
    </row>
    <row r="682" spans="1:7" ht="14.4" customHeight="1" x14ac:dyDescent="0.3">
      <c r="B682" t="s">
        <v>615</v>
      </c>
      <c r="C682" s="289" t="s">
        <v>27</v>
      </c>
      <c r="E682" s="308">
        <v>50</v>
      </c>
      <c r="F682" s="41">
        <f t="shared" si="19"/>
        <v>0</v>
      </c>
      <c r="G682" s="308"/>
    </row>
    <row r="683" spans="1:7" ht="16.8" customHeight="1" x14ac:dyDescent="0.3">
      <c r="B683" s="313" t="s">
        <v>616</v>
      </c>
      <c r="C683" s="289" t="s">
        <v>27</v>
      </c>
      <c r="E683" s="308">
        <v>30</v>
      </c>
      <c r="F683" s="41">
        <f t="shared" si="19"/>
        <v>0</v>
      </c>
      <c r="G683" s="308"/>
    </row>
    <row r="684" spans="1:7" ht="14.4" customHeight="1" x14ac:dyDescent="0.3">
      <c r="B684" t="s">
        <v>617</v>
      </c>
      <c r="C684" s="289" t="s">
        <v>27</v>
      </c>
      <c r="E684" s="308">
        <v>1850</v>
      </c>
      <c r="F684" s="41">
        <f t="shared" si="19"/>
        <v>0</v>
      </c>
      <c r="G684" s="308"/>
    </row>
    <row r="685" spans="1:7" ht="14.4" customHeight="1" x14ac:dyDescent="0.3">
      <c r="B685" t="s">
        <v>618</v>
      </c>
      <c r="C685" s="289" t="s">
        <v>27</v>
      </c>
      <c r="E685" s="308">
        <v>1800</v>
      </c>
      <c r="F685" s="41">
        <f t="shared" si="19"/>
        <v>0</v>
      </c>
      <c r="G685" s="308"/>
    </row>
    <row r="686" spans="1:7" ht="14.4" customHeight="1" x14ac:dyDescent="0.3">
      <c r="C686" s="289"/>
      <c r="E686" s="308"/>
    </row>
    <row r="687" spans="1:7" ht="14.4" customHeight="1" x14ac:dyDescent="0.3">
      <c r="A687" s="306"/>
      <c r="B687" s="387" t="s">
        <v>619</v>
      </c>
      <c r="C687" s="310" t="s">
        <v>27</v>
      </c>
      <c r="E687" s="308">
        <v>3800</v>
      </c>
      <c r="F687" s="41">
        <f t="shared" ref="F687:F699" si="20">E687*D687</f>
        <v>0</v>
      </c>
      <c r="G687" s="308"/>
    </row>
    <row r="688" spans="1:7" ht="14.4" customHeight="1" x14ac:dyDescent="0.3">
      <c r="A688" s="306"/>
      <c r="B688" s="387" t="s">
        <v>620</v>
      </c>
      <c r="C688" s="310" t="s">
        <v>27</v>
      </c>
      <c r="E688" s="308">
        <v>371.37</v>
      </c>
      <c r="F688" s="41">
        <f t="shared" si="20"/>
        <v>0</v>
      </c>
      <c r="G688" s="308"/>
    </row>
    <row r="689" spans="1:8" ht="14.4" customHeight="1" x14ac:dyDescent="0.3">
      <c r="A689" s="306"/>
      <c r="B689" s="429" t="s">
        <v>1175</v>
      </c>
      <c r="C689" s="432" t="s">
        <v>27</v>
      </c>
      <c r="D689" s="379">
        <v>1</v>
      </c>
      <c r="E689" s="380">
        <v>5500</v>
      </c>
      <c r="F689" s="381">
        <f t="shared" si="20"/>
        <v>5500</v>
      </c>
      <c r="G689" s="308">
        <v>0.5</v>
      </c>
      <c r="H689" s="457" t="s">
        <v>1176</v>
      </c>
    </row>
    <row r="690" spans="1:8" ht="14.4" customHeight="1" x14ac:dyDescent="0.3">
      <c r="A690" s="306"/>
      <c r="B690" s="387" t="s">
        <v>621</v>
      </c>
      <c r="C690" s="386" t="s">
        <v>27</v>
      </c>
      <c r="E690" s="308">
        <f>430.67+38.37</f>
        <v>469.04</v>
      </c>
      <c r="F690" s="41">
        <f t="shared" si="20"/>
        <v>0</v>
      </c>
      <c r="G690" s="308"/>
    </row>
    <row r="691" spans="1:8" ht="14.4" customHeight="1" x14ac:dyDescent="0.3">
      <c r="A691" s="306"/>
      <c r="B691" s="387" t="s">
        <v>623</v>
      </c>
      <c r="C691" s="386" t="s">
        <v>27</v>
      </c>
      <c r="E691" s="308">
        <f>141.13+18.87+18.87+480.93</f>
        <v>659.8</v>
      </c>
      <c r="F691" s="41">
        <f t="shared" si="20"/>
        <v>0</v>
      </c>
      <c r="G691" s="308"/>
    </row>
    <row r="692" spans="1:8" ht="14.4" customHeight="1" x14ac:dyDescent="0.3">
      <c r="A692" s="306"/>
      <c r="B692" s="387" t="s">
        <v>624</v>
      </c>
      <c r="C692" s="386" t="s">
        <v>27</v>
      </c>
      <c r="E692" s="308">
        <v>587.96</v>
      </c>
      <c r="F692" s="41">
        <f t="shared" si="20"/>
        <v>0</v>
      </c>
      <c r="G692" s="308"/>
    </row>
    <row r="693" spans="1:8" ht="14.4" customHeight="1" x14ac:dyDescent="0.3">
      <c r="A693" s="306"/>
      <c r="B693" s="387" t="s">
        <v>625</v>
      </c>
      <c r="C693" s="310" t="s">
        <v>27</v>
      </c>
      <c r="E693" s="308">
        <v>641.58000000000004</v>
      </c>
      <c r="F693" s="41">
        <f t="shared" si="20"/>
        <v>0</v>
      </c>
      <c r="G693" s="308"/>
    </row>
    <row r="694" spans="1:8" ht="14.4" customHeight="1" x14ac:dyDescent="0.3">
      <c r="A694" s="306"/>
      <c r="B694" s="387" t="s">
        <v>627</v>
      </c>
      <c r="C694" s="310" t="s">
        <v>27</v>
      </c>
      <c r="E694" s="308">
        <v>50</v>
      </c>
      <c r="F694" s="41">
        <f t="shared" si="20"/>
        <v>0</v>
      </c>
      <c r="G694" s="308"/>
    </row>
    <row r="695" spans="1:8" ht="14.4" customHeight="1" x14ac:dyDescent="0.3">
      <c r="A695" s="306"/>
      <c r="B695" s="429" t="s">
        <v>1177</v>
      </c>
      <c r="C695" s="424" t="s">
        <v>27</v>
      </c>
      <c r="D695" s="379">
        <v>2</v>
      </c>
      <c r="E695" s="380">
        <v>15</v>
      </c>
      <c r="F695" s="381">
        <f t="shared" si="20"/>
        <v>30</v>
      </c>
      <c r="G695" s="308"/>
    </row>
    <row r="696" spans="1:8" ht="14.4" customHeight="1" x14ac:dyDescent="0.3">
      <c r="A696" s="306"/>
      <c r="B696" s="429" t="s">
        <v>1178</v>
      </c>
      <c r="C696" s="432" t="s">
        <v>27</v>
      </c>
      <c r="D696" s="379">
        <v>1</v>
      </c>
      <c r="E696" s="380">
        <v>12</v>
      </c>
      <c r="F696" s="381">
        <f t="shared" si="20"/>
        <v>12</v>
      </c>
      <c r="G696" s="308"/>
    </row>
    <row r="697" spans="1:8" ht="14.4" customHeight="1" x14ac:dyDescent="0.3">
      <c r="A697" s="306"/>
      <c r="B697" s="387" t="s">
        <v>628</v>
      </c>
      <c r="C697" s="386" t="s">
        <v>27</v>
      </c>
      <c r="E697" s="308">
        <v>31.71</v>
      </c>
      <c r="F697" s="41">
        <f t="shared" si="20"/>
        <v>0</v>
      </c>
      <c r="G697" s="308"/>
    </row>
    <row r="698" spans="1:8" ht="14.4" customHeight="1" x14ac:dyDescent="0.3">
      <c r="A698" s="306"/>
      <c r="B698" s="387" t="s">
        <v>629</v>
      </c>
      <c r="C698" s="310" t="s">
        <v>27</v>
      </c>
      <c r="E698" s="308">
        <v>146.09</v>
      </c>
      <c r="F698" s="41">
        <f t="shared" si="20"/>
        <v>0</v>
      </c>
      <c r="G698" s="308"/>
    </row>
    <row r="699" spans="1:8" ht="14.4" customHeight="1" x14ac:dyDescent="0.3">
      <c r="A699" s="306"/>
      <c r="B699" s="387" t="s">
        <v>630</v>
      </c>
      <c r="C699" s="310" t="s">
        <v>27</v>
      </c>
      <c r="E699" s="308">
        <v>99.49</v>
      </c>
      <c r="F699" s="41">
        <f t="shared" si="20"/>
        <v>0</v>
      </c>
      <c r="G699" s="308"/>
    </row>
    <row r="700" spans="1:8" ht="14.4" customHeight="1" x14ac:dyDescent="0.3">
      <c r="A700" s="306"/>
      <c r="B700" s="387"/>
      <c r="C700" s="310"/>
      <c r="E700" s="308"/>
      <c r="G700" s="308"/>
    </row>
    <row r="702" spans="1:8" ht="14.4" customHeight="1" x14ac:dyDescent="0.3">
      <c r="B702" s="307" t="s">
        <v>631</v>
      </c>
    </row>
    <row r="703" spans="1:8" ht="14.4" customHeight="1" x14ac:dyDescent="0.3">
      <c r="B703" s="309" t="s">
        <v>234</v>
      </c>
    </row>
    <row r="704" spans="1:8" ht="14.4" customHeight="1" x14ac:dyDescent="0.3">
      <c r="B704" s="306"/>
    </row>
    <row r="705" spans="2:8" ht="14.4" customHeight="1" x14ac:dyDescent="0.3">
      <c r="B705" s="306" t="s">
        <v>632</v>
      </c>
      <c r="C705" s="310" t="s">
        <v>25</v>
      </c>
      <c r="D705" s="40">
        <v>29.29</v>
      </c>
      <c r="E705" s="367">
        <v>14.49</v>
      </c>
      <c r="F705" s="41">
        <f t="shared" ref="F705:F736" si="21">E705*D705</f>
        <v>424.41210000000001</v>
      </c>
      <c r="G705">
        <v>30</v>
      </c>
      <c r="H705" s="457" t="s">
        <v>1179</v>
      </c>
    </row>
    <row r="706" spans="2:8" ht="14.4" customHeight="1" x14ac:dyDescent="0.3">
      <c r="B706" s="387" t="s">
        <v>633</v>
      </c>
      <c r="C706" s="310" t="s">
        <v>25</v>
      </c>
      <c r="D706" s="40">
        <v>178.24</v>
      </c>
      <c r="E706" s="367">
        <v>9.5495999999999999</v>
      </c>
      <c r="F706" s="41">
        <f t="shared" si="21"/>
        <v>1702.1207040000002</v>
      </c>
      <c r="G706">
        <v>179</v>
      </c>
      <c r="H706" s="457" t="s">
        <v>1180</v>
      </c>
    </row>
    <row r="707" spans="2:8" ht="14.4" customHeight="1" x14ac:dyDescent="0.3">
      <c r="B707" s="387" t="s">
        <v>634</v>
      </c>
      <c r="C707" s="386" t="s">
        <v>27</v>
      </c>
      <c r="E707" s="367">
        <v>9.66</v>
      </c>
      <c r="F707" s="41">
        <f t="shared" si="21"/>
        <v>0</v>
      </c>
    </row>
    <row r="708" spans="2:8" ht="14.4" customHeight="1" x14ac:dyDescent="0.3">
      <c r="B708" s="387" t="s">
        <v>635</v>
      </c>
      <c r="C708" s="386" t="s">
        <v>27</v>
      </c>
      <c r="E708" s="367">
        <v>4.7885999999999997</v>
      </c>
      <c r="F708" s="41">
        <f t="shared" si="21"/>
        <v>0</v>
      </c>
    </row>
    <row r="709" spans="2:8" ht="14.4" customHeight="1" x14ac:dyDescent="0.3">
      <c r="B709" s="387" t="s">
        <v>636</v>
      </c>
      <c r="C709" s="386" t="s">
        <v>27</v>
      </c>
      <c r="E709" s="367">
        <v>13.8</v>
      </c>
      <c r="F709" s="41">
        <f t="shared" si="21"/>
        <v>0</v>
      </c>
    </row>
    <row r="710" spans="2:8" ht="14.4" customHeight="1" x14ac:dyDescent="0.3">
      <c r="B710" s="387" t="s">
        <v>637</v>
      </c>
      <c r="C710" s="386" t="s">
        <v>27</v>
      </c>
      <c r="E710" s="367">
        <v>6.5274000000000001</v>
      </c>
      <c r="F710" s="41">
        <f t="shared" si="21"/>
        <v>0</v>
      </c>
    </row>
    <row r="711" spans="2:8" ht="14.4" customHeight="1" x14ac:dyDescent="0.3">
      <c r="B711" s="387" t="s">
        <v>638</v>
      </c>
      <c r="C711" s="386" t="s">
        <v>27</v>
      </c>
      <c r="E711" s="367">
        <v>8.5974000000000004</v>
      </c>
      <c r="F711" s="41">
        <f t="shared" si="21"/>
        <v>0</v>
      </c>
    </row>
    <row r="712" spans="2:8" ht="14.4" customHeight="1" x14ac:dyDescent="0.3">
      <c r="B712" s="387" t="s">
        <v>639</v>
      </c>
      <c r="C712" s="386" t="s">
        <v>27</v>
      </c>
      <c r="E712" s="367">
        <v>6.8999999999999986</v>
      </c>
      <c r="F712" s="41">
        <f t="shared" si="21"/>
        <v>0</v>
      </c>
    </row>
    <row r="713" spans="2:8" ht="14.4" customHeight="1" x14ac:dyDescent="0.3">
      <c r="B713" s="387" t="s">
        <v>640</v>
      </c>
      <c r="C713" s="386" t="s">
        <v>27</v>
      </c>
      <c r="E713" s="367">
        <v>6.8999999999999986</v>
      </c>
      <c r="F713" s="41">
        <f t="shared" si="21"/>
        <v>0</v>
      </c>
    </row>
    <row r="714" spans="2:8" ht="14.4" customHeight="1" x14ac:dyDescent="0.3">
      <c r="B714" s="387" t="s">
        <v>641</v>
      </c>
      <c r="C714" s="386" t="s">
        <v>27</v>
      </c>
      <c r="D714" s="40">
        <v>3</v>
      </c>
      <c r="E714" s="367">
        <v>2.5668000000000002</v>
      </c>
      <c r="F714" s="41">
        <f t="shared" si="21"/>
        <v>7.7004000000000001</v>
      </c>
    </row>
    <row r="715" spans="2:8" ht="14.4" customHeight="1" x14ac:dyDescent="0.3">
      <c r="B715" s="387" t="s">
        <v>642</v>
      </c>
      <c r="C715" s="386" t="s">
        <v>27</v>
      </c>
      <c r="D715" s="40">
        <v>6</v>
      </c>
      <c r="E715" s="367">
        <v>2.3308200000000001</v>
      </c>
      <c r="F715" s="41">
        <f t="shared" si="21"/>
        <v>13.984920000000001</v>
      </c>
    </row>
    <row r="716" spans="2:8" ht="14.4" customHeight="1" x14ac:dyDescent="0.3">
      <c r="B716" s="387" t="s">
        <v>643</v>
      </c>
      <c r="C716" s="386" t="s">
        <v>27</v>
      </c>
      <c r="E716" s="367">
        <v>5.52</v>
      </c>
      <c r="F716" s="41">
        <f t="shared" si="21"/>
        <v>0</v>
      </c>
    </row>
    <row r="717" spans="2:8" ht="14.4" customHeight="1" x14ac:dyDescent="0.3">
      <c r="B717" s="387" t="s">
        <v>645</v>
      </c>
      <c r="C717" s="386" t="s">
        <v>27</v>
      </c>
      <c r="E717" s="367">
        <v>2.6772</v>
      </c>
      <c r="F717" s="41">
        <f t="shared" si="21"/>
        <v>0</v>
      </c>
    </row>
    <row r="718" spans="2:8" ht="14.4" customHeight="1" x14ac:dyDescent="0.3">
      <c r="B718" s="306" t="s">
        <v>646</v>
      </c>
      <c r="C718" s="310" t="s">
        <v>25</v>
      </c>
      <c r="E718" s="367">
        <v>6.8999999999999986</v>
      </c>
      <c r="F718" s="41">
        <f t="shared" si="21"/>
        <v>0</v>
      </c>
    </row>
    <row r="719" spans="2:8" ht="14.4" customHeight="1" x14ac:dyDescent="0.3">
      <c r="B719" s="387" t="s">
        <v>647</v>
      </c>
      <c r="C719" s="310" t="s">
        <v>25</v>
      </c>
      <c r="E719" s="367">
        <v>5.52</v>
      </c>
      <c r="F719" s="41">
        <f t="shared" si="21"/>
        <v>0</v>
      </c>
    </row>
    <row r="720" spans="2:8" ht="14.4" customHeight="1" x14ac:dyDescent="0.3">
      <c r="B720" s="306" t="s">
        <v>648</v>
      </c>
      <c r="C720" s="310" t="s">
        <v>25</v>
      </c>
      <c r="E720" s="367">
        <v>8.7354000000000003</v>
      </c>
      <c r="F720" s="41">
        <f t="shared" si="21"/>
        <v>0</v>
      </c>
    </row>
    <row r="721" spans="2:6" ht="14.4" customHeight="1" x14ac:dyDescent="0.3">
      <c r="B721" s="387" t="s">
        <v>649</v>
      </c>
      <c r="C721" s="310" t="s">
        <v>25</v>
      </c>
      <c r="E721" s="367">
        <v>3.726</v>
      </c>
      <c r="F721" s="41">
        <f t="shared" si="21"/>
        <v>0</v>
      </c>
    </row>
    <row r="722" spans="2:6" ht="14.4" customHeight="1" x14ac:dyDescent="0.3">
      <c r="B722" s="387" t="s">
        <v>650</v>
      </c>
      <c r="C722" s="310" t="s">
        <v>25</v>
      </c>
      <c r="E722" s="367">
        <v>2.8980000000000001</v>
      </c>
      <c r="F722" s="41">
        <f t="shared" si="21"/>
        <v>0</v>
      </c>
    </row>
    <row r="723" spans="2:6" ht="14.4" customHeight="1" x14ac:dyDescent="0.3">
      <c r="B723" s="387" t="s">
        <v>651</v>
      </c>
      <c r="C723" s="386" t="s">
        <v>27</v>
      </c>
      <c r="E723" s="367">
        <v>2.3321999999999998</v>
      </c>
      <c r="F723" s="41">
        <f t="shared" si="21"/>
        <v>0</v>
      </c>
    </row>
    <row r="724" spans="2:6" ht="14.4" customHeight="1" x14ac:dyDescent="0.3">
      <c r="B724" s="387" t="s">
        <v>652</v>
      </c>
      <c r="C724" s="386" t="s">
        <v>27</v>
      </c>
      <c r="E724" s="367">
        <v>4.1399999999999997</v>
      </c>
      <c r="F724" s="41">
        <f t="shared" si="21"/>
        <v>0</v>
      </c>
    </row>
    <row r="725" spans="2:6" ht="14.4" customHeight="1" x14ac:dyDescent="0.3">
      <c r="B725" s="387" t="s">
        <v>653</v>
      </c>
      <c r="C725" s="386" t="s">
        <v>27</v>
      </c>
      <c r="E725" s="367">
        <v>0.93840000000000001</v>
      </c>
      <c r="F725" s="41">
        <f t="shared" si="21"/>
        <v>0</v>
      </c>
    </row>
    <row r="726" spans="2:6" ht="14.4" customHeight="1" x14ac:dyDescent="0.3">
      <c r="B726" s="387" t="s">
        <v>654</v>
      </c>
      <c r="C726" s="386" t="s">
        <v>27</v>
      </c>
      <c r="E726" s="367">
        <v>11.716200000000001</v>
      </c>
      <c r="F726" s="41">
        <f t="shared" si="21"/>
        <v>0</v>
      </c>
    </row>
    <row r="727" spans="2:6" ht="14.4" customHeight="1" x14ac:dyDescent="0.3">
      <c r="B727" s="306" t="s">
        <v>655</v>
      </c>
      <c r="C727" s="310" t="s">
        <v>25</v>
      </c>
      <c r="E727" s="308">
        <v>14</v>
      </c>
      <c r="F727" s="41">
        <f t="shared" si="21"/>
        <v>0</v>
      </c>
    </row>
    <row r="728" spans="2:6" ht="14.4" customHeight="1" x14ac:dyDescent="0.3">
      <c r="B728" s="387" t="s">
        <v>656</v>
      </c>
      <c r="C728" s="310" t="s">
        <v>25</v>
      </c>
      <c r="E728" s="308">
        <v>6</v>
      </c>
      <c r="F728" s="41">
        <f t="shared" si="21"/>
        <v>0</v>
      </c>
    </row>
    <row r="729" spans="2:6" ht="14.4" customHeight="1" x14ac:dyDescent="0.3">
      <c r="B729" s="306"/>
      <c r="C729" s="310"/>
      <c r="E729" s="310"/>
      <c r="F729" s="41">
        <f t="shared" si="21"/>
        <v>0</v>
      </c>
    </row>
    <row r="730" spans="2:6" ht="14.4" customHeight="1" x14ac:dyDescent="0.3">
      <c r="B730" s="306" t="s">
        <v>657</v>
      </c>
      <c r="C730" s="310" t="s">
        <v>27</v>
      </c>
      <c r="E730" s="308">
        <v>40</v>
      </c>
      <c r="F730" s="41">
        <f t="shared" si="21"/>
        <v>0</v>
      </c>
    </row>
    <row r="731" spans="2:6" ht="14.4" customHeight="1" x14ac:dyDescent="0.3">
      <c r="B731" s="387" t="s">
        <v>659</v>
      </c>
      <c r="C731" s="310" t="s">
        <v>27</v>
      </c>
      <c r="E731" s="308">
        <v>30</v>
      </c>
      <c r="F731" s="41">
        <f t="shared" si="21"/>
        <v>0</v>
      </c>
    </row>
    <row r="732" spans="2:6" ht="14.4" customHeight="1" x14ac:dyDescent="0.3">
      <c r="B732" s="306" t="s">
        <v>661</v>
      </c>
      <c r="C732" s="310" t="s">
        <v>27</v>
      </c>
      <c r="E732" s="308">
        <v>33</v>
      </c>
      <c r="F732" s="41">
        <f t="shared" si="21"/>
        <v>0</v>
      </c>
    </row>
    <row r="733" spans="2:6" ht="14.4" customHeight="1" x14ac:dyDescent="0.3">
      <c r="B733" s="387" t="s">
        <v>662</v>
      </c>
      <c r="C733" s="310" t="s">
        <v>27</v>
      </c>
      <c r="E733" s="308">
        <v>23.26</v>
      </c>
      <c r="F733" s="41">
        <f t="shared" si="21"/>
        <v>0</v>
      </c>
    </row>
    <row r="734" spans="2:6" ht="14.4" customHeight="1" x14ac:dyDescent="0.3">
      <c r="B734" s="387" t="s">
        <v>663</v>
      </c>
      <c r="C734" s="310" t="s">
        <v>27</v>
      </c>
      <c r="E734" s="308">
        <v>50</v>
      </c>
      <c r="F734" s="41">
        <f t="shared" si="21"/>
        <v>0</v>
      </c>
    </row>
    <row r="735" spans="2:6" ht="14.4" customHeight="1" x14ac:dyDescent="0.3">
      <c r="B735" s="306" t="s">
        <v>664</v>
      </c>
      <c r="C735" s="310" t="s">
        <v>27</v>
      </c>
      <c r="E735" s="308">
        <v>7.65</v>
      </c>
      <c r="F735" s="41">
        <f t="shared" si="21"/>
        <v>0</v>
      </c>
    </row>
    <row r="736" spans="2:6" ht="14.4" customHeight="1" x14ac:dyDescent="0.3">
      <c r="B736" s="306" t="s">
        <v>665</v>
      </c>
      <c r="C736" s="310" t="s">
        <v>27</v>
      </c>
      <c r="E736" s="308">
        <v>7.65</v>
      </c>
      <c r="F736" s="41">
        <f t="shared" si="21"/>
        <v>0</v>
      </c>
    </row>
    <row r="737" spans="2:6" ht="14.4" customHeight="1" x14ac:dyDescent="0.3">
      <c r="B737" s="306" t="s">
        <v>666</v>
      </c>
      <c r="C737" s="310" t="s">
        <v>27</v>
      </c>
      <c r="E737" s="308">
        <v>13.59</v>
      </c>
      <c r="F737" s="41">
        <f t="shared" ref="F737:F766" si="22">E737*D737</f>
        <v>0</v>
      </c>
    </row>
    <row r="738" spans="2:6" ht="14.4" customHeight="1" x14ac:dyDescent="0.3">
      <c r="B738" s="306" t="s">
        <v>667</v>
      </c>
      <c r="C738" s="310" t="s">
        <v>27</v>
      </c>
      <c r="E738" s="308">
        <v>0</v>
      </c>
      <c r="F738" s="41">
        <f t="shared" si="22"/>
        <v>0</v>
      </c>
    </row>
    <row r="739" spans="2:6" ht="14.4" customHeight="1" x14ac:dyDescent="0.3">
      <c r="B739" s="306" t="s">
        <v>668</v>
      </c>
      <c r="C739" s="310" t="s">
        <v>27</v>
      </c>
      <c r="E739" s="308">
        <v>75</v>
      </c>
      <c r="F739" s="41">
        <f t="shared" si="22"/>
        <v>0</v>
      </c>
    </row>
    <row r="740" spans="2:6" ht="14.4" customHeight="1" x14ac:dyDescent="0.3">
      <c r="B740" s="306"/>
      <c r="C740" s="310"/>
      <c r="E740" s="306"/>
      <c r="F740" s="41">
        <f t="shared" si="22"/>
        <v>0</v>
      </c>
    </row>
    <row r="741" spans="2:6" ht="14.4" customHeight="1" x14ac:dyDescent="0.3">
      <c r="B741" s="306" t="s">
        <v>669</v>
      </c>
      <c r="C741" s="310" t="s">
        <v>27</v>
      </c>
      <c r="E741" s="308">
        <v>2</v>
      </c>
      <c r="F741" s="41">
        <f t="shared" si="22"/>
        <v>0</v>
      </c>
    </row>
    <row r="742" spans="2:6" ht="14.4" customHeight="1" x14ac:dyDescent="0.3">
      <c r="B742" s="306" t="s">
        <v>670</v>
      </c>
      <c r="C742" s="310" t="s">
        <v>27</v>
      </c>
      <c r="E742" s="308">
        <v>1.5</v>
      </c>
      <c r="F742" s="41">
        <f t="shared" si="22"/>
        <v>0</v>
      </c>
    </row>
    <row r="743" spans="2:6" ht="14.4" customHeight="1" x14ac:dyDescent="0.3">
      <c r="B743" s="306" t="s">
        <v>369</v>
      </c>
      <c r="C743" s="310" t="s">
        <v>25</v>
      </c>
      <c r="E743" s="308">
        <f>E628</f>
        <v>0</v>
      </c>
      <c r="F743" s="41">
        <f t="shared" si="22"/>
        <v>0</v>
      </c>
    </row>
    <row r="744" spans="2:6" ht="14.4" customHeight="1" x14ac:dyDescent="0.3">
      <c r="B744" s="306"/>
      <c r="C744" s="310"/>
      <c r="E744" s="308"/>
      <c r="F744" s="41">
        <f t="shared" si="22"/>
        <v>0</v>
      </c>
    </row>
    <row r="745" spans="2:6" ht="14.4" customHeight="1" x14ac:dyDescent="0.3">
      <c r="B745" s="306" t="s">
        <v>671</v>
      </c>
      <c r="C745" s="310" t="s">
        <v>27</v>
      </c>
      <c r="E745" s="308">
        <v>26.4</v>
      </c>
      <c r="F745" s="41">
        <f t="shared" si="22"/>
        <v>0</v>
      </c>
    </row>
    <row r="746" spans="2:6" ht="14.4" customHeight="1" x14ac:dyDescent="0.3">
      <c r="B746" s="306" t="s">
        <v>672</v>
      </c>
      <c r="C746" s="310" t="s">
        <v>27</v>
      </c>
      <c r="E746" s="308">
        <v>23</v>
      </c>
      <c r="F746" s="41">
        <f t="shared" si="22"/>
        <v>0</v>
      </c>
    </row>
    <row r="747" spans="2:6" ht="14.4" customHeight="1" x14ac:dyDescent="0.3">
      <c r="B747" s="306" t="s">
        <v>673</v>
      </c>
      <c r="C747" s="310" t="s">
        <v>27</v>
      </c>
      <c r="E747" s="308">
        <v>75</v>
      </c>
      <c r="F747" s="41">
        <f t="shared" si="22"/>
        <v>0</v>
      </c>
    </row>
    <row r="748" spans="2:6" ht="14.4" customHeight="1" x14ac:dyDescent="0.3">
      <c r="B748" s="306" t="s">
        <v>674</v>
      </c>
      <c r="C748" s="310" t="s">
        <v>27</v>
      </c>
      <c r="E748" s="308">
        <v>22</v>
      </c>
      <c r="F748" s="41">
        <f t="shared" si="22"/>
        <v>0</v>
      </c>
    </row>
    <row r="749" spans="2:6" ht="14.4" customHeight="1" x14ac:dyDescent="0.3">
      <c r="B749" s="306" t="s">
        <v>675</v>
      </c>
      <c r="C749" s="310" t="s">
        <v>27</v>
      </c>
      <c r="E749" s="308">
        <v>10</v>
      </c>
      <c r="F749" s="41">
        <f t="shared" si="22"/>
        <v>0</v>
      </c>
    </row>
    <row r="750" spans="2:6" ht="14.4" customHeight="1" x14ac:dyDescent="0.3">
      <c r="B750" s="306"/>
      <c r="C750" s="310"/>
      <c r="E750" s="308"/>
      <c r="F750" s="41">
        <f t="shared" si="22"/>
        <v>0</v>
      </c>
    </row>
    <row r="751" spans="2:6" ht="14.4" customHeight="1" x14ac:dyDescent="0.3">
      <c r="B751" s="387" t="s">
        <v>676</v>
      </c>
      <c r="C751" s="310" t="s">
        <v>27</v>
      </c>
      <c r="E751" s="308">
        <v>520</v>
      </c>
      <c r="F751" s="41">
        <f t="shared" si="22"/>
        <v>0</v>
      </c>
    </row>
    <row r="752" spans="2:6" ht="14.4" customHeight="1" x14ac:dyDescent="0.3">
      <c r="B752" s="387" t="s">
        <v>677</v>
      </c>
      <c r="C752" s="310" t="s">
        <v>27</v>
      </c>
      <c r="E752" s="308">
        <v>230</v>
      </c>
      <c r="F752" s="41">
        <f t="shared" si="22"/>
        <v>0</v>
      </c>
    </row>
    <row r="753" spans="2:6" ht="14.4" customHeight="1" x14ac:dyDescent="0.3">
      <c r="B753" s="387" t="s">
        <v>678</v>
      </c>
      <c r="C753" s="310" t="s">
        <v>27</v>
      </c>
      <c r="E753" s="308">
        <v>2800</v>
      </c>
      <c r="F753" s="41">
        <f t="shared" si="22"/>
        <v>0</v>
      </c>
    </row>
    <row r="754" spans="2:6" ht="14.4" customHeight="1" x14ac:dyDescent="0.3">
      <c r="B754" s="387" t="s">
        <v>679</v>
      </c>
      <c r="C754" s="310" t="s">
        <v>27</v>
      </c>
      <c r="E754" s="308">
        <v>950</v>
      </c>
      <c r="F754" s="41">
        <f t="shared" si="22"/>
        <v>0</v>
      </c>
    </row>
    <row r="755" spans="2:6" ht="14.4" customHeight="1" x14ac:dyDescent="0.3">
      <c r="B755" s="387" t="s">
        <v>619</v>
      </c>
      <c r="C755" s="310" t="s">
        <v>27</v>
      </c>
      <c r="E755" s="308">
        <v>1250</v>
      </c>
      <c r="F755" s="41">
        <f t="shared" si="22"/>
        <v>0</v>
      </c>
    </row>
    <row r="756" spans="2:6" ht="14.4" customHeight="1" x14ac:dyDescent="0.3">
      <c r="B756" s="387" t="s">
        <v>680</v>
      </c>
      <c r="C756" s="310" t="s">
        <v>27</v>
      </c>
      <c r="E756" s="316">
        <v>200</v>
      </c>
      <c r="F756" s="41">
        <f t="shared" si="22"/>
        <v>0</v>
      </c>
    </row>
    <row r="757" spans="2:6" ht="14.4" customHeight="1" x14ac:dyDescent="0.3">
      <c r="B757" s="387" t="s">
        <v>1181</v>
      </c>
      <c r="C757" s="310" t="s">
        <v>27</v>
      </c>
      <c r="E757" s="316">
        <v>60</v>
      </c>
      <c r="F757" s="41">
        <f t="shared" si="22"/>
        <v>0</v>
      </c>
    </row>
    <row r="758" spans="2:6" ht="14.4" customHeight="1" x14ac:dyDescent="0.3">
      <c r="B758" s="387" t="s">
        <v>681</v>
      </c>
      <c r="C758" s="310" t="s">
        <v>27</v>
      </c>
      <c r="E758" s="316">
        <v>120</v>
      </c>
      <c r="F758" s="41">
        <f t="shared" si="22"/>
        <v>0</v>
      </c>
    </row>
    <row r="759" spans="2:6" ht="14.4" customHeight="1" x14ac:dyDescent="0.3">
      <c r="B759" s="387" t="s">
        <v>1182</v>
      </c>
      <c r="C759" s="310" t="s">
        <v>27</v>
      </c>
      <c r="E759" s="308">
        <v>61.33</v>
      </c>
      <c r="F759" s="41">
        <f t="shared" si="22"/>
        <v>0</v>
      </c>
    </row>
    <row r="760" spans="2:6" ht="14.4" customHeight="1" x14ac:dyDescent="0.3">
      <c r="B760" s="387" t="s">
        <v>684</v>
      </c>
      <c r="C760" s="310" t="s">
        <v>27</v>
      </c>
      <c r="E760" s="316">
        <v>100</v>
      </c>
      <c r="F760" s="41">
        <f t="shared" si="22"/>
        <v>0</v>
      </c>
    </row>
    <row r="761" spans="2:6" ht="28.8" customHeight="1" x14ac:dyDescent="0.3">
      <c r="B761" s="390" t="s">
        <v>1183</v>
      </c>
      <c r="C761" s="310" t="s">
        <v>27</v>
      </c>
      <c r="E761" s="316">
        <v>250</v>
      </c>
      <c r="F761" s="41">
        <f t="shared" si="22"/>
        <v>0</v>
      </c>
    </row>
    <row r="762" spans="2:6" ht="43.2" customHeight="1" x14ac:dyDescent="0.3">
      <c r="B762" s="390" t="s">
        <v>1184</v>
      </c>
      <c r="C762" s="310" t="s">
        <v>27</v>
      </c>
      <c r="E762" s="316">
        <v>250</v>
      </c>
      <c r="F762" s="41">
        <f t="shared" si="22"/>
        <v>0</v>
      </c>
    </row>
    <row r="763" spans="2:6" ht="14.4" customHeight="1" x14ac:dyDescent="0.3">
      <c r="B763" s="390" t="s">
        <v>687</v>
      </c>
      <c r="C763" s="310" t="s">
        <v>27</v>
      </c>
      <c r="E763" s="308">
        <v>300</v>
      </c>
      <c r="F763" s="41">
        <f t="shared" si="22"/>
        <v>0</v>
      </c>
    </row>
    <row r="764" spans="2:6" ht="14.4" customHeight="1" x14ac:dyDescent="0.3">
      <c r="B764" s="390" t="s">
        <v>688</v>
      </c>
      <c r="C764" s="310" t="s">
        <v>27</v>
      </c>
      <c r="E764" s="316">
        <v>1200</v>
      </c>
      <c r="F764" s="41">
        <f t="shared" si="22"/>
        <v>0</v>
      </c>
    </row>
    <row r="765" spans="2:6" ht="14.4" customHeight="1" x14ac:dyDescent="0.3">
      <c r="B765" s="434" t="s">
        <v>1185</v>
      </c>
      <c r="C765" s="432" t="s">
        <v>27</v>
      </c>
      <c r="D765" s="379">
        <v>1</v>
      </c>
      <c r="E765" s="380">
        <v>900</v>
      </c>
      <c r="F765" s="381">
        <f t="shared" si="22"/>
        <v>900</v>
      </c>
    </row>
    <row r="766" spans="2:6" ht="14.4" customHeight="1" x14ac:dyDescent="0.3">
      <c r="B766" s="434" t="s">
        <v>1186</v>
      </c>
      <c r="C766" s="432" t="s">
        <v>27</v>
      </c>
      <c r="D766" s="379">
        <v>2</v>
      </c>
      <c r="E766" s="380">
        <v>5250</v>
      </c>
      <c r="F766" s="381">
        <f t="shared" si="22"/>
        <v>10500</v>
      </c>
    </row>
    <row r="768" spans="2:6" ht="14.4" customHeight="1" x14ac:dyDescent="0.3">
      <c r="B768" s="307" t="s">
        <v>1077</v>
      </c>
    </row>
    <row r="769" spans="2:8" ht="14.4" customHeight="1" x14ac:dyDescent="0.3">
      <c r="B769" s="309" t="s">
        <v>234</v>
      </c>
    </row>
    <row r="771" spans="2:8" ht="12.45" customHeight="1" x14ac:dyDescent="0.25">
      <c r="B771" s="38" t="s">
        <v>1187</v>
      </c>
      <c r="C771" s="40" t="s">
        <v>25</v>
      </c>
      <c r="D771" s="40">
        <v>16.28</v>
      </c>
      <c r="E771" s="41">
        <v>17</v>
      </c>
      <c r="F771" s="381">
        <f>E771*D771</f>
        <v>276.76</v>
      </c>
      <c r="G771">
        <v>17</v>
      </c>
      <c r="H771" s="457" t="s">
        <v>1188</v>
      </c>
    </row>
    <row r="774" spans="2:8" ht="14.4" customHeight="1" x14ac:dyDescent="0.3">
      <c r="B774" s="307" t="s">
        <v>696</v>
      </c>
    </row>
    <row r="775" spans="2:8" ht="14.4" customHeight="1" x14ac:dyDescent="0.3">
      <c r="B775" s="309" t="s">
        <v>234</v>
      </c>
    </row>
    <row r="776" spans="2:8" ht="14.4" customHeight="1" x14ac:dyDescent="0.3">
      <c r="B776" s="306"/>
    </row>
    <row r="777" spans="2:8" ht="14.4" customHeight="1" x14ac:dyDescent="0.3">
      <c r="B777" s="306"/>
    </row>
    <row r="778" spans="2:8" ht="14.4" customHeight="1" x14ac:dyDescent="0.3">
      <c r="B778" s="387" t="s">
        <v>699</v>
      </c>
      <c r="C778" s="310" t="s">
        <v>25</v>
      </c>
      <c r="E778" s="367">
        <v>165.6</v>
      </c>
      <c r="F778" s="41">
        <f t="shared" ref="F778:F809" si="23">E778*D778</f>
        <v>0</v>
      </c>
    </row>
    <row r="779" spans="2:8" ht="14.4" customHeight="1" x14ac:dyDescent="0.3">
      <c r="B779" s="387" t="s">
        <v>700</v>
      </c>
      <c r="C779" s="310" t="s">
        <v>25</v>
      </c>
      <c r="E779" s="367">
        <v>89.699999999999989</v>
      </c>
      <c r="F779" s="41">
        <f t="shared" si="23"/>
        <v>0</v>
      </c>
    </row>
    <row r="780" spans="2:8" ht="14.4" customHeight="1" x14ac:dyDescent="0.3">
      <c r="B780" s="387" t="s">
        <v>701</v>
      </c>
      <c r="C780" s="310" t="s">
        <v>25</v>
      </c>
      <c r="E780" s="367">
        <v>66.239999999999995</v>
      </c>
      <c r="F780" s="41">
        <f t="shared" si="23"/>
        <v>0</v>
      </c>
    </row>
    <row r="781" spans="2:8" ht="14.4" customHeight="1" x14ac:dyDescent="0.3">
      <c r="B781" s="387" t="s">
        <v>702</v>
      </c>
      <c r="C781" s="310" t="s">
        <v>25</v>
      </c>
      <c r="E781" s="367">
        <v>0</v>
      </c>
      <c r="F781" s="41">
        <f t="shared" si="23"/>
        <v>0</v>
      </c>
    </row>
    <row r="782" spans="2:8" ht="14.4" customHeight="1" x14ac:dyDescent="0.3">
      <c r="B782" s="387" t="s">
        <v>703</v>
      </c>
      <c r="C782" s="310" t="s">
        <v>25</v>
      </c>
      <c r="E782" s="367">
        <v>85.104599999999991</v>
      </c>
      <c r="F782" s="41">
        <f t="shared" si="23"/>
        <v>0</v>
      </c>
    </row>
    <row r="783" spans="2:8" ht="14.4" customHeight="1" x14ac:dyDescent="0.3">
      <c r="B783" s="387" t="s">
        <v>704</v>
      </c>
      <c r="C783" s="310" t="s">
        <v>25</v>
      </c>
      <c r="E783" s="367">
        <v>84.179999999999993</v>
      </c>
      <c r="F783" s="41">
        <f t="shared" si="23"/>
        <v>0</v>
      </c>
    </row>
    <row r="784" spans="2:8" ht="14.4" customHeight="1" x14ac:dyDescent="0.3">
      <c r="B784" s="306" t="s">
        <v>705</v>
      </c>
      <c r="C784" s="310" t="s">
        <v>25</v>
      </c>
      <c r="E784" s="367">
        <v>68.77</v>
      </c>
      <c r="F784" s="41">
        <f t="shared" si="23"/>
        <v>0</v>
      </c>
    </row>
    <row r="785" spans="2:8" ht="14.4" customHeight="1" x14ac:dyDescent="0.3">
      <c r="B785" s="306" t="s">
        <v>706</v>
      </c>
      <c r="C785" s="310" t="s">
        <v>25</v>
      </c>
      <c r="E785" s="367">
        <v>55.2</v>
      </c>
      <c r="F785" s="41">
        <f t="shared" si="23"/>
        <v>0</v>
      </c>
    </row>
    <row r="786" spans="2:8" ht="14.4" customHeight="1" x14ac:dyDescent="0.3">
      <c r="B786" s="387" t="s">
        <v>707</v>
      </c>
      <c r="C786" s="310" t="s">
        <v>25</v>
      </c>
      <c r="D786" s="40">
        <v>6.91</v>
      </c>
      <c r="E786" s="367">
        <v>55.2</v>
      </c>
      <c r="F786" s="41">
        <f t="shared" si="23"/>
        <v>381.43200000000002</v>
      </c>
      <c r="G786">
        <v>7</v>
      </c>
      <c r="H786" s="457" t="s">
        <v>1189</v>
      </c>
    </row>
    <row r="787" spans="2:8" ht="14.4" customHeight="1" x14ac:dyDescent="0.3">
      <c r="B787" s="387" t="s">
        <v>708</v>
      </c>
      <c r="C787" s="310" t="s">
        <v>25</v>
      </c>
      <c r="E787" s="367">
        <v>42.779999999999987</v>
      </c>
      <c r="F787" s="41">
        <f t="shared" si="23"/>
        <v>0</v>
      </c>
    </row>
    <row r="788" spans="2:8" ht="14.4" customHeight="1" x14ac:dyDescent="0.3">
      <c r="B788" s="306" t="s">
        <v>709</v>
      </c>
      <c r="C788" s="310" t="s">
        <v>25</v>
      </c>
      <c r="E788" s="367">
        <v>32.659999999999997</v>
      </c>
      <c r="F788" s="41">
        <f t="shared" si="23"/>
        <v>0</v>
      </c>
    </row>
    <row r="789" spans="2:8" ht="14.4" customHeight="1" x14ac:dyDescent="0.3">
      <c r="B789" s="387" t="s">
        <v>710</v>
      </c>
      <c r="C789" s="310" t="s">
        <v>25</v>
      </c>
      <c r="E789" s="367">
        <v>19.55</v>
      </c>
      <c r="F789" s="41">
        <f t="shared" si="23"/>
        <v>0</v>
      </c>
    </row>
    <row r="790" spans="2:8" ht="14.4" customHeight="1" x14ac:dyDescent="0.3">
      <c r="B790" s="306" t="s">
        <v>711</v>
      </c>
      <c r="C790" s="310" t="s">
        <v>25</v>
      </c>
      <c r="E790" s="367">
        <v>16.100000000000001</v>
      </c>
      <c r="F790" s="41">
        <f t="shared" si="23"/>
        <v>0</v>
      </c>
    </row>
    <row r="791" spans="2:8" ht="14.4" customHeight="1" x14ac:dyDescent="0.3">
      <c r="B791" s="306" t="s">
        <v>712</v>
      </c>
      <c r="C791" s="310" t="s">
        <v>25</v>
      </c>
      <c r="E791" s="367">
        <v>19.55</v>
      </c>
      <c r="F791" s="41">
        <f t="shared" si="23"/>
        <v>0</v>
      </c>
    </row>
    <row r="792" spans="2:8" ht="14.4" customHeight="1" x14ac:dyDescent="0.3">
      <c r="B792" s="387" t="s">
        <v>711</v>
      </c>
      <c r="C792" s="386" t="s">
        <v>25</v>
      </c>
      <c r="E792" s="367">
        <v>16.559999999999999</v>
      </c>
      <c r="F792" s="41">
        <f t="shared" si="23"/>
        <v>0</v>
      </c>
    </row>
    <row r="793" spans="2:8" ht="14.4" customHeight="1" x14ac:dyDescent="0.3">
      <c r="B793" s="387" t="s">
        <v>633</v>
      </c>
      <c r="C793" s="386" t="s">
        <v>25</v>
      </c>
      <c r="E793" s="367">
        <f>(2415.3/(83*6))*1.38</f>
        <v>6.6930000000000005</v>
      </c>
      <c r="F793" s="41">
        <f t="shared" si="23"/>
        <v>0</v>
      </c>
    </row>
    <row r="794" spans="2:8" ht="14.4" customHeight="1" x14ac:dyDescent="0.3">
      <c r="B794" s="387" t="s">
        <v>713</v>
      </c>
      <c r="C794" s="386" t="s">
        <v>25</v>
      </c>
      <c r="E794" s="367">
        <v>6.8999999999999986</v>
      </c>
      <c r="F794" s="41">
        <f t="shared" si="23"/>
        <v>0</v>
      </c>
    </row>
    <row r="795" spans="2:8" ht="14.4" customHeight="1" x14ac:dyDescent="0.3">
      <c r="B795" s="387" t="s">
        <v>714</v>
      </c>
      <c r="C795" s="386" t="s">
        <v>25</v>
      </c>
      <c r="E795" s="367">
        <f>(2415.3/(83*6))*1.38</f>
        <v>6.6930000000000005</v>
      </c>
      <c r="F795" s="41">
        <f t="shared" si="23"/>
        <v>0</v>
      </c>
    </row>
    <row r="796" spans="2:8" ht="14.4" customHeight="1" x14ac:dyDescent="0.3">
      <c r="B796" s="387"/>
      <c r="C796" s="386"/>
      <c r="E796" s="367">
        <v>0</v>
      </c>
      <c r="F796" s="41">
        <f t="shared" si="23"/>
        <v>0</v>
      </c>
    </row>
    <row r="797" spans="2:8" ht="14.4" customHeight="1" x14ac:dyDescent="0.3">
      <c r="B797" s="317" t="s">
        <v>715</v>
      </c>
      <c r="C797" s="310"/>
      <c r="E797" s="367">
        <v>0</v>
      </c>
      <c r="F797" s="41">
        <f t="shared" si="23"/>
        <v>0</v>
      </c>
    </row>
    <row r="798" spans="2:8" ht="14.4" customHeight="1" x14ac:dyDescent="0.3">
      <c r="B798" s="387"/>
      <c r="C798" s="310" t="s">
        <v>27</v>
      </c>
      <c r="E798" s="367">
        <v>0</v>
      </c>
      <c r="F798" s="41">
        <f t="shared" si="23"/>
        <v>0</v>
      </c>
    </row>
    <row r="799" spans="2:8" ht="14.4" customHeight="1" x14ac:dyDescent="0.3">
      <c r="B799" t="s">
        <v>716</v>
      </c>
      <c r="C799" s="310" t="s">
        <v>27</v>
      </c>
      <c r="E799" s="367">
        <v>676.19999999999993</v>
      </c>
      <c r="F799" s="41">
        <f t="shared" si="23"/>
        <v>0</v>
      </c>
    </row>
    <row r="800" spans="2:8" ht="14.4" customHeight="1" x14ac:dyDescent="0.3">
      <c r="B800" t="s">
        <v>717</v>
      </c>
      <c r="C800" s="310" t="s">
        <v>27</v>
      </c>
      <c r="E800" s="367">
        <v>896.99999999999989</v>
      </c>
      <c r="F800" s="41">
        <f t="shared" si="23"/>
        <v>0</v>
      </c>
    </row>
    <row r="801" spans="2:6" ht="14.4" customHeight="1" x14ac:dyDescent="0.3">
      <c r="B801" t="s">
        <v>718</v>
      </c>
      <c r="C801" s="310" t="s">
        <v>27</v>
      </c>
      <c r="E801" s="367">
        <v>1518</v>
      </c>
      <c r="F801" s="41">
        <f t="shared" si="23"/>
        <v>0</v>
      </c>
    </row>
    <row r="802" spans="2:6" ht="14.4" customHeight="1" x14ac:dyDescent="0.3">
      <c r="B802" t="s">
        <v>719</v>
      </c>
      <c r="C802" s="310" t="s">
        <v>27</v>
      </c>
      <c r="E802" s="367">
        <v>634.79999999999995</v>
      </c>
      <c r="F802" s="41">
        <f t="shared" si="23"/>
        <v>0</v>
      </c>
    </row>
    <row r="803" spans="2:6" ht="14.4" customHeight="1" x14ac:dyDescent="0.3">
      <c r="B803" t="s">
        <v>720</v>
      </c>
      <c r="C803" s="310" t="s">
        <v>27</v>
      </c>
      <c r="E803" s="367">
        <v>800.4</v>
      </c>
      <c r="F803" s="41">
        <f t="shared" si="23"/>
        <v>0</v>
      </c>
    </row>
    <row r="804" spans="2:6" ht="14.4" customHeight="1" x14ac:dyDescent="0.3">
      <c r="B804" t="s">
        <v>721</v>
      </c>
      <c r="C804" s="310" t="s">
        <v>27</v>
      </c>
      <c r="E804" s="367">
        <v>441.6</v>
      </c>
      <c r="F804" s="41">
        <f t="shared" si="23"/>
        <v>0</v>
      </c>
    </row>
    <row r="805" spans="2:6" ht="14.4" customHeight="1" x14ac:dyDescent="0.3">
      <c r="B805" s="387" t="s">
        <v>722</v>
      </c>
      <c r="C805" s="310" t="s">
        <v>27</v>
      </c>
      <c r="E805" s="367">
        <v>579.59999999999991</v>
      </c>
      <c r="F805" s="41">
        <f t="shared" si="23"/>
        <v>0</v>
      </c>
    </row>
    <row r="806" spans="2:6" ht="14.4" customHeight="1" x14ac:dyDescent="0.3">
      <c r="B806" s="387" t="s">
        <v>723</v>
      </c>
      <c r="C806" s="310" t="s">
        <v>27</v>
      </c>
      <c r="E806" s="367">
        <v>776.09819999999991</v>
      </c>
      <c r="F806" s="41">
        <f t="shared" si="23"/>
        <v>0</v>
      </c>
    </row>
    <row r="807" spans="2:6" ht="14.4" customHeight="1" x14ac:dyDescent="0.3">
      <c r="B807" s="387" t="s">
        <v>724</v>
      </c>
      <c r="C807" s="310" t="s">
        <v>27</v>
      </c>
      <c r="E807" s="367">
        <v>777.4781999999999</v>
      </c>
      <c r="F807" s="41">
        <f t="shared" si="23"/>
        <v>0</v>
      </c>
    </row>
    <row r="808" spans="2:6" ht="14.4" customHeight="1" x14ac:dyDescent="0.3">
      <c r="B808" s="387" t="s">
        <v>725</v>
      </c>
      <c r="C808" s="310" t="s">
        <v>27</v>
      </c>
      <c r="E808" s="367">
        <v>524.4</v>
      </c>
      <c r="F808" s="41">
        <f t="shared" si="23"/>
        <v>0</v>
      </c>
    </row>
    <row r="809" spans="2:6" ht="14.4" customHeight="1" x14ac:dyDescent="0.3">
      <c r="B809" s="387" t="s">
        <v>726</v>
      </c>
      <c r="C809" s="310" t="s">
        <v>27</v>
      </c>
      <c r="E809" s="367">
        <v>496.8</v>
      </c>
      <c r="F809" s="41">
        <f t="shared" si="23"/>
        <v>0</v>
      </c>
    </row>
    <row r="810" spans="2:6" ht="14.4" customHeight="1" x14ac:dyDescent="0.3">
      <c r="B810" s="387" t="s">
        <v>727</v>
      </c>
      <c r="C810" s="310" t="s">
        <v>27</v>
      </c>
      <c r="E810" s="367">
        <v>745.19999999999993</v>
      </c>
      <c r="F810" s="41">
        <f t="shared" ref="F810:F841" si="24">E810*D810</f>
        <v>0</v>
      </c>
    </row>
    <row r="811" spans="2:6" ht="14.4" customHeight="1" x14ac:dyDescent="0.3">
      <c r="B811" s="387" t="s">
        <v>728</v>
      </c>
      <c r="C811" s="310" t="s">
        <v>27</v>
      </c>
      <c r="E811" s="367">
        <v>621</v>
      </c>
      <c r="F811" s="41">
        <f t="shared" si="24"/>
        <v>0</v>
      </c>
    </row>
    <row r="812" spans="2:6" ht="14.4" customHeight="1" x14ac:dyDescent="0.3">
      <c r="B812" s="387" t="s">
        <v>729</v>
      </c>
      <c r="C812" s="310" t="s">
        <v>27</v>
      </c>
      <c r="E812" s="367">
        <v>496.8</v>
      </c>
      <c r="F812" s="41">
        <f t="shared" si="24"/>
        <v>0</v>
      </c>
    </row>
    <row r="813" spans="2:6" ht="14.4" customHeight="1" x14ac:dyDescent="0.3">
      <c r="B813" s="387" t="s">
        <v>730</v>
      </c>
      <c r="C813" s="310" t="s">
        <v>27</v>
      </c>
      <c r="E813" s="367">
        <v>441.6</v>
      </c>
      <c r="F813" s="41">
        <f t="shared" si="24"/>
        <v>0</v>
      </c>
    </row>
    <row r="814" spans="2:6" ht="14.4" customHeight="1" x14ac:dyDescent="0.3">
      <c r="B814" s="387" t="s">
        <v>731</v>
      </c>
      <c r="C814" s="310" t="s">
        <v>27</v>
      </c>
      <c r="E814" s="367">
        <v>262.2</v>
      </c>
      <c r="F814" s="41">
        <f t="shared" si="24"/>
        <v>0</v>
      </c>
    </row>
    <row r="815" spans="2:6" ht="14.4" customHeight="1" x14ac:dyDescent="0.3">
      <c r="B815" s="387" t="s">
        <v>732</v>
      </c>
      <c r="C815" s="310" t="s">
        <v>27</v>
      </c>
      <c r="E815" s="367">
        <v>345</v>
      </c>
      <c r="F815" s="41">
        <f t="shared" si="24"/>
        <v>0</v>
      </c>
    </row>
    <row r="816" spans="2:6" ht="14.4" customHeight="1" x14ac:dyDescent="0.3">
      <c r="B816" s="387" t="s">
        <v>733</v>
      </c>
      <c r="C816" s="310" t="s">
        <v>27</v>
      </c>
      <c r="E816" s="367">
        <v>262.2</v>
      </c>
      <c r="F816" s="41">
        <f t="shared" si="24"/>
        <v>0</v>
      </c>
    </row>
    <row r="817" spans="2:6" ht="14.4" customHeight="1" x14ac:dyDescent="0.3">
      <c r="B817" s="387" t="s">
        <v>734</v>
      </c>
      <c r="C817" s="310" t="s">
        <v>27</v>
      </c>
      <c r="E817" s="367">
        <v>455.4</v>
      </c>
      <c r="F817" s="41">
        <f t="shared" si="24"/>
        <v>0</v>
      </c>
    </row>
    <row r="818" spans="2:6" ht="14.4" customHeight="1" x14ac:dyDescent="0.3">
      <c r="B818" s="387" t="s">
        <v>735</v>
      </c>
      <c r="C818" s="310" t="s">
        <v>27</v>
      </c>
      <c r="E818" s="367">
        <v>117.645</v>
      </c>
      <c r="F818" s="41">
        <f t="shared" si="24"/>
        <v>0</v>
      </c>
    </row>
    <row r="819" spans="2:6" ht="14.4" customHeight="1" x14ac:dyDescent="0.3">
      <c r="B819" s="387" t="s">
        <v>736</v>
      </c>
      <c r="C819" s="310" t="s">
        <v>27</v>
      </c>
      <c r="E819" s="367">
        <v>289.8</v>
      </c>
      <c r="F819" s="41">
        <f t="shared" si="24"/>
        <v>0</v>
      </c>
    </row>
    <row r="820" spans="2:6" ht="14.4" customHeight="1" x14ac:dyDescent="0.3">
      <c r="B820" s="387" t="s">
        <v>737</v>
      </c>
      <c r="C820" s="310" t="s">
        <v>27</v>
      </c>
      <c r="D820" s="40">
        <v>10</v>
      </c>
      <c r="E820" s="367">
        <v>85.559999999999988</v>
      </c>
      <c r="F820" s="41">
        <f t="shared" si="24"/>
        <v>855.59999999999991</v>
      </c>
    </row>
    <row r="821" spans="2:6" ht="14.4" customHeight="1" x14ac:dyDescent="0.3">
      <c r="B821" s="387" t="s">
        <v>738</v>
      </c>
      <c r="C821" s="310" t="s">
        <v>27</v>
      </c>
      <c r="E821" s="367">
        <v>84.179999999999993</v>
      </c>
      <c r="F821" s="41">
        <f t="shared" si="24"/>
        <v>0</v>
      </c>
    </row>
    <row r="822" spans="2:6" ht="14.4" customHeight="1" x14ac:dyDescent="0.3">
      <c r="B822" s="387" t="s">
        <v>739</v>
      </c>
      <c r="C822" s="386" t="s">
        <v>27</v>
      </c>
      <c r="E822" s="367">
        <v>62.099999999999987</v>
      </c>
      <c r="F822" s="41">
        <f t="shared" si="24"/>
        <v>0</v>
      </c>
    </row>
    <row r="823" spans="2:6" ht="14.4" customHeight="1" x14ac:dyDescent="0.3">
      <c r="B823" s="387" t="s">
        <v>740</v>
      </c>
      <c r="C823" s="310" t="s">
        <v>27</v>
      </c>
      <c r="E823" s="367">
        <v>24.84</v>
      </c>
      <c r="F823" s="41">
        <f t="shared" si="24"/>
        <v>0</v>
      </c>
    </row>
    <row r="824" spans="2:6" ht="14.4" customHeight="1" x14ac:dyDescent="0.3">
      <c r="B824" s="387" t="s">
        <v>741</v>
      </c>
      <c r="C824" s="310" t="s">
        <v>27</v>
      </c>
      <c r="E824" s="367">
        <v>22.08</v>
      </c>
      <c r="F824" s="41">
        <f t="shared" si="24"/>
        <v>0</v>
      </c>
    </row>
    <row r="825" spans="2:6" ht="14.4" customHeight="1" x14ac:dyDescent="0.3">
      <c r="B825" s="387" t="s">
        <v>742</v>
      </c>
      <c r="C825" s="310" t="s">
        <v>27</v>
      </c>
      <c r="E825" s="367">
        <v>16.559999999999999</v>
      </c>
      <c r="F825" s="41">
        <f t="shared" si="24"/>
        <v>0</v>
      </c>
    </row>
    <row r="826" spans="2:6" ht="14.4" customHeight="1" x14ac:dyDescent="0.3">
      <c r="B826" s="387" t="s">
        <v>743</v>
      </c>
      <c r="C826" s="386" t="s">
        <v>27</v>
      </c>
      <c r="E826" s="367">
        <v>22.08</v>
      </c>
      <c r="F826" s="41">
        <f t="shared" si="24"/>
        <v>0</v>
      </c>
    </row>
    <row r="827" spans="2:6" ht="14.4" customHeight="1" x14ac:dyDescent="0.3">
      <c r="B827" s="387" t="s">
        <v>744</v>
      </c>
      <c r="C827" s="386" t="s">
        <v>27</v>
      </c>
      <c r="E827" s="367">
        <v>22.08</v>
      </c>
      <c r="F827" s="41">
        <f t="shared" si="24"/>
        <v>0</v>
      </c>
    </row>
    <row r="828" spans="2:6" ht="14.4" customHeight="1" x14ac:dyDescent="0.3">
      <c r="B828" s="387" t="s">
        <v>635</v>
      </c>
      <c r="C828" s="386" t="s">
        <v>27</v>
      </c>
      <c r="E828" s="367">
        <v>6.4859999999999998</v>
      </c>
      <c r="F828" s="41">
        <f t="shared" si="24"/>
        <v>0</v>
      </c>
    </row>
    <row r="829" spans="2:6" ht="14.4" customHeight="1" x14ac:dyDescent="0.3">
      <c r="B829" s="387" t="s">
        <v>745</v>
      </c>
      <c r="C829" s="386" t="s">
        <v>27</v>
      </c>
      <c r="E829" s="367">
        <v>22.08</v>
      </c>
      <c r="F829" s="41">
        <f t="shared" si="24"/>
        <v>0</v>
      </c>
    </row>
    <row r="830" spans="2:6" ht="14.4" customHeight="1" x14ac:dyDescent="0.3">
      <c r="B830" s="387" t="s">
        <v>746</v>
      </c>
      <c r="C830" s="386" t="s">
        <v>27</v>
      </c>
      <c r="E830" s="367">
        <v>22.08</v>
      </c>
      <c r="F830" s="41">
        <f t="shared" si="24"/>
        <v>0</v>
      </c>
    </row>
    <row r="831" spans="2:6" ht="14.4" customHeight="1" x14ac:dyDescent="0.3">
      <c r="B831" s="387" t="s">
        <v>641</v>
      </c>
      <c r="C831" s="386" t="s">
        <v>27</v>
      </c>
      <c r="E831" s="367">
        <v>16.559999999999999</v>
      </c>
      <c r="F831" s="41">
        <f t="shared" si="24"/>
        <v>0</v>
      </c>
    </row>
    <row r="832" spans="2:6" ht="14.4" customHeight="1" x14ac:dyDescent="0.3">
      <c r="B832" s="387" t="s">
        <v>642</v>
      </c>
      <c r="C832" s="386" t="s">
        <v>27</v>
      </c>
      <c r="E832" s="367">
        <v>16.559999999999999</v>
      </c>
      <c r="F832" s="41">
        <f t="shared" si="24"/>
        <v>0</v>
      </c>
    </row>
    <row r="833" spans="2:6" ht="14.4" customHeight="1" x14ac:dyDescent="0.3">
      <c r="B833" s="387" t="s">
        <v>747</v>
      </c>
      <c r="C833" s="386" t="s">
        <v>27</v>
      </c>
      <c r="E833" s="367">
        <v>19.32</v>
      </c>
      <c r="F833" s="41">
        <f t="shared" si="24"/>
        <v>0</v>
      </c>
    </row>
    <row r="834" spans="2:6" ht="14.4" customHeight="1" x14ac:dyDescent="0.3">
      <c r="B834" s="387" t="s">
        <v>748</v>
      </c>
      <c r="C834" s="386" t="s">
        <v>27</v>
      </c>
      <c r="E834" s="367">
        <v>0.89699999999999991</v>
      </c>
      <c r="F834" s="41">
        <f t="shared" si="24"/>
        <v>0</v>
      </c>
    </row>
    <row r="835" spans="2:6" ht="14.4" customHeight="1" x14ac:dyDescent="0.3">
      <c r="B835" s="387" t="s">
        <v>749</v>
      </c>
      <c r="C835" s="386" t="s">
        <v>27</v>
      </c>
      <c r="E835" s="367">
        <v>0.89699999999999991</v>
      </c>
      <c r="F835" s="41">
        <f t="shared" si="24"/>
        <v>0</v>
      </c>
    </row>
    <row r="836" spans="2:6" ht="14.4" customHeight="1" x14ac:dyDescent="0.3">
      <c r="B836" s="387"/>
      <c r="C836" s="386"/>
      <c r="E836" s="367">
        <v>0</v>
      </c>
      <c r="F836" s="41">
        <f t="shared" si="24"/>
        <v>0</v>
      </c>
    </row>
    <row r="837" spans="2:6" ht="14.4" customHeight="1" x14ac:dyDescent="0.3">
      <c r="B837" s="387"/>
      <c r="C837" s="386"/>
      <c r="E837" s="367">
        <v>0</v>
      </c>
      <c r="F837" s="41">
        <f t="shared" si="24"/>
        <v>0</v>
      </c>
    </row>
    <row r="838" spans="2:6" ht="14.4" customHeight="1" x14ac:dyDescent="0.3">
      <c r="B838" s="306" t="s">
        <v>750</v>
      </c>
      <c r="C838" s="310" t="s">
        <v>27</v>
      </c>
      <c r="E838" s="367">
        <v>2.6219999999999999</v>
      </c>
      <c r="F838" s="41">
        <f t="shared" si="24"/>
        <v>0</v>
      </c>
    </row>
    <row r="839" spans="2:6" ht="14.4" customHeight="1" x14ac:dyDescent="0.3">
      <c r="B839" s="306" t="s">
        <v>369</v>
      </c>
      <c r="C839" s="310" t="s">
        <v>25</v>
      </c>
      <c r="E839" s="367">
        <v>2.76</v>
      </c>
      <c r="F839" s="41">
        <f t="shared" si="24"/>
        <v>0</v>
      </c>
    </row>
    <row r="840" spans="2:6" ht="14.4" customHeight="1" x14ac:dyDescent="0.3">
      <c r="B840" s="306" t="s">
        <v>671</v>
      </c>
      <c r="C840" s="310" t="s">
        <v>27</v>
      </c>
      <c r="E840" s="367">
        <v>36.432000000000002</v>
      </c>
      <c r="F840" s="41">
        <f t="shared" si="24"/>
        <v>0</v>
      </c>
    </row>
    <row r="841" spans="2:6" ht="14.4" customHeight="1" x14ac:dyDescent="0.3">
      <c r="B841" s="306" t="s">
        <v>672</v>
      </c>
      <c r="C841" s="310" t="s">
        <v>27</v>
      </c>
      <c r="E841" s="367">
        <v>31.74</v>
      </c>
      <c r="F841" s="41">
        <f t="shared" si="24"/>
        <v>0</v>
      </c>
    </row>
    <row r="842" spans="2:6" ht="14.4" customHeight="1" x14ac:dyDescent="0.3">
      <c r="B842" s="306"/>
      <c r="C842" s="310"/>
      <c r="E842" s="367">
        <v>0</v>
      </c>
      <c r="F842" s="41">
        <f t="shared" ref="F842:F856" si="25">E842*D842</f>
        <v>0</v>
      </c>
    </row>
    <row r="843" spans="2:6" ht="14.4" customHeight="1" x14ac:dyDescent="0.3">
      <c r="B843" s="391" t="s">
        <v>751</v>
      </c>
      <c r="C843" s="310"/>
      <c r="E843" s="367">
        <v>0</v>
      </c>
      <c r="F843" s="41">
        <f t="shared" si="25"/>
        <v>0</v>
      </c>
    </row>
    <row r="844" spans="2:6" ht="14.4" customHeight="1" x14ac:dyDescent="0.3">
      <c r="B844" s="306"/>
      <c r="C844" s="310"/>
      <c r="E844" s="367">
        <v>0</v>
      </c>
      <c r="F844" s="41">
        <f t="shared" si="25"/>
        <v>0</v>
      </c>
    </row>
    <row r="845" spans="2:6" ht="14.4" customHeight="1" x14ac:dyDescent="0.3">
      <c r="B845" s="387" t="s">
        <v>752</v>
      </c>
      <c r="C845" s="310" t="s">
        <v>27</v>
      </c>
      <c r="E845" s="367">
        <v>362.13959999999997</v>
      </c>
      <c r="F845" s="41">
        <f t="shared" si="25"/>
        <v>0</v>
      </c>
    </row>
    <row r="846" spans="2:6" ht="14.4" customHeight="1" x14ac:dyDescent="0.3">
      <c r="B846" s="387" t="s">
        <v>753</v>
      </c>
      <c r="C846" s="310" t="s">
        <v>27</v>
      </c>
      <c r="E846" s="367">
        <v>827.99999999999989</v>
      </c>
      <c r="F846" s="41">
        <f t="shared" si="25"/>
        <v>0</v>
      </c>
    </row>
    <row r="847" spans="2:6" ht="14.4" customHeight="1" x14ac:dyDescent="0.3">
      <c r="B847" s="387" t="s">
        <v>754</v>
      </c>
      <c r="C847" s="310" t="s">
        <v>27</v>
      </c>
      <c r="E847" s="367">
        <v>552</v>
      </c>
      <c r="F847" s="41">
        <f t="shared" si="25"/>
        <v>0</v>
      </c>
    </row>
    <row r="848" spans="2:6" ht="14.4" customHeight="1" x14ac:dyDescent="0.3">
      <c r="B848" s="387"/>
      <c r="C848" s="310"/>
      <c r="E848" s="367">
        <v>0</v>
      </c>
      <c r="F848" s="41">
        <f t="shared" si="25"/>
        <v>0</v>
      </c>
    </row>
    <row r="849" spans="2:6" ht="14.4" customHeight="1" x14ac:dyDescent="0.3">
      <c r="B849" s="387" t="s">
        <v>755</v>
      </c>
      <c r="C849" s="310" t="s">
        <v>27</v>
      </c>
      <c r="E849" s="367">
        <v>690</v>
      </c>
      <c r="F849" s="41">
        <f t="shared" si="25"/>
        <v>0</v>
      </c>
    </row>
    <row r="850" spans="2:6" ht="14.4" customHeight="1" x14ac:dyDescent="0.3">
      <c r="B850" s="387" t="s">
        <v>756</v>
      </c>
      <c r="C850" s="310" t="s">
        <v>27</v>
      </c>
      <c r="E850" s="367">
        <v>413.99999999999989</v>
      </c>
      <c r="F850" s="41">
        <f t="shared" si="25"/>
        <v>0</v>
      </c>
    </row>
    <row r="851" spans="2:6" ht="14.4" customHeight="1" x14ac:dyDescent="0.3">
      <c r="B851" s="387" t="s">
        <v>757</v>
      </c>
      <c r="C851" s="310" t="s">
        <v>27</v>
      </c>
      <c r="E851" s="367">
        <v>413.99999999999989</v>
      </c>
      <c r="F851" s="41">
        <f t="shared" si="25"/>
        <v>0</v>
      </c>
    </row>
    <row r="852" spans="2:6" ht="14.4" customHeight="1" x14ac:dyDescent="0.3">
      <c r="B852" s="387" t="s">
        <v>756</v>
      </c>
      <c r="C852" s="310" t="s">
        <v>27</v>
      </c>
      <c r="E852" s="367">
        <v>413.99999999999989</v>
      </c>
      <c r="F852" s="41">
        <f t="shared" si="25"/>
        <v>0</v>
      </c>
    </row>
    <row r="853" spans="2:6" ht="14.4" customHeight="1" x14ac:dyDescent="0.3">
      <c r="B853" s="387"/>
      <c r="C853" s="310" t="s">
        <v>27</v>
      </c>
      <c r="E853" s="367">
        <v>0</v>
      </c>
      <c r="F853" s="41">
        <f t="shared" si="25"/>
        <v>0</v>
      </c>
    </row>
    <row r="854" spans="2:6" ht="14.4" customHeight="1" x14ac:dyDescent="0.3">
      <c r="B854" s="387" t="s">
        <v>758</v>
      </c>
      <c r="C854" s="310" t="s">
        <v>27</v>
      </c>
      <c r="E854" s="367">
        <v>20.7</v>
      </c>
      <c r="F854" s="41">
        <f t="shared" si="25"/>
        <v>0</v>
      </c>
    </row>
    <row r="855" spans="2:6" ht="14.4" customHeight="1" x14ac:dyDescent="0.3">
      <c r="B855" s="387" t="s">
        <v>759</v>
      </c>
      <c r="C855" s="386" t="s">
        <v>27</v>
      </c>
      <c r="E855" s="367">
        <v>110.4</v>
      </c>
      <c r="F855" s="41">
        <f t="shared" si="25"/>
        <v>0</v>
      </c>
    </row>
    <row r="856" spans="2:6" ht="14.4" customHeight="1" x14ac:dyDescent="0.3">
      <c r="B856" s="387" t="s">
        <v>760</v>
      </c>
      <c r="C856" s="386" t="s">
        <v>27</v>
      </c>
      <c r="E856" s="308">
        <v>180</v>
      </c>
      <c r="F856" s="41">
        <f t="shared" si="25"/>
        <v>0</v>
      </c>
    </row>
    <row r="859" spans="2:6" ht="14.4" customHeight="1" x14ac:dyDescent="0.3">
      <c r="B859" s="307" t="s">
        <v>761</v>
      </c>
    </row>
    <row r="861" spans="2:6" ht="14.4" customHeight="1" x14ac:dyDescent="0.3">
      <c r="B861" t="s">
        <v>765</v>
      </c>
      <c r="C861" s="386" t="s">
        <v>27</v>
      </c>
      <c r="E861" s="308">
        <v>180</v>
      </c>
      <c r="F861" s="41">
        <f>E861*D861</f>
        <v>0</v>
      </c>
    </row>
    <row r="862" spans="2:6" ht="14.4" customHeight="1" x14ac:dyDescent="0.3">
      <c r="B862" t="s">
        <v>765</v>
      </c>
      <c r="C862" s="386" t="s">
        <v>27</v>
      </c>
      <c r="E862" s="308">
        <v>0</v>
      </c>
      <c r="F862" s="41">
        <f>E862*D862</f>
        <v>0</v>
      </c>
    </row>
    <row r="866" spans="2:11" x14ac:dyDescent="0.2">
      <c r="C866" s="487" t="s">
        <v>770</v>
      </c>
      <c r="D866" s="486"/>
      <c r="E866" s="488"/>
    </row>
    <row r="867" spans="2:11" x14ac:dyDescent="0.2">
      <c r="C867" s="486"/>
      <c r="D867" s="486"/>
      <c r="E867" s="488"/>
      <c r="F867" s="41">
        <f>SUM(F15:F866)</f>
        <v>379930.76559938712</v>
      </c>
    </row>
    <row r="868" spans="2:11" x14ac:dyDescent="0.2">
      <c r="C868" s="486"/>
      <c r="D868" s="486"/>
      <c r="E868" s="488"/>
    </row>
    <row r="870" spans="2:11" x14ac:dyDescent="0.2">
      <c r="E870" s="374" t="s">
        <v>771</v>
      </c>
      <c r="F870" s="375">
        <v>1.18</v>
      </c>
    </row>
    <row r="871" spans="2:11" x14ac:dyDescent="0.2">
      <c r="E871" s="435" t="s">
        <v>772</v>
      </c>
      <c r="F871" s="381">
        <v>5000</v>
      </c>
    </row>
    <row r="873" spans="2:11" x14ac:dyDescent="0.2">
      <c r="C873" s="487" t="s">
        <v>773</v>
      </c>
      <c r="D873" s="486"/>
      <c r="E873" s="488"/>
    </row>
    <row r="874" spans="2:11" x14ac:dyDescent="0.2">
      <c r="C874" s="486"/>
      <c r="D874" s="486"/>
      <c r="E874" s="488"/>
      <c r="F874" s="41">
        <f>F867*F870+F871</f>
        <v>453318.30340727675</v>
      </c>
    </row>
    <row r="875" spans="2:11" x14ac:dyDescent="0.2">
      <c r="C875" s="486"/>
      <c r="D875" s="486"/>
      <c r="E875" s="488"/>
    </row>
    <row r="879" spans="2:11" ht="10.8" customHeight="1" thickBot="1" x14ac:dyDescent="0.25"/>
    <row r="880" spans="2:11" s="114" customFormat="1" ht="15" customHeight="1" thickBot="1" x14ac:dyDescent="0.35">
      <c r="B880" s="167" t="s">
        <v>774</v>
      </c>
      <c r="C880" s="115"/>
      <c r="D880" s="116"/>
      <c r="E880" s="119"/>
      <c r="F880" s="119"/>
      <c r="G880" s="119"/>
      <c r="H880" s="118"/>
      <c r="K880" s="190"/>
    </row>
    <row r="881" spans="2:12" s="114" customFormat="1" ht="14.4" customHeight="1" x14ac:dyDescent="0.3">
      <c r="B881" s="120"/>
      <c r="C881" s="187" t="s">
        <v>775</v>
      </c>
      <c r="D881" s="187" t="s">
        <v>776</v>
      </c>
      <c r="E881" s="188"/>
      <c r="F881" s="188"/>
      <c r="G881" s="119"/>
      <c r="H881" s="118"/>
      <c r="K881" s="190"/>
    </row>
    <row r="882" spans="2:12" s="114" customFormat="1" ht="14.4" customHeight="1" x14ac:dyDescent="0.3">
      <c r="B882" s="392" t="s">
        <v>777</v>
      </c>
      <c r="C882" s="190">
        <f>C886</f>
        <v>924.56</v>
      </c>
      <c r="D882" s="190" t="s">
        <v>25</v>
      </c>
      <c r="E882" s="119"/>
      <c r="F882" s="119"/>
      <c r="G882" s="119"/>
      <c r="H882" s="118"/>
      <c r="K882" s="190"/>
    </row>
    <row r="883" spans="2:12" s="114" customFormat="1" ht="14.4" customHeight="1" x14ac:dyDescent="0.3">
      <c r="B883" s="318" t="s">
        <v>778</v>
      </c>
      <c r="C883" s="190">
        <v>0</v>
      </c>
      <c r="D883" s="190" t="s">
        <v>25</v>
      </c>
      <c r="E883" s="119"/>
      <c r="F883" s="119"/>
      <c r="G883" s="119"/>
      <c r="H883" s="118"/>
      <c r="K883" s="190"/>
    </row>
    <row r="884" spans="2:12" s="114" customFormat="1" ht="14.4" customHeight="1" x14ac:dyDescent="0.3">
      <c r="B884" s="318" t="s">
        <v>779</v>
      </c>
      <c r="C884" s="190">
        <v>0</v>
      </c>
      <c r="D884" s="190" t="s">
        <v>31</v>
      </c>
      <c r="E884" s="119"/>
      <c r="F884" s="119"/>
      <c r="G884" s="119"/>
      <c r="H884" s="118"/>
      <c r="K884" s="190"/>
    </row>
    <row r="885" spans="2:12" s="114" customFormat="1" ht="14.4" customHeight="1" x14ac:dyDescent="0.3">
      <c r="B885" s="318" t="s">
        <v>780</v>
      </c>
      <c r="C885" s="190">
        <v>0</v>
      </c>
      <c r="D885" s="190" t="s">
        <v>25</v>
      </c>
      <c r="E885" s="119"/>
      <c r="F885" s="119"/>
      <c r="G885" s="119"/>
      <c r="H885" s="118"/>
      <c r="K885" s="190"/>
    </row>
    <row r="886" spans="2:12" s="114" customFormat="1" ht="14.4" customHeight="1" x14ac:dyDescent="0.3">
      <c r="B886" s="392" t="s">
        <v>781</v>
      </c>
      <c r="C886" s="393">
        <f>D173+D349+D353+D360+D361+D705+D706+D771</f>
        <v>924.56</v>
      </c>
      <c r="D886" s="190" t="s">
        <v>25</v>
      </c>
      <c r="E886" s="119"/>
      <c r="F886" s="119"/>
      <c r="G886" s="119"/>
      <c r="H886" s="118"/>
      <c r="K886" s="190"/>
    </row>
    <row r="887" spans="2:12" s="114" customFormat="1" ht="14.4" customHeight="1" x14ac:dyDescent="0.3">
      <c r="B887" s="392" t="s">
        <v>782</v>
      </c>
      <c r="C887" s="320"/>
      <c r="D887" s="190" t="s">
        <v>25</v>
      </c>
      <c r="E887" s="119"/>
      <c r="F887" s="119"/>
      <c r="G887" s="119"/>
      <c r="H887" s="118"/>
      <c r="K887" s="190"/>
    </row>
    <row r="888" spans="2:12" s="114" customFormat="1" ht="14.4" customHeight="1" x14ac:dyDescent="0.3">
      <c r="B888" s="392" t="s">
        <v>783</v>
      </c>
      <c r="C888" s="321">
        <v>0.1</v>
      </c>
      <c r="D888" s="190" t="s">
        <v>25</v>
      </c>
      <c r="F888" s="119"/>
      <c r="G888" s="119"/>
      <c r="H888" s="118"/>
      <c r="K888" s="190"/>
    </row>
    <row r="889" spans="2:12" s="114" customFormat="1" ht="14.4" customHeight="1" x14ac:dyDescent="0.3">
      <c r="B889" s="392" t="s">
        <v>784</v>
      </c>
      <c r="C889" s="321"/>
      <c r="D889" s="190" t="s">
        <v>25</v>
      </c>
      <c r="E889" s="394">
        <f>C889/(C886+C887)</f>
        <v>0</v>
      </c>
      <c r="F889" s="119"/>
      <c r="G889" s="119"/>
      <c r="H889" s="118"/>
      <c r="K889" s="190"/>
    </row>
    <row r="890" spans="2:12" s="114" customFormat="1" ht="14.4" customHeight="1" x14ac:dyDescent="0.3">
      <c r="B890" s="392" t="s">
        <v>785</v>
      </c>
      <c r="C890" s="321"/>
      <c r="D890" s="190" t="s">
        <v>25</v>
      </c>
      <c r="E890" s="394">
        <f>C890/(C886+C887)</f>
        <v>0</v>
      </c>
      <c r="F890" s="119"/>
      <c r="G890" s="119"/>
      <c r="H890" s="118"/>
      <c r="K890" s="190"/>
    </row>
    <row r="891" spans="2:12" s="114" customFormat="1" ht="14.4" customHeight="1" x14ac:dyDescent="0.3">
      <c r="B891" s="392" t="s">
        <v>786</v>
      </c>
      <c r="C891" s="321"/>
      <c r="D891" s="190" t="s">
        <v>25</v>
      </c>
      <c r="E891" s="394">
        <f>C891/(C886+C887)</f>
        <v>0</v>
      </c>
      <c r="F891" s="119"/>
      <c r="G891" s="119"/>
      <c r="H891" s="118"/>
      <c r="K891" s="190"/>
    </row>
    <row r="892" spans="2:12" s="114" customFormat="1" ht="14.4" customHeight="1" x14ac:dyDescent="0.3">
      <c r="B892" s="318"/>
      <c r="F892" s="119"/>
      <c r="G892" s="119"/>
      <c r="H892" s="118"/>
      <c r="K892" s="190"/>
    </row>
    <row r="893" spans="2:12" s="114" customFormat="1" ht="14.4" customHeight="1" x14ac:dyDescent="0.3">
      <c r="B893" s="120"/>
      <c r="E893" s="119"/>
      <c r="F893" s="119"/>
      <c r="G893" s="119"/>
      <c r="H893" s="118"/>
      <c r="K893" s="190"/>
    </row>
    <row r="894" spans="2:12" s="322" customFormat="1" ht="72" customHeight="1" x14ac:dyDescent="0.25">
      <c r="B894" s="323"/>
      <c r="C894" s="324" t="s">
        <v>787</v>
      </c>
      <c r="D894" s="324" t="s">
        <v>788</v>
      </c>
      <c r="E894" s="119" t="s">
        <v>789</v>
      </c>
      <c r="F894" s="395" t="s">
        <v>790</v>
      </c>
      <c r="G894" s="396" t="s">
        <v>791</v>
      </c>
      <c r="H894" s="325" t="s">
        <v>792</v>
      </c>
      <c r="I894" s="326" t="s">
        <v>793</v>
      </c>
      <c r="J894" s="326" t="s">
        <v>794</v>
      </c>
      <c r="K894" s="326" t="s">
        <v>795</v>
      </c>
      <c r="L894" s="396" t="s">
        <v>796</v>
      </c>
    </row>
    <row r="895" spans="2:12" s="114" customFormat="1" ht="14.4" customHeight="1" x14ac:dyDescent="0.3">
      <c r="B895" s="318" t="str">
        <f>B886</f>
        <v>L/M of Inground Pipe (Average Depth)</v>
      </c>
      <c r="C895" s="327">
        <v>0.95</v>
      </c>
      <c r="D895" s="327">
        <v>0.6</v>
      </c>
      <c r="E895" s="319">
        <f>C886</f>
        <v>924.56</v>
      </c>
      <c r="F895" s="397">
        <v>1.3</v>
      </c>
      <c r="G895" s="328">
        <f>C888</f>
        <v>0.1</v>
      </c>
      <c r="H895" s="192">
        <f>(C895*D895*E895)*F895-(C895*D895*E895*G895)</f>
        <v>632.39904000000001</v>
      </c>
      <c r="I895" s="329"/>
      <c r="J895" s="329"/>
      <c r="K895" s="330"/>
    </row>
    <row r="896" spans="2:12" s="114" customFormat="1" ht="14.4" customHeight="1" x14ac:dyDescent="0.3">
      <c r="B896" s="392" t="str">
        <f>B887</f>
        <v>L/M of Inground Pipe (Deeper Than Average Depth)</v>
      </c>
      <c r="C896" s="327">
        <v>1.1000000000000001</v>
      </c>
      <c r="D896" s="327">
        <v>0.5</v>
      </c>
      <c r="E896" s="319">
        <f>C887</f>
        <v>0</v>
      </c>
      <c r="F896" s="397">
        <v>1.3</v>
      </c>
      <c r="G896" s="327">
        <v>0</v>
      </c>
      <c r="H896" s="192">
        <f>(C896*D896*E896)*F896</f>
        <v>0</v>
      </c>
      <c r="I896" s="329"/>
      <c r="J896" s="329"/>
      <c r="K896" s="330"/>
    </row>
    <row r="897" spans="2:16" s="114" customFormat="1" ht="14.4" customHeight="1" x14ac:dyDescent="0.3">
      <c r="B897" s="392" t="s">
        <v>797</v>
      </c>
      <c r="C897" s="327">
        <v>0.35</v>
      </c>
      <c r="D897" s="328">
        <f>D895</f>
        <v>0.6</v>
      </c>
      <c r="E897" s="328">
        <f>E895</f>
        <v>924.56</v>
      </c>
      <c r="F897" s="397">
        <v>0</v>
      </c>
      <c r="G897" s="328">
        <f>C888</f>
        <v>0.1</v>
      </c>
      <c r="H897" s="192"/>
      <c r="I897" s="192">
        <f>(C897*D897*E897)-(C897*D897*E897*G897)</f>
        <v>174.74183999999997</v>
      </c>
      <c r="J897" s="192"/>
      <c r="K897" s="330"/>
    </row>
    <row r="898" spans="2:16" s="114" customFormat="1" ht="14.4" customHeight="1" x14ac:dyDescent="0.3">
      <c r="B898" s="392" t="s">
        <v>798</v>
      </c>
      <c r="C898" s="327">
        <v>0.2</v>
      </c>
      <c r="D898" s="328">
        <f>D896</f>
        <v>0.5</v>
      </c>
      <c r="E898" s="331">
        <f>E896</f>
        <v>0</v>
      </c>
      <c r="F898" s="397">
        <v>0</v>
      </c>
      <c r="G898" s="328">
        <f>G896</f>
        <v>0</v>
      </c>
      <c r="H898" s="192"/>
      <c r="I898" s="192">
        <f>(C898*D898*E898)-(C898*D898*E898*G898)</f>
        <v>0</v>
      </c>
      <c r="J898" s="192"/>
      <c r="K898" s="330"/>
    </row>
    <row r="899" spans="2:16" s="114" customFormat="1" ht="14.4" customHeight="1" x14ac:dyDescent="0.3">
      <c r="B899" s="392" t="s">
        <v>799</v>
      </c>
      <c r="C899" s="328">
        <f t="shared" ref="C899:E900" si="26">C895</f>
        <v>0.95</v>
      </c>
      <c r="D899" s="328">
        <f t="shared" si="26"/>
        <v>0.6</v>
      </c>
      <c r="E899" s="331">
        <f t="shared" si="26"/>
        <v>924.56</v>
      </c>
      <c r="F899" s="397">
        <v>1.3</v>
      </c>
      <c r="G899" s="328">
        <f>C888</f>
        <v>0.1</v>
      </c>
      <c r="H899" s="192"/>
      <c r="I899" s="192"/>
      <c r="J899" s="192">
        <f>(C899*D899*E899*F899)-(C899*D899*E899*G899)-I897</f>
        <v>457.65720000000005</v>
      </c>
      <c r="K899" s="330"/>
    </row>
    <row r="900" spans="2:16" s="114" customFormat="1" ht="14.4" customHeight="1" x14ac:dyDescent="0.3">
      <c r="B900" s="392" t="s">
        <v>800</v>
      </c>
      <c r="C900" s="328">
        <f t="shared" si="26"/>
        <v>1.1000000000000001</v>
      </c>
      <c r="D900" s="328">
        <f t="shared" si="26"/>
        <v>0.5</v>
      </c>
      <c r="E900" s="328">
        <f t="shared" si="26"/>
        <v>0</v>
      </c>
      <c r="F900" s="397">
        <v>1.3</v>
      </c>
      <c r="G900" s="328">
        <f>G896</f>
        <v>0</v>
      </c>
      <c r="H900" s="192"/>
      <c r="I900" s="192"/>
      <c r="J900" s="192">
        <f>(C900*D900*E900*F900)-(C900*D900*E900*G900)-I898</f>
        <v>0</v>
      </c>
      <c r="K900" s="330"/>
    </row>
    <row r="901" spans="2:16" s="114" customFormat="1" ht="15" customHeight="1" thickBot="1" x14ac:dyDescent="0.35">
      <c r="B901" s="318"/>
      <c r="C901" s="330"/>
      <c r="D901" s="330"/>
      <c r="E901" s="330"/>
      <c r="F901" s="398"/>
      <c r="G901" s="192"/>
      <c r="H901" s="330"/>
      <c r="I901" s="329"/>
      <c r="J901" s="329"/>
      <c r="K901" s="192" t="s">
        <v>801</v>
      </c>
      <c r="L901" s="332" t="s">
        <v>802</v>
      </c>
      <c r="M901" s="332" t="s">
        <v>803</v>
      </c>
    </row>
    <row r="902" spans="2:16" s="114" customFormat="1" ht="15" customHeight="1" thickBot="1" x14ac:dyDescent="0.35">
      <c r="B902" s="318"/>
      <c r="C902" s="330"/>
      <c r="D902" s="330"/>
      <c r="E902" s="330"/>
      <c r="F902" s="398"/>
      <c r="G902" s="192"/>
      <c r="H902" s="333">
        <f>SUM(H895:H901)</f>
        <v>632.39904000000001</v>
      </c>
      <c r="I902" s="333">
        <f>SUM(I895:I901)</f>
        <v>174.74183999999997</v>
      </c>
      <c r="J902" s="333">
        <f>SUM(J895:J901)</f>
        <v>457.65720000000005</v>
      </c>
      <c r="K902" s="334">
        <f>H902-J902</f>
        <v>174.74183999999997</v>
      </c>
      <c r="L902" s="335">
        <v>15</v>
      </c>
      <c r="M902" s="336">
        <f>K902*L902</f>
        <v>2621.1275999999993</v>
      </c>
      <c r="O902" s="186"/>
    </row>
    <row r="903" spans="2:16" s="114" customFormat="1" ht="14.4" customHeight="1" x14ac:dyDescent="0.3">
      <c r="B903" s="318"/>
      <c r="C903" s="190"/>
      <c r="D903" s="190"/>
      <c r="E903" s="190"/>
      <c r="F903" s="398"/>
      <c r="G903" s="192"/>
      <c r="H903" s="118"/>
      <c r="K903" s="190"/>
      <c r="O903" s="329"/>
    </row>
    <row r="904" spans="2:16" s="114" customFormat="1" ht="14.4" customHeight="1" x14ac:dyDescent="0.3">
      <c r="B904" s="318"/>
      <c r="C904" s="190"/>
      <c r="D904" s="190"/>
      <c r="E904" s="190"/>
      <c r="F904" s="398"/>
      <c r="G904" s="192"/>
      <c r="H904" s="118"/>
      <c r="K904" s="190"/>
      <c r="O904" s="329"/>
    </row>
    <row r="905" spans="2:16" s="114" customFormat="1" ht="14.4" customHeight="1" x14ac:dyDescent="0.3">
      <c r="B905" s="318"/>
      <c r="C905" s="190"/>
      <c r="D905" s="190"/>
      <c r="E905" s="190"/>
      <c r="F905" s="398"/>
      <c r="G905" s="192"/>
      <c r="H905" s="118"/>
      <c r="K905" s="190"/>
      <c r="O905" s="329"/>
    </row>
    <row r="906" spans="2:16" s="114" customFormat="1" ht="14.4" customHeight="1" x14ac:dyDescent="0.3">
      <c r="B906" s="318"/>
      <c r="C906" s="190"/>
      <c r="D906" s="190"/>
      <c r="E906" s="190"/>
      <c r="F906" s="398"/>
      <c r="G906" s="192"/>
      <c r="H906" s="118"/>
      <c r="K906" s="190"/>
      <c r="O906" s="329"/>
    </row>
    <row r="907" spans="2:16" s="114" customFormat="1" ht="7.2" customHeight="1" x14ac:dyDescent="0.3">
      <c r="B907" s="337"/>
      <c r="C907" s="222"/>
      <c r="D907" s="222"/>
      <c r="E907" s="222"/>
      <c r="F907" s="223"/>
      <c r="G907" s="223"/>
      <c r="H907" s="224"/>
      <c r="I907" s="222"/>
      <c r="K907" s="190"/>
    </row>
    <row r="908" spans="2:16" s="114" customFormat="1" ht="14.4" customHeight="1" x14ac:dyDescent="0.3">
      <c r="B908" s="120" t="s">
        <v>804</v>
      </c>
      <c r="C908" s="190" t="s">
        <v>805</v>
      </c>
      <c r="D908" s="190" t="s">
        <v>775</v>
      </c>
      <c r="E908" s="119" t="s">
        <v>806</v>
      </c>
      <c r="F908" s="114" t="s">
        <v>771</v>
      </c>
      <c r="G908" s="188" t="s">
        <v>806</v>
      </c>
      <c r="H908" s="193" t="s">
        <v>807</v>
      </c>
      <c r="K908" s="190"/>
    </row>
    <row r="909" spans="2:16" s="114" customFormat="1" ht="14.4" customHeight="1" x14ac:dyDescent="0.3">
      <c r="B909" s="318"/>
      <c r="C909" s="190">
        <v>0.1</v>
      </c>
      <c r="D909" s="321"/>
      <c r="E909" s="190">
        <f>D909*C909</f>
        <v>0</v>
      </c>
      <c r="F909" s="398">
        <v>1.1000000000000001</v>
      </c>
      <c r="G909" s="191">
        <f>E909*F909</f>
        <v>0</v>
      </c>
      <c r="H909" s="118">
        <f>G909*E934</f>
        <v>0</v>
      </c>
      <c r="I909" s="189"/>
      <c r="K909" s="190"/>
    </row>
    <row r="910" spans="2:16" s="306" customFormat="1" ht="14.4" customHeight="1" x14ac:dyDescent="0.3">
      <c r="C910" s="310"/>
      <c r="D910" s="310"/>
      <c r="E910" s="308"/>
      <c r="F910" s="308"/>
    </row>
    <row r="911" spans="2:16" s="306" customFormat="1" ht="15" customHeight="1" thickBot="1" x14ac:dyDescent="0.35">
      <c r="C911" s="310"/>
      <c r="D911" s="310"/>
      <c r="E911" s="308"/>
      <c r="F911" s="308"/>
    </row>
    <row r="912" spans="2:16" s="306" customFormat="1" ht="15" customHeight="1" thickBot="1" x14ac:dyDescent="0.35">
      <c r="B912" s="167" t="s">
        <v>808</v>
      </c>
      <c r="C912" s="115"/>
      <c r="D912" s="116"/>
      <c r="E912" s="119"/>
      <c r="F912" s="119"/>
      <c r="G912" s="119"/>
      <c r="H912" s="118"/>
      <c r="I912" s="114"/>
      <c r="J912" s="114"/>
      <c r="K912" s="114"/>
      <c r="L912" s="114"/>
      <c r="M912" s="114"/>
      <c r="N912" s="114"/>
      <c r="O912" s="114"/>
      <c r="P912" s="114"/>
    </row>
    <row r="913" spans="2:18" s="306" customFormat="1" ht="15" customHeight="1" thickBot="1" x14ac:dyDescent="0.35">
      <c r="B913" s="186"/>
      <c r="C913" s="114"/>
      <c r="D913" s="114"/>
      <c r="E913" s="119"/>
      <c r="F913" s="119"/>
      <c r="G913" s="119"/>
      <c r="H913" s="118"/>
      <c r="I913" s="114"/>
      <c r="J913" s="114"/>
      <c r="K913" s="114"/>
      <c r="L913" s="114"/>
      <c r="M913" s="324">
        <v>1.4</v>
      </c>
      <c r="N913" s="114"/>
      <c r="O913" s="114"/>
      <c r="P913" s="114"/>
    </row>
    <row r="914" spans="2:18" s="338" customFormat="1" ht="43.8" customHeight="1" thickBot="1" x14ac:dyDescent="0.3">
      <c r="B914" s="339" t="s">
        <v>234</v>
      </c>
      <c r="C914" s="332" t="s">
        <v>809</v>
      </c>
      <c r="D914" s="332" t="s">
        <v>776</v>
      </c>
      <c r="E914" s="188" t="s">
        <v>802</v>
      </c>
      <c r="F914" s="188" t="s">
        <v>810</v>
      </c>
      <c r="G914" s="119"/>
      <c r="H914" s="119"/>
      <c r="I914" s="332" t="s">
        <v>801</v>
      </c>
      <c r="J914" s="326" t="s">
        <v>791</v>
      </c>
      <c r="K914" s="332" t="s">
        <v>811</v>
      </c>
      <c r="L914" s="332" t="s">
        <v>803</v>
      </c>
      <c r="M914" s="332" t="s">
        <v>771</v>
      </c>
      <c r="N914" s="340" t="s">
        <v>812</v>
      </c>
      <c r="O914" s="399" t="s">
        <v>813</v>
      </c>
      <c r="P914" s="396" t="s">
        <v>814</v>
      </c>
      <c r="Q914" s="400" t="s">
        <v>815</v>
      </c>
    </row>
    <row r="915" spans="2:18" s="306" customFormat="1" ht="15" customHeight="1" thickBot="1" x14ac:dyDescent="0.35">
      <c r="B915" s="114" t="s">
        <v>816</v>
      </c>
      <c r="C915" s="341">
        <v>0.20300000000000001</v>
      </c>
      <c r="D915" s="342" t="s">
        <v>817</v>
      </c>
      <c r="E915" s="343">
        <f>E927</f>
        <v>62</v>
      </c>
      <c r="F915" s="343">
        <f>E915*C915</f>
        <v>12.586</v>
      </c>
      <c r="G915" s="119"/>
      <c r="H915" s="118"/>
      <c r="I915" s="344">
        <f>C915*(C886+C887)</f>
        <v>187.68567999999999</v>
      </c>
      <c r="J915" s="328">
        <f>C888</f>
        <v>0.1</v>
      </c>
      <c r="K915" s="345">
        <f>I915-(I915*J915)</f>
        <v>168.917112</v>
      </c>
      <c r="L915" s="189">
        <f>K915*E915</f>
        <v>10472.860944</v>
      </c>
      <c r="M915" s="308">
        <f>(L915*M913)-L915</f>
        <v>4189.1443775999996</v>
      </c>
      <c r="N915" s="346">
        <f>L915*M913</f>
        <v>14662.0053216</v>
      </c>
      <c r="O915" s="189">
        <f>N915*E889</f>
        <v>0</v>
      </c>
      <c r="P915" s="114"/>
      <c r="Q915" s="308"/>
      <c r="R915" s="308"/>
    </row>
    <row r="916" spans="2:18" s="306" customFormat="1" ht="14.4" customHeight="1" x14ac:dyDescent="0.3">
      <c r="B916" s="114" t="s">
        <v>816</v>
      </c>
      <c r="C916" s="341">
        <v>0.14000000000000001</v>
      </c>
      <c r="D916" s="190" t="s">
        <v>818</v>
      </c>
      <c r="E916" s="119">
        <f>E927</f>
        <v>62</v>
      </c>
      <c r="F916" s="119">
        <f>(E916*C916)*1.95</f>
        <v>16.926000000000002</v>
      </c>
      <c r="G916" s="119"/>
      <c r="H916" s="118"/>
      <c r="I916" s="114"/>
      <c r="J916" s="114"/>
      <c r="L916" s="189"/>
      <c r="N916" s="347"/>
      <c r="O916" s="114"/>
      <c r="P916" s="114"/>
    </row>
    <row r="917" spans="2:18" s="306" customFormat="1" ht="14.4" customHeight="1" x14ac:dyDescent="0.3">
      <c r="B917" s="114" t="s">
        <v>819</v>
      </c>
      <c r="C917" s="341">
        <v>0.45</v>
      </c>
      <c r="D917" s="190" t="s">
        <v>817</v>
      </c>
      <c r="E917" s="119">
        <f>E928</f>
        <v>62</v>
      </c>
      <c r="F917" s="119">
        <f>E917*C917</f>
        <v>27.900000000000002</v>
      </c>
      <c r="G917" s="119"/>
      <c r="H917" s="118"/>
      <c r="I917" s="114">
        <v>0</v>
      </c>
      <c r="J917" s="114"/>
      <c r="L917" s="189">
        <f>I917*E917</f>
        <v>0</v>
      </c>
      <c r="N917" s="348">
        <f>L917*$L$290</f>
        <v>0</v>
      </c>
      <c r="O917" s="114"/>
      <c r="P917" s="114"/>
    </row>
    <row r="918" spans="2:18" s="306" customFormat="1" ht="15" customHeight="1" thickBot="1" x14ac:dyDescent="0.35">
      <c r="B918" s="114" t="s">
        <v>820</v>
      </c>
      <c r="C918" s="114">
        <v>0</v>
      </c>
      <c r="D918" s="190" t="s">
        <v>817</v>
      </c>
      <c r="E918" s="119">
        <f>E929</f>
        <v>25</v>
      </c>
      <c r="F918" s="119">
        <f>E918*C918</f>
        <v>0</v>
      </c>
      <c r="G918" s="119"/>
      <c r="H918" s="118"/>
      <c r="I918" s="114">
        <v>0</v>
      </c>
      <c r="J918" s="114"/>
      <c r="L918" s="189">
        <f>I918*E918</f>
        <v>0</v>
      </c>
      <c r="N918" s="348">
        <f>L918*$L$290</f>
        <v>0</v>
      </c>
      <c r="O918" s="114"/>
      <c r="P918" s="114"/>
    </row>
    <row r="919" spans="2:18" s="306" customFormat="1" ht="15" customHeight="1" thickBot="1" x14ac:dyDescent="0.35">
      <c r="B919" s="114" t="s">
        <v>821</v>
      </c>
      <c r="C919" s="341">
        <v>0.22500000000000001</v>
      </c>
      <c r="D919" s="342" t="s">
        <v>817</v>
      </c>
      <c r="E919" s="343">
        <f>E930</f>
        <v>62</v>
      </c>
      <c r="F919" s="343">
        <f>E919*C919</f>
        <v>13.950000000000001</v>
      </c>
      <c r="G919" s="119"/>
      <c r="H919" s="118"/>
      <c r="I919" s="344">
        <f>C919*(C886+C887)</f>
        <v>208.02599999999998</v>
      </c>
      <c r="J919" s="328">
        <f>C888</f>
        <v>0.1</v>
      </c>
      <c r="K919" s="345">
        <f>I919-(I919*J919)</f>
        <v>187.22339999999997</v>
      </c>
      <c r="L919" s="189">
        <f>K919*E919</f>
        <v>11607.850799999998</v>
      </c>
      <c r="M919" s="308">
        <f>(L919*M913)-L919</f>
        <v>4643.1403199999986</v>
      </c>
      <c r="N919" s="346">
        <f>L919*M913</f>
        <v>16250.991119999997</v>
      </c>
      <c r="O919" s="114"/>
      <c r="P919" s="189">
        <f>N919*E890</f>
        <v>0</v>
      </c>
      <c r="Q919" s="308">
        <f>N919*E891</f>
        <v>0</v>
      </c>
    </row>
    <row r="920" spans="2:18" s="306" customFormat="1" ht="14.4" customHeight="1" x14ac:dyDescent="0.3">
      <c r="B920" s="114" t="s">
        <v>821</v>
      </c>
      <c r="C920" s="341">
        <v>0.14000000000000001</v>
      </c>
      <c r="D920" s="190" t="s">
        <v>818</v>
      </c>
      <c r="E920" s="119">
        <f>E930</f>
        <v>62</v>
      </c>
      <c r="F920" s="119">
        <f>(E920*C920)*1.5</f>
        <v>13.020000000000003</v>
      </c>
      <c r="G920" s="119"/>
      <c r="H920" s="118"/>
      <c r="I920" s="114"/>
      <c r="J920" s="114"/>
      <c r="L920" s="189"/>
      <c r="N920" s="347"/>
      <c r="O920" s="114"/>
      <c r="P920" s="114"/>
    </row>
    <row r="921" spans="2:18" s="306" customFormat="1" ht="14.4" customHeight="1" x14ac:dyDescent="0.3">
      <c r="B921" s="114" t="s">
        <v>822</v>
      </c>
      <c r="C921" s="341">
        <v>0.36</v>
      </c>
      <c r="D921" s="190" t="s">
        <v>817</v>
      </c>
      <c r="E921" s="119">
        <f>F931</f>
        <v>27</v>
      </c>
      <c r="F921" s="119">
        <f>E921*C921</f>
        <v>9.7199999999999989</v>
      </c>
      <c r="G921" s="119"/>
      <c r="H921" s="118"/>
      <c r="I921" s="114">
        <f>C885*C921</f>
        <v>0</v>
      </c>
      <c r="J921" s="114"/>
      <c r="L921" s="189">
        <f>I921*E921</f>
        <v>0</v>
      </c>
      <c r="N921" s="348">
        <f>L921*$L$290</f>
        <v>0</v>
      </c>
      <c r="O921" s="114"/>
      <c r="P921" s="114"/>
    </row>
    <row r="922" spans="2:18" s="306" customFormat="1" ht="14.4" customHeight="1" x14ac:dyDescent="0.3">
      <c r="B922" s="114" t="s">
        <v>823</v>
      </c>
      <c r="C922" s="341">
        <v>0.36</v>
      </c>
      <c r="D922" s="190" t="s">
        <v>817</v>
      </c>
      <c r="E922" s="119">
        <f>F932</f>
        <v>30</v>
      </c>
      <c r="F922" s="119">
        <f>E922*C922</f>
        <v>10.799999999999999</v>
      </c>
      <c r="G922" s="119"/>
      <c r="H922" s="118"/>
      <c r="I922" s="114">
        <f>C922*C885</f>
        <v>0</v>
      </c>
      <c r="J922" s="114"/>
      <c r="L922" s="189">
        <f>I922*E922</f>
        <v>0</v>
      </c>
      <c r="N922" s="348">
        <f>L922*$L$290</f>
        <v>0</v>
      </c>
      <c r="O922" s="114"/>
      <c r="P922" s="114"/>
    </row>
    <row r="923" spans="2:18" s="306" customFormat="1" ht="15" customHeight="1" thickBot="1" x14ac:dyDescent="0.35">
      <c r="B923" s="114" t="s">
        <v>824</v>
      </c>
      <c r="C923" s="341">
        <v>0.3</v>
      </c>
      <c r="D923" s="190" t="s">
        <v>818</v>
      </c>
      <c r="E923" s="119">
        <f>N933</f>
        <v>0</v>
      </c>
      <c r="F923" s="119">
        <f>E923*C923</f>
        <v>0</v>
      </c>
      <c r="G923" s="119"/>
      <c r="H923" s="118"/>
      <c r="I923" s="114">
        <f>C923*C883</f>
        <v>0</v>
      </c>
      <c r="J923" s="114"/>
      <c r="L923" s="189">
        <f>E923*I923</f>
        <v>0</v>
      </c>
      <c r="N923" s="349">
        <f>L923*$L$290</f>
        <v>0</v>
      </c>
      <c r="O923" s="114"/>
      <c r="P923" s="114"/>
    </row>
    <row r="924" spans="2:18" s="306" customFormat="1" ht="15" customHeight="1" thickBot="1" x14ac:dyDescent="0.35">
      <c r="B924" s="114"/>
      <c r="C924" s="114"/>
      <c r="D924" s="190"/>
      <c r="E924" s="350"/>
      <c r="F924" s="350"/>
      <c r="G924" s="119"/>
      <c r="H924" s="118"/>
      <c r="I924" s="114"/>
      <c r="J924" s="114"/>
      <c r="K924" s="114"/>
      <c r="L924" s="114"/>
      <c r="M924" s="114"/>
      <c r="N924" s="114"/>
      <c r="O924" s="114"/>
      <c r="P924" s="114"/>
    </row>
    <row r="925" spans="2:18" s="306" customFormat="1" ht="14.4" customHeight="1" x14ac:dyDescent="0.3">
      <c r="B925" s="117"/>
      <c r="C925" s="351"/>
      <c r="D925" s="352"/>
      <c r="E925" s="353" t="s">
        <v>825</v>
      </c>
      <c r="F925" s="354" t="s">
        <v>826</v>
      </c>
      <c r="G925" s="118"/>
      <c r="H925" s="119"/>
      <c r="I925" s="119"/>
      <c r="J925" s="119"/>
      <c r="K925" s="119"/>
      <c r="L925" s="119"/>
      <c r="M925" s="119"/>
      <c r="N925" s="119"/>
      <c r="O925" s="119"/>
    </row>
    <row r="926" spans="2:18" s="306" customFormat="1" ht="15" customHeight="1" thickBot="1" x14ac:dyDescent="0.35">
      <c r="B926" s="355" t="s">
        <v>234</v>
      </c>
      <c r="C926" s="356"/>
      <c r="D926" s="357" t="s">
        <v>776</v>
      </c>
      <c r="E926" s="358" t="s">
        <v>802</v>
      </c>
      <c r="F926" s="358" t="s">
        <v>802</v>
      </c>
      <c r="G926" s="359"/>
      <c r="H926" s="119"/>
      <c r="I926" s="118"/>
      <c r="J926" s="119"/>
      <c r="K926" s="118"/>
      <c r="L926" s="119"/>
      <c r="M926" s="118"/>
      <c r="N926" s="119"/>
      <c r="O926" s="118"/>
    </row>
    <row r="927" spans="2:18" s="306" customFormat="1" ht="14.4" customHeight="1" x14ac:dyDescent="0.3">
      <c r="B927" s="114" t="s">
        <v>816</v>
      </c>
      <c r="C927" s="190"/>
      <c r="D927" s="360" t="s">
        <v>827</v>
      </c>
      <c r="E927" s="361">
        <v>62</v>
      </c>
      <c r="F927" s="362">
        <v>31</v>
      </c>
      <c r="G927" s="118"/>
      <c r="H927" s="119"/>
      <c r="I927" s="118"/>
      <c r="J927" s="119"/>
      <c r="K927" s="118"/>
      <c r="L927" s="119"/>
      <c r="M927" s="118"/>
      <c r="N927" s="119"/>
      <c r="O927" s="118"/>
    </row>
    <row r="928" spans="2:18" s="306" customFormat="1" ht="14.4" customHeight="1" x14ac:dyDescent="0.3">
      <c r="B928" s="114" t="s">
        <v>819</v>
      </c>
      <c r="C928" s="190"/>
      <c r="D928" s="360" t="s">
        <v>827</v>
      </c>
      <c r="E928" s="361">
        <v>62</v>
      </c>
      <c r="F928" s="363">
        <v>39</v>
      </c>
      <c r="G928" s="118"/>
      <c r="H928" s="119"/>
      <c r="I928" s="118"/>
      <c r="J928" s="119"/>
      <c r="K928" s="118"/>
      <c r="L928" s="119"/>
      <c r="M928" s="118"/>
      <c r="N928" s="119"/>
      <c r="O928" s="118"/>
    </row>
    <row r="929" spans="2:15" s="306" customFormat="1" ht="14.4" customHeight="1" x14ac:dyDescent="0.3">
      <c r="B929" s="114" t="s">
        <v>820</v>
      </c>
      <c r="C929" s="190"/>
      <c r="D929" s="360" t="s">
        <v>827</v>
      </c>
      <c r="E929" s="364">
        <v>25</v>
      </c>
      <c r="F929" s="363">
        <v>29</v>
      </c>
      <c r="G929" s="118"/>
      <c r="H929" s="119"/>
      <c r="I929" s="118"/>
      <c r="J929" s="401"/>
      <c r="K929" s="118"/>
      <c r="L929" s="119"/>
      <c r="M929" s="118"/>
      <c r="N929" s="119"/>
      <c r="O929" s="118"/>
    </row>
    <row r="930" spans="2:15" s="306" customFormat="1" ht="14.4" customHeight="1" x14ac:dyDescent="0.3">
      <c r="B930" s="114" t="s">
        <v>821</v>
      </c>
      <c r="C930" s="190"/>
      <c r="D930" s="360" t="s">
        <v>827</v>
      </c>
      <c r="E930" s="361">
        <v>62</v>
      </c>
      <c r="F930" s="363">
        <v>26</v>
      </c>
      <c r="G930" s="118"/>
      <c r="H930" s="119"/>
      <c r="I930" s="118"/>
      <c r="J930" s="119"/>
      <c r="K930" s="330"/>
      <c r="L930" s="401"/>
      <c r="M930" s="118"/>
      <c r="N930" s="119"/>
      <c r="O930" s="118"/>
    </row>
    <row r="931" spans="2:15" s="306" customFormat="1" ht="14.4" customHeight="1" x14ac:dyDescent="0.3">
      <c r="B931" s="114" t="s">
        <v>822</v>
      </c>
      <c r="C931" s="190"/>
      <c r="D931" s="360" t="s">
        <v>827</v>
      </c>
      <c r="E931" s="364">
        <v>48</v>
      </c>
      <c r="F931" s="363">
        <v>27</v>
      </c>
      <c r="G931" s="118"/>
      <c r="H931" s="119"/>
      <c r="I931" s="118"/>
      <c r="J931" s="119"/>
      <c r="K931" s="330"/>
      <c r="L931" s="401"/>
      <c r="M931" s="118"/>
      <c r="N931" s="119"/>
      <c r="O931" s="118"/>
    </row>
    <row r="932" spans="2:15" s="306" customFormat="1" ht="14.4" customHeight="1" x14ac:dyDescent="0.3">
      <c r="B932" s="114" t="s">
        <v>823</v>
      </c>
      <c r="C932" s="190"/>
      <c r="D932" s="360" t="s">
        <v>827</v>
      </c>
      <c r="E932" s="364">
        <v>50</v>
      </c>
      <c r="F932" s="363">
        <v>30</v>
      </c>
      <c r="G932" s="118"/>
      <c r="H932" s="119"/>
      <c r="I932" s="118"/>
      <c r="J932" s="119"/>
      <c r="K932" s="330"/>
      <c r="L932" s="401"/>
      <c r="M932" s="118"/>
      <c r="N932" s="119"/>
      <c r="O932" s="118"/>
    </row>
    <row r="933" spans="2:15" s="306" customFormat="1" ht="14.4" customHeight="1" x14ac:dyDescent="0.3">
      <c r="B933" s="114" t="s">
        <v>828</v>
      </c>
      <c r="C933" s="190"/>
      <c r="D933" s="360" t="s">
        <v>829</v>
      </c>
      <c r="E933" s="365">
        <v>168</v>
      </c>
      <c r="F933" s="363">
        <v>0</v>
      </c>
      <c r="G933" s="118"/>
      <c r="H933" s="119"/>
      <c r="I933" s="118"/>
      <c r="J933" s="119"/>
      <c r="K933" s="118"/>
      <c r="L933" s="119"/>
      <c r="M933" s="118"/>
      <c r="N933" s="119"/>
      <c r="O933" s="118"/>
    </row>
    <row r="934" spans="2:15" s="306" customFormat="1" ht="15" customHeight="1" thickBot="1" x14ac:dyDescent="0.35">
      <c r="B934" s="114" t="s">
        <v>830</v>
      </c>
      <c r="C934" s="330"/>
      <c r="D934" s="360" t="s">
        <v>829</v>
      </c>
      <c r="E934" s="366">
        <v>153</v>
      </c>
      <c r="F934" s="366">
        <v>0</v>
      </c>
      <c r="G934" s="118"/>
      <c r="H934" s="119"/>
      <c r="I934" s="118"/>
      <c r="J934" s="119"/>
      <c r="K934" s="330"/>
      <c r="L934" s="401"/>
      <c r="M934" s="118"/>
      <c r="N934" s="119"/>
      <c r="O934" s="118"/>
    </row>
  </sheetData>
  <mergeCells count="6">
    <mergeCell ref="J14:P14"/>
    <mergeCell ref="B9:G9"/>
    <mergeCell ref="A6:F6"/>
    <mergeCell ref="D14:E14"/>
    <mergeCell ref="C873:E875"/>
    <mergeCell ref="C866:E868"/>
  </mergeCells>
  <printOptions gridLines="1"/>
  <pageMargins left="0.46" right="0.42" top="0.37" bottom="0.4" header="0.39" footer="0.38"/>
  <pageSetup paperSize="8" scale="80"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L115"/>
  <sheetViews>
    <sheetView zoomScaleNormal="100" workbookViewId="0">
      <selection activeCell="J14" sqref="J14"/>
    </sheetView>
  </sheetViews>
  <sheetFormatPr defaultColWidth="9.21875" defaultRowHeight="10.199999999999999" x14ac:dyDescent="0.2"/>
  <cols>
    <col min="1" max="1" width="8.21875" style="38" customWidth="1"/>
    <col min="2" max="2" width="79" style="38" customWidth="1"/>
    <col min="3" max="3" width="11.44140625" style="40" customWidth="1"/>
    <col min="4" max="4" width="10.44140625" style="40" customWidth="1"/>
    <col min="5" max="5" width="13.21875" style="41" customWidth="1"/>
    <col min="6" max="6" width="14.21875" style="41" customWidth="1"/>
    <col min="7" max="7" width="12.21875" style="38" customWidth="1"/>
    <col min="8" max="8" width="9.21875" style="38" customWidth="1"/>
    <col min="9" max="9" width="9.5546875" style="38" bestFit="1" customWidth="1"/>
    <col min="10" max="256" width="9.21875" style="38" customWidth="1"/>
    <col min="257" max="257" width="8.21875" style="38" customWidth="1"/>
    <col min="258" max="258" width="70.44140625" style="38" bestFit="1" customWidth="1"/>
    <col min="259" max="259" width="11.44140625" style="38" customWidth="1"/>
    <col min="260" max="260" width="10.44140625" style="38" customWidth="1"/>
    <col min="261" max="261" width="13.21875" style="38" customWidth="1"/>
    <col min="262" max="262" width="14.21875" style="38" customWidth="1"/>
    <col min="263" max="263" width="12.21875" style="38" customWidth="1"/>
    <col min="264" max="512" width="9.21875" style="38" customWidth="1"/>
    <col min="513" max="513" width="8.21875" style="38" customWidth="1"/>
    <col min="514" max="514" width="70.44140625" style="38" bestFit="1" customWidth="1"/>
    <col min="515" max="515" width="11.44140625" style="38" customWidth="1"/>
    <col min="516" max="516" width="10.44140625" style="38" customWidth="1"/>
    <col min="517" max="517" width="13.21875" style="38" customWidth="1"/>
    <col min="518" max="518" width="14.21875" style="38" customWidth="1"/>
    <col min="519" max="519" width="12.21875" style="38" customWidth="1"/>
    <col min="520" max="768" width="9.21875" style="38" customWidth="1"/>
    <col min="769" max="769" width="8.21875" style="38" customWidth="1"/>
    <col min="770" max="770" width="70.44140625" style="38" bestFit="1" customWidth="1"/>
    <col min="771" max="771" width="11.44140625" style="38" customWidth="1"/>
    <col min="772" max="772" width="10.44140625" style="38" customWidth="1"/>
    <col min="773" max="773" width="13.21875" style="38" customWidth="1"/>
    <col min="774" max="774" width="14.21875" style="38" customWidth="1"/>
    <col min="775" max="775" width="12.21875" style="38" customWidth="1"/>
    <col min="776" max="1024" width="9.21875" style="38" customWidth="1"/>
    <col min="1025" max="1025" width="8.21875" style="38" customWidth="1"/>
    <col min="1026" max="1026" width="70.44140625" style="38" bestFit="1" customWidth="1"/>
    <col min="1027" max="1027" width="11.44140625" style="38" customWidth="1"/>
    <col min="1028" max="1028" width="10.44140625" style="38" customWidth="1"/>
    <col min="1029" max="1029" width="13.21875" style="38" customWidth="1"/>
    <col min="1030" max="1030" width="14.21875" style="38" customWidth="1"/>
    <col min="1031" max="1031" width="12.21875" style="38" customWidth="1"/>
    <col min="1032" max="1280" width="9.21875" style="38" customWidth="1"/>
    <col min="1281" max="1281" width="8.21875" style="38" customWidth="1"/>
    <col min="1282" max="1282" width="70.44140625" style="38" bestFit="1" customWidth="1"/>
    <col min="1283" max="1283" width="11.44140625" style="38" customWidth="1"/>
    <col min="1284" max="1284" width="10.44140625" style="38" customWidth="1"/>
    <col min="1285" max="1285" width="13.21875" style="38" customWidth="1"/>
    <col min="1286" max="1286" width="14.21875" style="38" customWidth="1"/>
    <col min="1287" max="1287" width="12.21875" style="38" customWidth="1"/>
    <col min="1288" max="1536" width="9.21875" style="38" customWidth="1"/>
    <col min="1537" max="1537" width="8.21875" style="38" customWidth="1"/>
    <col min="1538" max="1538" width="70.44140625" style="38" bestFit="1" customWidth="1"/>
    <col min="1539" max="1539" width="11.44140625" style="38" customWidth="1"/>
    <col min="1540" max="1540" width="10.44140625" style="38" customWidth="1"/>
    <col min="1541" max="1541" width="13.21875" style="38" customWidth="1"/>
    <col min="1542" max="1542" width="14.21875" style="38" customWidth="1"/>
    <col min="1543" max="1543" width="12.21875" style="38" customWidth="1"/>
    <col min="1544" max="1792" width="9.21875" style="38" customWidth="1"/>
    <col min="1793" max="1793" width="8.21875" style="38" customWidth="1"/>
    <col min="1794" max="1794" width="70.44140625" style="38" bestFit="1" customWidth="1"/>
    <col min="1795" max="1795" width="11.44140625" style="38" customWidth="1"/>
    <col min="1796" max="1796" width="10.44140625" style="38" customWidth="1"/>
    <col min="1797" max="1797" width="13.21875" style="38" customWidth="1"/>
    <col min="1798" max="1798" width="14.21875" style="38" customWidth="1"/>
    <col min="1799" max="1799" width="12.21875" style="38" customWidth="1"/>
    <col min="1800" max="2048" width="9.21875" style="38" customWidth="1"/>
    <col min="2049" max="2049" width="8.21875" style="38" customWidth="1"/>
    <col min="2050" max="2050" width="70.44140625" style="38" bestFit="1" customWidth="1"/>
    <col min="2051" max="2051" width="11.44140625" style="38" customWidth="1"/>
    <col min="2052" max="2052" width="10.44140625" style="38" customWidth="1"/>
    <col min="2053" max="2053" width="13.21875" style="38" customWidth="1"/>
    <col min="2054" max="2054" width="14.21875" style="38" customWidth="1"/>
    <col min="2055" max="2055" width="12.21875" style="38" customWidth="1"/>
    <col min="2056" max="2304" width="9.21875" style="38" customWidth="1"/>
    <col min="2305" max="2305" width="8.21875" style="38" customWidth="1"/>
    <col min="2306" max="2306" width="70.44140625" style="38" bestFit="1" customWidth="1"/>
    <col min="2307" max="2307" width="11.44140625" style="38" customWidth="1"/>
    <col min="2308" max="2308" width="10.44140625" style="38" customWidth="1"/>
    <col min="2309" max="2309" width="13.21875" style="38" customWidth="1"/>
    <col min="2310" max="2310" width="14.21875" style="38" customWidth="1"/>
    <col min="2311" max="2311" width="12.21875" style="38" customWidth="1"/>
    <col min="2312" max="2560" width="9.21875" style="38" customWidth="1"/>
    <col min="2561" max="2561" width="8.21875" style="38" customWidth="1"/>
    <col min="2562" max="2562" width="70.44140625" style="38" bestFit="1" customWidth="1"/>
    <col min="2563" max="2563" width="11.44140625" style="38" customWidth="1"/>
    <col min="2564" max="2564" width="10.44140625" style="38" customWidth="1"/>
    <col min="2565" max="2565" width="13.21875" style="38" customWidth="1"/>
    <col min="2566" max="2566" width="14.21875" style="38" customWidth="1"/>
    <col min="2567" max="2567" width="12.21875" style="38" customWidth="1"/>
    <col min="2568" max="2816" width="9.21875" style="38" customWidth="1"/>
    <col min="2817" max="2817" width="8.21875" style="38" customWidth="1"/>
    <col min="2818" max="2818" width="70.44140625" style="38" bestFit="1" customWidth="1"/>
    <col min="2819" max="2819" width="11.44140625" style="38" customWidth="1"/>
    <col min="2820" max="2820" width="10.44140625" style="38" customWidth="1"/>
    <col min="2821" max="2821" width="13.21875" style="38" customWidth="1"/>
    <col min="2822" max="2822" width="14.21875" style="38" customWidth="1"/>
    <col min="2823" max="2823" width="12.21875" style="38" customWidth="1"/>
    <col min="2824" max="3072" width="9.21875" style="38" customWidth="1"/>
    <col min="3073" max="3073" width="8.21875" style="38" customWidth="1"/>
    <col min="3074" max="3074" width="70.44140625" style="38" bestFit="1" customWidth="1"/>
    <col min="3075" max="3075" width="11.44140625" style="38" customWidth="1"/>
    <col min="3076" max="3076" width="10.44140625" style="38" customWidth="1"/>
    <col min="3077" max="3077" width="13.21875" style="38" customWidth="1"/>
    <col min="3078" max="3078" width="14.21875" style="38" customWidth="1"/>
    <col min="3079" max="3079" width="12.21875" style="38" customWidth="1"/>
    <col min="3080" max="3328" width="9.21875" style="38" customWidth="1"/>
    <col min="3329" max="3329" width="8.21875" style="38" customWidth="1"/>
    <col min="3330" max="3330" width="70.44140625" style="38" bestFit="1" customWidth="1"/>
    <col min="3331" max="3331" width="11.44140625" style="38" customWidth="1"/>
    <col min="3332" max="3332" width="10.44140625" style="38" customWidth="1"/>
    <col min="3333" max="3333" width="13.21875" style="38" customWidth="1"/>
    <col min="3334" max="3334" width="14.21875" style="38" customWidth="1"/>
    <col min="3335" max="3335" width="12.21875" style="38" customWidth="1"/>
    <col min="3336" max="3584" width="9.21875" style="38" customWidth="1"/>
    <col min="3585" max="3585" width="8.21875" style="38" customWidth="1"/>
    <col min="3586" max="3586" width="70.44140625" style="38" bestFit="1" customWidth="1"/>
    <col min="3587" max="3587" width="11.44140625" style="38" customWidth="1"/>
    <col min="3588" max="3588" width="10.44140625" style="38" customWidth="1"/>
    <col min="3589" max="3589" width="13.21875" style="38" customWidth="1"/>
    <col min="3590" max="3590" width="14.21875" style="38" customWidth="1"/>
    <col min="3591" max="3591" width="12.21875" style="38" customWidth="1"/>
    <col min="3592" max="3840" width="9.21875" style="38" customWidth="1"/>
    <col min="3841" max="3841" width="8.21875" style="38" customWidth="1"/>
    <col min="3842" max="3842" width="70.44140625" style="38" bestFit="1" customWidth="1"/>
    <col min="3843" max="3843" width="11.44140625" style="38" customWidth="1"/>
    <col min="3844" max="3844" width="10.44140625" style="38" customWidth="1"/>
    <col min="3845" max="3845" width="13.21875" style="38" customWidth="1"/>
    <col min="3846" max="3846" width="14.21875" style="38" customWidth="1"/>
    <col min="3847" max="3847" width="12.21875" style="38" customWidth="1"/>
    <col min="3848" max="4096" width="9.21875" style="38" customWidth="1"/>
    <col min="4097" max="4097" width="8.21875" style="38" customWidth="1"/>
    <col min="4098" max="4098" width="70.44140625" style="38" bestFit="1" customWidth="1"/>
    <col min="4099" max="4099" width="11.44140625" style="38" customWidth="1"/>
    <col min="4100" max="4100" width="10.44140625" style="38" customWidth="1"/>
    <col min="4101" max="4101" width="13.21875" style="38" customWidth="1"/>
    <col min="4102" max="4102" width="14.21875" style="38" customWidth="1"/>
    <col min="4103" max="4103" width="12.21875" style="38" customWidth="1"/>
    <col min="4104" max="4352" width="9.21875" style="38" customWidth="1"/>
    <col min="4353" max="4353" width="8.21875" style="38" customWidth="1"/>
    <col min="4354" max="4354" width="70.44140625" style="38" bestFit="1" customWidth="1"/>
    <col min="4355" max="4355" width="11.44140625" style="38" customWidth="1"/>
    <col min="4356" max="4356" width="10.44140625" style="38" customWidth="1"/>
    <col min="4357" max="4357" width="13.21875" style="38" customWidth="1"/>
    <col min="4358" max="4358" width="14.21875" style="38" customWidth="1"/>
    <col min="4359" max="4359" width="12.21875" style="38" customWidth="1"/>
    <col min="4360" max="4608" width="9.21875" style="38" customWidth="1"/>
    <col min="4609" max="4609" width="8.21875" style="38" customWidth="1"/>
    <col min="4610" max="4610" width="70.44140625" style="38" bestFit="1" customWidth="1"/>
    <col min="4611" max="4611" width="11.44140625" style="38" customWidth="1"/>
    <col min="4612" max="4612" width="10.44140625" style="38" customWidth="1"/>
    <col min="4613" max="4613" width="13.21875" style="38" customWidth="1"/>
    <col min="4614" max="4614" width="14.21875" style="38" customWidth="1"/>
    <col min="4615" max="4615" width="12.21875" style="38" customWidth="1"/>
    <col min="4616" max="4864" width="9.21875" style="38" customWidth="1"/>
    <col min="4865" max="4865" width="8.21875" style="38" customWidth="1"/>
    <col min="4866" max="4866" width="70.44140625" style="38" bestFit="1" customWidth="1"/>
    <col min="4867" max="4867" width="11.44140625" style="38" customWidth="1"/>
    <col min="4868" max="4868" width="10.44140625" style="38" customWidth="1"/>
    <col min="4869" max="4869" width="13.21875" style="38" customWidth="1"/>
    <col min="4870" max="4870" width="14.21875" style="38" customWidth="1"/>
    <col min="4871" max="4871" width="12.21875" style="38" customWidth="1"/>
    <col min="4872" max="5120" width="9.21875" style="38" customWidth="1"/>
    <col min="5121" max="5121" width="8.21875" style="38" customWidth="1"/>
    <col min="5122" max="5122" width="70.44140625" style="38" bestFit="1" customWidth="1"/>
    <col min="5123" max="5123" width="11.44140625" style="38" customWidth="1"/>
    <col min="5124" max="5124" width="10.44140625" style="38" customWidth="1"/>
    <col min="5125" max="5125" width="13.21875" style="38" customWidth="1"/>
    <col min="5126" max="5126" width="14.21875" style="38" customWidth="1"/>
    <col min="5127" max="5127" width="12.21875" style="38" customWidth="1"/>
    <col min="5128" max="5376" width="9.21875" style="38" customWidth="1"/>
    <col min="5377" max="5377" width="8.21875" style="38" customWidth="1"/>
    <col min="5378" max="5378" width="70.44140625" style="38" bestFit="1" customWidth="1"/>
    <col min="5379" max="5379" width="11.44140625" style="38" customWidth="1"/>
    <col min="5380" max="5380" width="10.44140625" style="38" customWidth="1"/>
    <col min="5381" max="5381" width="13.21875" style="38" customWidth="1"/>
    <col min="5382" max="5382" width="14.21875" style="38" customWidth="1"/>
    <col min="5383" max="5383" width="12.21875" style="38" customWidth="1"/>
    <col min="5384" max="5632" width="9.21875" style="38" customWidth="1"/>
    <col min="5633" max="5633" width="8.21875" style="38" customWidth="1"/>
    <col min="5634" max="5634" width="70.44140625" style="38" bestFit="1" customWidth="1"/>
    <col min="5635" max="5635" width="11.44140625" style="38" customWidth="1"/>
    <col min="5636" max="5636" width="10.44140625" style="38" customWidth="1"/>
    <col min="5637" max="5637" width="13.21875" style="38" customWidth="1"/>
    <col min="5638" max="5638" width="14.21875" style="38" customWidth="1"/>
    <col min="5639" max="5639" width="12.21875" style="38" customWidth="1"/>
    <col min="5640" max="5888" width="9.21875" style="38" customWidth="1"/>
    <col min="5889" max="5889" width="8.21875" style="38" customWidth="1"/>
    <col min="5890" max="5890" width="70.44140625" style="38" bestFit="1" customWidth="1"/>
    <col min="5891" max="5891" width="11.44140625" style="38" customWidth="1"/>
    <col min="5892" max="5892" width="10.44140625" style="38" customWidth="1"/>
    <col min="5893" max="5893" width="13.21875" style="38" customWidth="1"/>
    <col min="5894" max="5894" width="14.21875" style="38" customWidth="1"/>
    <col min="5895" max="5895" width="12.21875" style="38" customWidth="1"/>
    <col min="5896" max="6144" width="9.21875" style="38" customWidth="1"/>
    <col min="6145" max="6145" width="8.21875" style="38" customWidth="1"/>
    <col min="6146" max="6146" width="70.44140625" style="38" bestFit="1" customWidth="1"/>
    <col min="6147" max="6147" width="11.44140625" style="38" customWidth="1"/>
    <col min="6148" max="6148" width="10.44140625" style="38" customWidth="1"/>
    <col min="6149" max="6149" width="13.21875" style="38" customWidth="1"/>
    <col min="6150" max="6150" width="14.21875" style="38" customWidth="1"/>
    <col min="6151" max="6151" width="12.21875" style="38" customWidth="1"/>
    <col min="6152" max="6400" width="9.21875" style="38" customWidth="1"/>
    <col min="6401" max="6401" width="8.21875" style="38" customWidth="1"/>
    <col min="6402" max="6402" width="70.44140625" style="38" bestFit="1" customWidth="1"/>
    <col min="6403" max="6403" width="11.44140625" style="38" customWidth="1"/>
    <col min="6404" max="6404" width="10.44140625" style="38" customWidth="1"/>
    <col min="6405" max="6405" width="13.21875" style="38" customWidth="1"/>
    <col min="6406" max="6406" width="14.21875" style="38" customWidth="1"/>
    <col min="6407" max="6407" width="12.21875" style="38" customWidth="1"/>
    <col min="6408" max="6656" width="9.21875" style="38" customWidth="1"/>
    <col min="6657" max="6657" width="8.21875" style="38" customWidth="1"/>
    <col min="6658" max="6658" width="70.44140625" style="38" bestFit="1" customWidth="1"/>
    <col min="6659" max="6659" width="11.44140625" style="38" customWidth="1"/>
    <col min="6660" max="6660" width="10.44140625" style="38" customWidth="1"/>
    <col min="6661" max="6661" width="13.21875" style="38" customWidth="1"/>
    <col min="6662" max="6662" width="14.21875" style="38" customWidth="1"/>
    <col min="6663" max="6663" width="12.21875" style="38" customWidth="1"/>
    <col min="6664" max="6912" width="9.21875" style="38" customWidth="1"/>
    <col min="6913" max="6913" width="8.21875" style="38" customWidth="1"/>
    <col min="6914" max="6914" width="70.44140625" style="38" bestFit="1" customWidth="1"/>
    <col min="6915" max="6915" width="11.44140625" style="38" customWidth="1"/>
    <col min="6916" max="6916" width="10.44140625" style="38" customWidth="1"/>
    <col min="6917" max="6917" width="13.21875" style="38" customWidth="1"/>
    <col min="6918" max="6918" width="14.21875" style="38" customWidth="1"/>
    <col min="6919" max="6919" width="12.21875" style="38" customWidth="1"/>
    <col min="6920" max="7168" width="9.21875" style="38" customWidth="1"/>
    <col min="7169" max="7169" width="8.21875" style="38" customWidth="1"/>
    <col min="7170" max="7170" width="70.44140625" style="38" bestFit="1" customWidth="1"/>
    <col min="7171" max="7171" width="11.44140625" style="38" customWidth="1"/>
    <col min="7172" max="7172" width="10.44140625" style="38" customWidth="1"/>
    <col min="7173" max="7173" width="13.21875" style="38" customWidth="1"/>
    <col min="7174" max="7174" width="14.21875" style="38" customWidth="1"/>
    <col min="7175" max="7175" width="12.21875" style="38" customWidth="1"/>
    <col min="7176" max="7424" width="9.21875" style="38" customWidth="1"/>
    <col min="7425" max="7425" width="8.21875" style="38" customWidth="1"/>
    <col min="7426" max="7426" width="70.44140625" style="38" bestFit="1" customWidth="1"/>
    <col min="7427" max="7427" width="11.44140625" style="38" customWidth="1"/>
    <col min="7428" max="7428" width="10.44140625" style="38" customWidth="1"/>
    <col min="7429" max="7429" width="13.21875" style="38" customWidth="1"/>
    <col min="7430" max="7430" width="14.21875" style="38" customWidth="1"/>
    <col min="7431" max="7431" width="12.21875" style="38" customWidth="1"/>
    <col min="7432" max="7680" width="9.21875" style="38" customWidth="1"/>
    <col min="7681" max="7681" width="8.21875" style="38" customWidth="1"/>
    <col min="7682" max="7682" width="70.44140625" style="38" bestFit="1" customWidth="1"/>
    <col min="7683" max="7683" width="11.44140625" style="38" customWidth="1"/>
    <col min="7684" max="7684" width="10.44140625" style="38" customWidth="1"/>
    <col min="7685" max="7685" width="13.21875" style="38" customWidth="1"/>
    <col min="7686" max="7686" width="14.21875" style="38" customWidth="1"/>
    <col min="7687" max="7687" width="12.21875" style="38" customWidth="1"/>
    <col min="7688" max="7936" width="9.21875" style="38" customWidth="1"/>
    <col min="7937" max="7937" width="8.21875" style="38" customWidth="1"/>
    <col min="7938" max="7938" width="70.44140625" style="38" bestFit="1" customWidth="1"/>
    <col min="7939" max="7939" width="11.44140625" style="38" customWidth="1"/>
    <col min="7940" max="7940" width="10.44140625" style="38" customWidth="1"/>
    <col min="7941" max="7941" width="13.21875" style="38" customWidth="1"/>
    <col min="7942" max="7942" width="14.21875" style="38" customWidth="1"/>
    <col min="7943" max="7943" width="12.21875" style="38" customWidth="1"/>
    <col min="7944" max="8192" width="9.21875" style="38" customWidth="1"/>
    <col min="8193" max="8193" width="8.21875" style="38" customWidth="1"/>
    <col min="8194" max="8194" width="70.44140625" style="38" bestFit="1" customWidth="1"/>
    <col min="8195" max="8195" width="11.44140625" style="38" customWidth="1"/>
    <col min="8196" max="8196" width="10.44140625" style="38" customWidth="1"/>
    <col min="8197" max="8197" width="13.21875" style="38" customWidth="1"/>
    <col min="8198" max="8198" width="14.21875" style="38" customWidth="1"/>
    <col min="8199" max="8199" width="12.21875" style="38" customWidth="1"/>
    <col min="8200" max="8448" width="9.21875" style="38" customWidth="1"/>
    <col min="8449" max="8449" width="8.21875" style="38" customWidth="1"/>
    <col min="8450" max="8450" width="70.44140625" style="38" bestFit="1" customWidth="1"/>
    <col min="8451" max="8451" width="11.44140625" style="38" customWidth="1"/>
    <col min="8452" max="8452" width="10.44140625" style="38" customWidth="1"/>
    <col min="8453" max="8453" width="13.21875" style="38" customWidth="1"/>
    <col min="8454" max="8454" width="14.21875" style="38" customWidth="1"/>
    <col min="8455" max="8455" width="12.21875" style="38" customWidth="1"/>
    <col min="8456" max="8704" width="9.21875" style="38" customWidth="1"/>
    <col min="8705" max="8705" width="8.21875" style="38" customWidth="1"/>
    <col min="8706" max="8706" width="70.44140625" style="38" bestFit="1" customWidth="1"/>
    <col min="8707" max="8707" width="11.44140625" style="38" customWidth="1"/>
    <col min="8708" max="8708" width="10.44140625" style="38" customWidth="1"/>
    <col min="8709" max="8709" width="13.21875" style="38" customWidth="1"/>
    <col min="8710" max="8710" width="14.21875" style="38" customWidth="1"/>
    <col min="8711" max="8711" width="12.21875" style="38" customWidth="1"/>
    <col min="8712" max="8960" width="9.21875" style="38" customWidth="1"/>
    <col min="8961" max="8961" width="8.21875" style="38" customWidth="1"/>
    <col min="8962" max="8962" width="70.44140625" style="38" bestFit="1" customWidth="1"/>
    <col min="8963" max="8963" width="11.44140625" style="38" customWidth="1"/>
    <col min="8964" max="8964" width="10.44140625" style="38" customWidth="1"/>
    <col min="8965" max="8965" width="13.21875" style="38" customWidth="1"/>
    <col min="8966" max="8966" width="14.21875" style="38" customWidth="1"/>
    <col min="8967" max="8967" width="12.21875" style="38" customWidth="1"/>
    <col min="8968" max="9216" width="9.21875" style="38" customWidth="1"/>
    <col min="9217" max="9217" width="8.21875" style="38" customWidth="1"/>
    <col min="9218" max="9218" width="70.44140625" style="38" bestFit="1" customWidth="1"/>
    <col min="9219" max="9219" width="11.44140625" style="38" customWidth="1"/>
    <col min="9220" max="9220" width="10.44140625" style="38" customWidth="1"/>
    <col min="9221" max="9221" width="13.21875" style="38" customWidth="1"/>
    <col min="9222" max="9222" width="14.21875" style="38" customWidth="1"/>
    <col min="9223" max="9223" width="12.21875" style="38" customWidth="1"/>
    <col min="9224" max="9472" width="9.21875" style="38" customWidth="1"/>
    <col min="9473" max="9473" width="8.21875" style="38" customWidth="1"/>
    <col min="9474" max="9474" width="70.44140625" style="38" bestFit="1" customWidth="1"/>
    <col min="9475" max="9475" width="11.44140625" style="38" customWidth="1"/>
    <col min="9476" max="9476" width="10.44140625" style="38" customWidth="1"/>
    <col min="9477" max="9477" width="13.21875" style="38" customWidth="1"/>
    <col min="9478" max="9478" width="14.21875" style="38" customWidth="1"/>
    <col min="9479" max="9479" width="12.21875" style="38" customWidth="1"/>
    <col min="9480" max="9728" width="9.21875" style="38" customWidth="1"/>
    <col min="9729" max="9729" width="8.21875" style="38" customWidth="1"/>
    <col min="9730" max="9730" width="70.44140625" style="38" bestFit="1" customWidth="1"/>
    <col min="9731" max="9731" width="11.44140625" style="38" customWidth="1"/>
    <col min="9732" max="9732" width="10.44140625" style="38" customWidth="1"/>
    <col min="9733" max="9733" width="13.21875" style="38" customWidth="1"/>
    <col min="9734" max="9734" width="14.21875" style="38" customWidth="1"/>
    <col min="9735" max="9735" width="12.21875" style="38" customWidth="1"/>
    <col min="9736" max="9984" width="9.21875" style="38" customWidth="1"/>
    <col min="9985" max="9985" width="8.21875" style="38" customWidth="1"/>
    <col min="9986" max="9986" width="70.44140625" style="38" bestFit="1" customWidth="1"/>
    <col min="9987" max="9987" width="11.44140625" style="38" customWidth="1"/>
    <col min="9988" max="9988" width="10.44140625" style="38" customWidth="1"/>
    <col min="9989" max="9989" width="13.21875" style="38" customWidth="1"/>
    <col min="9990" max="9990" width="14.21875" style="38" customWidth="1"/>
    <col min="9991" max="9991" width="12.21875" style="38" customWidth="1"/>
    <col min="9992" max="10240" width="9.21875" style="38" customWidth="1"/>
    <col min="10241" max="10241" width="8.21875" style="38" customWidth="1"/>
    <col min="10242" max="10242" width="70.44140625" style="38" bestFit="1" customWidth="1"/>
    <col min="10243" max="10243" width="11.44140625" style="38" customWidth="1"/>
    <col min="10244" max="10244" width="10.44140625" style="38" customWidth="1"/>
    <col min="10245" max="10245" width="13.21875" style="38" customWidth="1"/>
    <col min="10246" max="10246" width="14.21875" style="38" customWidth="1"/>
    <col min="10247" max="10247" width="12.21875" style="38" customWidth="1"/>
    <col min="10248" max="10496" width="9.21875" style="38" customWidth="1"/>
    <col min="10497" max="10497" width="8.21875" style="38" customWidth="1"/>
    <col min="10498" max="10498" width="70.44140625" style="38" bestFit="1" customWidth="1"/>
    <col min="10499" max="10499" width="11.44140625" style="38" customWidth="1"/>
    <col min="10500" max="10500" width="10.44140625" style="38" customWidth="1"/>
    <col min="10501" max="10501" width="13.21875" style="38" customWidth="1"/>
    <col min="10502" max="10502" width="14.21875" style="38" customWidth="1"/>
    <col min="10503" max="10503" width="12.21875" style="38" customWidth="1"/>
    <col min="10504" max="10752" width="9.21875" style="38" customWidth="1"/>
    <col min="10753" max="10753" width="8.21875" style="38" customWidth="1"/>
    <col min="10754" max="10754" width="70.44140625" style="38" bestFit="1" customWidth="1"/>
    <col min="10755" max="10755" width="11.44140625" style="38" customWidth="1"/>
    <col min="10756" max="10756" width="10.44140625" style="38" customWidth="1"/>
    <col min="10757" max="10757" width="13.21875" style="38" customWidth="1"/>
    <col min="10758" max="10758" width="14.21875" style="38" customWidth="1"/>
    <col min="10759" max="10759" width="12.21875" style="38" customWidth="1"/>
    <col min="10760" max="11008" width="9.21875" style="38" customWidth="1"/>
    <col min="11009" max="11009" width="8.21875" style="38" customWidth="1"/>
    <col min="11010" max="11010" width="70.44140625" style="38" bestFit="1" customWidth="1"/>
    <col min="11011" max="11011" width="11.44140625" style="38" customWidth="1"/>
    <col min="11012" max="11012" width="10.44140625" style="38" customWidth="1"/>
    <col min="11013" max="11013" width="13.21875" style="38" customWidth="1"/>
    <col min="11014" max="11014" width="14.21875" style="38" customWidth="1"/>
    <col min="11015" max="11015" width="12.21875" style="38" customWidth="1"/>
    <col min="11016" max="11264" width="9.21875" style="38" customWidth="1"/>
    <col min="11265" max="11265" width="8.21875" style="38" customWidth="1"/>
    <col min="11266" max="11266" width="70.44140625" style="38" bestFit="1" customWidth="1"/>
    <col min="11267" max="11267" width="11.44140625" style="38" customWidth="1"/>
    <col min="11268" max="11268" width="10.44140625" style="38" customWidth="1"/>
    <col min="11269" max="11269" width="13.21875" style="38" customWidth="1"/>
    <col min="11270" max="11270" width="14.21875" style="38" customWidth="1"/>
    <col min="11271" max="11271" width="12.21875" style="38" customWidth="1"/>
    <col min="11272" max="11520" width="9.21875" style="38" customWidth="1"/>
    <col min="11521" max="11521" width="8.21875" style="38" customWidth="1"/>
    <col min="11522" max="11522" width="70.44140625" style="38" bestFit="1" customWidth="1"/>
    <col min="11523" max="11523" width="11.44140625" style="38" customWidth="1"/>
    <col min="11524" max="11524" width="10.44140625" style="38" customWidth="1"/>
    <col min="11525" max="11525" width="13.21875" style="38" customWidth="1"/>
    <col min="11526" max="11526" width="14.21875" style="38" customWidth="1"/>
    <col min="11527" max="11527" width="12.21875" style="38" customWidth="1"/>
    <col min="11528" max="11776" width="9.21875" style="38" customWidth="1"/>
    <col min="11777" max="11777" width="8.21875" style="38" customWidth="1"/>
    <col min="11778" max="11778" width="70.44140625" style="38" bestFit="1" customWidth="1"/>
    <col min="11779" max="11779" width="11.44140625" style="38" customWidth="1"/>
    <col min="11780" max="11780" width="10.44140625" style="38" customWidth="1"/>
    <col min="11781" max="11781" width="13.21875" style="38" customWidth="1"/>
    <col min="11782" max="11782" width="14.21875" style="38" customWidth="1"/>
    <col min="11783" max="11783" width="12.21875" style="38" customWidth="1"/>
    <col min="11784" max="12032" width="9.21875" style="38" customWidth="1"/>
    <col min="12033" max="12033" width="8.21875" style="38" customWidth="1"/>
    <col min="12034" max="12034" width="70.44140625" style="38" bestFit="1" customWidth="1"/>
    <col min="12035" max="12035" width="11.44140625" style="38" customWidth="1"/>
    <col min="12036" max="12036" width="10.44140625" style="38" customWidth="1"/>
    <col min="12037" max="12037" width="13.21875" style="38" customWidth="1"/>
    <col min="12038" max="12038" width="14.21875" style="38" customWidth="1"/>
    <col min="12039" max="12039" width="12.21875" style="38" customWidth="1"/>
    <col min="12040" max="12288" width="9.21875" style="38" customWidth="1"/>
    <col min="12289" max="12289" width="8.21875" style="38" customWidth="1"/>
    <col min="12290" max="12290" width="70.44140625" style="38" bestFit="1" customWidth="1"/>
    <col min="12291" max="12291" width="11.44140625" style="38" customWidth="1"/>
    <col min="12292" max="12292" width="10.44140625" style="38" customWidth="1"/>
    <col min="12293" max="12293" width="13.21875" style="38" customWidth="1"/>
    <col min="12294" max="12294" width="14.21875" style="38" customWidth="1"/>
    <col min="12295" max="12295" width="12.21875" style="38" customWidth="1"/>
    <col min="12296" max="12544" width="9.21875" style="38" customWidth="1"/>
    <col min="12545" max="12545" width="8.21875" style="38" customWidth="1"/>
    <col min="12546" max="12546" width="70.44140625" style="38" bestFit="1" customWidth="1"/>
    <col min="12547" max="12547" width="11.44140625" style="38" customWidth="1"/>
    <col min="12548" max="12548" width="10.44140625" style="38" customWidth="1"/>
    <col min="12549" max="12549" width="13.21875" style="38" customWidth="1"/>
    <col min="12550" max="12550" width="14.21875" style="38" customWidth="1"/>
    <col min="12551" max="12551" width="12.21875" style="38" customWidth="1"/>
    <col min="12552" max="12800" width="9.21875" style="38" customWidth="1"/>
    <col min="12801" max="12801" width="8.21875" style="38" customWidth="1"/>
    <col min="12802" max="12802" width="70.44140625" style="38" bestFit="1" customWidth="1"/>
    <col min="12803" max="12803" width="11.44140625" style="38" customWidth="1"/>
    <col min="12804" max="12804" width="10.44140625" style="38" customWidth="1"/>
    <col min="12805" max="12805" width="13.21875" style="38" customWidth="1"/>
    <col min="12806" max="12806" width="14.21875" style="38" customWidth="1"/>
    <col min="12807" max="12807" width="12.21875" style="38" customWidth="1"/>
    <col min="12808" max="13056" width="9.21875" style="38" customWidth="1"/>
    <col min="13057" max="13057" width="8.21875" style="38" customWidth="1"/>
    <col min="13058" max="13058" width="70.44140625" style="38" bestFit="1" customWidth="1"/>
    <col min="13059" max="13059" width="11.44140625" style="38" customWidth="1"/>
    <col min="13060" max="13060" width="10.44140625" style="38" customWidth="1"/>
    <col min="13061" max="13061" width="13.21875" style="38" customWidth="1"/>
    <col min="13062" max="13062" width="14.21875" style="38" customWidth="1"/>
    <col min="13063" max="13063" width="12.21875" style="38" customWidth="1"/>
    <col min="13064" max="13312" width="9.21875" style="38" customWidth="1"/>
    <col min="13313" max="13313" width="8.21875" style="38" customWidth="1"/>
    <col min="13314" max="13314" width="70.44140625" style="38" bestFit="1" customWidth="1"/>
    <col min="13315" max="13315" width="11.44140625" style="38" customWidth="1"/>
    <col min="13316" max="13316" width="10.44140625" style="38" customWidth="1"/>
    <col min="13317" max="13317" width="13.21875" style="38" customWidth="1"/>
    <col min="13318" max="13318" width="14.21875" style="38" customWidth="1"/>
    <col min="13319" max="13319" width="12.21875" style="38" customWidth="1"/>
    <col min="13320" max="13568" width="9.21875" style="38" customWidth="1"/>
    <col min="13569" max="13569" width="8.21875" style="38" customWidth="1"/>
    <col min="13570" max="13570" width="70.44140625" style="38" bestFit="1" customWidth="1"/>
    <col min="13571" max="13571" width="11.44140625" style="38" customWidth="1"/>
    <col min="13572" max="13572" width="10.44140625" style="38" customWidth="1"/>
    <col min="13573" max="13573" width="13.21875" style="38" customWidth="1"/>
    <col min="13574" max="13574" width="14.21875" style="38" customWidth="1"/>
    <col min="13575" max="13575" width="12.21875" style="38" customWidth="1"/>
    <col min="13576" max="13824" width="9.21875" style="38" customWidth="1"/>
    <col min="13825" max="13825" width="8.21875" style="38" customWidth="1"/>
    <col min="13826" max="13826" width="70.44140625" style="38" bestFit="1" customWidth="1"/>
    <col min="13827" max="13827" width="11.44140625" style="38" customWidth="1"/>
    <col min="13828" max="13828" width="10.44140625" style="38" customWidth="1"/>
    <col min="13829" max="13829" width="13.21875" style="38" customWidth="1"/>
    <col min="13830" max="13830" width="14.21875" style="38" customWidth="1"/>
    <col min="13831" max="13831" width="12.21875" style="38" customWidth="1"/>
    <col min="13832" max="14080" width="9.21875" style="38" customWidth="1"/>
    <col min="14081" max="14081" width="8.21875" style="38" customWidth="1"/>
    <col min="14082" max="14082" width="70.44140625" style="38" bestFit="1" customWidth="1"/>
    <col min="14083" max="14083" width="11.44140625" style="38" customWidth="1"/>
    <col min="14084" max="14084" width="10.44140625" style="38" customWidth="1"/>
    <col min="14085" max="14085" width="13.21875" style="38" customWidth="1"/>
    <col min="14086" max="14086" width="14.21875" style="38" customWidth="1"/>
    <col min="14087" max="14087" width="12.21875" style="38" customWidth="1"/>
    <col min="14088" max="14336" width="9.21875" style="38" customWidth="1"/>
    <col min="14337" max="14337" width="8.21875" style="38" customWidth="1"/>
    <col min="14338" max="14338" width="70.44140625" style="38" bestFit="1" customWidth="1"/>
    <col min="14339" max="14339" width="11.44140625" style="38" customWidth="1"/>
    <col min="14340" max="14340" width="10.44140625" style="38" customWidth="1"/>
    <col min="14341" max="14341" width="13.21875" style="38" customWidth="1"/>
    <col min="14342" max="14342" width="14.21875" style="38" customWidth="1"/>
    <col min="14343" max="14343" width="12.21875" style="38" customWidth="1"/>
    <col min="14344" max="14592" width="9.21875" style="38" customWidth="1"/>
    <col min="14593" max="14593" width="8.21875" style="38" customWidth="1"/>
    <col min="14594" max="14594" width="70.44140625" style="38" bestFit="1" customWidth="1"/>
    <col min="14595" max="14595" width="11.44140625" style="38" customWidth="1"/>
    <col min="14596" max="14596" width="10.44140625" style="38" customWidth="1"/>
    <col min="14597" max="14597" width="13.21875" style="38" customWidth="1"/>
    <col min="14598" max="14598" width="14.21875" style="38" customWidth="1"/>
    <col min="14599" max="14599" width="12.21875" style="38" customWidth="1"/>
    <col min="14600" max="14848" width="9.21875" style="38" customWidth="1"/>
    <col min="14849" max="14849" width="8.21875" style="38" customWidth="1"/>
    <col min="14850" max="14850" width="70.44140625" style="38" bestFit="1" customWidth="1"/>
    <col min="14851" max="14851" width="11.44140625" style="38" customWidth="1"/>
    <col min="14852" max="14852" width="10.44140625" style="38" customWidth="1"/>
    <col min="14853" max="14853" width="13.21875" style="38" customWidth="1"/>
    <col min="14854" max="14854" width="14.21875" style="38" customWidth="1"/>
    <col min="14855" max="14855" width="12.21875" style="38" customWidth="1"/>
    <col min="14856" max="15104" width="9.21875" style="38" customWidth="1"/>
    <col min="15105" max="15105" width="8.21875" style="38" customWidth="1"/>
    <col min="15106" max="15106" width="70.44140625" style="38" bestFit="1" customWidth="1"/>
    <col min="15107" max="15107" width="11.44140625" style="38" customWidth="1"/>
    <col min="15108" max="15108" width="10.44140625" style="38" customWidth="1"/>
    <col min="15109" max="15109" width="13.21875" style="38" customWidth="1"/>
    <col min="15110" max="15110" width="14.21875" style="38" customWidth="1"/>
    <col min="15111" max="15111" width="12.21875" style="38" customWidth="1"/>
    <col min="15112" max="15360" width="9.21875" style="38" customWidth="1"/>
    <col min="15361" max="15361" width="8.21875" style="38" customWidth="1"/>
    <col min="15362" max="15362" width="70.44140625" style="38" bestFit="1" customWidth="1"/>
    <col min="15363" max="15363" width="11.44140625" style="38" customWidth="1"/>
    <col min="15364" max="15364" width="10.44140625" style="38" customWidth="1"/>
    <col min="15365" max="15365" width="13.21875" style="38" customWidth="1"/>
    <col min="15366" max="15366" width="14.21875" style="38" customWidth="1"/>
    <col min="15367" max="15367" width="12.21875" style="38" customWidth="1"/>
    <col min="15368" max="15616" width="9.21875" style="38" customWidth="1"/>
    <col min="15617" max="15617" width="8.21875" style="38" customWidth="1"/>
    <col min="15618" max="15618" width="70.44140625" style="38" bestFit="1" customWidth="1"/>
    <col min="15619" max="15619" width="11.44140625" style="38" customWidth="1"/>
    <col min="15620" max="15620" width="10.44140625" style="38" customWidth="1"/>
    <col min="15621" max="15621" width="13.21875" style="38" customWidth="1"/>
    <col min="15622" max="15622" width="14.21875" style="38" customWidth="1"/>
    <col min="15623" max="15623" width="12.21875" style="38" customWidth="1"/>
    <col min="15624" max="15872" width="9.21875" style="38" customWidth="1"/>
    <col min="15873" max="15873" width="8.21875" style="38" customWidth="1"/>
    <col min="15874" max="15874" width="70.44140625" style="38" bestFit="1" customWidth="1"/>
    <col min="15875" max="15875" width="11.44140625" style="38" customWidth="1"/>
    <col min="15876" max="15876" width="10.44140625" style="38" customWidth="1"/>
    <col min="15877" max="15877" width="13.21875" style="38" customWidth="1"/>
    <col min="15878" max="15878" width="14.21875" style="38" customWidth="1"/>
    <col min="15879" max="15879" width="12.21875" style="38" customWidth="1"/>
    <col min="15880" max="16128" width="9.21875" style="38" customWidth="1"/>
    <col min="16129" max="16129" width="8.21875" style="38" customWidth="1"/>
    <col min="16130" max="16130" width="70.44140625" style="38" bestFit="1" customWidth="1"/>
    <col min="16131" max="16131" width="11.44140625" style="38" customWidth="1"/>
    <col min="16132" max="16132" width="10.44140625" style="38" customWidth="1"/>
    <col min="16133" max="16133" width="13.21875" style="38" customWidth="1"/>
    <col min="16134" max="16134" width="14.21875" style="38" customWidth="1"/>
    <col min="16135" max="16135" width="12.21875" style="38" customWidth="1"/>
    <col min="16136" max="16384" width="9.21875" style="38" customWidth="1"/>
  </cols>
  <sheetData>
    <row r="1" spans="1:9" ht="10.5" customHeight="1" x14ac:dyDescent="0.2">
      <c r="B1" s="39" t="s">
        <v>0</v>
      </c>
    </row>
    <row r="2" spans="1:9" ht="10.5" customHeight="1" x14ac:dyDescent="0.2">
      <c r="B2" s="39" t="s">
        <v>1</v>
      </c>
    </row>
    <row r="3" spans="1:9" x14ac:dyDescent="0.2">
      <c r="B3" s="38" t="s">
        <v>2</v>
      </c>
    </row>
    <row r="4" spans="1:9" ht="13.8" customHeight="1" x14ac:dyDescent="0.25">
      <c r="A4" s="42" t="s">
        <v>3</v>
      </c>
      <c r="B4" s="43"/>
      <c r="I4" s="473" t="s">
        <v>912</v>
      </c>
    </row>
    <row r="5" spans="1:9" ht="10.8" customHeight="1" thickBot="1" x14ac:dyDescent="0.25">
      <c r="A5" s="42"/>
      <c r="C5" s="42"/>
      <c r="D5" s="42"/>
      <c r="E5" s="44"/>
      <c r="F5" s="44"/>
    </row>
    <row r="6" spans="1:9" ht="10.5" customHeight="1" x14ac:dyDescent="0.2">
      <c r="A6" s="42"/>
      <c r="B6" s="144" t="s">
        <v>1190</v>
      </c>
      <c r="C6" s="145"/>
      <c r="D6" s="42"/>
      <c r="E6" s="44"/>
      <c r="F6" s="44"/>
    </row>
    <row r="7" spans="1:9" ht="10.5" customHeight="1" x14ac:dyDescent="0.2">
      <c r="A7" s="42"/>
      <c r="B7" s="95" t="s">
        <v>1191</v>
      </c>
      <c r="C7" s="146"/>
      <c r="D7" s="42"/>
      <c r="E7" s="44"/>
      <c r="F7" s="44"/>
      <c r="I7" s="457" t="s">
        <v>1192</v>
      </c>
    </row>
    <row r="8" spans="1:9" ht="10.5" customHeight="1" x14ac:dyDescent="0.2">
      <c r="A8" s="42"/>
      <c r="B8" s="235" t="s">
        <v>1193</v>
      </c>
      <c r="C8" s="152">
        <v>21</v>
      </c>
      <c r="D8" s="42"/>
      <c r="E8" s="44"/>
      <c r="F8" s="44"/>
      <c r="I8" s="457" t="s">
        <v>1192</v>
      </c>
    </row>
    <row r="9" spans="1:9" ht="10.5" customHeight="1" x14ac:dyDescent="0.2">
      <c r="A9" s="42"/>
      <c r="B9" s="235" t="s">
        <v>1194</v>
      </c>
      <c r="C9" s="152">
        <v>7</v>
      </c>
      <c r="D9" s="42"/>
      <c r="E9" s="44"/>
      <c r="F9" s="44"/>
      <c r="I9" s="457" t="s">
        <v>1192</v>
      </c>
    </row>
    <row r="10" spans="1:9" ht="10.8" customHeight="1" thickBot="1" x14ac:dyDescent="0.25">
      <c r="A10" s="42"/>
      <c r="B10" s="147" t="s">
        <v>1195</v>
      </c>
      <c r="C10" s="152">
        <v>210</v>
      </c>
      <c r="D10" s="42"/>
      <c r="E10" s="44"/>
      <c r="F10" s="44"/>
      <c r="I10" s="457" t="s">
        <v>1192</v>
      </c>
    </row>
    <row r="11" spans="1:9" ht="10.8" customHeight="1" thickBot="1" x14ac:dyDescent="0.25">
      <c r="A11" s="42"/>
      <c r="C11" s="42"/>
      <c r="D11" s="42"/>
      <c r="E11" s="44"/>
      <c r="F11" s="44"/>
    </row>
    <row r="12" spans="1:9" ht="18" customHeight="1" thickBot="1" x14ac:dyDescent="0.35">
      <c r="A12" s="42"/>
      <c r="B12" s="505" t="s">
        <v>1196</v>
      </c>
      <c r="C12" s="502"/>
      <c r="D12" s="502"/>
      <c r="E12" s="502"/>
      <c r="F12" s="503"/>
    </row>
    <row r="13" spans="1:9" ht="10.8" customHeight="1" thickBot="1" x14ac:dyDescent="0.25">
      <c r="A13" s="42"/>
      <c r="C13" s="42" t="s">
        <v>776</v>
      </c>
      <c r="D13" s="42" t="s">
        <v>932</v>
      </c>
      <c r="E13" s="44" t="s">
        <v>933</v>
      </c>
      <c r="F13" s="44" t="s">
        <v>934</v>
      </c>
    </row>
    <row r="14" spans="1:9" ht="10.8" customHeight="1" thickBot="1" x14ac:dyDescent="0.25">
      <c r="A14" s="42"/>
      <c r="B14" s="45" t="s">
        <v>1197</v>
      </c>
      <c r="C14" s="130" t="s">
        <v>21</v>
      </c>
      <c r="D14" s="130">
        <v>1</v>
      </c>
      <c r="E14" s="134">
        <f>E17/$C$10</f>
        <v>132.96342857142858</v>
      </c>
      <c r="F14" s="136">
        <f>D14*E14</f>
        <v>132.96342857142858</v>
      </c>
      <c r="I14" s="475" t="s">
        <v>1192</v>
      </c>
    </row>
    <row r="15" spans="1:9" ht="10.5" customHeight="1" x14ac:dyDescent="0.2">
      <c r="A15" s="42"/>
      <c r="B15" s="161" t="s">
        <v>1198</v>
      </c>
      <c r="C15" s="133" t="s">
        <v>8</v>
      </c>
      <c r="D15" s="127">
        <v>1</v>
      </c>
      <c r="E15" s="128">
        <f>E17/$C$8</f>
        <v>1329.6342857142856</v>
      </c>
      <c r="F15" s="137">
        <f>D15*E15</f>
        <v>1329.6342857142856</v>
      </c>
      <c r="I15" s="41"/>
    </row>
    <row r="16" spans="1:9" ht="10.5" customHeight="1" x14ac:dyDescent="0.2">
      <c r="A16" s="42"/>
      <c r="B16" s="162" t="str">
        <f>B14</f>
        <v>TRADESMAN_LEADING HAND</v>
      </c>
      <c r="C16" s="133" t="s">
        <v>291</v>
      </c>
      <c r="D16" s="127">
        <v>1</v>
      </c>
      <c r="E16" s="128">
        <f>E17/4</f>
        <v>6980.58</v>
      </c>
      <c r="F16" s="137">
        <f>D16*E16</f>
        <v>6980.58</v>
      </c>
      <c r="I16" s="41"/>
    </row>
    <row r="17" spans="1:9" ht="10.8" customHeight="1" thickBot="1" x14ac:dyDescent="0.25">
      <c r="A17" s="42"/>
      <c r="B17" s="162"/>
      <c r="C17" s="133" t="s">
        <v>1199</v>
      </c>
      <c r="D17" s="132">
        <v>1</v>
      </c>
      <c r="E17" s="135">
        <v>27922.32</v>
      </c>
      <c r="F17" s="137">
        <f>D17*E17</f>
        <v>27922.32</v>
      </c>
      <c r="I17" s="475" t="s">
        <v>1200</v>
      </c>
    </row>
    <row r="18" spans="1:9" ht="10.5" customHeight="1" x14ac:dyDescent="0.2">
      <c r="A18" s="42"/>
      <c r="B18" s="95"/>
      <c r="C18" s="50"/>
      <c r="E18" s="138"/>
      <c r="F18" s="163"/>
      <c r="I18" s="41"/>
    </row>
    <row r="19" spans="1:9" ht="10.8" customHeight="1" thickBot="1" x14ac:dyDescent="0.25">
      <c r="A19" s="42"/>
      <c r="B19" s="147" t="s">
        <v>1201</v>
      </c>
      <c r="C19" s="166">
        <f>COUNTA(B16,B17,B18)</f>
        <v>1</v>
      </c>
      <c r="D19" s="164"/>
      <c r="E19" s="49"/>
      <c r="F19" s="165"/>
      <c r="I19" s="41"/>
    </row>
    <row r="20" spans="1:9" ht="10.8" customHeight="1" thickBot="1" x14ac:dyDescent="0.25">
      <c r="A20" s="42"/>
      <c r="B20" s="39"/>
      <c r="E20" s="138"/>
      <c r="I20" s="41"/>
    </row>
    <row r="21" spans="1:9" ht="10.8" customHeight="1" thickBot="1" x14ac:dyDescent="0.25">
      <c r="A21" s="42"/>
      <c r="B21" s="45" t="s">
        <v>1202</v>
      </c>
      <c r="C21" s="130" t="s">
        <v>21</v>
      </c>
      <c r="D21" s="130">
        <v>1</v>
      </c>
      <c r="E21" s="134">
        <f>E24/$C$10</f>
        <v>101.6457906766917</v>
      </c>
      <c r="F21" s="136">
        <f>D21*E21</f>
        <v>101.6457906766917</v>
      </c>
      <c r="I21" s="475" t="s">
        <v>1192</v>
      </c>
    </row>
    <row r="22" spans="1:9" ht="10.5" customHeight="1" x14ac:dyDescent="0.2">
      <c r="A22" s="42"/>
      <c r="B22" s="161" t="s">
        <v>1198</v>
      </c>
      <c r="C22" s="133" t="s">
        <v>8</v>
      </c>
      <c r="D22" s="127">
        <v>1</v>
      </c>
      <c r="E22" s="128">
        <f>E24/$C$8</f>
        <v>1016.4579067669171</v>
      </c>
      <c r="F22" s="137">
        <f>D22*E22</f>
        <v>1016.4579067669171</v>
      </c>
      <c r="I22" s="41"/>
    </row>
    <row r="23" spans="1:9" ht="10.5" customHeight="1" x14ac:dyDescent="0.2">
      <c r="A23" s="42"/>
      <c r="B23" s="162" t="str">
        <f>B21</f>
        <v>TRADESMAN_PLUMBER_OPERATOR</v>
      </c>
      <c r="C23" s="133" t="s">
        <v>291</v>
      </c>
      <c r="D23" s="127">
        <v>1</v>
      </c>
      <c r="E23" s="128">
        <f>E24/4</f>
        <v>5336.4040105263148</v>
      </c>
      <c r="F23" s="137">
        <f>D23*E23</f>
        <v>5336.4040105263148</v>
      </c>
      <c r="I23" s="41"/>
    </row>
    <row r="24" spans="1:9" ht="10.8" customHeight="1" thickBot="1" x14ac:dyDescent="0.25">
      <c r="A24" s="42"/>
      <c r="B24" s="162"/>
      <c r="C24" s="131" t="s">
        <v>1199</v>
      </c>
      <c r="D24" s="132">
        <v>1</v>
      </c>
      <c r="E24" s="135">
        <v>21345.616042105259</v>
      </c>
      <c r="F24" s="137">
        <f>D24*E24</f>
        <v>21345.616042105259</v>
      </c>
      <c r="I24" s="475" t="s">
        <v>1203</v>
      </c>
    </row>
    <row r="25" spans="1:9" ht="10.5" customHeight="1" x14ac:dyDescent="0.2">
      <c r="A25" s="42"/>
      <c r="B25" s="95"/>
      <c r="E25" s="138"/>
      <c r="F25" s="163"/>
      <c r="I25" s="41"/>
    </row>
    <row r="26" spans="1:9" ht="10.8" customHeight="1" thickBot="1" x14ac:dyDescent="0.25">
      <c r="A26" s="42"/>
      <c r="B26" s="147" t="s">
        <v>1201</v>
      </c>
      <c r="C26" s="166">
        <f>COUNTA(B23,B24,B25)</f>
        <v>1</v>
      </c>
      <c r="D26" s="164"/>
      <c r="E26" s="49"/>
      <c r="F26" s="165"/>
      <c r="I26" s="41"/>
    </row>
    <row r="27" spans="1:9" ht="10.8" customHeight="1" thickBot="1" x14ac:dyDescent="0.25">
      <c r="A27" s="42"/>
      <c r="B27" s="153"/>
      <c r="I27" s="41"/>
    </row>
    <row r="28" spans="1:9" ht="10.8" customHeight="1" thickBot="1" x14ac:dyDescent="0.25">
      <c r="A28" s="42"/>
      <c r="B28" s="45" t="s">
        <v>1204</v>
      </c>
      <c r="C28" s="130" t="s">
        <v>21</v>
      </c>
      <c r="D28" s="130">
        <v>1</v>
      </c>
      <c r="E28" s="134">
        <f>E31/$C$10</f>
        <v>82.95102857142858</v>
      </c>
      <c r="F28" s="136">
        <f>D28*E28</f>
        <v>82.95102857142858</v>
      </c>
      <c r="I28" s="475" t="s">
        <v>1192</v>
      </c>
    </row>
    <row r="29" spans="1:9" ht="10.5" customHeight="1" x14ac:dyDescent="0.2">
      <c r="A29" s="42"/>
      <c r="B29" s="161" t="s">
        <v>1198</v>
      </c>
      <c r="C29" s="133" t="s">
        <v>8</v>
      </c>
      <c r="D29" s="127">
        <v>1</v>
      </c>
      <c r="E29" s="128">
        <f>E31/$C$8</f>
        <v>829.51028571428571</v>
      </c>
      <c r="F29" s="137">
        <f>D29*E29</f>
        <v>829.51028571428571</v>
      </c>
      <c r="I29" s="41"/>
    </row>
    <row r="30" spans="1:9" ht="10.5" customHeight="1" x14ac:dyDescent="0.2">
      <c r="A30" s="42"/>
      <c r="B30" s="162" t="str">
        <f>B28</f>
        <v>T/A &amp; Apprentice</v>
      </c>
      <c r="C30" s="133" t="s">
        <v>291</v>
      </c>
      <c r="D30" s="127">
        <v>1</v>
      </c>
      <c r="E30" s="128">
        <f>E31/4</f>
        <v>4354.9290000000001</v>
      </c>
      <c r="F30" s="137">
        <f>D30*E30</f>
        <v>4354.9290000000001</v>
      </c>
      <c r="I30" s="41"/>
    </row>
    <row r="31" spans="1:9" ht="10.8" customHeight="1" thickBot="1" x14ac:dyDescent="0.25">
      <c r="A31" s="42"/>
      <c r="B31" s="162"/>
      <c r="C31" s="131" t="s">
        <v>1199</v>
      </c>
      <c r="D31" s="132">
        <v>1</v>
      </c>
      <c r="E31" s="135">
        <v>17419.716</v>
      </c>
      <c r="F31" s="137">
        <f>D31*E31</f>
        <v>17419.716</v>
      </c>
      <c r="I31" s="475" t="s">
        <v>1205</v>
      </c>
    </row>
    <row r="32" spans="1:9" ht="10.5" customHeight="1" x14ac:dyDescent="0.2">
      <c r="A32" s="42"/>
      <c r="B32" s="95"/>
      <c r="E32" s="138"/>
      <c r="F32" s="163"/>
      <c r="I32" s="41"/>
    </row>
    <row r="33" spans="1:9" ht="10.8" customHeight="1" thickBot="1" x14ac:dyDescent="0.25">
      <c r="A33" s="42"/>
      <c r="B33" s="147" t="s">
        <v>1201</v>
      </c>
      <c r="C33" s="166">
        <f>COUNTA(B30,B31,B32)</f>
        <v>1</v>
      </c>
      <c r="D33" s="164"/>
      <c r="E33" s="49"/>
      <c r="F33" s="165"/>
      <c r="I33" s="41"/>
    </row>
    <row r="34" spans="1:9" ht="6" customHeight="1" x14ac:dyDescent="0.2">
      <c r="A34" s="42"/>
      <c r="B34" s="139"/>
      <c r="C34" s="140"/>
      <c r="D34" s="140"/>
      <c r="E34" s="141"/>
      <c r="F34" s="142"/>
      <c r="I34" s="41"/>
    </row>
    <row r="35" spans="1:9" ht="10.8" customHeight="1" thickBot="1" x14ac:dyDescent="0.25">
      <c r="A35" s="42"/>
      <c r="B35" s="39"/>
      <c r="E35" s="138"/>
      <c r="I35" s="41"/>
    </row>
    <row r="36" spans="1:9" ht="10.8" customHeight="1" thickBot="1" x14ac:dyDescent="0.25">
      <c r="A36" s="42"/>
      <c r="B36" s="45" t="s">
        <v>1206</v>
      </c>
      <c r="C36" s="130" t="s">
        <v>21</v>
      </c>
      <c r="D36" s="130">
        <v>1</v>
      </c>
      <c r="E36" s="265">
        <f>E39/$C$10</f>
        <v>286.24260992481197</v>
      </c>
      <c r="F36" s="136">
        <f>D36*E36</f>
        <v>286.24260992481197</v>
      </c>
      <c r="I36" s="41"/>
    </row>
    <row r="37" spans="1:9" ht="10.5" customHeight="1" x14ac:dyDescent="0.2">
      <c r="A37" s="42"/>
      <c r="B37" s="161" t="s">
        <v>1198</v>
      </c>
      <c r="C37" s="133" t="s">
        <v>8</v>
      </c>
      <c r="D37" s="127">
        <v>1</v>
      </c>
      <c r="E37" s="138">
        <f>E39/$C$8</f>
        <v>2862.42609924812</v>
      </c>
      <c r="F37" s="137">
        <f>D37*E37</f>
        <v>2862.42609924812</v>
      </c>
      <c r="I37" s="41"/>
    </row>
    <row r="38" spans="1:9" ht="10.5" customHeight="1" x14ac:dyDescent="0.2">
      <c r="A38" s="42"/>
      <c r="B38" s="162" t="str">
        <f>B21</f>
        <v>TRADESMAN_PLUMBER_OPERATOR</v>
      </c>
      <c r="C38" s="133" t="s">
        <v>291</v>
      </c>
      <c r="D38" s="127">
        <v>1</v>
      </c>
      <c r="E38" s="138">
        <f>E39/4</f>
        <v>15027.73702105263</v>
      </c>
      <c r="F38" s="137">
        <f>D38*E38</f>
        <v>15027.73702105263</v>
      </c>
      <c r="I38" s="41"/>
    </row>
    <row r="39" spans="1:9" ht="10.8" customHeight="1" thickBot="1" x14ac:dyDescent="0.25">
      <c r="A39" s="42"/>
      <c r="B39" s="162" t="str">
        <f>B21</f>
        <v>TRADESMAN_PLUMBER_OPERATOR</v>
      </c>
      <c r="C39" s="133" t="s">
        <v>1199</v>
      </c>
      <c r="D39" s="132">
        <v>1</v>
      </c>
      <c r="E39" s="266">
        <f>(E24*2)+E31</f>
        <v>60110.948084210519</v>
      </c>
      <c r="F39" s="137">
        <f>D39*E39</f>
        <v>60110.948084210519</v>
      </c>
      <c r="I39" s="41"/>
    </row>
    <row r="40" spans="1:9" ht="10.5" customHeight="1" x14ac:dyDescent="0.2">
      <c r="A40" s="42"/>
      <c r="B40" s="95" t="str">
        <f>B28</f>
        <v>T/A &amp; Apprentice</v>
      </c>
      <c r="C40" s="50"/>
      <c r="F40" s="163"/>
      <c r="I40" s="41"/>
    </row>
    <row r="41" spans="1:9" ht="10.8" customHeight="1" thickBot="1" x14ac:dyDescent="0.25">
      <c r="A41" s="42"/>
      <c r="B41" s="147" t="s">
        <v>1201</v>
      </c>
      <c r="C41" s="166">
        <f>COUNTA(B38,B39,B40)</f>
        <v>3</v>
      </c>
      <c r="D41" s="164"/>
      <c r="E41" s="49"/>
      <c r="F41" s="165"/>
      <c r="I41" s="41"/>
    </row>
    <row r="42" spans="1:9" ht="10.8" customHeight="1" thickBot="1" x14ac:dyDescent="0.25">
      <c r="A42" s="42"/>
      <c r="B42" s="153"/>
      <c r="I42" s="41"/>
    </row>
    <row r="43" spans="1:9" ht="10.8" customHeight="1" thickBot="1" x14ac:dyDescent="0.25">
      <c r="A43" s="42"/>
      <c r="B43" s="45" t="s">
        <v>1207</v>
      </c>
      <c r="C43" s="130" t="s">
        <v>21</v>
      </c>
      <c r="D43" s="130">
        <v>1</v>
      </c>
      <c r="E43" s="265">
        <f>E46/$C$10</f>
        <v>286.24260992481197</v>
      </c>
      <c r="F43" s="136">
        <f>D43*E43</f>
        <v>286.24260992481197</v>
      </c>
      <c r="I43" s="41"/>
    </row>
    <row r="44" spans="1:9" ht="10.5" customHeight="1" x14ac:dyDescent="0.2">
      <c r="A44" s="42"/>
      <c r="B44" s="161" t="s">
        <v>1198</v>
      </c>
      <c r="C44" s="133" t="s">
        <v>8</v>
      </c>
      <c r="D44" s="127">
        <v>1</v>
      </c>
      <c r="E44" s="138">
        <f>E46/$C$8</f>
        <v>2862.42609924812</v>
      </c>
      <c r="F44" s="137">
        <f>D44*E44</f>
        <v>2862.42609924812</v>
      </c>
      <c r="I44" s="41"/>
    </row>
    <row r="45" spans="1:9" ht="10.5" customHeight="1" x14ac:dyDescent="0.2">
      <c r="A45" s="42"/>
      <c r="B45" s="162" t="str">
        <f>B21</f>
        <v>TRADESMAN_PLUMBER_OPERATOR</v>
      </c>
      <c r="C45" s="133" t="s">
        <v>291</v>
      </c>
      <c r="D45" s="127">
        <v>1</v>
      </c>
      <c r="E45" s="138">
        <f>E46/4</f>
        <v>15027.73702105263</v>
      </c>
      <c r="F45" s="137">
        <f>D45*E45</f>
        <v>15027.73702105263</v>
      </c>
      <c r="I45" s="41"/>
    </row>
    <row r="46" spans="1:9" ht="10.8" customHeight="1" thickBot="1" x14ac:dyDescent="0.25">
      <c r="A46" s="42"/>
      <c r="B46" s="162" t="str">
        <f>B21</f>
        <v>TRADESMAN_PLUMBER_OPERATOR</v>
      </c>
      <c r="C46" s="133" t="s">
        <v>1199</v>
      </c>
      <c r="D46" s="132">
        <v>1</v>
      </c>
      <c r="E46" s="266">
        <f>(E24*2)+E31</f>
        <v>60110.948084210519</v>
      </c>
      <c r="F46" s="137">
        <f>D46*E46</f>
        <v>60110.948084210519</v>
      </c>
      <c r="I46" s="41"/>
    </row>
    <row r="47" spans="1:9" ht="10.5" customHeight="1" x14ac:dyDescent="0.2">
      <c r="A47" s="42"/>
      <c r="B47" s="95" t="str">
        <f>B28</f>
        <v>T/A &amp; Apprentice</v>
      </c>
      <c r="C47" s="50"/>
      <c r="F47" s="163"/>
      <c r="I47" s="41"/>
    </row>
    <row r="48" spans="1:9" ht="10.8" customHeight="1" thickBot="1" x14ac:dyDescent="0.25">
      <c r="A48" s="42"/>
      <c r="B48" s="147" t="s">
        <v>1201</v>
      </c>
      <c r="C48" s="166">
        <f>COUNTA(B45,B46,B47)</f>
        <v>3</v>
      </c>
      <c r="D48" s="164"/>
      <c r="E48" s="49"/>
      <c r="F48" s="165"/>
      <c r="I48" s="41"/>
    </row>
    <row r="49" spans="1:9" ht="10.5" customHeight="1" x14ac:dyDescent="0.2">
      <c r="A49" s="42"/>
      <c r="B49" s="153"/>
      <c r="C49" s="411"/>
      <c r="I49" s="41"/>
    </row>
    <row r="50" spans="1:9" ht="10.8" customHeight="1" thickBot="1" x14ac:dyDescent="0.25">
      <c r="A50" s="42"/>
      <c r="B50" s="153"/>
      <c r="I50" s="41"/>
    </row>
    <row r="51" spans="1:9" ht="10.8" customHeight="1" thickBot="1" x14ac:dyDescent="0.25">
      <c r="A51" s="42"/>
      <c r="B51" s="45" t="s">
        <v>1208</v>
      </c>
      <c r="C51" s="130" t="s">
        <v>21</v>
      </c>
      <c r="D51" s="130">
        <v>1</v>
      </c>
      <c r="E51" s="265">
        <f>E43</f>
        <v>286.24260992481197</v>
      </c>
      <c r="F51" s="136">
        <f>D51*E51</f>
        <v>286.24260992481197</v>
      </c>
      <c r="I51" s="41"/>
    </row>
    <row r="52" spans="1:9" ht="10.8" customHeight="1" thickBot="1" x14ac:dyDescent="0.25">
      <c r="A52" s="42"/>
      <c r="B52" s="161" t="str">
        <f>B44</f>
        <v>** for Roster Examples # 3</v>
      </c>
      <c r="C52" s="133" t="s">
        <v>8</v>
      </c>
      <c r="D52" s="127">
        <v>1</v>
      </c>
      <c r="E52" s="265">
        <f>E44</f>
        <v>2862.42609924812</v>
      </c>
      <c r="F52" s="137">
        <f>D52*E52</f>
        <v>2862.42609924812</v>
      </c>
      <c r="I52" s="41"/>
    </row>
    <row r="53" spans="1:9" ht="10.8" customHeight="1" thickBot="1" x14ac:dyDescent="0.25">
      <c r="A53" s="42"/>
      <c r="B53" s="412" t="str">
        <f>B45</f>
        <v>TRADESMAN_PLUMBER_OPERATOR</v>
      </c>
      <c r="C53" s="133" t="s">
        <v>291</v>
      </c>
      <c r="D53" s="127">
        <v>1</v>
      </c>
      <c r="E53" s="265">
        <f>E45</f>
        <v>15027.73702105263</v>
      </c>
      <c r="F53" s="137">
        <f>D53*E53</f>
        <v>15027.73702105263</v>
      </c>
      <c r="I53" s="41"/>
    </row>
    <row r="54" spans="1:9" ht="10.8" customHeight="1" thickBot="1" x14ac:dyDescent="0.25">
      <c r="A54" s="42"/>
      <c r="B54" s="412" t="str">
        <f>B46</f>
        <v>TRADESMAN_PLUMBER_OPERATOR</v>
      </c>
      <c r="C54" s="133" t="s">
        <v>1199</v>
      </c>
      <c r="D54" s="132">
        <v>1</v>
      </c>
      <c r="E54" s="265">
        <f>E46</f>
        <v>60110.948084210519</v>
      </c>
      <c r="F54" s="137">
        <f>D54*E54</f>
        <v>60110.948084210519</v>
      </c>
      <c r="I54" s="41"/>
    </row>
    <row r="55" spans="1:9" ht="10.5" customHeight="1" x14ac:dyDescent="0.2">
      <c r="A55" s="42"/>
      <c r="B55" s="412" t="str">
        <f>B47</f>
        <v>T/A &amp; Apprentice</v>
      </c>
      <c r="C55" s="50"/>
      <c r="F55" s="163"/>
      <c r="I55" s="41"/>
    </row>
    <row r="56" spans="1:9" ht="10.8" customHeight="1" thickBot="1" x14ac:dyDescent="0.25">
      <c r="A56" s="42"/>
      <c r="B56" s="147" t="s">
        <v>1201</v>
      </c>
      <c r="C56" s="166">
        <f>COUNTA(B53,B54,B55)</f>
        <v>3</v>
      </c>
      <c r="D56" s="164"/>
      <c r="E56" s="49"/>
      <c r="F56" s="165"/>
      <c r="I56" s="41"/>
    </row>
    <row r="57" spans="1:9" ht="10.5" customHeight="1" x14ac:dyDescent="0.2">
      <c r="A57" s="42"/>
      <c r="B57" s="153"/>
      <c r="C57" s="411"/>
      <c r="I57" s="41"/>
    </row>
    <row r="58" spans="1:9" ht="10.8" customHeight="1" thickBot="1" x14ac:dyDescent="0.25">
      <c r="A58" s="42"/>
      <c r="B58" s="153"/>
      <c r="I58" s="41"/>
    </row>
    <row r="59" spans="1:9" ht="10.8" customHeight="1" thickBot="1" x14ac:dyDescent="0.25">
      <c r="A59" s="42"/>
      <c r="B59" s="45" t="s">
        <v>1209</v>
      </c>
      <c r="C59" s="130" t="s">
        <v>21</v>
      </c>
      <c r="D59" s="130">
        <v>1</v>
      </c>
      <c r="E59" s="265">
        <f>E51</f>
        <v>286.24260992481197</v>
      </c>
      <c r="F59" s="136">
        <f>D59*E59</f>
        <v>286.24260992481197</v>
      </c>
      <c r="I59" s="41"/>
    </row>
    <row r="60" spans="1:9" ht="10.8" customHeight="1" thickBot="1" x14ac:dyDescent="0.25">
      <c r="A60" s="42"/>
      <c r="B60" s="161" t="str">
        <f>B52</f>
        <v>** for Roster Examples # 3</v>
      </c>
      <c r="C60" s="133" t="s">
        <v>8</v>
      </c>
      <c r="D60" s="127">
        <v>1</v>
      </c>
      <c r="E60" s="265">
        <f>E52</f>
        <v>2862.42609924812</v>
      </c>
      <c r="F60" s="137">
        <f>D60*E60</f>
        <v>2862.42609924812</v>
      </c>
      <c r="I60" s="41"/>
    </row>
    <row r="61" spans="1:9" ht="10.8" customHeight="1" thickBot="1" x14ac:dyDescent="0.25">
      <c r="A61" s="42"/>
      <c r="B61" s="412" t="str">
        <f>B53</f>
        <v>TRADESMAN_PLUMBER_OPERATOR</v>
      </c>
      <c r="C61" s="133" t="s">
        <v>291</v>
      </c>
      <c r="D61" s="127">
        <v>1</v>
      </c>
      <c r="E61" s="265">
        <f>E53</f>
        <v>15027.73702105263</v>
      </c>
      <c r="F61" s="137">
        <f>D61*E61</f>
        <v>15027.73702105263</v>
      </c>
      <c r="I61" s="41"/>
    </row>
    <row r="62" spans="1:9" ht="10.8" customHeight="1" thickBot="1" x14ac:dyDescent="0.25">
      <c r="A62" s="42"/>
      <c r="B62" s="412" t="str">
        <f>B54</f>
        <v>TRADESMAN_PLUMBER_OPERATOR</v>
      </c>
      <c r="C62" s="133" t="s">
        <v>1199</v>
      </c>
      <c r="D62" s="132">
        <v>1</v>
      </c>
      <c r="E62" s="265">
        <f>E54</f>
        <v>60110.948084210519</v>
      </c>
      <c r="F62" s="137">
        <f>D62*E62</f>
        <v>60110.948084210519</v>
      </c>
      <c r="I62" s="41"/>
    </row>
    <row r="63" spans="1:9" ht="10.5" customHeight="1" x14ac:dyDescent="0.2">
      <c r="A63" s="42"/>
      <c r="B63" s="412" t="str">
        <f>B55</f>
        <v>T/A &amp; Apprentice</v>
      </c>
      <c r="C63" s="50"/>
      <c r="F63" s="163"/>
      <c r="I63" s="41"/>
    </row>
    <row r="64" spans="1:9" ht="10.8" customHeight="1" thickBot="1" x14ac:dyDescent="0.25">
      <c r="A64" s="42"/>
      <c r="B64" s="147" t="s">
        <v>1201</v>
      </c>
      <c r="C64" s="166">
        <f>COUNTA(B61,B62,B63)</f>
        <v>3</v>
      </c>
      <c r="D64" s="164"/>
      <c r="E64" s="49"/>
      <c r="F64" s="165"/>
      <c r="I64" s="41"/>
    </row>
    <row r="65" spans="1:9" ht="10.5" customHeight="1" x14ac:dyDescent="0.2">
      <c r="A65" s="42"/>
      <c r="B65" s="153"/>
      <c r="C65" s="411"/>
      <c r="I65" s="41"/>
    </row>
    <row r="66" spans="1:9" ht="10.8" customHeight="1" thickBot="1" x14ac:dyDescent="0.25">
      <c r="A66" s="42"/>
      <c r="B66" s="153"/>
      <c r="I66" s="41"/>
    </row>
    <row r="67" spans="1:9" ht="10.8" customHeight="1" thickBot="1" x14ac:dyDescent="0.25">
      <c r="A67" s="42"/>
      <c r="B67" s="45" t="s">
        <v>1210</v>
      </c>
      <c r="C67" s="130" t="s">
        <v>21</v>
      </c>
      <c r="D67" s="130">
        <v>1</v>
      </c>
      <c r="E67" s="265">
        <f>E59</f>
        <v>286.24260992481197</v>
      </c>
      <c r="F67" s="136">
        <f>D67*E67</f>
        <v>286.24260992481197</v>
      </c>
      <c r="I67" s="41"/>
    </row>
    <row r="68" spans="1:9" ht="10.8" customHeight="1" thickBot="1" x14ac:dyDescent="0.25">
      <c r="A68" s="42"/>
      <c r="B68" s="161" t="str">
        <f>B60</f>
        <v>** for Roster Examples # 3</v>
      </c>
      <c r="C68" s="133" t="s">
        <v>8</v>
      </c>
      <c r="D68" s="127">
        <v>1</v>
      </c>
      <c r="E68" s="265">
        <f>E60</f>
        <v>2862.42609924812</v>
      </c>
      <c r="F68" s="137">
        <f>D68*E68</f>
        <v>2862.42609924812</v>
      </c>
      <c r="I68" s="41"/>
    </row>
    <row r="69" spans="1:9" ht="10.8" customHeight="1" thickBot="1" x14ac:dyDescent="0.25">
      <c r="A69" s="42"/>
      <c r="B69" s="412" t="str">
        <f>B61</f>
        <v>TRADESMAN_PLUMBER_OPERATOR</v>
      </c>
      <c r="C69" s="133" t="s">
        <v>291</v>
      </c>
      <c r="D69" s="127">
        <v>1</v>
      </c>
      <c r="E69" s="265">
        <f>E61</f>
        <v>15027.73702105263</v>
      </c>
      <c r="F69" s="137">
        <f>D69*E69</f>
        <v>15027.73702105263</v>
      </c>
      <c r="I69" s="41"/>
    </row>
    <row r="70" spans="1:9" ht="10.8" customHeight="1" thickBot="1" x14ac:dyDescent="0.25">
      <c r="A70" s="42"/>
      <c r="B70" s="412" t="str">
        <f>B62</f>
        <v>TRADESMAN_PLUMBER_OPERATOR</v>
      </c>
      <c r="C70" s="133" t="s">
        <v>1199</v>
      </c>
      <c r="D70" s="132">
        <v>1</v>
      </c>
      <c r="E70" s="265">
        <f>E62</f>
        <v>60110.948084210519</v>
      </c>
      <c r="F70" s="137">
        <f>D70*E70</f>
        <v>60110.948084210519</v>
      </c>
      <c r="I70" s="41"/>
    </row>
    <row r="71" spans="1:9" ht="10.5" customHeight="1" x14ac:dyDescent="0.2">
      <c r="A71" s="42"/>
      <c r="B71" s="412" t="str">
        <f>B63</f>
        <v>T/A &amp; Apprentice</v>
      </c>
      <c r="C71" s="50"/>
      <c r="F71" s="163"/>
      <c r="I71" s="41"/>
    </row>
    <row r="72" spans="1:9" ht="10.8" customHeight="1" thickBot="1" x14ac:dyDescent="0.25">
      <c r="A72" s="42"/>
      <c r="B72" s="147" t="s">
        <v>1201</v>
      </c>
      <c r="C72" s="166">
        <f>COUNTA(B69,B70,B71)</f>
        <v>3</v>
      </c>
      <c r="D72" s="164"/>
      <c r="E72" s="49"/>
      <c r="F72" s="165"/>
      <c r="I72" s="41"/>
    </row>
    <row r="73" spans="1:9" ht="10.5" customHeight="1" x14ac:dyDescent="0.2">
      <c r="A73" s="42"/>
      <c r="B73" s="153"/>
      <c r="C73" s="411"/>
      <c r="I73" s="41"/>
    </row>
    <row r="74" spans="1:9" ht="10.8" customHeight="1" thickBot="1" x14ac:dyDescent="0.25">
      <c r="A74" s="42"/>
      <c r="B74" s="153"/>
      <c r="I74" s="41"/>
    </row>
    <row r="75" spans="1:9" ht="10.8" customHeight="1" thickBot="1" x14ac:dyDescent="0.25">
      <c r="A75" s="42"/>
      <c r="B75" s="45" t="s">
        <v>1211</v>
      </c>
      <c r="C75" s="130" t="s">
        <v>21</v>
      </c>
      <c r="D75" s="130">
        <v>1</v>
      </c>
      <c r="E75" s="265">
        <f>E78/$C$10</f>
        <v>184.59681924812031</v>
      </c>
      <c r="F75" s="136">
        <f>D75*E75</f>
        <v>184.59681924812031</v>
      </c>
      <c r="I75" s="41"/>
    </row>
    <row r="76" spans="1:9" ht="10.8" customHeight="1" thickBot="1" x14ac:dyDescent="0.25">
      <c r="A76" s="42"/>
      <c r="B76" s="161" t="str">
        <f>B68</f>
        <v>** for Roster Examples # 3</v>
      </c>
      <c r="C76" s="133" t="s">
        <v>8</v>
      </c>
      <c r="D76" s="127">
        <v>1</v>
      </c>
      <c r="E76" s="138">
        <f>E78/$C$8</f>
        <v>1845.968192481203</v>
      </c>
      <c r="F76" s="137">
        <f>D76*E76</f>
        <v>1845.968192481203</v>
      </c>
      <c r="I76" s="41"/>
    </row>
    <row r="77" spans="1:9" ht="10.8" customHeight="1" thickBot="1" x14ac:dyDescent="0.25">
      <c r="A77" s="42"/>
      <c r="B77" s="412" t="str">
        <f>B69</f>
        <v>TRADESMAN_PLUMBER_OPERATOR</v>
      </c>
      <c r="C77" s="133" t="s">
        <v>291</v>
      </c>
      <c r="D77" s="127">
        <v>1</v>
      </c>
      <c r="E77" s="138">
        <f>E78/4</f>
        <v>9691.3330105263158</v>
      </c>
      <c r="F77" s="137">
        <f>D77*E77</f>
        <v>9691.3330105263158</v>
      </c>
      <c r="I77" s="41"/>
    </row>
    <row r="78" spans="1:9" ht="10.8" customHeight="1" thickBot="1" x14ac:dyDescent="0.25">
      <c r="A78" s="42"/>
      <c r="B78" s="412" t="str">
        <f>B71</f>
        <v>T/A &amp; Apprentice</v>
      </c>
      <c r="C78" s="133" t="s">
        <v>1199</v>
      </c>
      <c r="D78" s="132">
        <v>1</v>
      </c>
      <c r="E78" s="265">
        <f>(E24)+E31</f>
        <v>38765.332042105263</v>
      </c>
      <c r="F78" s="137">
        <f>D78*E78</f>
        <v>38765.332042105263</v>
      </c>
      <c r="I78" s="41"/>
    </row>
    <row r="79" spans="1:9" ht="10.5" customHeight="1" x14ac:dyDescent="0.2">
      <c r="A79" s="42"/>
      <c r="C79" s="50"/>
      <c r="F79" s="163"/>
      <c r="I79" s="41"/>
    </row>
    <row r="80" spans="1:9" ht="10.8" customHeight="1" thickBot="1" x14ac:dyDescent="0.25">
      <c r="A80" s="42"/>
      <c r="B80" s="147" t="s">
        <v>1201</v>
      </c>
      <c r="C80" s="166">
        <f>COUNTA(B77,B78)</f>
        <v>2</v>
      </c>
      <c r="D80" s="164"/>
      <c r="E80" s="49"/>
      <c r="F80" s="165"/>
      <c r="I80" s="41"/>
    </row>
    <row r="81" spans="1:9" ht="10.5" customHeight="1" x14ac:dyDescent="0.2">
      <c r="A81" s="42"/>
      <c r="B81" s="153"/>
      <c r="C81" s="411"/>
      <c r="I81" s="41"/>
    </row>
    <row r="82" spans="1:9" ht="10.5" customHeight="1" x14ac:dyDescent="0.2">
      <c r="A82" s="42"/>
      <c r="B82" s="153"/>
      <c r="C82" s="411"/>
      <c r="I82" s="41"/>
    </row>
    <row r="83" spans="1:9" ht="10.5" customHeight="1" x14ac:dyDescent="0.2">
      <c r="A83" s="42"/>
      <c r="B83" s="153"/>
      <c r="C83" s="411"/>
      <c r="I83" s="41"/>
    </row>
    <row r="84" spans="1:9" ht="10.5" customHeight="1" x14ac:dyDescent="0.2">
      <c r="A84" s="42"/>
      <c r="B84" s="153"/>
      <c r="C84" s="411"/>
      <c r="I84" s="41"/>
    </row>
    <row r="85" spans="1:9" ht="6" customHeight="1" x14ac:dyDescent="0.2">
      <c r="A85" s="42" t="s">
        <v>1212</v>
      </c>
      <c r="B85" s="139"/>
      <c r="C85" s="140"/>
      <c r="D85" s="140"/>
      <c r="E85" s="141"/>
      <c r="F85" s="142"/>
      <c r="I85" s="41"/>
    </row>
    <row r="86" spans="1:9" ht="10.5" customHeight="1" x14ac:dyDescent="0.2">
      <c r="A86" s="42"/>
      <c r="B86" s="39"/>
      <c r="I86" s="41"/>
    </row>
    <row r="87" spans="1:9" ht="10.8" hidden="1" customHeight="1" thickBot="1" x14ac:dyDescent="0.25">
      <c r="A87" s="42"/>
      <c r="B87" s="148" t="s">
        <v>1213</v>
      </c>
      <c r="C87" s="130" t="s">
        <v>21</v>
      </c>
      <c r="D87" s="130">
        <v>0</v>
      </c>
      <c r="E87" s="134">
        <f>E90/$C$10</f>
        <v>705.44864842105255</v>
      </c>
      <c r="F87" s="136">
        <f>D87*E87</f>
        <v>0</v>
      </c>
      <c r="I87" s="41"/>
    </row>
    <row r="88" spans="1:9" ht="10.5" hidden="1" customHeight="1" x14ac:dyDescent="0.2">
      <c r="A88" s="42"/>
      <c r="B88" s="161" t="s">
        <v>1198</v>
      </c>
      <c r="C88" s="133" t="s">
        <v>8</v>
      </c>
      <c r="D88" s="127">
        <v>0</v>
      </c>
      <c r="E88" s="128">
        <f>E90/$C$8</f>
        <v>7054.4864842105253</v>
      </c>
      <c r="F88" s="137">
        <f>D88*E88</f>
        <v>0</v>
      </c>
      <c r="I88" s="41"/>
    </row>
    <row r="89" spans="1:9" ht="10.5" hidden="1" customHeight="1" x14ac:dyDescent="0.2">
      <c r="A89" s="42"/>
      <c r="B89" s="162" t="str">
        <f>B36</f>
        <v>Crew #1 - InGround Drainage</v>
      </c>
      <c r="C89" s="133" t="s">
        <v>291</v>
      </c>
      <c r="D89" s="127">
        <v>0</v>
      </c>
      <c r="E89" s="128">
        <f>E90/4</f>
        <v>37036.054042105257</v>
      </c>
      <c r="F89" s="137">
        <f>D89*E89</f>
        <v>0</v>
      </c>
      <c r="I89" s="41"/>
    </row>
    <row r="90" spans="1:9" ht="10.8" hidden="1" customHeight="1" thickBot="1" x14ac:dyDescent="0.25">
      <c r="A90" s="42"/>
      <c r="B90" s="162" t="str">
        <f>B43</f>
        <v>Crew #2 - InGround Water/Fire</v>
      </c>
      <c r="C90" s="133" t="s">
        <v>1199</v>
      </c>
      <c r="D90" s="132">
        <v>4</v>
      </c>
      <c r="E90" s="135">
        <f>E46+E39+E17</f>
        <v>148144.21616842103</v>
      </c>
      <c r="F90" s="137">
        <f>D90*E90</f>
        <v>592576.86467368412</v>
      </c>
      <c r="I90" s="41"/>
    </row>
    <row r="91" spans="1:9" ht="10.5" hidden="1" customHeight="1" x14ac:dyDescent="0.2">
      <c r="A91" s="42"/>
      <c r="B91" s="95" t="str">
        <f>B14</f>
        <v>TRADESMAN_LEADING HAND</v>
      </c>
      <c r="C91" s="50"/>
      <c r="F91" s="163"/>
      <c r="I91" s="41"/>
    </row>
    <row r="92" spans="1:9" ht="10.8" hidden="1" customHeight="1" thickBot="1" x14ac:dyDescent="0.25">
      <c r="A92" s="42"/>
      <c r="B92" s="147" t="s">
        <v>1201</v>
      </c>
      <c r="C92" s="166">
        <f>C48+C41+C19</f>
        <v>7</v>
      </c>
      <c r="D92" s="164"/>
      <c r="E92" s="49"/>
      <c r="F92" s="165"/>
      <c r="I92" s="41"/>
    </row>
    <row r="93" spans="1:9" ht="10.5" customHeight="1" x14ac:dyDescent="0.2">
      <c r="A93" s="42"/>
      <c r="B93" s="39"/>
      <c r="I93" s="41"/>
    </row>
    <row r="94" spans="1:9" ht="6" customHeight="1" x14ac:dyDescent="0.2">
      <c r="A94" s="42" t="s">
        <v>1212</v>
      </c>
      <c r="B94" s="139"/>
      <c r="C94" s="140"/>
      <c r="D94" s="140"/>
      <c r="E94" s="141"/>
      <c r="F94" s="142"/>
      <c r="I94" s="41"/>
    </row>
    <row r="95" spans="1:9" ht="10.5" customHeight="1" x14ac:dyDescent="0.2">
      <c r="A95" s="42"/>
      <c r="B95" s="39"/>
      <c r="I95" s="41"/>
    </row>
    <row r="96" spans="1:9" ht="10.8" customHeight="1" thickBot="1" x14ac:dyDescent="0.25">
      <c r="A96" s="42"/>
      <c r="B96" s="39"/>
      <c r="I96" s="41"/>
    </row>
    <row r="97" spans="1:12" ht="18" customHeight="1" thickBot="1" x14ac:dyDescent="0.35">
      <c r="A97" s="42"/>
      <c r="B97" s="505" t="s">
        <v>1214</v>
      </c>
      <c r="C97" s="502"/>
      <c r="D97" s="502"/>
      <c r="E97" s="502"/>
      <c r="F97" s="503"/>
    </row>
    <row r="98" spans="1:12" ht="10.5" customHeight="1" x14ac:dyDescent="0.2">
      <c r="A98" s="42"/>
      <c r="C98" s="42" t="s">
        <v>776</v>
      </c>
      <c r="D98" s="42" t="s">
        <v>932</v>
      </c>
      <c r="E98" s="44" t="s">
        <v>842</v>
      </c>
      <c r="F98" s="44" t="s">
        <v>1215</v>
      </c>
      <c r="G98" s="214"/>
    </row>
    <row r="99" spans="1:12" ht="10.8" customHeight="1" thickBot="1" x14ac:dyDescent="0.25">
      <c r="A99" s="42"/>
      <c r="B99" s="39"/>
      <c r="I99" s="41"/>
    </row>
    <row r="100" spans="1:12" ht="10.8" customHeight="1" thickBot="1" x14ac:dyDescent="0.25">
      <c r="A100" s="42"/>
      <c r="B100" s="45" t="str">
        <f>Accomodation_Master!B266</f>
        <v>Full Apartment / TownHouse / Unit - VIA AGENT</v>
      </c>
      <c r="C100" s="130"/>
      <c r="D100" s="130"/>
      <c r="E100" s="213" t="s">
        <v>1216</v>
      </c>
      <c r="F100" s="136"/>
      <c r="G100" s="232">
        <v>11</v>
      </c>
      <c r="I100" s="41"/>
    </row>
    <row r="101" spans="1:12" ht="10.5" customHeight="1" x14ac:dyDescent="0.2">
      <c r="A101" s="42"/>
      <c r="B101" s="161" t="s">
        <v>1198</v>
      </c>
      <c r="C101" s="133" t="s">
        <v>1217</v>
      </c>
      <c r="D101" s="127">
        <v>0</v>
      </c>
      <c r="E101" s="128">
        <f>E102/7</f>
        <v>164.5021645021645</v>
      </c>
      <c r="F101" s="137">
        <f>D101*E101</f>
        <v>0</v>
      </c>
      <c r="I101" s="41"/>
    </row>
    <row r="102" spans="1:12" ht="10.5" customHeight="1" x14ac:dyDescent="0.2">
      <c r="A102" s="42"/>
      <c r="B102" s="162"/>
      <c r="C102" s="133" t="s">
        <v>291</v>
      </c>
      <c r="D102" s="127">
        <v>0</v>
      </c>
      <c r="E102" s="128">
        <f>E103/4</f>
        <v>1151.5151515151515</v>
      </c>
      <c r="F102" s="137">
        <f>D102*E102</f>
        <v>0</v>
      </c>
      <c r="I102" s="41"/>
    </row>
    <row r="103" spans="1:12" ht="10.8" customHeight="1" thickBot="1" x14ac:dyDescent="0.25">
      <c r="A103" s="42"/>
      <c r="B103" s="162" t="str">
        <f>B21</f>
        <v>TRADESMAN_PLUMBER_OPERATOR</v>
      </c>
      <c r="C103" s="133" t="s">
        <v>1199</v>
      </c>
      <c r="D103" s="132">
        <v>0</v>
      </c>
      <c r="E103" s="135">
        <f>(Accomodation_Master!E308)-(Accomodation_Master!E308/G100)</f>
        <v>4606.060606060606</v>
      </c>
      <c r="F103" s="137">
        <f>D103*E103</f>
        <v>0</v>
      </c>
      <c r="I103" s="41"/>
      <c r="K103" s="184"/>
      <c r="L103" s="184"/>
    </row>
    <row r="104" spans="1:12" ht="10.5" customHeight="1" x14ac:dyDescent="0.2">
      <c r="A104" s="42"/>
      <c r="B104" s="95" t="str">
        <f>B21</f>
        <v>TRADESMAN_PLUMBER_OPERATOR</v>
      </c>
      <c r="C104" s="50"/>
      <c r="F104" s="163"/>
      <c r="I104" s="41"/>
    </row>
    <row r="105" spans="1:12" ht="10.5" customHeight="1" x14ac:dyDescent="0.2">
      <c r="A105" s="146"/>
      <c r="B105" s="95" t="str">
        <f>B28</f>
        <v>T/A &amp; Apprentice</v>
      </c>
      <c r="F105" s="202"/>
      <c r="I105" s="41"/>
    </row>
    <row r="106" spans="1:12" ht="10.8" customHeight="1" thickBot="1" x14ac:dyDescent="0.25">
      <c r="A106" s="42"/>
      <c r="B106" s="147" t="s">
        <v>1201</v>
      </c>
      <c r="C106" s="166">
        <f>COUNTA(B103,B104,B105)</f>
        <v>3</v>
      </c>
      <c r="D106" s="164"/>
      <c r="E106" s="49"/>
      <c r="F106" s="165"/>
      <c r="I106" s="41"/>
    </row>
    <row r="107" spans="1:12" ht="10.8" customHeight="1" thickBot="1" x14ac:dyDescent="0.25">
      <c r="A107" s="42"/>
      <c r="B107" s="39"/>
      <c r="I107" s="41"/>
    </row>
    <row r="108" spans="1:12" ht="10.8" customHeight="1" thickBot="1" x14ac:dyDescent="0.25">
      <c r="A108" s="42"/>
      <c r="B108" s="45" t="s">
        <v>1218</v>
      </c>
      <c r="C108" s="130"/>
      <c r="D108" s="130"/>
      <c r="E108" s="213" t="s">
        <v>1216</v>
      </c>
      <c r="F108" s="136"/>
      <c r="G108" s="232">
        <v>11</v>
      </c>
      <c r="I108" s="41"/>
    </row>
    <row r="109" spans="1:12" ht="10.5" customHeight="1" x14ac:dyDescent="0.2">
      <c r="A109" s="42"/>
      <c r="B109" s="161" t="s">
        <v>1198</v>
      </c>
      <c r="C109" s="133" t="s">
        <v>1217</v>
      </c>
      <c r="D109" s="127">
        <v>0</v>
      </c>
      <c r="E109" s="128">
        <f>(Accomodation_Master!F364)-(Accomodation_Master!F364/G108)</f>
        <v>103.24675324675326</v>
      </c>
      <c r="F109" s="137">
        <f>D109*E109</f>
        <v>0</v>
      </c>
      <c r="I109" s="41"/>
    </row>
    <row r="110" spans="1:12" ht="10.5" customHeight="1" x14ac:dyDescent="0.2">
      <c r="A110" s="42"/>
      <c r="B110" s="203" t="str">
        <f>Accomodation_Master!$B$364</f>
        <v>TCS Cost Per Person - Private Unit - NO SHARE - Nightly Booking (average allowance)</v>
      </c>
      <c r="C110" s="133" t="s">
        <v>291</v>
      </c>
      <c r="D110" s="127">
        <v>0</v>
      </c>
      <c r="E110" s="128">
        <f>E109*7</f>
        <v>722.72727272727275</v>
      </c>
      <c r="F110" s="137">
        <f>D110*E110</f>
        <v>0</v>
      </c>
      <c r="I110" s="41"/>
    </row>
    <row r="111" spans="1:12" ht="10.8" customHeight="1" thickBot="1" x14ac:dyDescent="0.25">
      <c r="A111" s="42"/>
      <c r="B111" s="162"/>
      <c r="C111" s="133" t="s">
        <v>1199</v>
      </c>
      <c r="D111" s="132">
        <v>0</v>
      </c>
      <c r="E111" s="135">
        <f>E110*4</f>
        <v>2890.909090909091</v>
      </c>
      <c r="F111" s="137">
        <f>D111*E111</f>
        <v>0</v>
      </c>
      <c r="I111" s="41"/>
    </row>
    <row r="112" spans="1:12" ht="10.5" customHeight="1" x14ac:dyDescent="0.2">
      <c r="A112" s="42"/>
      <c r="B112" s="95"/>
      <c r="C112" s="50"/>
      <c r="F112" s="163"/>
      <c r="I112" s="41"/>
    </row>
    <row r="113" spans="1:9" ht="10.8" customHeight="1" thickBot="1" x14ac:dyDescent="0.25">
      <c r="A113" s="146"/>
      <c r="B113" s="126"/>
      <c r="C113" s="164"/>
      <c r="D113" s="164"/>
      <c r="E113" s="49"/>
      <c r="F113" s="165"/>
      <c r="I113" s="41"/>
    </row>
    <row r="114" spans="1:9" ht="10.5" customHeight="1" x14ac:dyDescent="0.2">
      <c r="A114" s="42"/>
      <c r="B114" s="39"/>
      <c r="I114" s="41"/>
    </row>
    <row r="115" spans="1:9" ht="10.5" customHeight="1" x14ac:dyDescent="0.2">
      <c r="A115" s="42"/>
      <c r="B115" s="39"/>
      <c r="I115" s="41"/>
    </row>
  </sheetData>
  <mergeCells count="2">
    <mergeCell ref="B12:F12"/>
    <mergeCell ref="B97:F97"/>
  </mergeCells>
  <printOptions gridLines="1"/>
  <pageMargins left="0.46" right="0.42" top="0.37" bottom="0.4" header="0.39" footer="0.38"/>
  <pageSetup paperSize="8" scale="80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N257"/>
  <sheetViews>
    <sheetView topLeftCell="A137" zoomScale="95" zoomScaleNormal="95" workbookViewId="0">
      <selection activeCell="D156" sqref="D156"/>
    </sheetView>
  </sheetViews>
  <sheetFormatPr defaultColWidth="8.77734375" defaultRowHeight="14.4" x14ac:dyDescent="0.3"/>
  <cols>
    <col min="1" max="1" width="49.21875" style="114" customWidth="1"/>
    <col min="2" max="2" width="12" style="114" bestFit="1" customWidth="1"/>
    <col min="3" max="3" width="5.77734375" style="119" customWidth="1"/>
    <col min="4" max="4" width="11.77734375" style="119" customWidth="1"/>
    <col min="5" max="5" width="8.21875" style="119" bestFit="1" customWidth="1"/>
    <col min="6" max="6" width="11.5546875" style="119" customWidth="1"/>
    <col min="7" max="7" width="13.77734375" style="118" customWidth="1"/>
    <col min="8" max="9" width="8.77734375" style="114" customWidth="1"/>
    <col min="10" max="10" width="11" style="114" customWidth="1"/>
    <col min="11" max="11" width="10.21875" style="114" bestFit="1" customWidth="1"/>
    <col min="12" max="12" width="11.21875" style="114" customWidth="1"/>
    <col min="13" max="14" width="8.77734375" style="114" customWidth="1"/>
    <col min="15" max="16384" width="8.77734375" style="114"/>
  </cols>
  <sheetData>
    <row r="2" spans="1:14" x14ac:dyDescent="0.3">
      <c r="A2" s="190"/>
      <c r="B2" s="190"/>
      <c r="I2" s="190"/>
    </row>
    <row r="3" spans="1:14" x14ac:dyDescent="0.3">
      <c r="A3" s="240" t="s">
        <v>1219</v>
      </c>
      <c r="B3" s="241"/>
      <c r="I3" s="241"/>
    </row>
    <row r="4" spans="1:14" x14ac:dyDescent="0.3">
      <c r="A4" s="244" t="s">
        <v>234</v>
      </c>
      <c r="B4" s="247" t="s">
        <v>776</v>
      </c>
      <c r="C4" s="246"/>
      <c r="D4" s="247" t="s">
        <v>802</v>
      </c>
      <c r="E4" s="246"/>
      <c r="F4" s="247" t="s">
        <v>803</v>
      </c>
      <c r="I4" s="247" t="s">
        <v>775</v>
      </c>
      <c r="N4" s="473" t="s">
        <v>912</v>
      </c>
    </row>
    <row r="5" spans="1:14" x14ac:dyDescent="0.3">
      <c r="A5" s="237" t="s">
        <v>140</v>
      </c>
      <c r="B5" s="236" t="s">
        <v>25</v>
      </c>
      <c r="D5" s="402">
        <v>33.920833333333327</v>
      </c>
      <c r="F5" s="119">
        <f>I5*D5</f>
        <v>16281.999999999996</v>
      </c>
      <c r="G5" s="506" t="s">
        <v>1220</v>
      </c>
      <c r="H5" s="249"/>
      <c r="I5" s="236">
        <v>480</v>
      </c>
      <c r="J5" s="249"/>
      <c r="K5" s="249"/>
      <c r="L5" s="249"/>
      <c r="N5" s="457" t="s">
        <v>1221</v>
      </c>
    </row>
    <row r="6" spans="1:14" x14ac:dyDescent="0.3">
      <c r="A6" s="237" t="s">
        <v>141</v>
      </c>
      <c r="B6" s="236" t="s">
        <v>25</v>
      </c>
      <c r="D6" s="402">
        <v>25.466666666666669</v>
      </c>
      <c r="F6" s="119">
        <f>I6*D6</f>
        <v>128657.60000000001</v>
      </c>
      <c r="G6" s="507"/>
      <c r="I6" s="236">
        <v>5052</v>
      </c>
      <c r="N6" s="457" t="s">
        <v>1221</v>
      </c>
    </row>
    <row r="7" spans="1:14" x14ac:dyDescent="0.3">
      <c r="A7" s="237" t="s">
        <v>142</v>
      </c>
      <c r="B7" s="236" t="s">
        <v>25</v>
      </c>
      <c r="D7" s="402">
        <v>12.31416666666667</v>
      </c>
      <c r="F7" s="119">
        <f>I7*D7</f>
        <v>13151.530000000004</v>
      </c>
      <c r="G7" s="507"/>
      <c r="I7" s="236">
        <v>1068</v>
      </c>
      <c r="N7" s="457" t="s">
        <v>1221</v>
      </c>
    </row>
    <row r="8" spans="1:14" x14ac:dyDescent="0.3">
      <c r="A8" s="237" t="s">
        <v>143</v>
      </c>
      <c r="B8" s="236" t="s">
        <v>25</v>
      </c>
      <c r="D8" s="402">
        <v>1.2159</v>
      </c>
      <c r="F8" s="119">
        <f>I8*D8</f>
        <v>121.59</v>
      </c>
      <c r="G8" s="507"/>
      <c r="I8" s="236">
        <v>100</v>
      </c>
      <c r="N8" s="457" t="s">
        <v>1221</v>
      </c>
    </row>
    <row r="9" spans="1:14" ht="7.95" customHeight="1" x14ac:dyDescent="0.3">
      <c r="A9" s="237"/>
      <c r="B9" s="237"/>
      <c r="D9" s="402"/>
      <c r="G9" s="507"/>
      <c r="I9" s="237"/>
    </row>
    <row r="10" spans="1:14" x14ac:dyDescent="0.3">
      <c r="A10" s="237" t="s">
        <v>144</v>
      </c>
      <c r="B10" s="236" t="s">
        <v>27</v>
      </c>
      <c r="D10" s="402">
        <v>44.06</v>
      </c>
      <c r="F10" s="119">
        <f t="shared" ref="F10:F31" si="0">I10*D10</f>
        <v>1321.8000000000002</v>
      </c>
      <c r="G10" s="506" t="s">
        <v>1220</v>
      </c>
      <c r="I10" s="236">
        <v>30</v>
      </c>
      <c r="N10" s="457" t="s">
        <v>1221</v>
      </c>
    </row>
    <row r="11" spans="1:14" x14ac:dyDescent="0.3">
      <c r="A11" s="237" t="s">
        <v>145</v>
      </c>
      <c r="B11" s="236" t="s">
        <v>27</v>
      </c>
      <c r="D11" s="402">
        <v>25.72</v>
      </c>
      <c r="F11" s="119">
        <f t="shared" si="0"/>
        <v>5144</v>
      </c>
      <c r="G11" s="507"/>
      <c r="I11" s="236">
        <v>200</v>
      </c>
      <c r="N11" s="457" t="s">
        <v>1221</v>
      </c>
    </row>
    <row r="12" spans="1:14" x14ac:dyDescent="0.3">
      <c r="A12" s="237" t="s">
        <v>146</v>
      </c>
      <c r="B12" s="236" t="s">
        <v>27</v>
      </c>
      <c r="D12" s="402">
        <v>14.11</v>
      </c>
      <c r="F12" s="119">
        <f t="shared" si="0"/>
        <v>1411</v>
      </c>
      <c r="G12" s="507"/>
      <c r="I12" s="236">
        <v>100</v>
      </c>
      <c r="N12" s="457" t="s">
        <v>1221</v>
      </c>
    </row>
    <row r="13" spans="1:14" x14ac:dyDescent="0.3">
      <c r="A13" s="237" t="s">
        <v>147</v>
      </c>
      <c r="B13" s="236" t="s">
        <v>27</v>
      </c>
      <c r="D13" s="402">
        <v>109.16</v>
      </c>
      <c r="F13" s="119">
        <f t="shared" si="0"/>
        <v>218.32</v>
      </c>
      <c r="G13" s="507"/>
      <c r="I13" s="236">
        <v>2</v>
      </c>
      <c r="N13" s="457" t="s">
        <v>1221</v>
      </c>
    </row>
    <row r="14" spans="1:14" x14ac:dyDescent="0.3">
      <c r="A14" s="237" t="s">
        <v>148</v>
      </c>
      <c r="B14" s="236" t="s">
        <v>27</v>
      </c>
      <c r="D14" s="402">
        <v>97.97</v>
      </c>
      <c r="F14" s="119">
        <f t="shared" si="0"/>
        <v>12736.1</v>
      </c>
      <c r="G14" s="507"/>
      <c r="I14" s="236">
        <v>130</v>
      </c>
      <c r="N14" s="457" t="s">
        <v>1221</v>
      </c>
    </row>
    <row r="15" spans="1:14" x14ac:dyDescent="0.3">
      <c r="A15" s="237" t="s">
        <v>149</v>
      </c>
      <c r="B15" s="236" t="s">
        <v>27</v>
      </c>
      <c r="D15" s="402">
        <v>44.69</v>
      </c>
      <c r="F15" s="119">
        <f t="shared" si="0"/>
        <v>1117.25</v>
      </c>
      <c r="G15" s="506" t="s">
        <v>1220</v>
      </c>
      <c r="I15" s="236">
        <v>25</v>
      </c>
      <c r="N15" s="457" t="s">
        <v>1221</v>
      </c>
    </row>
    <row r="16" spans="1:14" x14ac:dyDescent="0.3">
      <c r="A16" s="237" t="s">
        <v>150</v>
      </c>
      <c r="B16" s="236" t="s">
        <v>27</v>
      </c>
      <c r="D16" s="402">
        <v>109.16</v>
      </c>
      <c r="F16" s="119">
        <f t="shared" si="0"/>
        <v>654.96</v>
      </c>
      <c r="G16" s="507"/>
      <c r="I16" s="236">
        <v>6</v>
      </c>
      <c r="N16" s="457" t="s">
        <v>1221</v>
      </c>
    </row>
    <row r="17" spans="1:14" x14ac:dyDescent="0.3">
      <c r="A17" s="237" t="s">
        <v>151</v>
      </c>
      <c r="B17" s="236" t="s">
        <v>27</v>
      </c>
      <c r="D17" s="402">
        <v>97.81</v>
      </c>
      <c r="F17" s="119">
        <f t="shared" si="0"/>
        <v>7824.8</v>
      </c>
      <c r="G17" s="507"/>
      <c r="I17" s="236">
        <v>80</v>
      </c>
      <c r="N17" s="457" t="s">
        <v>1221</v>
      </c>
    </row>
    <row r="18" spans="1:14" x14ac:dyDescent="0.3">
      <c r="A18" s="237" t="s">
        <v>152</v>
      </c>
      <c r="B18" s="236" t="s">
        <v>27</v>
      </c>
      <c r="D18" s="402">
        <v>44.65</v>
      </c>
      <c r="F18" s="119">
        <f t="shared" si="0"/>
        <v>3572</v>
      </c>
      <c r="G18" s="507"/>
      <c r="I18" s="236">
        <v>80</v>
      </c>
      <c r="N18" s="457" t="s">
        <v>1221</v>
      </c>
    </row>
    <row r="19" spans="1:14" x14ac:dyDescent="0.3">
      <c r="A19" s="237" t="s">
        <v>153</v>
      </c>
      <c r="B19" s="236" t="s">
        <v>27</v>
      </c>
      <c r="D19" s="402">
        <v>109.75</v>
      </c>
      <c r="F19" s="119">
        <f t="shared" si="0"/>
        <v>329.25</v>
      </c>
      <c r="G19" s="507"/>
      <c r="I19" s="236">
        <v>3</v>
      </c>
      <c r="N19" s="457" t="s">
        <v>1221</v>
      </c>
    </row>
    <row r="20" spans="1:14" x14ac:dyDescent="0.3">
      <c r="A20" s="237" t="s">
        <v>154</v>
      </c>
      <c r="B20" s="236" t="s">
        <v>27</v>
      </c>
      <c r="D20" s="402">
        <v>114.28</v>
      </c>
      <c r="F20" s="119">
        <f t="shared" si="0"/>
        <v>4571.2</v>
      </c>
      <c r="G20" s="506" t="s">
        <v>1220</v>
      </c>
      <c r="I20" s="236">
        <v>40</v>
      </c>
      <c r="N20" s="457" t="s">
        <v>1221</v>
      </c>
    </row>
    <row r="21" spans="1:14" x14ac:dyDescent="0.3">
      <c r="A21" s="237" t="s">
        <v>155</v>
      </c>
      <c r="B21" s="236" t="s">
        <v>27</v>
      </c>
      <c r="D21" s="402">
        <v>49.25</v>
      </c>
      <c r="F21" s="119">
        <f t="shared" si="0"/>
        <v>49.25</v>
      </c>
      <c r="G21" s="507"/>
      <c r="I21" s="236">
        <v>1</v>
      </c>
      <c r="N21" s="457" t="s">
        <v>1221</v>
      </c>
    </row>
    <row r="22" spans="1:14" x14ac:dyDescent="0.3">
      <c r="A22" s="237" t="s">
        <v>156</v>
      </c>
      <c r="B22" s="236" t="s">
        <v>27</v>
      </c>
      <c r="D22" s="402">
        <v>209.47</v>
      </c>
      <c r="F22" s="119">
        <f t="shared" si="0"/>
        <v>418.94</v>
      </c>
      <c r="G22" s="507"/>
      <c r="I22" s="236">
        <v>2</v>
      </c>
      <c r="N22" s="457" t="s">
        <v>1221</v>
      </c>
    </row>
    <row r="23" spans="1:14" x14ac:dyDescent="0.3">
      <c r="A23" s="237" t="s">
        <v>157</v>
      </c>
      <c r="B23" s="236" t="s">
        <v>27</v>
      </c>
      <c r="D23" s="402">
        <v>218.42</v>
      </c>
      <c r="F23" s="119">
        <f t="shared" si="0"/>
        <v>436.84</v>
      </c>
      <c r="G23" s="507"/>
      <c r="I23" s="236">
        <v>2</v>
      </c>
      <c r="N23" s="457" t="s">
        <v>1221</v>
      </c>
    </row>
    <row r="24" spans="1:14" x14ac:dyDescent="0.3">
      <c r="A24" s="237" t="s">
        <v>158</v>
      </c>
      <c r="B24" s="236" t="s">
        <v>27</v>
      </c>
      <c r="D24" s="402">
        <v>122.13</v>
      </c>
      <c r="F24" s="119">
        <f t="shared" si="0"/>
        <v>4885.2</v>
      </c>
      <c r="G24" s="507"/>
      <c r="I24" s="236">
        <v>40</v>
      </c>
      <c r="N24" s="457" t="s">
        <v>1221</v>
      </c>
    </row>
    <row r="25" spans="1:14" x14ac:dyDescent="0.3">
      <c r="A25" s="237" t="s">
        <v>159</v>
      </c>
      <c r="B25" s="236" t="s">
        <v>27</v>
      </c>
      <c r="D25" s="402">
        <v>125.62</v>
      </c>
      <c r="F25" s="119">
        <f t="shared" si="0"/>
        <v>502.48</v>
      </c>
      <c r="G25" s="506" t="s">
        <v>1220</v>
      </c>
      <c r="I25" s="236">
        <v>4</v>
      </c>
      <c r="N25" s="457" t="s">
        <v>1221</v>
      </c>
    </row>
    <row r="26" spans="1:14" x14ac:dyDescent="0.3">
      <c r="A26" s="237" t="s">
        <v>160</v>
      </c>
      <c r="B26" s="236" t="s">
        <v>27</v>
      </c>
      <c r="D26" s="402">
        <v>60.1</v>
      </c>
      <c r="F26" s="119">
        <f t="shared" si="0"/>
        <v>1202</v>
      </c>
      <c r="G26" s="507"/>
      <c r="I26" s="236">
        <v>20</v>
      </c>
      <c r="N26" s="457" t="s">
        <v>1221</v>
      </c>
    </row>
    <row r="27" spans="1:14" x14ac:dyDescent="0.3">
      <c r="A27" s="237" t="s">
        <v>161</v>
      </c>
      <c r="B27" s="236" t="s">
        <v>27</v>
      </c>
      <c r="D27" s="402">
        <v>342.35</v>
      </c>
      <c r="F27" s="119">
        <f t="shared" si="0"/>
        <v>3423.5</v>
      </c>
      <c r="G27" s="507"/>
      <c r="I27" s="236">
        <v>10</v>
      </c>
      <c r="N27" s="457" t="s">
        <v>1221</v>
      </c>
    </row>
    <row r="28" spans="1:14" x14ac:dyDescent="0.3">
      <c r="A28" s="237" t="s">
        <v>162</v>
      </c>
      <c r="B28" s="236" t="s">
        <v>27</v>
      </c>
      <c r="D28" s="402">
        <v>129.77000000000001</v>
      </c>
      <c r="F28" s="119">
        <f t="shared" si="0"/>
        <v>7786.2000000000007</v>
      </c>
      <c r="G28" s="507"/>
      <c r="I28" s="236">
        <v>60</v>
      </c>
      <c r="N28" s="457" t="s">
        <v>1221</v>
      </c>
    </row>
    <row r="29" spans="1:14" x14ac:dyDescent="0.3">
      <c r="A29" s="237" t="s">
        <v>163</v>
      </c>
      <c r="B29" s="236" t="s">
        <v>27</v>
      </c>
      <c r="D29" s="402">
        <v>92.67</v>
      </c>
      <c r="F29" s="119">
        <f t="shared" si="0"/>
        <v>1853.4</v>
      </c>
      <c r="G29" s="507"/>
      <c r="I29" s="236">
        <v>20</v>
      </c>
      <c r="N29" s="457" t="s">
        <v>1221</v>
      </c>
    </row>
    <row r="30" spans="1:14" x14ac:dyDescent="0.3">
      <c r="A30" s="237" t="s">
        <v>164</v>
      </c>
      <c r="B30" s="236" t="s">
        <v>27</v>
      </c>
      <c r="D30" s="284">
        <v>313.19</v>
      </c>
      <c r="F30" s="119">
        <f t="shared" si="0"/>
        <v>3131.9</v>
      </c>
      <c r="G30" s="506" t="s">
        <v>1220</v>
      </c>
      <c r="I30" s="236">
        <v>10</v>
      </c>
      <c r="N30" s="457" t="s">
        <v>1221</v>
      </c>
    </row>
    <row r="31" spans="1:14" x14ac:dyDescent="0.3">
      <c r="A31" s="237" t="s">
        <v>165</v>
      </c>
      <c r="B31" s="236" t="s">
        <v>27</v>
      </c>
      <c r="D31" s="284">
        <v>204.11</v>
      </c>
      <c r="F31" s="119">
        <f t="shared" si="0"/>
        <v>10205.5</v>
      </c>
      <c r="G31" s="507"/>
      <c r="I31" s="236">
        <v>50</v>
      </c>
      <c r="N31" s="457" t="s">
        <v>1221</v>
      </c>
    </row>
    <row r="32" spans="1:14" ht="6.6" customHeight="1" x14ac:dyDescent="0.3">
      <c r="A32" s="237"/>
      <c r="B32" s="237"/>
      <c r="G32" s="507"/>
      <c r="I32" s="237"/>
    </row>
    <row r="33" spans="1:14" x14ac:dyDescent="0.3">
      <c r="A33" t="s">
        <v>166</v>
      </c>
      <c r="B33" s="281" t="s">
        <v>27</v>
      </c>
      <c r="D33" s="284">
        <v>315.70999999999998</v>
      </c>
      <c r="F33" s="119">
        <f t="shared" ref="F33:F48" si="1">I33*D33</f>
        <v>3157.1</v>
      </c>
      <c r="G33" s="507"/>
      <c r="I33" s="281">
        <v>10</v>
      </c>
      <c r="N33" s="457" t="s">
        <v>1221</v>
      </c>
    </row>
    <row r="34" spans="1:14" x14ac:dyDescent="0.3">
      <c r="A34" t="s">
        <v>167</v>
      </c>
      <c r="B34" s="281" t="s">
        <v>27</v>
      </c>
      <c r="D34" s="284">
        <v>201.43</v>
      </c>
      <c r="F34" s="119">
        <f t="shared" si="1"/>
        <v>10071.5</v>
      </c>
      <c r="G34" s="507"/>
      <c r="I34" s="281">
        <v>50</v>
      </c>
      <c r="N34" s="457" t="s">
        <v>1221</v>
      </c>
    </row>
    <row r="35" spans="1:14" x14ac:dyDescent="0.3">
      <c r="A35" s="237" t="s">
        <v>168</v>
      </c>
      <c r="B35" s="236" t="s">
        <v>27</v>
      </c>
      <c r="D35" s="284">
        <v>68.540000000000006</v>
      </c>
      <c r="F35" s="119">
        <f t="shared" si="1"/>
        <v>137.08000000000001</v>
      </c>
      <c r="G35" s="506" t="s">
        <v>1220</v>
      </c>
      <c r="I35" s="236">
        <v>2</v>
      </c>
      <c r="N35" s="457" t="s">
        <v>1221</v>
      </c>
    </row>
    <row r="36" spans="1:14" x14ac:dyDescent="0.3">
      <c r="A36" s="237" t="s">
        <v>169</v>
      </c>
      <c r="B36" s="236" t="s">
        <v>27</v>
      </c>
      <c r="D36" s="284">
        <v>64.459999999999994</v>
      </c>
      <c r="F36" s="119">
        <f t="shared" si="1"/>
        <v>8379.7999999999993</v>
      </c>
      <c r="G36" s="507"/>
      <c r="I36" s="236">
        <v>130</v>
      </c>
      <c r="N36" s="457" t="s">
        <v>1221</v>
      </c>
    </row>
    <row r="37" spans="1:14" x14ac:dyDescent="0.3">
      <c r="A37" s="237" t="s">
        <v>170</v>
      </c>
      <c r="B37" s="236" t="s">
        <v>27</v>
      </c>
      <c r="D37" s="284">
        <v>38.76</v>
      </c>
      <c r="F37" s="119">
        <f t="shared" si="1"/>
        <v>969</v>
      </c>
      <c r="G37" s="507"/>
      <c r="I37" s="236">
        <v>25</v>
      </c>
      <c r="N37" s="457" t="s">
        <v>1221</v>
      </c>
    </row>
    <row r="38" spans="1:14" x14ac:dyDescent="0.3">
      <c r="A38" s="237" t="s">
        <v>171</v>
      </c>
      <c r="B38" s="236" t="s">
        <v>27</v>
      </c>
      <c r="D38" s="284">
        <v>86.17</v>
      </c>
      <c r="F38" s="119">
        <f t="shared" si="1"/>
        <v>517.02</v>
      </c>
      <c r="G38" s="507"/>
      <c r="I38" s="236">
        <v>6</v>
      </c>
      <c r="N38" s="457" t="s">
        <v>1221</v>
      </c>
    </row>
    <row r="39" spans="1:14" x14ac:dyDescent="0.3">
      <c r="A39" s="237" t="s">
        <v>172</v>
      </c>
      <c r="B39" s="236" t="s">
        <v>27</v>
      </c>
      <c r="D39" s="284">
        <v>68.11</v>
      </c>
      <c r="F39" s="119">
        <f t="shared" si="1"/>
        <v>5448.8</v>
      </c>
      <c r="G39" s="507"/>
      <c r="I39" s="236">
        <v>80</v>
      </c>
      <c r="N39" s="457" t="s">
        <v>1221</v>
      </c>
    </row>
    <row r="40" spans="1:14" x14ac:dyDescent="0.3">
      <c r="A40" s="237" t="s">
        <v>173</v>
      </c>
      <c r="B40" s="236" t="s">
        <v>27</v>
      </c>
      <c r="D40" s="284">
        <v>31.65</v>
      </c>
      <c r="F40" s="119">
        <f t="shared" si="1"/>
        <v>2532</v>
      </c>
      <c r="G40" s="506" t="s">
        <v>1220</v>
      </c>
      <c r="I40" s="236">
        <v>80</v>
      </c>
      <c r="N40" s="457" t="s">
        <v>1221</v>
      </c>
    </row>
    <row r="41" spans="1:14" x14ac:dyDescent="0.3">
      <c r="A41" s="237" t="s">
        <v>174</v>
      </c>
      <c r="B41" s="236" t="s">
        <v>27</v>
      </c>
      <c r="D41" s="284">
        <v>127.64</v>
      </c>
      <c r="F41" s="119">
        <f t="shared" si="1"/>
        <v>382.92</v>
      </c>
      <c r="G41" s="507"/>
      <c r="I41" s="236">
        <v>3</v>
      </c>
      <c r="N41" s="457" t="s">
        <v>1221</v>
      </c>
    </row>
    <row r="42" spans="1:14" x14ac:dyDescent="0.3">
      <c r="A42" s="237" t="s">
        <v>175</v>
      </c>
      <c r="B42" s="236" t="s">
        <v>27</v>
      </c>
      <c r="D42" s="284">
        <v>114.22</v>
      </c>
      <c r="F42" s="119">
        <f t="shared" si="1"/>
        <v>4568.8</v>
      </c>
      <c r="G42" s="507"/>
      <c r="I42" s="236">
        <v>40</v>
      </c>
      <c r="N42" s="457" t="s">
        <v>1221</v>
      </c>
    </row>
    <row r="43" spans="1:14" x14ac:dyDescent="0.3">
      <c r="A43" s="237" t="s">
        <v>176</v>
      </c>
      <c r="B43" s="236" t="s">
        <v>27</v>
      </c>
      <c r="D43" s="284">
        <v>38.26</v>
      </c>
      <c r="F43" s="119">
        <f t="shared" si="1"/>
        <v>38.26</v>
      </c>
      <c r="G43" s="507"/>
      <c r="I43" s="236">
        <v>1</v>
      </c>
      <c r="N43" s="457" t="s">
        <v>1221</v>
      </c>
    </row>
    <row r="44" spans="1:14" x14ac:dyDescent="0.3">
      <c r="A44" s="237" t="s">
        <v>177</v>
      </c>
      <c r="B44" s="236" t="s">
        <v>27</v>
      </c>
      <c r="D44" s="284">
        <v>183.48</v>
      </c>
      <c r="F44" s="119">
        <f t="shared" si="1"/>
        <v>366.96</v>
      </c>
      <c r="G44" s="507"/>
      <c r="I44" s="236">
        <v>2</v>
      </c>
      <c r="N44" s="457" t="s">
        <v>1221</v>
      </c>
    </row>
    <row r="45" spans="1:14" x14ac:dyDescent="0.3">
      <c r="A45" s="237" t="s">
        <v>178</v>
      </c>
      <c r="B45" s="236" t="s">
        <v>27</v>
      </c>
      <c r="D45" s="284">
        <v>192.43</v>
      </c>
      <c r="F45" s="119">
        <f t="shared" si="1"/>
        <v>384.86</v>
      </c>
      <c r="G45" s="506" t="s">
        <v>1220</v>
      </c>
      <c r="I45" s="236">
        <v>2</v>
      </c>
      <c r="N45" s="457" t="s">
        <v>1221</v>
      </c>
    </row>
    <row r="46" spans="1:14" x14ac:dyDescent="0.3">
      <c r="A46" s="237" t="s">
        <v>179</v>
      </c>
      <c r="B46" s="236" t="s">
        <v>27</v>
      </c>
      <c r="D46" s="284">
        <v>185.71</v>
      </c>
      <c r="F46" s="119">
        <f t="shared" si="1"/>
        <v>7428.4000000000005</v>
      </c>
      <c r="G46" s="507"/>
      <c r="I46" s="236">
        <v>40</v>
      </c>
      <c r="N46" s="457" t="s">
        <v>1221</v>
      </c>
    </row>
    <row r="47" spans="1:14" x14ac:dyDescent="0.3">
      <c r="A47" s="237" t="s">
        <v>180</v>
      </c>
      <c r="B47" s="236" t="s">
        <v>27</v>
      </c>
      <c r="D47" s="284">
        <v>55.84</v>
      </c>
      <c r="F47" s="119">
        <f t="shared" si="1"/>
        <v>223.36</v>
      </c>
      <c r="G47" s="507"/>
      <c r="I47" s="236">
        <v>4</v>
      </c>
      <c r="N47" s="457" t="s">
        <v>1221</v>
      </c>
    </row>
    <row r="48" spans="1:14" x14ac:dyDescent="0.3">
      <c r="A48" s="237" t="s">
        <v>181</v>
      </c>
      <c r="B48" s="236" t="s">
        <v>27</v>
      </c>
      <c r="D48" s="284">
        <v>39.83</v>
      </c>
      <c r="F48" s="119">
        <f t="shared" si="1"/>
        <v>796.59999999999991</v>
      </c>
      <c r="G48" s="507"/>
      <c r="I48" s="236">
        <v>20</v>
      </c>
      <c r="N48" s="457" t="s">
        <v>1221</v>
      </c>
    </row>
    <row r="49" spans="1:14" ht="7.2" customHeight="1" x14ac:dyDescent="0.3">
      <c r="A49" s="237"/>
      <c r="B49" s="237"/>
      <c r="D49" s="284">
        <v>0</v>
      </c>
      <c r="G49" s="507"/>
      <c r="I49" s="237"/>
      <c r="N49" s="457" t="s">
        <v>1221</v>
      </c>
    </row>
    <row r="50" spans="1:14" x14ac:dyDescent="0.3">
      <c r="A50" s="237" t="s">
        <v>182</v>
      </c>
      <c r="B50" s="236" t="s">
        <v>27</v>
      </c>
      <c r="D50" s="284">
        <v>679.41</v>
      </c>
      <c r="F50" s="119">
        <f t="shared" ref="F50:F55" si="2">I50*D50</f>
        <v>4076.46</v>
      </c>
      <c r="G50" s="506" t="s">
        <v>1220</v>
      </c>
      <c r="I50" s="236">
        <v>6</v>
      </c>
      <c r="N50" s="457" t="s">
        <v>1221</v>
      </c>
    </row>
    <row r="51" spans="1:14" x14ac:dyDescent="0.3">
      <c r="A51" s="237" t="s">
        <v>183</v>
      </c>
      <c r="B51" s="236" t="s">
        <v>27</v>
      </c>
      <c r="D51" s="284">
        <v>323.52999999999997</v>
      </c>
      <c r="F51" s="119">
        <f t="shared" si="2"/>
        <v>19411.8</v>
      </c>
      <c r="G51" s="507"/>
      <c r="I51" s="236">
        <v>60</v>
      </c>
      <c r="N51" s="457" t="s">
        <v>1221</v>
      </c>
    </row>
    <row r="52" spans="1:14" x14ac:dyDescent="0.3">
      <c r="A52" s="237" t="s">
        <v>184</v>
      </c>
      <c r="B52" s="236" t="s">
        <v>27</v>
      </c>
      <c r="D52" s="284">
        <v>202.94</v>
      </c>
      <c r="F52" s="119">
        <f t="shared" si="2"/>
        <v>6088.2</v>
      </c>
      <c r="G52" s="507"/>
      <c r="I52" s="236">
        <v>30</v>
      </c>
      <c r="N52" s="457" t="s">
        <v>1221</v>
      </c>
    </row>
    <row r="53" spans="1:14" x14ac:dyDescent="0.3">
      <c r="A53" s="237" t="s">
        <v>185</v>
      </c>
      <c r="B53" s="236" t="s">
        <v>27</v>
      </c>
      <c r="D53" s="284">
        <v>136.94</v>
      </c>
      <c r="F53" s="119">
        <f t="shared" si="2"/>
        <v>13146.24</v>
      </c>
      <c r="G53" s="507"/>
      <c r="I53" s="236">
        <v>96</v>
      </c>
      <c r="N53" s="457" t="s">
        <v>1221</v>
      </c>
    </row>
    <row r="54" spans="1:14" x14ac:dyDescent="0.3">
      <c r="A54" s="237" t="s">
        <v>186</v>
      </c>
      <c r="B54" s="236" t="s">
        <v>27</v>
      </c>
      <c r="D54" s="284">
        <v>123.53</v>
      </c>
      <c r="F54" s="119">
        <f t="shared" si="2"/>
        <v>8647.1</v>
      </c>
      <c r="G54" s="507"/>
      <c r="I54" s="236">
        <v>70</v>
      </c>
      <c r="N54" s="457" t="s">
        <v>1221</v>
      </c>
    </row>
    <row r="55" spans="1:14" x14ac:dyDescent="0.3">
      <c r="A55" s="237" t="s">
        <v>187</v>
      </c>
      <c r="B55" s="236" t="s">
        <v>27</v>
      </c>
      <c r="D55" s="284">
        <v>98.82</v>
      </c>
      <c r="F55" s="119">
        <f t="shared" si="2"/>
        <v>2964.6</v>
      </c>
      <c r="G55" s="506" t="s">
        <v>1220</v>
      </c>
      <c r="I55" s="236">
        <v>30</v>
      </c>
      <c r="N55" s="457" t="s">
        <v>1221</v>
      </c>
    </row>
    <row r="56" spans="1:14" ht="6.6" customHeight="1" x14ac:dyDescent="0.3">
      <c r="A56" s="237"/>
      <c r="B56" s="237"/>
      <c r="D56" s="284"/>
      <c r="G56" s="507"/>
      <c r="I56" s="237"/>
    </row>
    <row r="57" spans="1:14" x14ac:dyDescent="0.3">
      <c r="A57" s="237" t="s">
        <v>188</v>
      </c>
      <c r="B57" s="236" t="s">
        <v>27</v>
      </c>
      <c r="D57" s="284">
        <v>291.18</v>
      </c>
      <c r="F57" s="119">
        <f t="shared" ref="F57:F83" si="3">I57*D57</f>
        <v>582.36</v>
      </c>
      <c r="G57" s="507"/>
      <c r="I57" s="236">
        <v>2</v>
      </c>
      <c r="N57" s="457" t="s">
        <v>1221</v>
      </c>
    </row>
    <row r="58" spans="1:14" x14ac:dyDescent="0.3">
      <c r="A58" s="237" t="s">
        <v>189</v>
      </c>
      <c r="B58" s="236" t="s">
        <v>27</v>
      </c>
      <c r="D58" s="284">
        <v>330</v>
      </c>
      <c r="F58" s="119">
        <f t="shared" si="3"/>
        <v>660</v>
      </c>
      <c r="G58" s="507"/>
      <c r="I58" s="236">
        <v>2</v>
      </c>
      <c r="N58" s="457" t="s">
        <v>1221</v>
      </c>
    </row>
    <row r="59" spans="1:14" x14ac:dyDescent="0.3">
      <c r="A59" s="237" t="s">
        <v>190</v>
      </c>
      <c r="B59" s="236" t="s">
        <v>27</v>
      </c>
      <c r="D59" s="284">
        <v>156</v>
      </c>
      <c r="F59" s="119">
        <f t="shared" si="3"/>
        <v>936</v>
      </c>
      <c r="G59" s="507"/>
      <c r="I59" s="236">
        <v>6</v>
      </c>
      <c r="N59" s="457" t="s">
        <v>1221</v>
      </c>
    </row>
    <row r="60" spans="1:14" x14ac:dyDescent="0.3">
      <c r="A60" s="237" t="s">
        <v>191</v>
      </c>
      <c r="B60" s="236" t="s">
        <v>27</v>
      </c>
      <c r="D60" s="284">
        <v>106.24</v>
      </c>
      <c r="F60" s="119">
        <f t="shared" si="3"/>
        <v>1274.8799999999999</v>
      </c>
      <c r="G60" s="506" t="s">
        <v>1220</v>
      </c>
      <c r="I60" s="236">
        <v>12</v>
      </c>
      <c r="N60" s="457" t="s">
        <v>1221</v>
      </c>
    </row>
    <row r="61" spans="1:14" x14ac:dyDescent="0.3">
      <c r="A61" s="237" t="s">
        <v>192</v>
      </c>
      <c r="B61" s="236" t="s">
        <v>27</v>
      </c>
      <c r="D61" s="284">
        <v>70.59</v>
      </c>
      <c r="F61" s="119">
        <f t="shared" si="3"/>
        <v>564.72</v>
      </c>
      <c r="G61" s="507"/>
      <c r="I61" s="236">
        <v>8</v>
      </c>
      <c r="N61" s="457" t="s">
        <v>1221</v>
      </c>
    </row>
    <row r="62" spans="1:14" x14ac:dyDescent="0.3">
      <c r="A62" s="237" t="s">
        <v>193</v>
      </c>
      <c r="B62" s="236" t="s">
        <v>27</v>
      </c>
      <c r="D62" s="284">
        <v>516.35</v>
      </c>
      <c r="F62" s="119">
        <f t="shared" si="3"/>
        <v>1032.7</v>
      </c>
      <c r="G62" s="507"/>
      <c r="I62" s="236">
        <v>2</v>
      </c>
      <c r="N62" s="457" t="s">
        <v>1221</v>
      </c>
    </row>
    <row r="63" spans="1:14" x14ac:dyDescent="0.3">
      <c r="A63" s="237" t="s">
        <v>194</v>
      </c>
      <c r="B63" s="236" t="s">
        <v>27</v>
      </c>
      <c r="D63" s="284">
        <v>198.88</v>
      </c>
      <c r="F63" s="119">
        <f t="shared" si="3"/>
        <v>1591.04</v>
      </c>
      <c r="G63" s="507"/>
      <c r="I63" s="236">
        <v>8</v>
      </c>
      <c r="N63" s="457" t="s">
        <v>1221</v>
      </c>
    </row>
    <row r="64" spans="1:14" x14ac:dyDescent="0.3">
      <c r="A64" s="237" t="s">
        <v>195</v>
      </c>
      <c r="B64" s="236" t="s">
        <v>27</v>
      </c>
      <c r="D64" s="284">
        <v>108.71</v>
      </c>
      <c r="F64" s="119">
        <f t="shared" si="3"/>
        <v>434.84</v>
      </c>
      <c r="G64" s="507"/>
      <c r="I64" s="236">
        <v>4</v>
      </c>
      <c r="N64" s="457" t="s">
        <v>1221</v>
      </c>
    </row>
    <row r="65" spans="1:14" x14ac:dyDescent="0.3">
      <c r="A65" s="237" t="s">
        <v>196</v>
      </c>
      <c r="B65" s="236" t="s">
        <v>27</v>
      </c>
      <c r="D65" s="284">
        <v>672.65</v>
      </c>
      <c r="F65" s="119">
        <f t="shared" si="3"/>
        <v>1345.3</v>
      </c>
      <c r="G65" s="506" t="s">
        <v>1220</v>
      </c>
      <c r="I65" s="236">
        <v>2</v>
      </c>
      <c r="N65" s="457" t="s">
        <v>1221</v>
      </c>
    </row>
    <row r="66" spans="1:14" x14ac:dyDescent="0.3">
      <c r="A66" s="237" t="s">
        <v>197</v>
      </c>
      <c r="B66" s="236" t="s">
        <v>27</v>
      </c>
      <c r="D66" s="284">
        <v>228.24</v>
      </c>
      <c r="F66" s="119">
        <f t="shared" si="3"/>
        <v>3423.6000000000004</v>
      </c>
      <c r="G66" s="507"/>
      <c r="I66" s="236">
        <v>15</v>
      </c>
      <c r="N66" s="457" t="s">
        <v>1221</v>
      </c>
    </row>
    <row r="67" spans="1:14" x14ac:dyDescent="0.3">
      <c r="A67" s="237" t="s">
        <v>198</v>
      </c>
      <c r="B67" s="236" t="s">
        <v>27</v>
      </c>
      <c r="D67" s="284">
        <v>128.24</v>
      </c>
      <c r="F67" s="119">
        <f t="shared" si="3"/>
        <v>256.48</v>
      </c>
      <c r="G67" s="507"/>
      <c r="I67" s="236">
        <v>2</v>
      </c>
      <c r="N67" s="457" t="s">
        <v>1221</v>
      </c>
    </row>
    <row r="68" spans="1:14" x14ac:dyDescent="0.3">
      <c r="A68" s="237" t="s">
        <v>199</v>
      </c>
      <c r="B68" s="236" t="s">
        <v>27</v>
      </c>
      <c r="D68" s="284">
        <v>536.76</v>
      </c>
      <c r="F68" s="119">
        <f t="shared" si="3"/>
        <v>1073.52</v>
      </c>
      <c r="G68" s="507"/>
      <c r="I68" s="236">
        <v>2</v>
      </c>
      <c r="N68" s="457" t="s">
        <v>1221</v>
      </c>
    </row>
    <row r="69" spans="1:14" x14ac:dyDescent="0.3">
      <c r="A69" s="237" t="s">
        <v>200</v>
      </c>
      <c r="B69" s="236" t="s">
        <v>27</v>
      </c>
      <c r="D69" s="284">
        <v>576.47</v>
      </c>
      <c r="F69" s="119">
        <f t="shared" si="3"/>
        <v>576.47</v>
      </c>
      <c r="G69" s="507"/>
      <c r="I69" s="236">
        <v>1</v>
      </c>
      <c r="N69" s="457" t="s">
        <v>1221</v>
      </c>
    </row>
    <row r="70" spans="1:14" x14ac:dyDescent="0.3">
      <c r="A70" s="237" t="s">
        <v>201</v>
      </c>
      <c r="B70" s="236" t="s">
        <v>27</v>
      </c>
      <c r="D70" s="284">
        <v>198.82</v>
      </c>
      <c r="F70" s="119">
        <f t="shared" si="3"/>
        <v>1192.92</v>
      </c>
      <c r="G70" s="506" t="s">
        <v>1220</v>
      </c>
      <c r="I70" s="236">
        <v>6</v>
      </c>
      <c r="N70" s="457" t="s">
        <v>1221</v>
      </c>
    </row>
    <row r="71" spans="1:14" x14ac:dyDescent="0.3">
      <c r="A71" s="237" t="s">
        <v>202</v>
      </c>
      <c r="B71" s="236" t="s">
        <v>27</v>
      </c>
      <c r="D71" s="284">
        <v>898.82</v>
      </c>
      <c r="F71" s="119">
        <f t="shared" si="3"/>
        <v>898.82</v>
      </c>
      <c r="G71" s="507"/>
      <c r="I71" s="236">
        <v>1</v>
      </c>
      <c r="N71" s="457" t="s">
        <v>1221</v>
      </c>
    </row>
    <row r="72" spans="1:14" x14ac:dyDescent="0.3">
      <c r="A72" s="237" t="s">
        <v>203</v>
      </c>
      <c r="B72" s="236" t="s">
        <v>27</v>
      </c>
      <c r="D72" s="284">
        <v>640</v>
      </c>
      <c r="F72" s="119">
        <f t="shared" si="3"/>
        <v>640</v>
      </c>
      <c r="G72" s="507"/>
      <c r="I72" s="236">
        <v>1</v>
      </c>
      <c r="N72" s="457" t="s">
        <v>1221</v>
      </c>
    </row>
    <row r="73" spans="1:14" x14ac:dyDescent="0.3">
      <c r="A73" s="237" t="s">
        <v>204</v>
      </c>
      <c r="B73" s="236" t="s">
        <v>27</v>
      </c>
      <c r="D73" s="284">
        <v>355.29</v>
      </c>
      <c r="F73" s="119">
        <f t="shared" si="3"/>
        <v>355.29</v>
      </c>
      <c r="G73" s="507"/>
      <c r="I73" s="236">
        <v>1</v>
      </c>
      <c r="N73" s="457" t="s">
        <v>1221</v>
      </c>
    </row>
    <row r="74" spans="1:14" x14ac:dyDescent="0.3">
      <c r="A74" s="237" t="s">
        <v>205</v>
      </c>
      <c r="B74" s="236" t="s">
        <v>27</v>
      </c>
      <c r="D74" s="284">
        <v>534.41</v>
      </c>
      <c r="F74" s="119">
        <f t="shared" si="3"/>
        <v>534.41</v>
      </c>
      <c r="G74" s="507"/>
      <c r="I74" s="236">
        <v>1</v>
      </c>
      <c r="N74" s="457" t="s">
        <v>1221</v>
      </c>
    </row>
    <row r="75" spans="1:14" x14ac:dyDescent="0.3">
      <c r="A75" s="237" t="s">
        <v>206</v>
      </c>
      <c r="B75" s="236" t="s">
        <v>27</v>
      </c>
      <c r="D75" s="284">
        <v>280</v>
      </c>
      <c r="F75" s="119">
        <f t="shared" si="3"/>
        <v>280</v>
      </c>
      <c r="G75" s="506" t="s">
        <v>1220</v>
      </c>
      <c r="I75" s="236">
        <v>1</v>
      </c>
      <c r="N75" s="457" t="s">
        <v>1221</v>
      </c>
    </row>
    <row r="76" spans="1:14" x14ac:dyDescent="0.3">
      <c r="A76" s="237" t="s">
        <v>207</v>
      </c>
      <c r="B76" s="236" t="s">
        <v>27</v>
      </c>
      <c r="D76" s="284">
        <v>236.47</v>
      </c>
      <c r="F76" s="119">
        <f t="shared" si="3"/>
        <v>236.47</v>
      </c>
      <c r="G76" s="507"/>
      <c r="I76" s="236">
        <v>1</v>
      </c>
      <c r="N76" s="457" t="s">
        <v>1221</v>
      </c>
    </row>
    <row r="77" spans="1:14" x14ac:dyDescent="0.3">
      <c r="A77" s="237" t="s">
        <v>208</v>
      </c>
      <c r="B77" s="236" t="s">
        <v>27</v>
      </c>
      <c r="D77" s="284">
        <v>178.8</v>
      </c>
      <c r="F77" s="119">
        <f t="shared" si="3"/>
        <v>1430.4</v>
      </c>
      <c r="G77" s="507"/>
      <c r="I77" s="236">
        <v>8</v>
      </c>
      <c r="N77" s="457" t="s">
        <v>1221</v>
      </c>
    </row>
    <row r="78" spans="1:14" x14ac:dyDescent="0.3">
      <c r="A78" s="237" t="s">
        <v>209</v>
      </c>
      <c r="B78" s="236" t="s">
        <v>27</v>
      </c>
      <c r="D78" s="284">
        <v>362.35</v>
      </c>
      <c r="F78" s="119">
        <f t="shared" si="3"/>
        <v>362.35</v>
      </c>
      <c r="G78" s="507"/>
      <c r="I78" s="236">
        <v>1</v>
      </c>
      <c r="N78" s="457" t="s">
        <v>1221</v>
      </c>
    </row>
    <row r="79" spans="1:14" x14ac:dyDescent="0.3">
      <c r="A79" s="237" t="s">
        <v>210</v>
      </c>
      <c r="B79" s="236" t="s">
        <v>27</v>
      </c>
      <c r="D79" s="284">
        <v>144.71</v>
      </c>
      <c r="F79" s="119">
        <f t="shared" si="3"/>
        <v>144.71</v>
      </c>
      <c r="G79" s="507"/>
      <c r="I79" s="236">
        <v>1</v>
      </c>
      <c r="N79" s="457" t="s">
        <v>1221</v>
      </c>
    </row>
    <row r="80" spans="1:14" x14ac:dyDescent="0.3">
      <c r="A80" s="237" t="s">
        <v>211</v>
      </c>
      <c r="B80" s="236" t="s">
        <v>27</v>
      </c>
      <c r="D80" s="284">
        <v>135.88</v>
      </c>
      <c r="F80" s="119">
        <f t="shared" si="3"/>
        <v>135.88</v>
      </c>
      <c r="G80" s="506" t="s">
        <v>1220</v>
      </c>
      <c r="I80" s="236">
        <v>1</v>
      </c>
      <c r="N80" s="457" t="s">
        <v>1221</v>
      </c>
    </row>
    <row r="81" spans="1:14" x14ac:dyDescent="0.3">
      <c r="A81" s="237" t="s">
        <v>212</v>
      </c>
      <c r="B81" s="236" t="s">
        <v>27</v>
      </c>
      <c r="D81" s="284">
        <v>76.47</v>
      </c>
      <c r="F81" s="119">
        <f t="shared" si="3"/>
        <v>305.88</v>
      </c>
      <c r="G81" s="507"/>
      <c r="I81" s="236">
        <v>4</v>
      </c>
      <c r="N81" s="457" t="s">
        <v>1221</v>
      </c>
    </row>
    <row r="82" spans="1:14" x14ac:dyDescent="0.3">
      <c r="A82" s="237" t="s">
        <v>213</v>
      </c>
      <c r="B82" s="236" t="s">
        <v>27</v>
      </c>
      <c r="D82" s="284">
        <v>67.650000000000006</v>
      </c>
      <c r="F82" s="119">
        <f t="shared" si="3"/>
        <v>1691.2500000000002</v>
      </c>
      <c r="G82" s="507"/>
      <c r="I82" s="236">
        <v>25</v>
      </c>
      <c r="N82" s="457" t="s">
        <v>1221</v>
      </c>
    </row>
    <row r="83" spans="1:14" x14ac:dyDescent="0.3">
      <c r="A83" s="237" t="s">
        <v>214</v>
      </c>
      <c r="B83" s="236" t="s">
        <v>27</v>
      </c>
      <c r="D83" s="284">
        <v>43.53</v>
      </c>
      <c r="F83" s="119">
        <f t="shared" si="3"/>
        <v>1958.8500000000001</v>
      </c>
      <c r="G83" s="507"/>
      <c r="I83" s="236">
        <v>45</v>
      </c>
      <c r="N83" s="457" t="s">
        <v>1221</v>
      </c>
    </row>
    <row r="84" spans="1:14" ht="7.95" customHeight="1" x14ac:dyDescent="0.3">
      <c r="A84" s="237"/>
      <c r="B84" s="237"/>
      <c r="D84" s="284"/>
      <c r="G84" s="507"/>
      <c r="I84" s="237"/>
    </row>
    <row r="85" spans="1:14" x14ac:dyDescent="0.3">
      <c r="A85" s="237" t="s">
        <v>215</v>
      </c>
      <c r="B85" s="236" t="s">
        <v>27</v>
      </c>
      <c r="D85" s="284">
        <v>67.06</v>
      </c>
      <c r="F85" s="119">
        <f t="shared" ref="F85:F90" si="4">I85*D85</f>
        <v>804.72</v>
      </c>
      <c r="G85" s="506" t="s">
        <v>1220</v>
      </c>
      <c r="I85" s="236">
        <v>12</v>
      </c>
      <c r="N85" s="457" t="s">
        <v>1221</v>
      </c>
    </row>
    <row r="86" spans="1:14" x14ac:dyDescent="0.3">
      <c r="A86" s="237" t="s">
        <v>216</v>
      </c>
      <c r="B86" s="236" t="s">
        <v>27</v>
      </c>
      <c r="D86" s="284">
        <v>46.71</v>
      </c>
      <c r="F86" s="119">
        <f t="shared" si="4"/>
        <v>560.52</v>
      </c>
      <c r="G86" s="507"/>
      <c r="I86" s="236">
        <v>12</v>
      </c>
      <c r="N86" s="457" t="s">
        <v>1221</v>
      </c>
    </row>
    <row r="87" spans="1:14" x14ac:dyDescent="0.3">
      <c r="A87" s="237" t="s">
        <v>217</v>
      </c>
      <c r="B87" s="236" t="s">
        <v>27</v>
      </c>
      <c r="D87" s="284">
        <v>60</v>
      </c>
      <c r="F87" s="119">
        <f t="shared" si="4"/>
        <v>3600</v>
      </c>
      <c r="G87" s="507"/>
      <c r="I87" s="236">
        <v>60</v>
      </c>
      <c r="N87" s="457" t="s">
        <v>1221</v>
      </c>
    </row>
    <row r="88" spans="1:14" x14ac:dyDescent="0.3">
      <c r="A88" s="237" t="s">
        <v>218</v>
      </c>
      <c r="B88" s="236" t="s">
        <v>27</v>
      </c>
      <c r="D88" s="284">
        <v>42.35</v>
      </c>
      <c r="F88" s="119">
        <f t="shared" si="4"/>
        <v>2541</v>
      </c>
      <c r="G88" s="507"/>
      <c r="I88" s="236">
        <v>60</v>
      </c>
      <c r="N88" s="457" t="s">
        <v>1221</v>
      </c>
    </row>
    <row r="89" spans="1:14" x14ac:dyDescent="0.3">
      <c r="A89" s="237" t="s">
        <v>219</v>
      </c>
      <c r="B89" s="236" t="s">
        <v>27</v>
      </c>
      <c r="D89" s="284">
        <v>24.71</v>
      </c>
      <c r="F89" s="119">
        <f t="shared" si="4"/>
        <v>741.30000000000007</v>
      </c>
      <c r="G89" s="507"/>
      <c r="I89" s="236">
        <v>30</v>
      </c>
      <c r="N89" s="457" t="s">
        <v>1221</v>
      </c>
    </row>
    <row r="90" spans="1:14" x14ac:dyDescent="0.3">
      <c r="A90" s="237" t="s">
        <v>220</v>
      </c>
      <c r="B90" s="236" t="s">
        <v>27</v>
      </c>
      <c r="D90" s="284">
        <v>20</v>
      </c>
      <c r="F90" s="119">
        <f t="shared" si="4"/>
        <v>600</v>
      </c>
      <c r="G90" s="506" t="s">
        <v>1220</v>
      </c>
      <c r="I90" s="236">
        <v>30</v>
      </c>
      <c r="N90" s="457" t="s">
        <v>1221</v>
      </c>
    </row>
    <row r="91" spans="1:14" ht="9.6" customHeight="1" x14ac:dyDescent="0.3">
      <c r="A91" s="237"/>
      <c r="B91" s="237"/>
      <c r="D91" s="284"/>
      <c r="G91" s="507"/>
      <c r="I91" s="237"/>
    </row>
    <row r="92" spans="1:14" x14ac:dyDescent="0.3">
      <c r="A92" s="237" t="s">
        <v>221</v>
      </c>
      <c r="B92" s="236" t="s">
        <v>27</v>
      </c>
      <c r="D92" s="284">
        <v>108.71</v>
      </c>
      <c r="F92" s="119">
        <f t="shared" ref="F92:F99" si="5">I92*D92</f>
        <v>2174.1999999999998</v>
      </c>
      <c r="G92" s="507"/>
      <c r="I92" s="236">
        <v>20</v>
      </c>
      <c r="N92" s="457" t="s">
        <v>1221</v>
      </c>
    </row>
    <row r="93" spans="1:14" x14ac:dyDescent="0.3">
      <c r="A93" s="237" t="s">
        <v>222</v>
      </c>
      <c r="B93" s="236" t="s">
        <v>27</v>
      </c>
      <c r="D93" s="284">
        <v>87.06</v>
      </c>
      <c r="F93" s="119">
        <f t="shared" si="5"/>
        <v>1218.8400000000001</v>
      </c>
      <c r="G93" s="507"/>
      <c r="I93" s="236">
        <v>14</v>
      </c>
      <c r="N93" s="457" t="s">
        <v>1221</v>
      </c>
    </row>
    <row r="94" spans="1:14" x14ac:dyDescent="0.3">
      <c r="A94" s="237" t="s">
        <v>223</v>
      </c>
      <c r="B94" s="236" t="s">
        <v>27</v>
      </c>
      <c r="D94" s="284">
        <v>305.88</v>
      </c>
      <c r="F94" s="119">
        <f t="shared" si="5"/>
        <v>3670.56</v>
      </c>
      <c r="G94" s="507"/>
      <c r="I94" s="236">
        <v>12</v>
      </c>
      <c r="N94" s="457" t="s">
        <v>1221</v>
      </c>
    </row>
    <row r="95" spans="1:14" x14ac:dyDescent="0.3">
      <c r="A95" s="237" t="s">
        <v>224</v>
      </c>
      <c r="B95" s="236" t="s">
        <v>27</v>
      </c>
      <c r="D95" s="284">
        <v>182.35</v>
      </c>
      <c r="F95" s="119">
        <f t="shared" si="5"/>
        <v>1458.8</v>
      </c>
      <c r="G95" s="506" t="s">
        <v>1220</v>
      </c>
      <c r="I95" s="236">
        <v>8</v>
      </c>
      <c r="N95" s="457" t="s">
        <v>1221</v>
      </c>
    </row>
    <row r="96" spans="1:14" x14ac:dyDescent="0.3">
      <c r="A96" s="237" t="s">
        <v>225</v>
      </c>
      <c r="B96" s="236" t="s">
        <v>27</v>
      </c>
      <c r="D96" s="284">
        <v>229.41</v>
      </c>
      <c r="F96" s="119">
        <f t="shared" si="5"/>
        <v>917.64</v>
      </c>
      <c r="G96" s="507"/>
      <c r="I96" s="236">
        <v>4</v>
      </c>
      <c r="N96" s="457" t="s">
        <v>1221</v>
      </c>
    </row>
    <row r="97" spans="1:14" x14ac:dyDescent="0.3">
      <c r="A97" s="237" t="s">
        <v>226</v>
      </c>
      <c r="B97" s="236" t="s">
        <v>27</v>
      </c>
      <c r="D97" s="284">
        <v>152.94</v>
      </c>
      <c r="F97" s="119">
        <f t="shared" si="5"/>
        <v>611.76</v>
      </c>
      <c r="G97" s="507"/>
      <c r="I97" s="236">
        <v>4</v>
      </c>
      <c r="N97" s="457" t="s">
        <v>1221</v>
      </c>
    </row>
    <row r="98" spans="1:14" x14ac:dyDescent="0.3">
      <c r="A98" s="237" t="s">
        <v>227</v>
      </c>
      <c r="B98" s="236" t="s">
        <v>27</v>
      </c>
      <c r="D98" s="284">
        <v>690</v>
      </c>
      <c r="F98" s="119">
        <f t="shared" si="5"/>
        <v>13800</v>
      </c>
      <c r="G98" s="507"/>
      <c r="I98" s="236">
        <v>20</v>
      </c>
      <c r="N98" s="457" t="s">
        <v>1221</v>
      </c>
    </row>
    <row r="99" spans="1:14" x14ac:dyDescent="0.3">
      <c r="A99" s="237" t="s">
        <v>228</v>
      </c>
      <c r="B99" s="236" t="s">
        <v>27</v>
      </c>
      <c r="D99" s="284">
        <v>408.47</v>
      </c>
      <c r="F99" s="119">
        <f t="shared" si="5"/>
        <v>8169.4000000000005</v>
      </c>
      <c r="G99" s="507"/>
      <c r="I99" s="236">
        <v>20</v>
      </c>
      <c r="N99" s="457" t="s">
        <v>1221</v>
      </c>
    </row>
    <row r="100" spans="1:14" ht="10.199999999999999" customHeight="1" x14ac:dyDescent="0.3">
      <c r="A100" s="237"/>
      <c r="B100" s="237"/>
      <c r="D100" s="284"/>
      <c r="G100" s="506" t="s">
        <v>1220</v>
      </c>
      <c r="I100" s="237"/>
    </row>
    <row r="101" spans="1:14" x14ac:dyDescent="0.3">
      <c r="A101" s="237" t="s">
        <v>229</v>
      </c>
      <c r="B101" s="236" t="s">
        <v>27</v>
      </c>
      <c r="D101" s="284">
        <v>90</v>
      </c>
      <c r="F101" s="119">
        <f>I101*D101</f>
        <v>2520</v>
      </c>
      <c r="G101" s="507"/>
      <c r="I101" s="236">
        <v>28</v>
      </c>
      <c r="N101" s="457" t="s">
        <v>1221</v>
      </c>
    </row>
    <row r="102" spans="1:14" x14ac:dyDescent="0.3">
      <c r="A102" s="237" t="s">
        <v>230</v>
      </c>
      <c r="B102" s="236" t="s">
        <v>27</v>
      </c>
      <c r="D102" s="284">
        <v>13.5</v>
      </c>
      <c r="F102" s="119">
        <f>I102*D102</f>
        <v>2025</v>
      </c>
      <c r="G102" s="507"/>
      <c r="I102" s="236">
        <v>150</v>
      </c>
      <c r="N102" s="457" t="s">
        <v>1221</v>
      </c>
    </row>
    <row r="103" spans="1:14" x14ac:dyDescent="0.3">
      <c r="A103" s="237" t="s">
        <v>231</v>
      </c>
      <c r="B103" s="236" t="s">
        <v>27</v>
      </c>
      <c r="D103" s="284">
        <v>27.14</v>
      </c>
      <c r="F103" s="119">
        <f>I103*D103</f>
        <v>4071</v>
      </c>
      <c r="G103" s="507"/>
      <c r="I103" s="236">
        <v>150</v>
      </c>
      <c r="N103" s="457" t="s">
        <v>1221</v>
      </c>
    </row>
    <row r="104" spans="1:14" x14ac:dyDescent="0.3">
      <c r="A104" s="237" t="s">
        <v>232</v>
      </c>
      <c r="B104" s="236" t="s">
        <v>27</v>
      </c>
      <c r="D104" s="284">
        <v>27.14</v>
      </c>
      <c r="F104" s="119">
        <f>I104*D104</f>
        <v>4071</v>
      </c>
      <c r="G104" s="507"/>
      <c r="I104" s="236">
        <v>150</v>
      </c>
      <c r="N104" s="457" t="s">
        <v>1221</v>
      </c>
    </row>
    <row r="105" spans="1:14" x14ac:dyDescent="0.3">
      <c r="A105" s="237"/>
      <c r="B105" s="237"/>
      <c r="I105" s="237"/>
    </row>
    <row r="106" spans="1:14" x14ac:dyDescent="0.3">
      <c r="A106" s="240" t="s">
        <v>233</v>
      </c>
      <c r="B106" s="242"/>
      <c r="I106" s="242"/>
    </row>
    <row r="107" spans="1:14" x14ac:dyDescent="0.3">
      <c r="A107" s="244" t="s">
        <v>234</v>
      </c>
      <c r="B107" s="245" t="s">
        <v>776</v>
      </c>
      <c r="C107" s="246"/>
      <c r="D107" s="247" t="s">
        <v>802</v>
      </c>
      <c r="E107" s="246"/>
      <c r="F107" s="247" t="s">
        <v>803</v>
      </c>
      <c r="G107" s="506" t="s">
        <v>1220</v>
      </c>
      <c r="I107" s="245" t="s">
        <v>775</v>
      </c>
    </row>
    <row r="108" spans="1:14" x14ac:dyDescent="0.3">
      <c r="A108" s="237" t="s">
        <v>235</v>
      </c>
      <c r="B108" s="239" t="s">
        <v>25</v>
      </c>
      <c r="D108" s="284">
        <v>43.846153846153847</v>
      </c>
      <c r="F108" s="119">
        <f>I108*D108</f>
        <v>3946.1538461538462</v>
      </c>
      <c r="G108" s="507"/>
      <c r="I108" s="239">
        <v>90</v>
      </c>
      <c r="N108" s="457" t="s">
        <v>1221</v>
      </c>
    </row>
    <row r="109" spans="1:14" x14ac:dyDescent="0.3">
      <c r="A109" s="237" t="s">
        <v>236</v>
      </c>
      <c r="B109" s="239" t="s">
        <v>25</v>
      </c>
      <c r="D109" s="284">
        <v>28.46153846153846</v>
      </c>
      <c r="F109" s="119">
        <f>I109*D109</f>
        <v>341.53846153846155</v>
      </c>
      <c r="G109" s="507"/>
      <c r="I109" s="239">
        <v>12</v>
      </c>
      <c r="N109" s="457" t="s">
        <v>1221</v>
      </c>
    </row>
    <row r="110" spans="1:14" x14ac:dyDescent="0.3">
      <c r="A110" s="237" t="s">
        <v>237</v>
      </c>
      <c r="B110" s="239" t="s">
        <v>25</v>
      </c>
      <c r="D110" s="284">
        <v>106.2416666666667</v>
      </c>
      <c r="F110" s="119">
        <f>I110*D110</f>
        <v>1274.9000000000005</v>
      </c>
      <c r="G110" s="507"/>
      <c r="I110" s="239">
        <v>12</v>
      </c>
      <c r="N110" s="457" t="s">
        <v>1221</v>
      </c>
    </row>
    <row r="111" spans="1:14" x14ac:dyDescent="0.3">
      <c r="A111" s="237" t="s">
        <v>238</v>
      </c>
      <c r="B111" s="239" t="s">
        <v>25</v>
      </c>
      <c r="D111" s="284">
        <v>59.82</v>
      </c>
      <c r="F111" s="119">
        <f>I111*D111</f>
        <v>717.84</v>
      </c>
      <c r="G111" s="507"/>
      <c r="I111" s="239">
        <v>12</v>
      </c>
      <c r="N111" s="457" t="s">
        <v>1221</v>
      </c>
    </row>
    <row r="112" spans="1:14" ht="7.95" customHeight="1" x14ac:dyDescent="0.3">
      <c r="A112" s="237"/>
      <c r="B112" s="239"/>
      <c r="G112" s="506" t="s">
        <v>1220</v>
      </c>
      <c r="I112" s="239"/>
    </row>
    <row r="113" spans="1:14" x14ac:dyDescent="0.3">
      <c r="A113" s="237" t="s">
        <v>239</v>
      </c>
      <c r="B113" s="239" t="s">
        <v>27</v>
      </c>
      <c r="D113" s="284">
        <v>12.83</v>
      </c>
      <c r="F113" s="119">
        <f t="shared" ref="F113:F124" si="6">I113*D113</f>
        <v>384.9</v>
      </c>
      <c r="G113" s="507"/>
      <c r="I113" s="239">
        <v>30</v>
      </c>
      <c r="N113" s="457" t="s">
        <v>1221</v>
      </c>
    </row>
    <row r="114" spans="1:14" x14ac:dyDescent="0.3">
      <c r="A114" s="237" t="s">
        <v>240</v>
      </c>
      <c r="B114" s="239" t="s">
        <v>27</v>
      </c>
      <c r="D114" s="284">
        <v>7.55</v>
      </c>
      <c r="F114" s="119">
        <f t="shared" si="6"/>
        <v>75.5</v>
      </c>
      <c r="G114" s="507"/>
      <c r="I114" s="239">
        <v>10</v>
      </c>
      <c r="N114" s="457" t="s">
        <v>1221</v>
      </c>
    </row>
    <row r="115" spans="1:14" x14ac:dyDescent="0.3">
      <c r="A115" s="237" t="s">
        <v>241</v>
      </c>
      <c r="B115" s="239" t="s">
        <v>27</v>
      </c>
      <c r="D115" s="284">
        <v>35.5</v>
      </c>
      <c r="F115" s="119">
        <f t="shared" si="6"/>
        <v>106.5</v>
      </c>
      <c r="G115" s="507"/>
      <c r="I115" s="239">
        <v>3</v>
      </c>
      <c r="N115" s="457" t="s">
        <v>1221</v>
      </c>
    </row>
    <row r="116" spans="1:14" x14ac:dyDescent="0.3">
      <c r="A116" s="237" t="s">
        <v>242</v>
      </c>
      <c r="B116" s="239" t="s">
        <v>27</v>
      </c>
      <c r="D116" s="284">
        <v>16.93</v>
      </c>
      <c r="F116" s="119">
        <f t="shared" si="6"/>
        <v>33.86</v>
      </c>
      <c r="G116" s="507"/>
      <c r="I116" s="239">
        <v>2</v>
      </c>
      <c r="N116" s="457" t="s">
        <v>1221</v>
      </c>
    </row>
    <row r="117" spans="1:14" x14ac:dyDescent="0.3">
      <c r="A117" s="237" t="s">
        <v>243</v>
      </c>
      <c r="B117" s="239" t="s">
        <v>27</v>
      </c>
      <c r="D117" s="284">
        <v>22.85</v>
      </c>
      <c r="F117" s="119">
        <f t="shared" si="6"/>
        <v>457</v>
      </c>
      <c r="G117" s="506" t="s">
        <v>1220</v>
      </c>
      <c r="I117" s="239">
        <v>20</v>
      </c>
      <c r="N117" s="457" t="s">
        <v>1221</v>
      </c>
    </row>
    <row r="118" spans="1:14" x14ac:dyDescent="0.3">
      <c r="A118" s="237" t="s">
        <v>244</v>
      </c>
      <c r="B118" s="239" t="s">
        <v>27</v>
      </c>
      <c r="D118" s="284">
        <v>10.62</v>
      </c>
      <c r="F118" s="119">
        <f t="shared" si="6"/>
        <v>63.72</v>
      </c>
      <c r="G118" s="507"/>
      <c r="I118" s="239">
        <v>6</v>
      </c>
      <c r="N118" s="457" t="s">
        <v>1221</v>
      </c>
    </row>
    <row r="119" spans="1:14" x14ac:dyDescent="0.3">
      <c r="A119" s="237" t="s">
        <v>245</v>
      </c>
      <c r="B119" s="239" t="s">
        <v>27</v>
      </c>
      <c r="D119" s="284">
        <v>23.5</v>
      </c>
      <c r="F119" s="119">
        <f t="shared" si="6"/>
        <v>188</v>
      </c>
      <c r="G119" s="507"/>
      <c r="I119" s="239">
        <v>8</v>
      </c>
      <c r="N119" s="457" t="s">
        <v>1221</v>
      </c>
    </row>
    <row r="120" spans="1:14" x14ac:dyDescent="0.3">
      <c r="A120" s="237" t="s">
        <v>246</v>
      </c>
      <c r="B120" s="239" t="s">
        <v>27</v>
      </c>
      <c r="D120" s="284">
        <v>11.4</v>
      </c>
      <c r="F120" s="119">
        <f t="shared" si="6"/>
        <v>68.400000000000006</v>
      </c>
      <c r="G120" s="507"/>
      <c r="I120" s="239">
        <v>6</v>
      </c>
      <c r="N120" s="457" t="s">
        <v>1221</v>
      </c>
    </row>
    <row r="121" spans="1:14" x14ac:dyDescent="0.3">
      <c r="A121" s="237" t="s">
        <v>247</v>
      </c>
      <c r="B121" s="239" t="s">
        <v>27</v>
      </c>
      <c r="D121" s="284">
        <v>30.75</v>
      </c>
      <c r="F121" s="119">
        <f t="shared" si="6"/>
        <v>307.5</v>
      </c>
      <c r="G121" s="507"/>
      <c r="I121" s="239">
        <v>10</v>
      </c>
      <c r="N121" s="457" t="s">
        <v>1221</v>
      </c>
    </row>
    <row r="122" spans="1:14" x14ac:dyDescent="0.3">
      <c r="A122" s="237" t="s">
        <v>248</v>
      </c>
      <c r="B122" s="239" t="s">
        <v>27</v>
      </c>
      <c r="D122" s="284">
        <v>23.21</v>
      </c>
      <c r="F122" s="119">
        <f t="shared" si="6"/>
        <v>185.68</v>
      </c>
      <c r="G122" s="506" t="s">
        <v>1220</v>
      </c>
      <c r="I122" s="239">
        <v>8</v>
      </c>
      <c r="N122" s="457" t="s">
        <v>1221</v>
      </c>
    </row>
    <row r="123" spans="1:14" x14ac:dyDescent="0.3">
      <c r="A123" s="237" t="s">
        <v>249</v>
      </c>
      <c r="B123" s="239" t="s">
        <v>27</v>
      </c>
      <c r="D123" s="284">
        <v>217.8</v>
      </c>
      <c r="F123" s="119">
        <f t="shared" si="6"/>
        <v>1306.8000000000002</v>
      </c>
      <c r="G123" s="507"/>
      <c r="I123" s="239">
        <v>6</v>
      </c>
      <c r="N123" s="457" t="s">
        <v>1221</v>
      </c>
    </row>
    <row r="124" spans="1:14" x14ac:dyDescent="0.3">
      <c r="A124" s="237" t="s">
        <v>250</v>
      </c>
      <c r="B124" s="239" t="s">
        <v>27</v>
      </c>
      <c r="D124" s="284">
        <v>169.4</v>
      </c>
      <c r="F124" s="119">
        <f t="shared" si="6"/>
        <v>1016.4000000000001</v>
      </c>
      <c r="G124" s="507"/>
      <c r="I124" s="239">
        <v>6</v>
      </c>
      <c r="N124" s="457" t="s">
        <v>1221</v>
      </c>
    </row>
    <row r="125" spans="1:14" ht="10.199999999999999" customHeight="1" x14ac:dyDescent="0.3">
      <c r="A125" s="237"/>
      <c r="B125" s="239"/>
      <c r="D125" s="284"/>
      <c r="G125" s="507"/>
      <c r="I125" s="239"/>
    </row>
    <row r="126" spans="1:14" x14ac:dyDescent="0.3">
      <c r="A126" s="237" t="s">
        <v>251</v>
      </c>
      <c r="B126" s="239" t="s">
        <v>27</v>
      </c>
      <c r="D126" s="284">
        <v>2350</v>
      </c>
      <c r="F126" s="119">
        <f>I126*D126</f>
        <v>2350</v>
      </c>
      <c r="G126" s="507"/>
      <c r="I126" s="239">
        <v>1</v>
      </c>
      <c r="N126" s="457" t="s">
        <v>1221</v>
      </c>
    </row>
    <row r="127" spans="1:14" x14ac:dyDescent="0.3">
      <c r="A127" s="237" t="s">
        <v>252</v>
      </c>
      <c r="B127" s="239" t="s">
        <v>27</v>
      </c>
      <c r="D127" s="284">
        <v>1155</v>
      </c>
      <c r="F127" s="119">
        <f>I127*D127</f>
        <v>1155</v>
      </c>
      <c r="G127" s="506" t="s">
        <v>1220</v>
      </c>
      <c r="I127" s="239">
        <v>1</v>
      </c>
      <c r="N127" s="457" t="s">
        <v>1221</v>
      </c>
    </row>
    <row r="128" spans="1:14" ht="9" customHeight="1" x14ac:dyDescent="0.3">
      <c r="A128" s="237"/>
      <c r="B128" s="239"/>
      <c r="D128" s="284"/>
      <c r="G128" s="507"/>
      <c r="I128" s="239"/>
    </row>
    <row r="129" spans="1:14" x14ac:dyDescent="0.3">
      <c r="A129" s="237" t="s">
        <v>253</v>
      </c>
      <c r="B129" s="236" t="s">
        <v>27</v>
      </c>
      <c r="D129" s="284">
        <v>365</v>
      </c>
      <c r="F129" s="119">
        <f t="shared" ref="F129:F134" si="7">I129*D129</f>
        <v>19345</v>
      </c>
      <c r="G129" s="507"/>
      <c r="I129" s="236">
        <v>53</v>
      </c>
      <c r="N129" s="457" t="s">
        <v>1221</v>
      </c>
    </row>
    <row r="130" spans="1:14" x14ac:dyDescent="0.3">
      <c r="A130" s="237" t="s">
        <v>254</v>
      </c>
      <c r="B130" s="236" t="s">
        <v>27</v>
      </c>
      <c r="D130" s="284">
        <v>365</v>
      </c>
      <c r="F130" s="119">
        <f t="shared" si="7"/>
        <v>19345</v>
      </c>
      <c r="G130" s="507"/>
      <c r="I130" s="236">
        <v>53</v>
      </c>
      <c r="N130" s="457" t="s">
        <v>1221</v>
      </c>
    </row>
    <row r="131" spans="1:14" x14ac:dyDescent="0.3">
      <c r="A131" s="237" t="s">
        <v>255</v>
      </c>
      <c r="B131" s="236" t="s">
        <v>27</v>
      </c>
      <c r="D131" s="284">
        <v>90</v>
      </c>
      <c r="F131" s="119">
        <f t="shared" si="7"/>
        <v>540</v>
      </c>
      <c r="G131" s="507"/>
      <c r="I131" s="236">
        <v>6</v>
      </c>
      <c r="N131" s="457" t="s">
        <v>1221</v>
      </c>
    </row>
    <row r="132" spans="1:14" x14ac:dyDescent="0.3">
      <c r="A132" s="237" t="s">
        <v>256</v>
      </c>
      <c r="B132" s="236" t="s">
        <v>27</v>
      </c>
      <c r="D132" s="284">
        <v>5</v>
      </c>
      <c r="F132" s="119">
        <f t="shared" si="7"/>
        <v>30</v>
      </c>
      <c r="G132" s="506" t="s">
        <v>1220</v>
      </c>
      <c r="I132" s="236">
        <v>6</v>
      </c>
      <c r="N132" s="457" t="s">
        <v>1221</v>
      </c>
    </row>
    <row r="133" spans="1:14" x14ac:dyDescent="0.3">
      <c r="A133" s="237" t="s">
        <v>257</v>
      </c>
      <c r="B133" s="239" t="s">
        <v>27</v>
      </c>
      <c r="D133" s="284">
        <v>125</v>
      </c>
      <c r="F133" s="119">
        <f t="shared" si="7"/>
        <v>625</v>
      </c>
      <c r="G133" s="507"/>
      <c r="I133" s="239">
        <v>5</v>
      </c>
      <c r="N133" s="457" t="s">
        <v>1221</v>
      </c>
    </row>
    <row r="134" spans="1:14" x14ac:dyDescent="0.3">
      <c r="A134" s="237" t="s">
        <v>258</v>
      </c>
      <c r="B134" s="239" t="s">
        <v>27</v>
      </c>
      <c r="D134" s="284">
        <v>39</v>
      </c>
      <c r="F134" s="119">
        <f t="shared" si="7"/>
        <v>3315</v>
      </c>
      <c r="G134" s="507"/>
      <c r="I134" s="239">
        <v>85</v>
      </c>
      <c r="N134" s="457" t="s">
        <v>1221</v>
      </c>
    </row>
    <row r="135" spans="1:14" ht="10.199999999999999" customHeight="1" x14ac:dyDescent="0.3">
      <c r="A135" s="237"/>
      <c r="B135" s="239"/>
      <c r="G135" s="507"/>
      <c r="I135" s="239"/>
    </row>
    <row r="136" spans="1:14" x14ac:dyDescent="0.3">
      <c r="A136" s="237" t="s">
        <v>259</v>
      </c>
      <c r="B136" s="239" t="s">
        <v>27</v>
      </c>
      <c r="D136" s="284">
        <v>3100.7</v>
      </c>
      <c r="F136" s="119">
        <f>I136*D136</f>
        <v>3100.7</v>
      </c>
      <c r="G136" s="507"/>
      <c r="I136" s="239">
        <v>1</v>
      </c>
      <c r="N136" s="457" t="s">
        <v>1221</v>
      </c>
    </row>
    <row r="137" spans="1:14" x14ac:dyDescent="0.3">
      <c r="A137" s="237" t="s">
        <v>260</v>
      </c>
      <c r="B137" s="239" t="s">
        <v>27</v>
      </c>
      <c r="D137" s="284">
        <v>4237.09</v>
      </c>
      <c r="F137" s="119">
        <f>I137*D137</f>
        <v>8474.18</v>
      </c>
      <c r="G137" s="506" t="s">
        <v>1220</v>
      </c>
      <c r="I137" s="239">
        <v>2</v>
      </c>
      <c r="N137" s="457" t="s">
        <v>1221</v>
      </c>
    </row>
    <row r="138" spans="1:14" ht="7.2" customHeight="1" x14ac:dyDescent="0.3">
      <c r="A138" s="237"/>
      <c r="B138" s="239"/>
      <c r="D138" s="284"/>
      <c r="G138" s="507"/>
      <c r="I138" s="239"/>
    </row>
    <row r="139" spans="1:14" x14ac:dyDescent="0.3">
      <c r="A139" s="237" t="s">
        <v>261</v>
      </c>
      <c r="B139" s="239" t="s">
        <v>27</v>
      </c>
      <c r="D139" s="284">
        <v>114.44</v>
      </c>
      <c r="F139" s="119">
        <f t="shared" ref="F139:F146" si="8">I139*D139</f>
        <v>1144.4000000000001</v>
      </c>
      <c r="G139" s="507"/>
      <c r="I139" s="239">
        <v>10</v>
      </c>
      <c r="N139" s="457" t="s">
        <v>1221</v>
      </c>
    </row>
    <row r="140" spans="1:14" x14ac:dyDescent="0.3">
      <c r="A140" s="237" t="s">
        <v>262</v>
      </c>
      <c r="B140" s="239" t="s">
        <v>27</v>
      </c>
      <c r="D140" s="284">
        <v>219.36</v>
      </c>
      <c r="F140" s="119">
        <f t="shared" si="8"/>
        <v>1535.52</v>
      </c>
      <c r="G140" s="507"/>
      <c r="I140" s="239">
        <v>7</v>
      </c>
      <c r="N140" s="457" t="s">
        <v>1221</v>
      </c>
    </row>
    <row r="141" spans="1:14" x14ac:dyDescent="0.3">
      <c r="A141" s="237" t="s">
        <v>263</v>
      </c>
      <c r="B141" s="239" t="s">
        <v>27</v>
      </c>
      <c r="D141" s="284">
        <v>135.09</v>
      </c>
      <c r="F141" s="119">
        <f t="shared" si="8"/>
        <v>1080.72</v>
      </c>
      <c r="G141" s="507"/>
      <c r="I141" s="239">
        <v>8</v>
      </c>
      <c r="N141" s="457" t="s">
        <v>1221</v>
      </c>
    </row>
    <row r="142" spans="1:14" x14ac:dyDescent="0.3">
      <c r="A142" s="237" t="s">
        <v>264</v>
      </c>
      <c r="B142" s="239" t="s">
        <v>27</v>
      </c>
      <c r="D142" s="284">
        <v>125.77</v>
      </c>
      <c r="F142" s="119">
        <f t="shared" si="8"/>
        <v>754.62</v>
      </c>
      <c r="G142" s="506" t="s">
        <v>1220</v>
      </c>
      <c r="I142" s="239">
        <v>6</v>
      </c>
      <c r="N142" s="457" t="s">
        <v>1221</v>
      </c>
    </row>
    <row r="143" spans="1:14" x14ac:dyDescent="0.3">
      <c r="A143" s="237" t="s">
        <v>265</v>
      </c>
      <c r="B143" s="239" t="s">
        <v>27</v>
      </c>
      <c r="D143" s="284">
        <v>83.25</v>
      </c>
      <c r="F143" s="119">
        <f t="shared" si="8"/>
        <v>999</v>
      </c>
      <c r="G143" s="507"/>
      <c r="I143" s="239">
        <v>12</v>
      </c>
      <c r="N143" s="457" t="s">
        <v>1221</v>
      </c>
    </row>
    <row r="144" spans="1:14" x14ac:dyDescent="0.3">
      <c r="A144" s="237" t="s">
        <v>266</v>
      </c>
      <c r="B144" s="239" t="s">
        <v>27</v>
      </c>
      <c r="D144" s="284">
        <v>52.25</v>
      </c>
      <c r="F144" s="119">
        <f t="shared" si="8"/>
        <v>627</v>
      </c>
      <c r="G144" s="507"/>
      <c r="I144" s="239">
        <v>12</v>
      </c>
      <c r="N144" s="457" t="s">
        <v>1221</v>
      </c>
    </row>
    <row r="145" spans="1:14" x14ac:dyDescent="0.3">
      <c r="A145" s="237" t="s">
        <v>267</v>
      </c>
      <c r="B145" s="239" t="s">
        <v>27</v>
      </c>
      <c r="D145" s="284">
        <v>175.66</v>
      </c>
      <c r="F145" s="119">
        <f t="shared" si="8"/>
        <v>702.64</v>
      </c>
      <c r="G145" s="507"/>
      <c r="I145" s="239">
        <v>4</v>
      </c>
      <c r="N145" s="457" t="s">
        <v>1221</v>
      </c>
    </row>
    <row r="146" spans="1:14" x14ac:dyDescent="0.3">
      <c r="A146" s="237" t="s">
        <v>268</v>
      </c>
      <c r="B146" s="239" t="s">
        <v>27</v>
      </c>
      <c r="D146" s="284">
        <v>164.08</v>
      </c>
      <c r="F146" s="119">
        <f t="shared" si="8"/>
        <v>820.40000000000009</v>
      </c>
      <c r="G146" s="507"/>
      <c r="I146" s="239">
        <v>5</v>
      </c>
      <c r="N146" s="457" t="s">
        <v>1221</v>
      </c>
    </row>
    <row r="147" spans="1:14" ht="11.55" customHeight="1" x14ac:dyDescent="0.3">
      <c r="A147" s="237"/>
      <c r="B147" s="237"/>
      <c r="D147" s="284"/>
      <c r="G147" s="506" t="s">
        <v>1220</v>
      </c>
      <c r="I147" s="237"/>
    </row>
    <row r="148" spans="1:14" x14ac:dyDescent="0.3">
      <c r="A148" s="237" t="s">
        <v>269</v>
      </c>
      <c r="B148" s="239" t="s">
        <v>27</v>
      </c>
      <c r="D148" s="284">
        <v>77.95</v>
      </c>
      <c r="F148" s="119">
        <f t="shared" ref="F148:F158" si="9">I148*D148</f>
        <v>311.8</v>
      </c>
      <c r="G148" s="507"/>
      <c r="I148" s="236">
        <v>4</v>
      </c>
      <c r="N148" s="457" t="s">
        <v>1221</v>
      </c>
    </row>
    <row r="149" spans="1:14" x14ac:dyDescent="0.3">
      <c r="A149" s="237" t="s">
        <v>270</v>
      </c>
      <c r="B149" s="239" t="s">
        <v>27</v>
      </c>
      <c r="D149" s="284">
        <v>17.16</v>
      </c>
      <c r="F149" s="119">
        <f t="shared" si="9"/>
        <v>137.28</v>
      </c>
      <c r="G149" s="507"/>
      <c r="I149" s="236">
        <v>8</v>
      </c>
      <c r="N149" s="457" t="s">
        <v>1221</v>
      </c>
    </row>
    <row r="150" spans="1:14" x14ac:dyDescent="0.3">
      <c r="A150" s="237" t="s">
        <v>271</v>
      </c>
      <c r="B150" s="239" t="s">
        <v>27</v>
      </c>
      <c r="D150" s="284">
        <v>7.23</v>
      </c>
      <c r="F150" s="119">
        <f t="shared" si="9"/>
        <v>86.76</v>
      </c>
      <c r="G150" s="507"/>
      <c r="I150" s="236">
        <v>12</v>
      </c>
      <c r="N150" s="457" t="s">
        <v>1221</v>
      </c>
    </row>
    <row r="151" spans="1:14" x14ac:dyDescent="0.3">
      <c r="A151" s="237" t="s">
        <v>272</v>
      </c>
      <c r="B151" s="239" t="s">
        <v>27</v>
      </c>
      <c r="D151" s="284">
        <v>14.31</v>
      </c>
      <c r="F151" s="119">
        <f t="shared" si="9"/>
        <v>85.86</v>
      </c>
      <c r="G151" s="507"/>
      <c r="I151" s="236">
        <v>6</v>
      </c>
      <c r="N151" s="457" t="s">
        <v>1221</v>
      </c>
    </row>
    <row r="152" spans="1:14" x14ac:dyDescent="0.3">
      <c r="A152" s="237" t="s">
        <v>273</v>
      </c>
      <c r="B152" s="239" t="s">
        <v>27</v>
      </c>
      <c r="D152" s="284">
        <v>16.239999999999998</v>
      </c>
      <c r="F152" s="119">
        <f t="shared" si="9"/>
        <v>64.959999999999994</v>
      </c>
      <c r="G152" s="506" t="s">
        <v>1220</v>
      </c>
      <c r="I152" s="236">
        <v>4</v>
      </c>
      <c r="N152" s="457" t="s">
        <v>1221</v>
      </c>
    </row>
    <row r="153" spans="1:14" x14ac:dyDescent="0.3">
      <c r="A153" s="237" t="s">
        <v>274</v>
      </c>
      <c r="B153" s="239" t="s">
        <v>27</v>
      </c>
      <c r="D153" s="284">
        <v>14.36</v>
      </c>
      <c r="F153" s="119">
        <f t="shared" si="9"/>
        <v>57.44</v>
      </c>
      <c r="G153" s="507"/>
      <c r="I153" s="236">
        <v>4</v>
      </c>
      <c r="N153" s="457" t="s">
        <v>1221</v>
      </c>
    </row>
    <row r="154" spans="1:14" x14ac:dyDescent="0.3">
      <c r="A154" s="237" t="s">
        <v>275</v>
      </c>
      <c r="B154" s="239" t="s">
        <v>27</v>
      </c>
      <c r="D154" s="284">
        <v>46.94</v>
      </c>
      <c r="F154" s="119">
        <f t="shared" si="9"/>
        <v>3989.8999999999996</v>
      </c>
      <c r="G154" s="507"/>
      <c r="I154" s="236">
        <v>85</v>
      </c>
      <c r="N154" s="457" t="s">
        <v>1221</v>
      </c>
    </row>
    <row r="155" spans="1:14" x14ac:dyDescent="0.3">
      <c r="A155" s="237" t="s">
        <v>276</v>
      </c>
      <c r="B155" s="239" t="s">
        <v>27</v>
      </c>
      <c r="D155" s="284">
        <v>8.4600000000000009</v>
      </c>
      <c r="F155" s="119">
        <f t="shared" si="9"/>
        <v>1438.2</v>
      </c>
      <c r="G155" s="507"/>
      <c r="I155" s="236">
        <v>170</v>
      </c>
      <c r="N155" s="457" t="s">
        <v>1221</v>
      </c>
    </row>
    <row r="156" spans="1:14" x14ac:dyDescent="0.3">
      <c r="A156" s="237" t="s">
        <v>277</v>
      </c>
      <c r="B156" s="239" t="s">
        <v>27</v>
      </c>
      <c r="D156" s="284">
        <v>5.74</v>
      </c>
      <c r="F156" s="119">
        <f t="shared" si="9"/>
        <v>975.80000000000007</v>
      </c>
      <c r="G156" s="507"/>
      <c r="I156" s="236">
        <v>170</v>
      </c>
      <c r="N156" s="457" t="s">
        <v>1221</v>
      </c>
    </row>
    <row r="157" spans="1:14" x14ac:dyDescent="0.3">
      <c r="A157" s="237" t="s">
        <v>278</v>
      </c>
      <c r="B157" s="239" t="s">
        <v>27</v>
      </c>
      <c r="D157" s="284">
        <v>7.7</v>
      </c>
      <c r="F157" s="119">
        <f t="shared" si="9"/>
        <v>1309</v>
      </c>
      <c r="G157" s="506" t="s">
        <v>1220</v>
      </c>
      <c r="I157" s="236">
        <v>170</v>
      </c>
    </row>
    <row r="158" spans="1:14" x14ac:dyDescent="0.3">
      <c r="A158" s="237" t="s">
        <v>279</v>
      </c>
      <c r="B158" s="239" t="s">
        <v>27</v>
      </c>
      <c r="D158" s="284">
        <v>10.19</v>
      </c>
      <c r="F158" s="119">
        <f t="shared" si="9"/>
        <v>254.75</v>
      </c>
      <c r="G158" s="507"/>
      <c r="I158" s="236">
        <v>25</v>
      </c>
      <c r="N158" s="457" t="s">
        <v>1221</v>
      </c>
    </row>
    <row r="159" spans="1:14" x14ac:dyDescent="0.3">
      <c r="A159" s="237"/>
      <c r="B159" s="239"/>
      <c r="G159" s="507"/>
      <c r="I159" s="237"/>
    </row>
    <row r="160" spans="1:14" x14ac:dyDescent="0.3">
      <c r="A160" s="237" t="s">
        <v>280</v>
      </c>
      <c r="B160" s="239" t="s">
        <v>27</v>
      </c>
      <c r="D160" s="284">
        <v>5.86</v>
      </c>
      <c r="F160" s="119">
        <f t="shared" ref="F160:F167" si="10">I160*D160</f>
        <v>468.8</v>
      </c>
      <c r="G160" s="507"/>
      <c r="I160" s="239">
        <v>80</v>
      </c>
      <c r="N160" s="457" t="s">
        <v>1221</v>
      </c>
    </row>
    <row r="161" spans="1:14" x14ac:dyDescent="0.3">
      <c r="A161" s="237" t="s">
        <v>281</v>
      </c>
      <c r="B161" s="239" t="s">
        <v>27</v>
      </c>
      <c r="D161" s="284">
        <v>4.41</v>
      </c>
      <c r="F161" s="119">
        <f t="shared" si="10"/>
        <v>44.1</v>
      </c>
      <c r="G161" s="507"/>
      <c r="I161" s="239">
        <v>10</v>
      </c>
      <c r="N161" s="457" t="s">
        <v>1221</v>
      </c>
    </row>
    <row r="162" spans="1:14" x14ac:dyDescent="0.3">
      <c r="A162" s="237" t="s">
        <v>282</v>
      </c>
      <c r="B162" s="239" t="s">
        <v>27</v>
      </c>
      <c r="D162" s="284">
        <v>5.36</v>
      </c>
      <c r="F162" s="119">
        <f t="shared" si="10"/>
        <v>53.6</v>
      </c>
      <c r="G162" s="506" t="s">
        <v>1220</v>
      </c>
      <c r="I162" s="239">
        <v>10</v>
      </c>
      <c r="N162" s="457" t="s">
        <v>1221</v>
      </c>
    </row>
    <row r="163" spans="1:14" x14ac:dyDescent="0.3">
      <c r="A163" s="237" t="s">
        <v>283</v>
      </c>
      <c r="B163" s="239" t="s">
        <v>27</v>
      </c>
      <c r="D163" s="284">
        <v>4.4000000000000004</v>
      </c>
      <c r="F163" s="119">
        <f t="shared" si="10"/>
        <v>44</v>
      </c>
      <c r="G163" s="507"/>
      <c r="I163" s="239">
        <v>10</v>
      </c>
      <c r="N163" s="457" t="s">
        <v>1221</v>
      </c>
    </row>
    <row r="164" spans="1:14" x14ac:dyDescent="0.3">
      <c r="A164" s="237" t="s">
        <v>284</v>
      </c>
      <c r="B164" s="239" t="s">
        <v>27</v>
      </c>
      <c r="D164" s="284">
        <v>10.64</v>
      </c>
      <c r="F164" s="119">
        <f t="shared" si="10"/>
        <v>127.68</v>
      </c>
      <c r="G164" s="507"/>
      <c r="I164" s="239">
        <v>12</v>
      </c>
      <c r="N164" s="457" t="s">
        <v>1221</v>
      </c>
    </row>
    <row r="165" spans="1:14" x14ac:dyDescent="0.3">
      <c r="A165" s="237" t="s">
        <v>285</v>
      </c>
      <c r="B165" s="239" t="s">
        <v>27</v>
      </c>
      <c r="D165" s="284">
        <v>20</v>
      </c>
      <c r="F165" s="119">
        <f t="shared" si="10"/>
        <v>120</v>
      </c>
      <c r="G165" s="507"/>
      <c r="I165" s="239">
        <v>6</v>
      </c>
      <c r="N165" s="457" t="s">
        <v>1221</v>
      </c>
    </row>
    <row r="166" spans="1:14" x14ac:dyDescent="0.3">
      <c r="A166" s="237" t="s">
        <v>286</v>
      </c>
      <c r="B166" s="239" t="s">
        <v>27</v>
      </c>
      <c r="D166" s="284">
        <v>19.5</v>
      </c>
      <c r="F166" s="119">
        <f t="shared" si="10"/>
        <v>390</v>
      </c>
      <c r="G166" s="507"/>
      <c r="I166" s="239">
        <v>20</v>
      </c>
      <c r="N166" s="457" t="s">
        <v>1221</v>
      </c>
    </row>
    <row r="167" spans="1:14" x14ac:dyDescent="0.3">
      <c r="A167" s="237" t="s">
        <v>220</v>
      </c>
      <c r="B167" s="236" t="s">
        <v>27</v>
      </c>
      <c r="D167" s="284">
        <f>D90</f>
        <v>20</v>
      </c>
      <c r="F167" s="119">
        <f t="shared" si="10"/>
        <v>480</v>
      </c>
      <c r="I167" s="236">
        <v>24</v>
      </c>
    </row>
    <row r="168" spans="1:14" x14ac:dyDescent="0.3">
      <c r="A168" s="237"/>
      <c r="B168" s="237"/>
      <c r="I168" s="237"/>
    </row>
    <row r="169" spans="1:14" x14ac:dyDescent="0.3">
      <c r="A169" s="240" t="s">
        <v>287</v>
      </c>
      <c r="B169" s="242"/>
      <c r="I169" s="242"/>
    </row>
    <row r="170" spans="1:14" x14ac:dyDescent="0.3">
      <c r="A170" s="244" t="s">
        <v>234</v>
      </c>
      <c r="B170" s="245" t="s">
        <v>776</v>
      </c>
      <c r="C170" s="246"/>
      <c r="D170" s="247" t="s">
        <v>802</v>
      </c>
      <c r="E170" s="246"/>
      <c r="F170" s="247" t="s">
        <v>803</v>
      </c>
      <c r="I170" s="245" t="s">
        <v>775</v>
      </c>
    </row>
    <row r="171" spans="1:14" x14ac:dyDescent="0.3">
      <c r="A171" s="237" t="s">
        <v>1222</v>
      </c>
      <c r="B171" s="239" t="s">
        <v>27</v>
      </c>
      <c r="D171" s="205">
        <v>0</v>
      </c>
      <c r="F171" s="119">
        <f t="shared" ref="F171:F176" si="11">I171*D171</f>
        <v>0</v>
      </c>
      <c r="I171" s="239">
        <v>1</v>
      </c>
    </row>
    <row r="172" spans="1:14" x14ac:dyDescent="0.3">
      <c r="A172" s="237" t="s">
        <v>289</v>
      </c>
      <c r="B172" s="239" t="s">
        <v>27</v>
      </c>
      <c r="D172" s="205">
        <v>0</v>
      </c>
      <c r="F172" s="119">
        <f t="shared" si="11"/>
        <v>0</v>
      </c>
      <c r="I172" s="239">
        <v>1</v>
      </c>
    </row>
    <row r="173" spans="1:14" x14ac:dyDescent="0.3">
      <c r="A173" s="237" t="s">
        <v>1223</v>
      </c>
      <c r="B173" s="239" t="s">
        <v>27</v>
      </c>
      <c r="D173" s="205">
        <v>0</v>
      </c>
      <c r="F173" s="119">
        <f t="shared" si="11"/>
        <v>0</v>
      </c>
      <c r="I173" s="239">
        <v>1</v>
      </c>
    </row>
    <row r="174" spans="1:14" x14ac:dyDescent="0.3">
      <c r="A174" s="237" t="s">
        <v>292</v>
      </c>
      <c r="B174" s="239" t="s">
        <v>27</v>
      </c>
      <c r="D174" s="205">
        <v>0</v>
      </c>
      <c r="F174" s="119">
        <f t="shared" si="11"/>
        <v>0</v>
      </c>
      <c r="I174" s="239">
        <v>1</v>
      </c>
    </row>
    <row r="175" spans="1:14" x14ac:dyDescent="0.3">
      <c r="A175" s="237" t="s">
        <v>293</v>
      </c>
      <c r="B175" s="239" t="s">
        <v>27</v>
      </c>
      <c r="D175" s="284">
        <v>2178.48</v>
      </c>
      <c r="F175" s="119">
        <f t="shared" si="11"/>
        <v>2178.48</v>
      </c>
      <c r="I175" s="239">
        <v>1</v>
      </c>
      <c r="N175" s="457" t="s">
        <v>1221</v>
      </c>
    </row>
    <row r="176" spans="1:14" x14ac:dyDescent="0.3">
      <c r="A176" s="237" t="s">
        <v>294</v>
      </c>
      <c r="B176" s="239" t="s">
        <v>27</v>
      </c>
      <c r="D176" s="284">
        <v>2178.48</v>
      </c>
      <c r="F176" s="119">
        <f t="shared" si="11"/>
        <v>2178.48</v>
      </c>
      <c r="I176" s="239">
        <v>1</v>
      </c>
      <c r="N176" s="457" t="s">
        <v>1221</v>
      </c>
    </row>
    <row r="177" spans="1:14" x14ac:dyDescent="0.3">
      <c r="A177" s="190"/>
      <c r="B177" s="190"/>
      <c r="I177" s="190"/>
    </row>
    <row r="178" spans="1:14" x14ac:dyDescent="0.3">
      <c r="A178" s="190"/>
      <c r="B178" s="190"/>
      <c r="I178" s="190"/>
    </row>
    <row r="179" spans="1:14" x14ac:dyDescent="0.3">
      <c r="A179" s="190"/>
      <c r="B179" s="190"/>
      <c r="I179" s="190"/>
    </row>
    <row r="180" spans="1:14" x14ac:dyDescent="0.3">
      <c r="A180" s="190"/>
      <c r="B180" s="190"/>
      <c r="I180" s="190"/>
    </row>
    <row r="181" spans="1:14" x14ac:dyDescent="0.3">
      <c r="A181" s="190"/>
      <c r="B181" s="190"/>
      <c r="I181" s="190"/>
    </row>
    <row r="182" spans="1:14" x14ac:dyDescent="0.3">
      <c r="A182" s="190"/>
      <c r="B182" s="190"/>
      <c r="I182" s="190"/>
    </row>
    <row r="183" spans="1:14" x14ac:dyDescent="0.3">
      <c r="A183" s="240" t="s">
        <v>1224</v>
      </c>
      <c r="B183" s="241"/>
      <c r="I183" s="241"/>
    </row>
    <row r="184" spans="1:14" x14ac:dyDescent="0.3">
      <c r="A184" s="244" t="s">
        <v>234</v>
      </c>
      <c r="B184" s="245" t="s">
        <v>776</v>
      </c>
      <c r="C184" s="246"/>
      <c r="D184" s="247" t="s">
        <v>802</v>
      </c>
      <c r="E184" s="246"/>
      <c r="F184" s="247" t="s">
        <v>803</v>
      </c>
      <c r="G184" s="506" t="s">
        <v>1220</v>
      </c>
      <c r="I184" s="245" t="s">
        <v>775</v>
      </c>
      <c r="L184" s="403"/>
    </row>
    <row r="185" spans="1:14" x14ac:dyDescent="0.3">
      <c r="A185" s="237" t="s">
        <v>1225</v>
      </c>
      <c r="B185" s="236" t="s">
        <v>818</v>
      </c>
      <c r="D185" s="272">
        <v>39.75</v>
      </c>
      <c r="F185" s="119">
        <f>I185*D185</f>
        <v>32697.538304999998</v>
      </c>
      <c r="G185" s="507"/>
      <c r="I185" s="243">
        <v>822.57957999999996</v>
      </c>
      <c r="L185" s="403"/>
      <c r="N185" s="457" t="s">
        <v>1226</v>
      </c>
    </row>
    <row r="186" spans="1:14" x14ac:dyDescent="0.3">
      <c r="A186" s="237" t="s">
        <v>1227</v>
      </c>
      <c r="B186" s="236" t="s">
        <v>818</v>
      </c>
      <c r="D186" s="272">
        <v>41.9</v>
      </c>
      <c r="F186" s="119">
        <f>I186*D186</f>
        <v>419</v>
      </c>
      <c r="G186" s="507"/>
      <c r="I186" s="236">
        <v>10</v>
      </c>
      <c r="L186" s="403"/>
      <c r="N186" s="457" t="s">
        <v>1226</v>
      </c>
    </row>
    <row r="187" spans="1:14" x14ac:dyDescent="0.3">
      <c r="A187" s="237" t="s">
        <v>1228</v>
      </c>
      <c r="B187" s="236" t="s">
        <v>818</v>
      </c>
      <c r="D187" s="272">
        <v>45.25</v>
      </c>
      <c r="F187" s="119">
        <f>I187*D187</f>
        <v>6912.0506249999999</v>
      </c>
      <c r="G187" s="507"/>
      <c r="I187" s="243">
        <v>152.7525</v>
      </c>
      <c r="L187" s="403"/>
      <c r="N187" s="457" t="s">
        <v>1226</v>
      </c>
    </row>
    <row r="188" spans="1:14" x14ac:dyDescent="0.3">
      <c r="A188" s="237" t="s">
        <v>1229</v>
      </c>
      <c r="B188" s="236" t="s">
        <v>818</v>
      </c>
      <c r="D188" s="272">
        <v>87</v>
      </c>
      <c r="F188" s="119">
        <f>I188*D188</f>
        <v>353.04600000000005</v>
      </c>
      <c r="G188" s="507"/>
      <c r="I188" s="236">
        <v>4.0580000000000007</v>
      </c>
      <c r="L188" s="403"/>
      <c r="N188" s="457" t="s">
        <v>1226</v>
      </c>
    </row>
    <row r="189" spans="1:14" x14ac:dyDescent="0.3">
      <c r="A189" s="237" t="s">
        <v>1230</v>
      </c>
      <c r="B189" s="404" t="s">
        <v>1231</v>
      </c>
      <c r="D189" s="272">
        <v>6.48</v>
      </c>
      <c r="F189" s="119">
        <f>I189*D189</f>
        <v>22436.287199999995</v>
      </c>
      <c r="I189" s="243">
        <v>3462.389999999999</v>
      </c>
      <c r="L189" s="403"/>
      <c r="N189" s="457" t="s">
        <v>1226</v>
      </c>
    </row>
    <row r="190" spans="1:14" x14ac:dyDescent="0.3">
      <c r="A190" s="120"/>
      <c r="L190" s="403"/>
    </row>
    <row r="191" spans="1:14" x14ac:dyDescent="0.3">
      <c r="A191" s="240" t="s">
        <v>1232</v>
      </c>
      <c r="B191" s="242"/>
      <c r="I191" s="242"/>
      <c r="L191" s="403"/>
    </row>
    <row r="192" spans="1:14" x14ac:dyDescent="0.3">
      <c r="A192" s="244" t="s">
        <v>234</v>
      </c>
      <c r="B192" s="245" t="s">
        <v>776</v>
      </c>
      <c r="C192" s="246"/>
      <c r="D192" s="247" t="s">
        <v>802</v>
      </c>
      <c r="E192" s="246"/>
      <c r="F192" s="247" t="s">
        <v>803</v>
      </c>
      <c r="G192" s="506" t="s">
        <v>1220</v>
      </c>
      <c r="I192" s="245" t="s">
        <v>775</v>
      </c>
      <c r="L192" s="403"/>
    </row>
    <row r="193" spans="1:14" ht="14.55" customHeight="1" x14ac:dyDescent="0.3">
      <c r="A193" s="237" t="s">
        <v>1233</v>
      </c>
      <c r="B193" s="239" t="s">
        <v>818</v>
      </c>
      <c r="D193" s="272">
        <v>169</v>
      </c>
      <c r="F193" s="119">
        <f>I193*D193</f>
        <v>87150.536849999989</v>
      </c>
      <c r="G193" s="507"/>
      <c r="I193" s="248">
        <v>515.68364999999994</v>
      </c>
      <c r="L193" s="403"/>
      <c r="N193" s="457" t="s">
        <v>1226</v>
      </c>
    </row>
    <row r="194" spans="1:14" x14ac:dyDescent="0.3">
      <c r="A194" s="237" t="s">
        <v>1234</v>
      </c>
      <c r="B194" s="239" t="s">
        <v>818</v>
      </c>
      <c r="D194" s="272">
        <v>252</v>
      </c>
      <c r="F194" s="119">
        <f>I194*D194</f>
        <v>23250.527999999998</v>
      </c>
      <c r="G194" s="507"/>
      <c r="I194" s="248">
        <v>92.263999999999996</v>
      </c>
      <c r="L194" s="403"/>
      <c r="N194" s="457" t="s">
        <v>1226</v>
      </c>
    </row>
    <row r="195" spans="1:14" x14ac:dyDescent="0.3">
      <c r="A195" s="237" t="s">
        <v>1235</v>
      </c>
      <c r="B195" s="239" t="s">
        <v>818</v>
      </c>
      <c r="D195" s="272">
        <v>263</v>
      </c>
      <c r="F195" s="119">
        <f>I195*D195</f>
        <v>3971.5103999999997</v>
      </c>
      <c r="G195" s="507"/>
      <c r="I195" s="248">
        <v>15.1008</v>
      </c>
      <c r="L195" s="403"/>
      <c r="N195" s="457" t="s">
        <v>1226</v>
      </c>
    </row>
    <row r="196" spans="1:14" x14ac:dyDescent="0.3">
      <c r="A196" s="120"/>
      <c r="G196" s="507"/>
      <c r="L196" s="403"/>
    </row>
    <row r="197" spans="1:14" x14ac:dyDescent="0.3">
      <c r="A197" s="240" t="s">
        <v>1236</v>
      </c>
      <c r="B197" s="242"/>
      <c r="I197" s="242"/>
      <c r="L197" s="403"/>
    </row>
    <row r="198" spans="1:14" x14ac:dyDescent="0.3">
      <c r="A198" s="244" t="s">
        <v>234</v>
      </c>
      <c r="B198" s="245" t="s">
        <v>776</v>
      </c>
      <c r="C198" s="246"/>
      <c r="D198" s="247" t="s">
        <v>802</v>
      </c>
      <c r="E198" s="246"/>
      <c r="F198" s="247" t="s">
        <v>803</v>
      </c>
      <c r="I198" s="245" t="s">
        <v>775</v>
      </c>
      <c r="L198" s="403"/>
    </row>
    <row r="199" spans="1:14" x14ac:dyDescent="0.3">
      <c r="A199" s="237" t="s">
        <v>1237</v>
      </c>
      <c r="B199" s="239" t="s">
        <v>31</v>
      </c>
      <c r="D199" s="205">
        <v>0</v>
      </c>
      <c r="F199" s="119">
        <f>I199*D199</f>
        <v>0</v>
      </c>
      <c r="I199" s="239">
        <v>1516.88</v>
      </c>
      <c r="L199" s="403"/>
    </row>
    <row r="200" spans="1:14" x14ac:dyDescent="0.3">
      <c r="A200" s="120"/>
      <c r="L200" s="403"/>
    </row>
    <row r="201" spans="1:14" x14ac:dyDescent="0.3">
      <c r="A201" s="120"/>
      <c r="L201" s="403"/>
    </row>
    <row r="202" spans="1:14" x14ac:dyDescent="0.3">
      <c r="A202" s="120"/>
      <c r="L202" s="403"/>
    </row>
    <row r="203" spans="1:14" x14ac:dyDescent="0.3">
      <c r="A203" s="120"/>
      <c r="L203" s="403"/>
    </row>
    <row r="204" spans="1:14" x14ac:dyDescent="0.3">
      <c r="A204" s="120"/>
      <c r="L204" s="403"/>
    </row>
    <row r="205" spans="1:14" x14ac:dyDescent="0.3">
      <c r="A205" s="120"/>
      <c r="L205" s="403"/>
    </row>
    <row r="206" spans="1:14" x14ac:dyDescent="0.3">
      <c r="A206" s="120"/>
      <c r="L206" s="403"/>
    </row>
    <row r="207" spans="1:14" x14ac:dyDescent="0.3">
      <c r="A207" s="120"/>
      <c r="L207" s="403"/>
    </row>
    <row r="208" spans="1:14" x14ac:dyDescent="0.3">
      <c r="A208" s="120"/>
      <c r="L208" s="403"/>
    </row>
    <row r="209" spans="1:12" x14ac:dyDescent="0.3">
      <c r="A209" s="120"/>
      <c r="L209" s="403"/>
    </row>
    <row r="210" spans="1:12" x14ac:dyDescent="0.3">
      <c r="A210" s="120"/>
      <c r="L210" s="403"/>
    </row>
    <row r="211" spans="1:12" x14ac:dyDescent="0.3">
      <c r="A211" s="120"/>
      <c r="L211" s="403"/>
    </row>
    <row r="212" spans="1:12" x14ac:dyDescent="0.3">
      <c r="A212" s="120"/>
      <c r="L212" s="403"/>
    </row>
    <row r="213" spans="1:12" x14ac:dyDescent="0.3">
      <c r="A213" s="120"/>
      <c r="L213" s="403"/>
    </row>
    <row r="214" spans="1:12" ht="15" customHeight="1" thickBot="1" x14ac:dyDescent="0.35">
      <c r="A214" s="120"/>
      <c r="L214" s="403"/>
    </row>
    <row r="215" spans="1:12" ht="15" customHeight="1" thickBot="1" x14ac:dyDescent="0.35">
      <c r="A215" s="167" t="s">
        <v>774</v>
      </c>
      <c r="B215" s="116"/>
      <c r="I215" s="115"/>
      <c r="L215" s="403"/>
    </row>
    <row r="216" spans="1:12" x14ac:dyDescent="0.3">
      <c r="A216" s="120"/>
      <c r="B216" s="187" t="s">
        <v>776</v>
      </c>
      <c r="C216" s="188" t="s">
        <v>802</v>
      </c>
      <c r="D216" s="188"/>
      <c r="E216" s="188" t="s">
        <v>802</v>
      </c>
      <c r="I216" s="187" t="s">
        <v>775</v>
      </c>
      <c r="L216" s="403"/>
    </row>
    <row r="217" spans="1:12" x14ac:dyDescent="0.3">
      <c r="A217" s="392" t="s">
        <v>1238</v>
      </c>
      <c r="B217" s="403" t="s">
        <v>25</v>
      </c>
      <c r="I217" s="190">
        <v>1250</v>
      </c>
      <c r="L217" s="403"/>
    </row>
    <row r="218" spans="1:12" x14ac:dyDescent="0.3">
      <c r="A218" s="392" t="s">
        <v>778</v>
      </c>
      <c r="B218" s="403" t="s">
        <v>25</v>
      </c>
      <c r="I218" s="190">
        <v>120</v>
      </c>
      <c r="L218" s="403"/>
    </row>
    <row r="219" spans="1:12" x14ac:dyDescent="0.3">
      <c r="A219" s="392" t="s">
        <v>779</v>
      </c>
      <c r="B219" s="403" t="s">
        <v>31</v>
      </c>
      <c r="I219" s="190">
        <f>I218*0.8</f>
        <v>96</v>
      </c>
      <c r="L219" s="403"/>
    </row>
    <row r="220" spans="1:12" x14ac:dyDescent="0.3">
      <c r="A220" s="392" t="s">
        <v>780</v>
      </c>
      <c r="B220" s="403" t="s">
        <v>25</v>
      </c>
      <c r="I220" s="190">
        <v>968</v>
      </c>
      <c r="L220" s="403"/>
    </row>
    <row r="221" spans="1:12" x14ac:dyDescent="0.3">
      <c r="A221" s="392" t="s">
        <v>1239</v>
      </c>
      <c r="B221" s="403" t="s">
        <v>25</v>
      </c>
      <c r="I221" s="190">
        <v>1250</v>
      </c>
      <c r="L221" s="403"/>
    </row>
    <row r="222" spans="1:12" x14ac:dyDescent="0.3">
      <c r="A222" s="392" t="s">
        <v>1240</v>
      </c>
      <c r="B222" s="403" t="s">
        <v>25</v>
      </c>
      <c r="C222" s="114"/>
      <c r="E222" s="114"/>
      <c r="I222" s="190">
        <v>75</v>
      </c>
      <c r="L222" s="403"/>
    </row>
    <row r="223" spans="1:12" x14ac:dyDescent="0.3">
      <c r="A223" s="392"/>
      <c r="C223" s="114"/>
      <c r="E223" s="114"/>
      <c r="L223" s="403"/>
    </row>
    <row r="224" spans="1:12" x14ac:dyDescent="0.3">
      <c r="A224" s="120"/>
      <c r="L224" s="403"/>
    </row>
    <row r="225" spans="1:12" x14ac:dyDescent="0.3">
      <c r="A225" s="120" t="s">
        <v>1241</v>
      </c>
      <c r="B225" s="403" t="s">
        <v>788</v>
      </c>
      <c r="C225" s="401" t="s">
        <v>789</v>
      </c>
      <c r="D225" s="401" t="s">
        <v>1242</v>
      </c>
      <c r="E225" s="401" t="s">
        <v>789</v>
      </c>
      <c r="F225" s="188" t="s">
        <v>806</v>
      </c>
      <c r="I225" s="403" t="s">
        <v>787</v>
      </c>
      <c r="L225" s="403"/>
    </row>
    <row r="226" spans="1:12" x14ac:dyDescent="0.3">
      <c r="A226" s="392" t="s">
        <v>1243</v>
      </c>
      <c r="B226" s="403">
        <v>0.5</v>
      </c>
      <c r="C226" s="190">
        <v>1250</v>
      </c>
      <c r="D226" s="405">
        <v>1.3</v>
      </c>
      <c r="E226" s="190">
        <v>1250</v>
      </c>
      <c r="F226" s="192">
        <f>(I226*B226*C226)*D226</f>
        <v>731.25</v>
      </c>
      <c r="I226" s="190">
        <v>0.9</v>
      </c>
      <c r="L226" s="403"/>
    </row>
    <row r="227" spans="1:12" x14ac:dyDescent="0.3">
      <c r="A227" s="392"/>
      <c r="B227" s="403"/>
      <c r="C227" s="190"/>
      <c r="D227" s="405"/>
      <c r="E227" s="190"/>
      <c r="F227" s="192"/>
      <c r="I227" s="190"/>
      <c r="L227" s="403"/>
    </row>
    <row r="228" spans="1:12" x14ac:dyDescent="0.3">
      <c r="A228" s="392"/>
      <c r="B228" s="403"/>
      <c r="C228" s="190"/>
      <c r="D228" s="405"/>
      <c r="E228" s="190"/>
      <c r="F228" s="192"/>
      <c r="I228" s="190"/>
      <c r="L228" s="403"/>
    </row>
    <row r="229" spans="1:12" ht="7.2" customHeight="1" x14ac:dyDescent="0.3">
      <c r="A229" s="406"/>
      <c r="B229" s="222"/>
      <c r="C229" s="222"/>
      <c r="D229" s="223"/>
      <c r="E229" s="222"/>
      <c r="F229" s="223"/>
      <c r="G229" s="224"/>
      <c r="H229" s="222"/>
      <c r="I229" s="222"/>
      <c r="L229" s="403"/>
    </row>
    <row r="230" spans="1:12" x14ac:dyDescent="0.3">
      <c r="A230" s="120" t="s">
        <v>804</v>
      </c>
      <c r="B230" s="403" t="s">
        <v>775</v>
      </c>
      <c r="C230" s="401" t="s">
        <v>806</v>
      </c>
      <c r="D230" s="407" t="s">
        <v>771</v>
      </c>
      <c r="E230" s="401" t="s">
        <v>806</v>
      </c>
      <c r="F230" s="188" t="s">
        <v>806</v>
      </c>
      <c r="G230" s="193" t="s">
        <v>807</v>
      </c>
      <c r="I230" s="403" t="s">
        <v>805</v>
      </c>
      <c r="L230" s="403"/>
    </row>
    <row r="231" spans="1:12" x14ac:dyDescent="0.3">
      <c r="A231" s="392"/>
      <c r="B231" s="408">
        <v>12</v>
      </c>
      <c r="C231" s="190">
        <f>B231*I231</f>
        <v>0.42000000000000004</v>
      </c>
      <c r="D231" s="405">
        <v>1.02</v>
      </c>
      <c r="E231" s="190">
        <f>D231*K231</f>
        <v>0</v>
      </c>
      <c r="F231" s="191">
        <f>(I231*B231*C231)*D231</f>
        <v>0.17992800000000003</v>
      </c>
      <c r="G231" s="118">
        <f>F231*D195</f>
        <v>47.321064000000007</v>
      </c>
      <c r="I231" s="190">
        <v>3.5000000000000003E-2</v>
      </c>
      <c r="L231" s="403"/>
    </row>
    <row r="232" spans="1:12" x14ac:dyDescent="0.3">
      <c r="A232" s="392"/>
      <c r="C232" s="114"/>
      <c r="E232" s="114"/>
      <c r="L232" s="403"/>
    </row>
    <row r="233" spans="1:12" x14ac:dyDescent="0.3">
      <c r="A233" s="120" t="s">
        <v>1244</v>
      </c>
      <c r="B233" s="403" t="s">
        <v>775</v>
      </c>
      <c r="C233" s="401" t="s">
        <v>806</v>
      </c>
      <c r="D233" s="407" t="s">
        <v>771</v>
      </c>
      <c r="E233" s="401" t="s">
        <v>806</v>
      </c>
      <c r="F233" s="188" t="s">
        <v>806</v>
      </c>
      <c r="G233" s="193" t="s">
        <v>807</v>
      </c>
      <c r="I233" s="403" t="s">
        <v>1245</v>
      </c>
      <c r="L233" s="403"/>
    </row>
    <row r="234" spans="1:12" x14ac:dyDescent="0.3">
      <c r="A234" s="392" t="s">
        <v>1246</v>
      </c>
      <c r="B234" s="403">
        <v>40</v>
      </c>
      <c r="C234" s="190">
        <f>B234*I234</f>
        <v>3.2</v>
      </c>
      <c r="D234" s="405">
        <v>1.02</v>
      </c>
      <c r="E234" s="190">
        <f>D234*K234</f>
        <v>0</v>
      </c>
      <c r="F234" s="191">
        <f>(I234*B234*C234)*D234</f>
        <v>10.444800000000003</v>
      </c>
      <c r="G234" s="118">
        <f>F234*D195</f>
        <v>2746.9824000000008</v>
      </c>
      <c r="I234" s="190">
        <v>0.08</v>
      </c>
      <c r="L234" s="403"/>
    </row>
    <row r="235" spans="1:12" x14ac:dyDescent="0.3">
      <c r="A235" s="392" t="s">
        <v>1247</v>
      </c>
      <c r="B235" s="403">
        <v>40</v>
      </c>
      <c r="C235" s="190">
        <f>B235*I235</f>
        <v>3.5999999999999996</v>
      </c>
      <c r="D235" s="405">
        <v>1.02</v>
      </c>
      <c r="E235" s="190">
        <f>D235*K235</f>
        <v>0</v>
      </c>
      <c r="F235" s="191">
        <f>(I235*B235*C235)*D235</f>
        <v>13.219199999999997</v>
      </c>
      <c r="G235" s="118">
        <f>D195</f>
        <v>263</v>
      </c>
      <c r="I235" s="190">
        <v>0.09</v>
      </c>
      <c r="L235" s="403"/>
    </row>
    <row r="236" spans="1:12" x14ac:dyDescent="0.3">
      <c r="A236" s="120" t="s">
        <v>1248</v>
      </c>
      <c r="B236" s="403" t="s">
        <v>775</v>
      </c>
      <c r="C236" s="401" t="s">
        <v>806</v>
      </c>
      <c r="D236" s="407" t="s">
        <v>771</v>
      </c>
      <c r="E236" s="401" t="s">
        <v>806</v>
      </c>
      <c r="F236" s="188" t="s">
        <v>806</v>
      </c>
      <c r="G236" s="193" t="s">
        <v>807</v>
      </c>
      <c r="I236" s="403" t="s">
        <v>1249</v>
      </c>
      <c r="L236" s="403"/>
    </row>
    <row r="237" spans="1:12" x14ac:dyDescent="0.3">
      <c r="A237" s="392"/>
      <c r="B237" s="403">
        <v>10</v>
      </c>
      <c r="C237" s="190">
        <f>B237*I237</f>
        <v>7.5</v>
      </c>
      <c r="D237" s="405">
        <v>1.0249999999999999</v>
      </c>
      <c r="E237" s="190">
        <f>D237*K237</f>
        <v>0</v>
      </c>
      <c r="F237" s="191">
        <f>(I237*B237*C237)*D237</f>
        <v>57.656249999999993</v>
      </c>
      <c r="G237" s="118">
        <f>D195</f>
        <v>263</v>
      </c>
      <c r="I237" s="190">
        <v>0.75</v>
      </c>
      <c r="L237" s="403"/>
    </row>
    <row r="238" spans="1:12" x14ac:dyDescent="0.3">
      <c r="A238" s="392"/>
      <c r="C238" s="114"/>
      <c r="E238" s="114"/>
      <c r="L238" s="403"/>
    </row>
    <row r="239" spans="1:12" x14ac:dyDescent="0.3">
      <c r="A239" s="120" t="s">
        <v>1250</v>
      </c>
      <c r="B239" s="403" t="s">
        <v>775</v>
      </c>
      <c r="C239" s="401" t="s">
        <v>806</v>
      </c>
      <c r="D239" s="407" t="s">
        <v>771</v>
      </c>
      <c r="E239" s="401" t="s">
        <v>806</v>
      </c>
      <c r="F239" s="188" t="s">
        <v>806</v>
      </c>
      <c r="G239" s="193" t="s">
        <v>807</v>
      </c>
      <c r="I239" s="403" t="s">
        <v>1245</v>
      </c>
      <c r="L239" s="403"/>
    </row>
    <row r="240" spans="1:12" x14ac:dyDescent="0.3">
      <c r="A240" s="392"/>
      <c r="B240" s="403">
        <v>80</v>
      </c>
      <c r="C240" s="190">
        <f>B240*I240</f>
        <v>5.2</v>
      </c>
      <c r="D240" s="405">
        <v>1.0149999999999999</v>
      </c>
      <c r="E240" s="190">
        <f>D240*K240</f>
        <v>0</v>
      </c>
      <c r="F240" s="191">
        <f>(I240*B240*C240)*D240</f>
        <v>27.445599999999999</v>
      </c>
      <c r="G240" s="118">
        <f>D195</f>
        <v>263</v>
      </c>
      <c r="I240" s="190">
        <v>6.5000000000000002E-2</v>
      </c>
      <c r="L240" s="403"/>
    </row>
    <row r="242" spans="1:13" ht="15" customHeight="1" thickBot="1" x14ac:dyDescent="0.35"/>
    <row r="243" spans="1:13" ht="15" customHeight="1" thickBot="1" x14ac:dyDescent="0.35">
      <c r="A243" s="167" t="s">
        <v>808</v>
      </c>
      <c r="B243" s="116"/>
      <c r="I243" s="115"/>
    </row>
    <row r="244" spans="1:13" x14ac:dyDescent="0.3">
      <c r="A244" s="186"/>
      <c r="H244" s="407"/>
    </row>
    <row r="245" spans="1:13" x14ac:dyDescent="0.3">
      <c r="A245" s="117" t="s">
        <v>234</v>
      </c>
      <c r="B245" s="187" t="s">
        <v>776</v>
      </c>
      <c r="C245" s="188" t="s">
        <v>802</v>
      </c>
      <c r="D245" s="188" t="s">
        <v>810</v>
      </c>
      <c r="E245" s="188" t="s">
        <v>802</v>
      </c>
      <c r="H245" s="187" t="s">
        <v>801</v>
      </c>
      <c r="I245" s="187" t="s">
        <v>809</v>
      </c>
      <c r="J245" s="190"/>
      <c r="K245" s="187" t="s">
        <v>803</v>
      </c>
      <c r="L245" s="186" t="s">
        <v>771</v>
      </c>
      <c r="M245" s="114">
        <v>1.05</v>
      </c>
    </row>
    <row r="246" spans="1:13" x14ac:dyDescent="0.3">
      <c r="A246" s="407" t="s">
        <v>816</v>
      </c>
      <c r="B246" s="403" t="s">
        <v>817</v>
      </c>
      <c r="C246" s="205">
        <v>1</v>
      </c>
      <c r="D246" s="119">
        <f t="shared" ref="D246:D253" si="12">C246*I246</f>
        <v>0.20300000000000001</v>
      </c>
      <c r="E246" s="205">
        <v>1</v>
      </c>
      <c r="H246" s="114">
        <f>I246*I221</f>
        <v>253.75000000000003</v>
      </c>
      <c r="I246" s="114">
        <v>0.20300000000000001</v>
      </c>
      <c r="K246" s="189">
        <f>H246*C246</f>
        <v>253.75000000000003</v>
      </c>
      <c r="L246" s="189">
        <f>K246*$M$245</f>
        <v>266.43750000000006</v>
      </c>
    </row>
    <row r="247" spans="1:13" x14ac:dyDescent="0.3">
      <c r="A247" s="407" t="s">
        <v>816</v>
      </c>
      <c r="B247" s="403" t="s">
        <v>818</v>
      </c>
      <c r="C247" s="205">
        <v>1</v>
      </c>
      <c r="D247" s="119">
        <f t="shared" si="12"/>
        <v>0.14000000000000001</v>
      </c>
      <c r="E247" s="205">
        <v>1</v>
      </c>
      <c r="I247" s="114">
        <v>0.14000000000000001</v>
      </c>
      <c r="K247" s="189"/>
    </row>
    <row r="248" spans="1:13" x14ac:dyDescent="0.3">
      <c r="A248" s="407" t="s">
        <v>819</v>
      </c>
      <c r="B248" s="403" t="s">
        <v>817</v>
      </c>
      <c r="C248" s="205">
        <v>1</v>
      </c>
      <c r="D248" s="119">
        <f t="shared" si="12"/>
        <v>0.45</v>
      </c>
      <c r="E248" s="205">
        <v>1</v>
      </c>
      <c r="H248" s="114">
        <v>40</v>
      </c>
      <c r="I248" s="114">
        <v>0.45</v>
      </c>
      <c r="K248" s="189">
        <f>H248*C248</f>
        <v>40</v>
      </c>
      <c r="L248" s="189">
        <f>K248*$M$245</f>
        <v>42</v>
      </c>
    </row>
    <row r="249" spans="1:13" x14ac:dyDescent="0.3">
      <c r="A249" s="407" t="s">
        <v>821</v>
      </c>
      <c r="B249" s="403" t="s">
        <v>817</v>
      </c>
      <c r="C249" s="205">
        <v>1</v>
      </c>
      <c r="D249" s="119">
        <f t="shared" si="12"/>
        <v>0.22500000000000001</v>
      </c>
      <c r="E249" s="205">
        <v>1</v>
      </c>
      <c r="H249" s="114">
        <f>I249*I221</f>
        <v>281.25</v>
      </c>
      <c r="I249" s="114">
        <v>0.22500000000000001</v>
      </c>
      <c r="K249" s="189">
        <f>H249*C249</f>
        <v>281.25</v>
      </c>
      <c r="L249" s="189">
        <f>K249*$M$245</f>
        <v>295.3125</v>
      </c>
    </row>
    <row r="250" spans="1:13" x14ac:dyDescent="0.3">
      <c r="A250" s="407" t="s">
        <v>821</v>
      </c>
      <c r="B250" s="403" t="s">
        <v>818</v>
      </c>
      <c r="C250" s="205">
        <v>1</v>
      </c>
      <c r="D250" s="119">
        <f t="shared" si="12"/>
        <v>0.14000000000000001</v>
      </c>
      <c r="E250" s="205">
        <v>1</v>
      </c>
      <c r="I250" s="114">
        <v>0.14000000000000001</v>
      </c>
      <c r="K250" s="189"/>
    </row>
    <row r="251" spans="1:13" x14ac:dyDescent="0.3">
      <c r="A251" s="407" t="s">
        <v>822</v>
      </c>
      <c r="B251" s="403" t="s">
        <v>817</v>
      </c>
      <c r="C251" s="205">
        <v>1</v>
      </c>
      <c r="D251" s="119">
        <f t="shared" si="12"/>
        <v>0.36</v>
      </c>
      <c r="E251" s="205">
        <v>1</v>
      </c>
      <c r="H251" s="114">
        <f>I220*I251</f>
        <v>348.47999999999996</v>
      </c>
      <c r="I251" s="114">
        <v>0.36</v>
      </c>
      <c r="K251" s="189">
        <f>H251*C251</f>
        <v>348.47999999999996</v>
      </c>
      <c r="L251" s="189">
        <f>K251*$M$245</f>
        <v>365.904</v>
      </c>
    </row>
    <row r="252" spans="1:13" x14ac:dyDescent="0.3">
      <c r="A252" s="407" t="s">
        <v>823</v>
      </c>
      <c r="B252" s="403" t="s">
        <v>817</v>
      </c>
      <c r="C252" s="205">
        <v>1</v>
      </c>
      <c r="D252" s="119">
        <f t="shared" si="12"/>
        <v>0.36</v>
      </c>
      <c r="E252" s="205">
        <v>1</v>
      </c>
      <c r="H252" s="114">
        <f>I252*I220</f>
        <v>348.47999999999996</v>
      </c>
      <c r="I252" s="114">
        <v>0.36</v>
      </c>
      <c r="K252" s="189">
        <f>H252*C252</f>
        <v>348.47999999999996</v>
      </c>
      <c r="L252" s="189">
        <f>K252*$M$245</f>
        <v>365.904</v>
      </c>
    </row>
    <row r="253" spans="1:13" x14ac:dyDescent="0.3">
      <c r="A253" s="407" t="s">
        <v>824</v>
      </c>
      <c r="B253" s="403" t="s">
        <v>818</v>
      </c>
      <c r="C253" s="205">
        <v>1</v>
      </c>
      <c r="D253" s="119">
        <f t="shared" si="12"/>
        <v>0.3</v>
      </c>
      <c r="E253" s="205">
        <v>1</v>
      </c>
      <c r="H253" s="114">
        <f>I253*I218</f>
        <v>36</v>
      </c>
      <c r="I253" s="114">
        <v>0.3</v>
      </c>
      <c r="K253" s="189">
        <f>C253*H253</f>
        <v>36</v>
      </c>
      <c r="L253" s="189">
        <f>K253*$M$245</f>
        <v>37.800000000000004</v>
      </c>
    </row>
    <row r="254" spans="1:13" ht="15" customHeight="1" thickBot="1" x14ac:dyDescent="0.35">
      <c r="A254" s="407"/>
      <c r="B254" s="403"/>
    </row>
    <row r="255" spans="1:13" x14ac:dyDescent="0.3">
      <c r="H255" s="217"/>
    </row>
    <row r="257" spans="12:12" x14ac:dyDescent="0.3">
      <c r="L257" s="216"/>
    </row>
  </sheetData>
  <mergeCells count="34">
    <mergeCell ref="G137:G141"/>
    <mergeCell ref="G192:G196"/>
    <mergeCell ref="G142:G146"/>
    <mergeCell ref="G55:G59"/>
    <mergeCell ref="G80:G84"/>
    <mergeCell ref="G132:G136"/>
    <mergeCell ref="G117:G121"/>
    <mergeCell ref="G107:G111"/>
    <mergeCell ref="G184:G188"/>
    <mergeCell ref="G162:G166"/>
    <mergeCell ref="G157:G161"/>
    <mergeCell ref="G122:G126"/>
    <mergeCell ref="G147:G151"/>
    <mergeCell ref="G85:G89"/>
    <mergeCell ref="G50:G54"/>
    <mergeCell ref="G90:G94"/>
    <mergeCell ref="G70:G74"/>
    <mergeCell ref="G112:G116"/>
    <mergeCell ref="G5:G9"/>
    <mergeCell ref="G127:G131"/>
    <mergeCell ref="G65:G69"/>
    <mergeCell ref="G152:G156"/>
    <mergeCell ref="G30:G34"/>
    <mergeCell ref="G35:G39"/>
    <mergeCell ref="G20:G24"/>
    <mergeCell ref="G25:G29"/>
    <mergeCell ref="G40:G44"/>
    <mergeCell ref="G15:G19"/>
    <mergeCell ref="G10:G14"/>
    <mergeCell ref="G45:G49"/>
    <mergeCell ref="G95:G99"/>
    <mergeCell ref="G75:G79"/>
    <mergeCell ref="G60:G64"/>
    <mergeCell ref="G100:G104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G71"/>
  <sheetViews>
    <sheetView topLeftCell="A19" zoomScaleNormal="100" workbookViewId="0">
      <selection activeCell="E63" sqref="E63"/>
    </sheetView>
  </sheetViews>
  <sheetFormatPr defaultColWidth="8.77734375" defaultRowHeight="14.4" x14ac:dyDescent="0.3"/>
  <cols>
    <col min="1" max="1" width="29.5546875" style="168" customWidth="1"/>
    <col min="2" max="2" width="13.21875" style="168" customWidth="1"/>
    <col min="3" max="3" width="5.77734375" style="168" customWidth="1"/>
    <col min="4" max="4" width="26.5546875" style="168" customWidth="1"/>
    <col min="5" max="5" width="1.5546875" style="168" customWidth="1"/>
    <col min="6" max="7" width="8.77734375" style="168" customWidth="1"/>
    <col min="8" max="16384" width="8.77734375" style="168"/>
  </cols>
  <sheetData>
    <row r="2" spans="1:7" ht="15" customHeight="1" x14ac:dyDescent="0.3">
      <c r="A2" s="169"/>
      <c r="B2" s="508" t="s">
        <v>1251</v>
      </c>
      <c r="C2" s="509"/>
      <c r="D2" s="510"/>
      <c r="E2" s="170"/>
      <c r="F2" s="506" t="s">
        <v>1220</v>
      </c>
    </row>
    <row r="3" spans="1:7" x14ac:dyDescent="0.3">
      <c r="A3" s="171" t="s">
        <v>1252</v>
      </c>
      <c r="B3" s="172" t="s">
        <v>776</v>
      </c>
      <c r="C3" s="182" t="s">
        <v>775</v>
      </c>
      <c r="D3" s="172" t="s">
        <v>1253</v>
      </c>
      <c r="E3" s="182"/>
      <c r="F3" s="507"/>
    </row>
    <row r="4" spans="1:7" ht="13.2" customHeight="1" x14ac:dyDescent="0.3">
      <c r="A4" s="173" t="s">
        <v>56</v>
      </c>
      <c r="B4" s="281" t="s">
        <v>10</v>
      </c>
      <c r="C4" s="285"/>
      <c r="D4" s="283">
        <v>225.43333333333331</v>
      </c>
      <c r="E4" s="282"/>
      <c r="F4" s="507"/>
      <c r="G4" s="473" t="s">
        <v>912</v>
      </c>
    </row>
    <row r="5" spans="1:7" ht="13.2" customHeight="1" x14ac:dyDescent="0.3">
      <c r="A5" s="173" t="s">
        <v>57</v>
      </c>
      <c r="B5" s="281" t="s">
        <v>10</v>
      </c>
      <c r="C5" s="286"/>
      <c r="D5" s="283">
        <v>163.9666666666667</v>
      </c>
      <c r="E5" s="282"/>
      <c r="F5" s="507"/>
      <c r="G5" s="457" t="s">
        <v>1226</v>
      </c>
    </row>
    <row r="6" spans="1:7" ht="13.2" customHeight="1" x14ac:dyDescent="0.3">
      <c r="A6" s="173" t="s">
        <v>58</v>
      </c>
      <c r="B6" s="281" t="s">
        <v>10</v>
      </c>
      <c r="C6" s="286"/>
      <c r="D6" s="283">
        <v>180</v>
      </c>
      <c r="E6" s="282"/>
      <c r="F6" s="507"/>
      <c r="G6" s="457" t="s">
        <v>1226</v>
      </c>
    </row>
    <row r="7" spans="1:7" ht="7.2" customHeight="1" x14ac:dyDescent="0.3">
      <c r="A7" s="173"/>
      <c r="B7" s="281"/>
      <c r="C7" s="286"/>
      <c r="D7" s="283"/>
      <c r="E7" s="282"/>
      <c r="F7" s="506" t="s">
        <v>1220</v>
      </c>
    </row>
    <row r="8" spans="1:7" ht="13.2" customHeight="1" x14ac:dyDescent="0.3">
      <c r="A8" s="173" t="s">
        <v>59</v>
      </c>
      <c r="B8" s="281" t="s">
        <v>10</v>
      </c>
      <c r="C8" s="286"/>
      <c r="D8" s="283">
        <v>137.14285714285711</v>
      </c>
      <c r="E8" s="282"/>
      <c r="F8" s="507"/>
      <c r="G8" s="457" t="s">
        <v>1226</v>
      </c>
    </row>
    <row r="9" spans="1:7" ht="13.2" customHeight="1" x14ac:dyDescent="0.3">
      <c r="A9" s="173" t="s">
        <v>61</v>
      </c>
      <c r="B9" s="281" t="s">
        <v>10</v>
      </c>
      <c r="C9" s="286"/>
      <c r="D9" s="283"/>
      <c r="E9" s="282"/>
      <c r="F9" s="507"/>
    </row>
    <row r="10" spans="1:7" ht="13.2" customHeight="1" x14ac:dyDescent="0.3">
      <c r="A10" s="173" t="s">
        <v>62</v>
      </c>
      <c r="B10" s="281" t="s">
        <v>10</v>
      </c>
      <c r="C10" s="286"/>
      <c r="D10" s="283">
        <v>238.66666666666671</v>
      </c>
      <c r="E10" s="282"/>
      <c r="F10" s="507"/>
      <c r="G10" s="457" t="s">
        <v>1226</v>
      </c>
    </row>
    <row r="11" spans="1:7" ht="13.2" customHeight="1" x14ac:dyDescent="0.3">
      <c r="A11" s="173" t="s">
        <v>63</v>
      </c>
      <c r="B11" s="281" t="s">
        <v>10</v>
      </c>
      <c r="C11" s="286"/>
      <c r="D11" s="283">
        <v>261.16666666666669</v>
      </c>
      <c r="E11" s="282"/>
      <c r="F11" s="507"/>
      <c r="G11" s="457" t="s">
        <v>1226</v>
      </c>
    </row>
    <row r="12" spans="1:7" ht="13.2" customHeight="1" x14ac:dyDescent="0.3">
      <c r="A12" s="173" t="s">
        <v>64</v>
      </c>
      <c r="B12" s="281" t="s">
        <v>10</v>
      </c>
      <c r="C12" s="286"/>
      <c r="D12" s="283"/>
      <c r="E12" s="282"/>
      <c r="F12" s="506" t="s">
        <v>1220</v>
      </c>
    </row>
    <row r="13" spans="1:7" ht="13.2" customHeight="1" x14ac:dyDescent="0.3">
      <c r="A13" s="173" t="s">
        <v>65</v>
      </c>
      <c r="B13" s="281" t="s">
        <v>10</v>
      </c>
      <c r="C13" s="286"/>
      <c r="D13" s="283">
        <v>317.2</v>
      </c>
      <c r="E13" s="282"/>
      <c r="F13" s="507"/>
      <c r="G13" s="457" t="s">
        <v>1226</v>
      </c>
    </row>
    <row r="14" spans="1:7" ht="13.2" customHeight="1" x14ac:dyDescent="0.3">
      <c r="A14" s="173" t="s">
        <v>66</v>
      </c>
      <c r="B14" s="281" t="s">
        <v>10</v>
      </c>
      <c r="C14" s="286"/>
      <c r="D14" s="283">
        <v>314.28571428571428</v>
      </c>
      <c r="E14" s="282"/>
      <c r="F14" s="507"/>
      <c r="G14" s="457" t="s">
        <v>1226</v>
      </c>
    </row>
    <row r="15" spans="1:7" ht="6" customHeight="1" x14ac:dyDescent="0.3">
      <c r="A15" s="173"/>
      <c r="B15" s="281"/>
      <c r="C15" s="286"/>
      <c r="D15" s="283"/>
      <c r="E15" s="282"/>
      <c r="F15" s="507"/>
    </row>
    <row r="16" spans="1:7" ht="13.2" customHeight="1" x14ac:dyDescent="0.3">
      <c r="A16" s="173" t="s">
        <v>67</v>
      </c>
      <c r="B16" s="281" t="s">
        <v>10</v>
      </c>
      <c r="C16" s="286"/>
      <c r="D16" s="283"/>
      <c r="E16" s="282"/>
      <c r="F16" s="507"/>
    </row>
    <row r="17" spans="1:7" ht="13.2" customHeight="1" x14ac:dyDescent="0.3">
      <c r="A17" s="173" t="s">
        <v>68</v>
      </c>
      <c r="B17" s="281" t="s">
        <v>10</v>
      </c>
      <c r="C17" s="286"/>
      <c r="D17" s="283">
        <v>32.74</v>
      </c>
      <c r="E17" s="282"/>
      <c r="F17" s="506" t="s">
        <v>1220</v>
      </c>
      <c r="G17" s="457" t="s">
        <v>1226</v>
      </c>
    </row>
    <row r="18" spans="1:7" ht="13.2" customHeight="1" x14ac:dyDescent="0.3">
      <c r="A18" s="173" t="s">
        <v>69</v>
      </c>
      <c r="B18" s="281" t="s">
        <v>10</v>
      </c>
      <c r="C18" s="286"/>
      <c r="D18" s="283"/>
      <c r="E18" s="282"/>
      <c r="F18" s="507"/>
    </row>
    <row r="19" spans="1:7" ht="13.2" customHeight="1" x14ac:dyDescent="0.3">
      <c r="A19" s="173" t="s">
        <v>70</v>
      </c>
      <c r="B19" s="281" t="s">
        <v>10</v>
      </c>
      <c r="C19" s="286"/>
      <c r="D19" s="283">
        <v>40.380000000000003</v>
      </c>
      <c r="E19" s="282"/>
      <c r="F19" s="507"/>
      <c r="G19" s="457" t="s">
        <v>1226</v>
      </c>
    </row>
    <row r="20" spans="1:7" ht="13.2" customHeight="1" x14ac:dyDescent="0.3">
      <c r="A20" s="173" t="s">
        <v>71</v>
      </c>
      <c r="B20" s="281" t="s">
        <v>10</v>
      </c>
      <c r="C20" s="286"/>
      <c r="D20" s="283">
        <v>123.33</v>
      </c>
      <c r="E20" s="282"/>
      <c r="F20" s="507"/>
      <c r="G20" s="457" t="s">
        <v>1226</v>
      </c>
    </row>
    <row r="21" spans="1:7" ht="13.2" customHeight="1" x14ac:dyDescent="0.3">
      <c r="A21" s="173" t="s">
        <v>72</v>
      </c>
      <c r="B21" s="281" t="s">
        <v>10</v>
      </c>
      <c r="C21" s="286"/>
      <c r="D21" s="283">
        <v>165.89</v>
      </c>
      <c r="E21" s="282"/>
      <c r="F21" s="507"/>
      <c r="G21" s="457" t="s">
        <v>1226</v>
      </c>
    </row>
    <row r="22" spans="1:7" ht="13.2" customHeight="1" x14ac:dyDescent="0.3">
      <c r="A22" s="173" t="s">
        <v>73</v>
      </c>
      <c r="B22" s="281" t="s">
        <v>10</v>
      </c>
      <c r="C22" s="286"/>
      <c r="D22" s="283">
        <v>165.89</v>
      </c>
      <c r="E22" s="282"/>
      <c r="F22" s="506" t="s">
        <v>1220</v>
      </c>
      <c r="G22" s="457" t="s">
        <v>1226</v>
      </c>
    </row>
    <row r="23" spans="1:7" ht="13.2" customHeight="1" x14ac:dyDescent="0.3">
      <c r="A23" s="173" t="s">
        <v>74</v>
      </c>
      <c r="B23" s="281" t="s">
        <v>10</v>
      </c>
      <c r="C23" s="286"/>
      <c r="D23" s="283"/>
      <c r="E23" s="282"/>
      <c r="F23" s="507"/>
    </row>
    <row r="24" spans="1:7" ht="13.2" customHeight="1" x14ac:dyDescent="0.3">
      <c r="A24" s="173" t="s">
        <v>75</v>
      </c>
      <c r="B24" s="281" t="s">
        <v>10</v>
      </c>
      <c r="C24" s="286"/>
      <c r="D24" s="283">
        <v>203</v>
      </c>
      <c r="E24" s="282"/>
      <c r="F24" s="507"/>
      <c r="G24" s="457" t="s">
        <v>1226</v>
      </c>
    </row>
    <row r="25" spans="1:7" ht="13.2" customHeight="1" x14ac:dyDescent="0.3">
      <c r="A25" s="173" t="s">
        <v>76</v>
      </c>
      <c r="B25" s="281"/>
      <c r="C25" s="286"/>
      <c r="D25" s="283"/>
      <c r="E25" s="282"/>
      <c r="F25" s="507"/>
    </row>
    <row r="26" spans="1:7" ht="13.2" customHeight="1" x14ac:dyDescent="0.3">
      <c r="A26" s="173" t="s">
        <v>77</v>
      </c>
      <c r="B26" s="281"/>
      <c r="C26" s="286"/>
      <c r="D26" s="283"/>
      <c r="E26" s="282"/>
      <c r="F26" s="507"/>
    </row>
    <row r="27" spans="1:7" ht="5.55" customHeight="1" x14ac:dyDescent="0.3">
      <c r="A27" s="173"/>
      <c r="B27" s="281"/>
      <c r="C27" s="286"/>
      <c r="D27" s="283"/>
      <c r="E27" s="282"/>
      <c r="F27" s="506" t="s">
        <v>1220</v>
      </c>
    </row>
    <row r="28" spans="1:7" ht="12.75" customHeight="1" x14ac:dyDescent="0.3">
      <c r="A28" s="173" t="s">
        <v>78</v>
      </c>
      <c r="B28" s="281" t="s">
        <v>10</v>
      </c>
      <c r="C28" s="286"/>
      <c r="D28" s="283">
        <v>205</v>
      </c>
      <c r="E28" s="282"/>
      <c r="F28" s="507"/>
      <c r="G28" s="457" t="s">
        <v>1226</v>
      </c>
    </row>
    <row r="29" spans="1:7" ht="13.2" customHeight="1" x14ac:dyDescent="0.3">
      <c r="A29" s="173" t="s">
        <v>79</v>
      </c>
      <c r="B29" s="281" t="s">
        <v>10</v>
      </c>
      <c r="C29" s="286"/>
      <c r="D29" s="283">
        <v>166.98</v>
      </c>
      <c r="E29" s="282"/>
      <c r="F29" s="507"/>
      <c r="G29" s="457" t="s">
        <v>1226</v>
      </c>
    </row>
    <row r="30" spans="1:7" ht="13.2" customHeight="1" x14ac:dyDescent="0.3">
      <c r="A30" s="173" t="s">
        <v>80</v>
      </c>
      <c r="B30" s="281" t="s">
        <v>10</v>
      </c>
      <c r="C30" s="286"/>
      <c r="D30" s="283">
        <v>171.42857142857139</v>
      </c>
      <c r="E30" s="282"/>
      <c r="F30" s="507"/>
      <c r="G30" s="457" t="s">
        <v>1226</v>
      </c>
    </row>
    <row r="31" spans="1:7" ht="8.5500000000000007" customHeight="1" x14ac:dyDescent="0.3">
      <c r="A31" s="173"/>
      <c r="B31" s="281"/>
      <c r="C31" s="286"/>
      <c r="D31" s="283"/>
      <c r="E31" s="282"/>
      <c r="F31" s="507"/>
    </row>
    <row r="32" spans="1:7" ht="13.2" customHeight="1" x14ac:dyDescent="0.3">
      <c r="A32" s="173" t="s">
        <v>81</v>
      </c>
      <c r="B32" s="281" t="s">
        <v>10</v>
      </c>
      <c r="C32" s="286"/>
      <c r="D32" s="283"/>
      <c r="E32" s="282"/>
      <c r="F32" s="506" t="s">
        <v>1220</v>
      </c>
    </row>
    <row r="33" spans="1:7" ht="13.2" customHeight="1" x14ac:dyDescent="0.3">
      <c r="A33" s="173" t="s">
        <v>82</v>
      </c>
      <c r="B33" s="281" t="s">
        <v>10</v>
      </c>
      <c r="C33" s="286"/>
      <c r="D33" s="283">
        <v>34.285714285714278</v>
      </c>
      <c r="E33" s="282"/>
      <c r="F33" s="507"/>
      <c r="G33" s="457" t="s">
        <v>1226</v>
      </c>
    </row>
    <row r="34" spans="1:7" ht="13.2" customHeight="1" x14ac:dyDescent="0.3">
      <c r="A34" s="173" t="s">
        <v>84</v>
      </c>
      <c r="B34" s="281" t="s">
        <v>10</v>
      </c>
      <c r="C34" s="286"/>
      <c r="D34" s="283">
        <v>165</v>
      </c>
      <c r="E34" s="282"/>
      <c r="F34" s="507"/>
      <c r="G34" s="457" t="s">
        <v>1226</v>
      </c>
    </row>
    <row r="35" spans="1:7" ht="13.2" hidden="1" customHeight="1" x14ac:dyDescent="0.3">
      <c r="A35" s="173" t="s">
        <v>85</v>
      </c>
      <c r="B35" s="281" t="s">
        <v>10</v>
      </c>
      <c r="C35" s="286"/>
      <c r="D35" s="283"/>
      <c r="E35" s="282"/>
      <c r="F35" s="507"/>
    </row>
    <row r="36" spans="1:7" ht="13.2" hidden="1" customHeight="1" x14ac:dyDescent="0.3">
      <c r="A36" s="173" t="s">
        <v>86</v>
      </c>
      <c r="B36" s="281" t="s">
        <v>10</v>
      </c>
      <c r="C36" s="286"/>
      <c r="D36" s="283"/>
      <c r="E36" s="282"/>
      <c r="F36" s="507"/>
    </row>
    <row r="37" spans="1:7" ht="13.2" hidden="1" customHeight="1" x14ac:dyDescent="0.3">
      <c r="A37" s="173" t="s">
        <v>87</v>
      </c>
      <c r="B37" s="281" t="s">
        <v>10</v>
      </c>
      <c r="C37" s="286"/>
      <c r="D37" s="283"/>
      <c r="E37" s="282"/>
      <c r="F37" s="506" t="s">
        <v>1220</v>
      </c>
    </row>
    <row r="38" spans="1:7" ht="13.2" hidden="1" customHeight="1" x14ac:dyDescent="0.3">
      <c r="A38" s="173" t="s">
        <v>88</v>
      </c>
      <c r="B38" s="281" t="s">
        <v>10</v>
      </c>
      <c r="C38" s="286"/>
      <c r="D38" s="283"/>
      <c r="E38" s="282"/>
      <c r="F38" s="507"/>
    </row>
    <row r="39" spans="1:7" ht="8.5500000000000007" customHeight="1" x14ac:dyDescent="0.3">
      <c r="A39" s="173"/>
      <c r="B39" s="281"/>
      <c r="C39" s="286"/>
      <c r="D39" s="283"/>
      <c r="E39" s="282"/>
      <c r="F39" s="507"/>
    </row>
    <row r="40" spans="1:7" ht="13.2" customHeight="1" x14ac:dyDescent="0.3">
      <c r="A40" s="173" t="s">
        <v>89</v>
      </c>
      <c r="B40" s="281" t="s">
        <v>10</v>
      </c>
      <c r="C40" s="286"/>
      <c r="D40" s="283">
        <v>5.46</v>
      </c>
      <c r="E40" s="282"/>
      <c r="F40" s="507"/>
      <c r="G40" s="457" t="s">
        <v>1226</v>
      </c>
    </row>
    <row r="41" spans="1:7" ht="13.2" customHeight="1" x14ac:dyDescent="0.3">
      <c r="A41" s="173" t="s">
        <v>90</v>
      </c>
      <c r="B41" s="281" t="s">
        <v>10</v>
      </c>
      <c r="C41" s="286"/>
      <c r="D41" s="283">
        <v>23</v>
      </c>
      <c r="E41" s="282"/>
      <c r="F41" s="507"/>
      <c r="G41" s="457" t="s">
        <v>1226</v>
      </c>
    </row>
    <row r="42" spans="1:7" ht="13.2" customHeight="1" x14ac:dyDescent="0.3">
      <c r="A42" s="173" t="s">
        <v>91</v>
      </c>
      <c r="B42" s="281" t="s">
        <v>10</v>
      </c>
      <c r="C42" s="286"/>
      <c r="D42" s="283">
        <v>23</v>
      </c>
      <c r="E42" s="282"/>
      <c r="F42" s="506" t="s">
        <v>1220</v>
      </c>
      <c r="G42" s="457" t="s">
        <v>1226</v>
      </c>
    </row>
    <row r="43" spans="1:7" ht="13.2" customHeight="1" x14ac:dyDescent="0.3">
      <c r="A43" s="173" t="s">
        <v>92</v>
      </c>
      <c r="B43" s="281" t="s">
        <v>10</v>
      </c>
      <c r="C43" s="286"/>
      <c r="D43" s="283"/>
      <c r="E43" s="282"/>
      <c r="F43" s="507"/>
    </row>
    <row r="44" spans="1:7" ht="13.2" customHeight="1" x14ac:dyDescent="0.3">
      <c r="A44" s="173" t="s">
        <v>93</v>
      </c>
      <c r="B44" s="281" t="s">
        <v>10</v>
      </c>
      <c r="C44" s="286"/>
      <c r="D44" s="283"/>
      <c r="E44" s="282"/>
      <c r="F44" s="507"/>
    </row>
    <row r="45" spans="1:7" ht="13.2" customHeight="1" x14ac:dyDescent="0.3">
      <c r="A45" s="173" t="s">
        <v>94</v>
      </c>
      <c r="B45" s="281" t="s">
        <v>10</v>
      </c>
      <c r="C45" s="286"/>
      <c r="D45" s="283"/>
      <c r="E45" s="282"/>
      <c r="F45" s="507"/>
    </row>
    <row r="46" spans="1:7" ht="13.2" customHeight="1" x14ac:dyDescent="0.3">
      <c r="A46" s="173" t="s">
        <v>95</v>
      </c>
      <c r="B46" s="281" t="s">
        <v>10</v>
      </c>
      <c r="C46" s="286"/>
      <c r="D46" s="283"/>
      <c r="E46" s="282"/>
      <c r="F46" s="507"/>
    </row>
    <row r="47" spans="1:7" ht="13.2" customHeight="1" x14ac:dyDescent="0.3">
      <c r="A47" s="173" t="s">
        <v>96</v>
      </c>
      <c r="B47" s="281" t="s">
        <v>10</v>
      </c>
      <c r="C47" s="286"/>
      <c r="D47" s="283"/>
      <c r="E47" s="282"/>
      <c r="F47" s="506" t="s">
        <v>1220</v>
      </c>
    </row>
    <row r="48" spans="1:7" ht="13.2" customHeight="1" x14ac:dyDescent="0.3">
      <c r="A48" s="173" t="s">
        <v>97</v>
      </c>
      <c r="B48" s="281" t="s">
        <v>10</v>
      </c>
      <c r="C48" s="286"/>
      <c r="D48" s="283"/>
      <c r="E48" s="282"/>
      <c r="F48" s="507"/>
    </row>
    <row r="49" spans="1:7" ht="13.2" customHeight="1" x14ac:dyDescent="0.3">
      <c r="A49" s="173" t="s">
        <v>98</v>
      </c>
      <c r="B49" s="281" t="s">
        <v>10</v>
      </c>
      <c r="C49" s="286"/>
      <c r="D49" s="283"/>
      <c r="E49" s="282"/>
      <c r="F49" s="507"/>
    </row>
    <row r="50" spans="1:7" ht="13.2" customHeight="1" x14ac:dyDescent="0.3">
      <c r="A50" s="173" t="s">
        <v>99</v>
      </c>
      <c r="B50" s="281" t="s">
        <v>10</v>
      </c>
      <c r="C50" s="286"/>
      <c r="D50" s="283"/>
      <c r="E50" s="282"/>
      <c r="F50" s="507"/>
    </row>
    <row r="51" spans="1:7" ht="13.2" customHeight="1" x14ac:dyDescent="0.3">
      <c r="A51" s="173" t="s">
        <v>100</v>
      </c>
      <c r="B51" s="281" t="s">
        <v>10</v>
      </c>
      <c r="C51" s="286"/>
      <c r="D51" s="283"/>
      <c r="E51" s="282"/>
      <c r="F51" s="507"/>
    </row>
    <row r="52" spans="1:7" ht="13.2" customHeight="1" x14ac:dyDescent="0.3">
      <c r="A52" s="173" t="s">
        <v>101</v>
      </c>
      <c r="B52" s="281" t="s">
        <v>10</v>
      </c>
      <c r="C52" s="286"/>
      <c r="D52" s="283"/>
      <c r="E52" s="282"/>
      <c r="F52" s="506" t="s">
        <v>1220</v>
      </c>
    </row>
    <row r="53" spans="1:7" ht="6.6" customHeight="1" x14ac:dyDescent="0.3">
      <c r="A53" s="173"/>
      <c r="B53" s="281"/>
      <c r="C53" s="286"/>
      <c r="D53" s="283"/>
      <c r="E53" s="282"/>
      <c r="F53" s="507"/>
    </row>
    <row r="54" spans="1:7" ht="13.2" customHeight="1" x14ac:dyDescent="0.3">
      <c r="A54" s="173" t="s">
        <v>102</v>
      </c>
      <c r="B54" s="281" t="s">
        <v>10</v>
      </c>
      <c r="C54" s="286"/>
      <c r="D54" s="283"/>
      <c r="E54" s="282"/>
      <c r="F54" s="507"/>
    </row>
    <row r="55" spans="1:7" ht="13.2" customHeight="1" x14ac:dyDescent="0.3">
      <c r="A55" s="173" t="s">
        <v>103</v>
      </c>
      <c r="B55" s="281" t="s">
        <v>104</v>
      </c>
      <c r="C55" s="286"/>
      <c r="D55" s="283">
        <v>230</v>
      </c>
      <c r="E55" s="282"/>
      <c r="F55" s="507"/>
      <c r="G55" s="457" t="s">
        <v>1226</v>
      </c>
    </row>
    <row r="56" spans="1:7" ht="13.2" customHeight="1" x14ac:dyDescent="0.3">
      <c r="A56" s="173" t="s">
        <v>105</v>
      </c>
      <c r="B56" s="281" t="s">
        <v>106</v>
      </c>
      <c r="C56" s="286"/>
      <c r="D56" s="283">
        <v>309</v>
      </c>
      <c r="E56" s="282"/>
      <c r="F56" s="507"/>
      <c r="G56" s="457" t="s">
        <v>1226</v>
      </c>
    </row>
    <row r="57" spans="1:7" ht="13.2" customHeight="1" x14ac:dyDescent="0.3">
      <c r="A57" s="173" t="s">
        <v>107</v>
      </c>
      <c r="B57" s="281" t="s">
        <v>108</v>
      </c>
      <c r="C57" s="286"/>
      <c r="D57" s="283">
        <v>35</v>
      </c>
      <c r="E57" s="282"/>
      <c r="F57" s="506" t="s">
        <v>1220</v>
      </c>
      <c r="G57" s="457" t="s">
        <v>1226</v>
      </c>
    </row>
    <row r="58" spans="1:7" ht="13.2" customHeight="1" x14ac:dyDescent="0.3">
      <c r="A58" s="173" t="s">
        <v>109</v>
      </c>
      <c r="B58" s="281" t="s">
        <v>110</v>
      </c>
      <c r="C58" s="286"/>
      <c r="D58" s="283">
        <v>229.9</v>
      </c>
      <c r="E58" s="282"/>
      <c r="F58" s="507"/>
      <c r="G58" s="457" t="s">
        <v>1226</v>
      </c>
    </row>
    <row r="59" spans="1:7" ht="13.2" customHeight="1" x14ac:dyDescent="0.3">
      <c r="A59" s="173" t="s">
        <v>111</v>
      </c>
      <c r="B59" s="281" t="s">
        <v>110</v>
      </c>
      <c r="C59" s="286"/>
      <c r="D59" s="283">
        <v>239.8</v>
      </c>
      <c r="E59" s="282"/>
      <c r="F59" s="507"/>
      <c r="G59" s="457" t="s">
        <v>1226</v>
      </c>
    </row>
    <row r="60" spans="1:7" ht="13.2" customHeight="1" x14ac:dyDescent="0.3">
      <c r="A60" s="173" t="s">
        <v>112</v>
      </c>
      <c r="B60" s="281" t="s">
        <v>106</v>
      </c>
      <c r="C60" s="286"/>
      <c r="D60" s="283">
        <v>309</v>
      </c>
      <c r="E60" s="282"/>
      <c r="F60" s="507"/>
      <c r="G60" s="457" t="s">
        <v>1226</v>
      </c>
    </row>
    <row r="61" spans="1:7" ht="13.2" customHeight="1" x14ac:dyDescent="0.3">
      <c r="A61" s="173" t="s">
        <v>113</v>
      </c>
      <c r="B61" s="281" t="s">
        <v>108</v>
      </c>
      <c r="C61" s="286"/>
      <c r="D61" s="283">
        <v>35</v>
      </c>
      <c r="E61" s="282"/>
      <c r="F61" s="507"/>
      <c r="G61" s="457" t="s">
        <v>1226</v>
      </c>
    </row>
    <row r="62" spans="1:7" ht="13.2" customHeight="1" x14ac:dyDescent="0.3">
      <c r="A62" s="173" t="s">
        <v>114</v>
      </c>
      <c r="B62" s="281" t="s">
        <v>10</v>
      </c>
      <c r="C62" s="286"/>
      <c r="D62" s="283">
        <v>295.77</v>
      </c>
      <c r="E62" s="282"/>
      <c r="F62" s="506" t="s">
        <v>1220</v>
      </c>
      <c r="G62" s="457" t="s">
        <v>1226</v>
      </c>
    </row>
    <row r="63" spans="1:7" ht="13.2" customHeight="1" x14ac:dyDescent="0.3">
      <c r="A63" s="173" t="s">
        <v>115</v>
      </c>
      <c r="B63" s="281" t="s">
        <v>10</v>
      </c>
      <c r="C63" s="286"/>
      <c r="D63" s="283">
        <v>355</v>
      </c>
      <c r="E63" s="282"/>
      <c r="F63" s="507"/>
      <c r="G63" s="457" t="s">
        <v>1226</v>
      </c>
    </row>
    <row r="64" spans="1:7" ht="9.6" customHeight="1" x14ac:dyDescent="0.3">
      <c r="A64" s="173"/>
      <c r="B64" s="281"/>
      <c r="C64" s="286"/>
      <c r="D64" s="283"/>
      <c r="E64" s="282"/>
      <c r="F64" s="507"/>
    </row>
    <row r="65" spans="1:7" ht="13.2" customHeight="1" x14ac:dyDescent="0.3">
      <c r="A65" s="173" t="s">
        <v>116</v>
      </c>
      <c r="B65" s="281" t="s">
        <v>10</v>
      </c>
      <c r="C65" s="286"/>
      <c r="D65" s="283"/>
      <c r="E65" s="282"/>
      <c r="F65" s="507"/>
    </row>
    <row r="66" spans="1:7" ht="13.2" customHeight="1" x14ac:dyDescent="0.3">
      <c r="A66" s="173" t="s">
        <v>117</v>
      </c>
      <c r="B66" s="281" t="s">
        <v>118</v>
      </c>
      <c r="C66" s="286"/>
      <c r="D66" s="283">
        <v>180</v>
      </c>
      <c r="E66" s="282"/>
      <c r="F66" s="507"/>
      <c r="G66" s="457" t="s">
        <v>1226</v>
      </c>
    </row>
    <row r="67" spans="1:7" ht="13.2" customHeight="1" x14ac:dyDescent="0.3">
      <c r="A67" s="267" t="s">
        <v>119</v>
      </c>
      <c r="B67" s="281" t="s">
        <v>118</v>
      </c>
      <c r="C67" s="286"/>
      <c r="D67" s="283">
        <v>125</v>
      </c>
      <c r="E67" s="282"/>
      <c r="F67" s="506" t="s">
        <v>1220</v>
      </c>
      <c r="G67" s="457" t="s">
        <v>1226</v>
      </c>
    </row>
    <row r="68" spans="1:7" ht="13.2" customHeight="1" x14ac:dyDescent="0.3">
      <c r="A68" s="267" t="s">
        <v>120</v>
      </c>
      <c r="B68" s="281" t="s">
        <v>118</v>
      </c>
      <c r="C68" s="286"/>
      <c r="D68" s="283">
        <v>160</v>
      </c>
      <c r="E68" s="282"/>
      <c r="F68" s="507"/>
      <c r="G68" s="457" t="s">
        <v>1226</v>
      </c>
    </row>
    <row r="69" spans="1:7" ht="13.2" customHeight="1" x14ac:dyDescent="0.3">
      <c r="A69" s="267" t="s">
        <v>121</v>
      </c>
      <c r="B69" s="281" t="s">
        <v>118</v>
      </c>
      <c r="C69" s="286"/>
      <c r="D69" s="283">
        <v>200</v>
      </c>
      <c r="E69" s="282"/>
      <c r="F69" s="507"/>
      <c r="G69" s="457" t="s">
        <v>1226</v>
      </c>
    </row>
    <row r="70" spans="1:7" x14ac:dyDescent="0.3">
      <c r="D70" s="409"/>
      <c r="F70" s="507"/>
    </row>
    <row r="71" spans="1:7" x14ac:dyDescent="0.3">
      <c r="F71" s="507"/>
    </row>
  </sheetData>
  <mergeCells count="15">
    <mergeCell ref="B2:D2"/>
    <mergeCell ref="F22:F26"/>
    <mergeCell ref="F37:F41"/>
    <mergeCell ref="F27:F31"/>
    <mergeCell ref="F32:F36"/>
    <mergeCell ref="F67:F71"/>
    <mergeCell ref="F2:F6"/>
    <mergeCell ref="F17:F21"/>
    <mergeCell ref="F52:F56"/>
    <mergeCell ref="F12:F16"/>
    <mergeCell ref="F62:F66"/>
    <mergeCell ref="F42:F46"/>
    <mergeCell ref="F57:F61"/>
    <mergeCell ref="F47:F51"/>
    <mergeCell ref="F7:F11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H121"/>
  <sheetViews>
    <sheetView topLeftCell="A58" zoomScale="85" zoomScaleNormal="85" workbookViewId="0">
      <selection activeCell="D49" sqref="D49"/>
    </sheetView>
  </sheetViews>
  <sheetFormatPr defaultColWidth="9.21875" defaultRowHeight="10.199999999999999" x14ac:dyDescent="0.2"/>
  <cols>
    <col min="1" max="1" width="59.21875" style="38" customWidth="1"/>
    <col min="2" max="2" width="11.44140625" style="40" customWidth="1"/>
    <col min="3" max="3" width="3.77734375" style="40" bestFit="1" customWidth="1"/>
    <col min="4" max="4" width="13.21875" style="41" customWidth="1"/>
    <col min="5" max="5" width="14.21875" style="41" customWidth="1"/>
    <col min="6" max="6" width="3.21875" style="38" customWidth="1"/>
    <col min="7" max="7" width="11.77734375" style="38" customWidth="1"/>
    <col min="8" max="255" width="9.21875" style="38" customWidth="1"/>
    <col min="256" max="256" width="8.21875" style="38" customWidth="1"/>
    <col min="257" max="257" width="70.44140625" style="38" bestFit="1" customWidth="1"/>
    <col min="258" max="258" width="11.44140625" style="38" customWidth="1"/>
    <col min="259" max="259" width="10.44140625" style="38" customWidth="1"/>
    <col min="260" max="260" width="13.21875" style="38" customWidth="1"/>
    <col min="261" max="261" width="14.21875" style="38" customWidth="1"/>
    <col min="262" max="262" width="12.21875" style="38" customWidth="1"/>
    <col min="263" max="511" width="9.21875" style="38" customWidth="1"/>
    <col min="512" max="512" width="8.21875" style="38" customWidth="1"/>
    <col min="513" max="513" width="70.44140625" style="38" bestFit="1" customWidth="1"/>
    <col min="514" max="514" width="11.44140625" style="38" customWidth="1"/>
    <col min="515" max="515" width="10.44140625" style="38" customWidth="1"/>
    <col min="516" max="516" width="13.21875" style="38" customWidth="1"/>
    <col min="517" max="517" width="14.21875" style="38" customWidth="1"/>
    <col min="518" max="518" width="12.21875" style="38" customWidth="1"/>
    <col min="519" max="767" width="9.21875" style="38" customWidth="1"/>
    <col min="768" max="768" width="8.21875" style="38" customWidth="1"/>
    <col min="769" max="769" width="70.44140625" style="38" bestFit="1" customWidth="1"/>
    <col min="770" max="770" width="11.44140625" style="38" customWidth="1"/>
    <col min="771" max="771" width="10.44140625" style="38" customWidth="1"/>
    <col min="772" max="772" width="13.21875" style="38" customWidth="1"/>
    <col min="773" max="773" width="14.21875" style="38" customWidth="1"/>
    <col min="774" max="774" width="12.21875" style="38" customWidth="1"/>
    <col min="775" max="1023" width="9.21875" style="38" customWidth="1"/>
    <col min="1024" max="1024" width="8.21875" style="38" customWidth="1"/>
    <col min="1025" max="1025" width="70.44140625" style="38" bestFit="1" customWidth="1"/>
    <col min="1026" max="1026" width="11.44140625" style="38" customWidth="1"/>
    <col min="1027" max="1027" width="10.44140625" style="38" customWidth="1"/>
    <col min="1028" max="1028" width="13.21875" style="38" customWidth="1"/>
    <col min="1029" max="1029" width="14.21875" style="38" customWidth="1"/>
    <col min="1030" max="1030" width="12.21875" style="38" customWidth="1"/>
    <col min="1031" max="1279" width="9.21875" style="38" customWidth="1"/>
    <col min="1280" max="1280" width="8.21875" style="38" customWidth="1"/>
    <col min="1281" max="1281" width="70.44140625" style="38" bestFit="1" customWidth="1"/>
    <col min="1282" max="1282" width="11.44140625" style="38" customWidth="1"/>
    <col min="1283" max="1283" width="10.44140625" style="38" customWidth="1"/>
    <col min="1284" max="1284" width="13.21875" style="38" customWidth="1"/>
    <col min="1285" max="1285" width="14.21875" style="38" customWidth="1"/>
    <col min="1286" max="1286" width="12.21875" style="38" customWidth="1"/>
    <col min="1287" max="1535" width="9.21875" style="38" customWidth="1"/>
    <col min="1536" max="1536" width="8.21875" style="38" customWidth="1"/>
    <col min="1537" max="1537" width="70.44140625" style="38" bestFit="1" customWidth="1"/>
    <col min="1538" max="1538" width="11.44140625" style="38" customWidth="1"/>
    <col min="1539" max="1539" width="10.44140625" style="38" customWidth="1"/>
    <col min="1540" max="1540" width="13.21875" style="38" customWidth="1"/>
    <col min="1541" max="1541" width="14.21875" style="38" customWidth="1"/>
    <col min="1542" max="1542" width="12.21875" style="38" customWidth="1"/>
    <col min="1543" max="1791" width="9.21875" style="38" customWidth="1"/>
    <col min="1792" max="1792" width="8.21875" style="38" customWidth="1"/>
    <col min="1793" max="1793" width="70.44140625" style="38" bestFit="1" customWidth="1"/>
    <col min="1794" max="1794" width="11.44140625" style="38" customWidth="1"/>
    <col min="1795" max="1795" width="10.44140625" style="38" customWidth="1"/>
    <col min="1796" max="1796" width="13.21875" style="38" customWidth="1"/>
    <col min="1797" max="1797" width="14.21875" style="38" customWidth="1"/>
    <col min="1798" max="1798" width="12.21875" style="38" customWidth="1"/>
    <col min="1799" max="2047" width="9.21875" style="38" customWidth="1"/>
    <col min="2048" max="2048" width="8.21875" style="38" customWidth="1"/>
    <col min="2049" max="2049" width="70.44140625" style="38" bestFit="1" customWidth="1"/>
    <col min="2050" max="2050" width="11.44140625" style="38" customWidth="1"/>
    <col min="2051" max="2051" width="10.44140625" style="38" customWidth="1"/>
    <col min="2052" max="2052" width="13.21875" style="38" customWidth="1"/>
    <col min="2053" max="2053" width="14.21875" style="38" customWidth="1"/>
    <col min="2054" max="2054" width="12.21875" style="38" customWidth="1"/>
    <col min="2055" max="2303" width="9.21875" style="38" customWidth="1"/>
    <col min="2304" max="2304" width="8.21875" style="38" customWidth="1"/>
    <col min="2305" max="2305" width="70.44140625" style="38" bestFit="1" customWidth="1"/>
    <col min="2306" max="2306" width="11.44140625" style="38" customWidth="1"/>
    <col min="2307" max="2307" width="10.44140625" style="38" customWidth="1"/>
    <col min="2308" max="2308" width="13.21875" style="38" customWidth="1"/>
    <col min="2309" max="2309" width="14.21875" style="38" customWidth="1"/>
    <col min="2310" max="2310" width="12.21875" style="38" customWidth="1"/>
    <col min="2311" max="2559" width="9.21875" style="38" customWidth="1"/>
    <col min="2560" max="2560" width="8.21875" style="38" customWidth="1"/>
    <col min="2561" max="2561" width="70.44140625" style="38" bestFit="1" customWidth="1"/>
    <col min="2562" max="2562" width="11.44140625" style="38" customWidth="1"/>
    <col min="2563" max="2563" width="10.44140625" style="38" customWidth="1"/>
    <col min="2564" max="2564" width="13.21875" style="38" customWidth="1"/>
    <col min="2565" max="2565" width="14.21875" style="38" customWidth="1"/>
    <col min="2566" max="2566" width="12.21875" style="38" customWidth="1"/>
    <col min="2567" max="2815" width="9.21875" style="38" customWidth="1"/>
    <col min="2816" max="2816" width="8.21875" style="38" customWidth="1"/>
    <col min="2817" max="2817" width="70.44140625" style="38" bestFit="1" customWidth="1"/>
    <col min="2818" max="2818" width="11.44140625" style="38" customWidth="1"/>
    <col min="2819" max="2819" width="10.44140625" style="38" customWidth="1"/>
    <col min="2820" max="2820" width="13.21875" style="38" customWidth="1"/>
    <col min="2821" max="2821" width="14.21875" style="38" customWidth="1"/>
    <col min="2822" max="2822" width="12.21875" style="38" customWidth="1"/>
    <col min="2823" max="3071" width="9.21875" style="38" customWidth="1"/>
    <col min="3072" max="3072" width="8.21875" style="38" customWidth="1"/>
    <col min="3073" max="3073" width="70.44140625" style="38" bestFit="1" customWidth="1"/>
    <col min="3074" max="3074" width="11.44140625" style="38" customWidth="1"/>
    <col min="3075" max="3075" width="10.44140625" style="38" customWidth="1"/>
    <col min="3076" max="3076" width="13.21875" style="38" customWidth="1"/>
    <col min="3077" max="3077" width="14.21875" style="38" customWidth="1"/>
    <col min="3078" max="3078" width="12.21875" style="38" customWidth="1"/>
    <col min="3079" max="3327" width="9.21875" style="38" customWidth="1"/>
    <col min="3328" max="3328" width="8.21875" style="38" customWidth="1"/>
    <col min="3329" max="3329" width="70.44140625" style="38" bestFit="1" customWidth="1"/>
    <col min="3330" max="3330" width="11.44140625" style="38" customWidth="1"/>
    <col min="3331" max="3331" width="10.44140625" style="38" customWidth="1"/>
    <col min="3332" max="3332" width="13.21875" style="38" customWidth="1"/>
    <col min="3333" max="3333" width="14.21875" style="38" customWidth="1"/>
    <col min="3334" max="3334" width="12.21875" style="38" customWidth="1"/>
    <col min="3335" max="3583" width="9.21875" style="38" customWidth="1"/>
    <col min="3584" max="3584" width="8.21875" style="38" customWidth="1"/>
    <col min="3585" max="3585" width="70.44140625" style="38" bestFit="1" customWidth="1"/>
    <col min="3586" max="3586" width="11.44140625" style="38" customWidth="1"/>
    <col min="3587" max="3587" width="10.44140625" style="38" customWidth="1"/>
    <col min="3588" max="3588" width="13.21875" style="38" customWidth="1"/>
    <col min="3589" max="3589" width="14.21875" style="38" customWidth="1"/>
    <col min="3590" max="3590" width="12.21875" style="38" customWidth="1"/>
    <col min="3591" max="3839" width="9.21875" style="38" customWidth="1"/>
    <col min="3840" max="3840" width="8.21875" style="38" customWidth="1"/>
    <col min="3841" max="3841" width="70.44140625" style="38" bestFit="1" customWidth="1"/>
    <col min="3842" max="3842" width="11.44140625" style="38" customWidth="1"/>
    <col min="3843" max="3843" width="10.44140625" style="38" customWidth="1"/>
    <col min="3844" max="3844" width="13.21875" style="38" customWidth="1"/>
    <col min="3845" max="3845" width="14.21875" style="38" customWidth="1"/>
    <col min="3846" max="3846" width="12.21875" style="38" customWidth="1"/>
    <col min="3847" max="4095" width="9.21875" style="38" customWidth="1"/>
    <col min="4096" max="4096" width="8.21875" style="38" customWidth="1"/>
    <col min="4097" max="4097" width="70.44140625" style="38" bestFit="1" customWidth="1"/>
    <col min="4098" max="4098" width="11.44140625" style="38" customWidth="1"/>
    <col min="4099" max="4099" width="10.44140625" style="38" customWidth="1"/>
    <col min="4100" max="4100" width="13.21875" style="38" customWidth="1"/>
    <col min="4101" max="4101" width="14.21875" style="38" customWidth="1"/>
    <col min="4102" max="4102" width="12.21875" style="38" customWidth="1"/>
    <col min="4103" max="4351" width="9.21875" style="38" customWidth="1"/>
    <col min="4352" max="4352" width="8.21875" style="38" customWidth="1"/>
    <col min="4353" max="4353" width="70.44140625" style="38" bestFit="1" customWidth="1"/>
    <col min="4354" max="4354" width="11.44140625" style="38" customWidth="1"/>
    <col min="4355" max="4355" width="10.44140625" style="38" customWidth="1"/>
    <col min="4356" max="4356" width="13.21875" style="38" customWidth="1"/>
    <col min="4357" max="4357" width="14.21875" style="38" customWidth="1"/>
    <col min="4358" max="4358" width="12.21875" style="38" customWidth="1"/>
    <col min="4359" max="4607" width="9.21875" style="38" customWidth="1"/>
    <col min="4608" max="4608" width="8.21875" style="38" customWidth="1"/>
    <col min="4609" max="4609" width="70.44140625" style="38" bestFit="1" customWidth="1"/>
    <col min="4610" max="4610" width="11.44140625" style="38" customWidth="1"/>
    <col min="4611" max="4611" width="10.44140625" style="38" customWidth="1"/>
    <col min="4612" max="4612" width="13.21875" style="38" customWidth="1"/>
    <col min="4613" max="4613" width="14.21875" style="38" customWidth="1"/>
    <col min="4614" max="4614" width="12.21875" style="38" customWidth="1"/>
    <col min="4615" max="4863" width="9.21875" style="38" customWidth="1"/>
    <col min="4864" max="4864" width="8.21875" style="38" customWidth="1"/>
    <col min="4865" max="4865" width="70.44140625" style="38" bestFit="1" customWidth="1"/>
    <col min="4866" max="4866" width="11.44140625" style="38" customWidth="1"/>
    <col min="4867" max="4867" width="10.44140625" style="38" customWidth="1"/>
    <col min="4868" max="4868" width="13.21875" style="38" customWidth="1"/>
    <col min="4869" max="4869" width="14.21875" style="38" customWidth="1"/>
    <col min="4870" max="4870" width="12.21875" style="38" customWidth="1"/>
    <col min="4871" max="5119" width="9.21875" style="38" customWidth="1"/>
    <col min="5120" max="5120" width="8.21875" style="38" customWidth="1"/>
    <col min="5121" max="5121" width="70.44140625" style="38" bestFit="1" customWidth="1"/>
    <col min="5122" max="5122" width="11.44140625" style="38" customWidth="1"/>
    <col min="5123" max="5123" width="10.44140625" style="38" customWidth="1"/>
    <col min="5124" max="5124" width="13.21875" style="38" customWidth="1"/>
    <col min="5125" max="5125" width="14.21875" style="38" customWidth="1"/>
    <col min="5126" max="5126" width="12.21875" style="38" customWidth="1"/>
    <col min="5127" max="5375" width="9.21875" style="38" customWidth="1"/>
    <col min="5376" max="5376" width="8.21875" style="38" customWidth="1"/>
    <col min="5377" max="5377" width="70.44140625" style="38" bestFit="1" customWidth="1"/>
    <col min="5378" max="5378" width="11.44140625" style="38" customWidth="1"/>
    <col min="5379" max="5379" width="10.44140625" style="38" customWidth="1"/>
    <col min="5380" max="5380" width="13.21875" style="38" customWidth="1"/>
    <col min="5381" max="5381" width="14.21875" style="38" customWidth="1"/>
    <col min="5382" max="5382" width="12.21875" style="38" customWidth="1"/>
    <col min="5383" max="5631" width="9.21875" style="38" customWidth="1"/>
    <col min="5632" max="5632" width="8.21875" style="38" customWidth="1"/>
    <col min="5633" max="5633" width="70.44140625" style="38" bestFit="1" customWidth="1"/>
    <col min="5634" max="5634" width="11.44140625" style="38" customWidth="1"/>
    <col min="5635" max="5635" width="10.44140625" style="38" customWidth="1"/>
    <col min="5636" max="5636" width="13.21875" style="38" customWidth="1"/>
    <col min="5637" max="5637" width="14.21875" style="38" customWidth="1"/>
    <col min="5638" max="5638" width="12.21875" style="38" customWidth="1"/>
    <col min="5639" max="5887" width="9.21875" style="38" customWidth="1"/>
    <col min="5888" max="5888" width="8.21875" style="38" customWidth="1"/>
    <col min="5889" max="5889" width="70.44140625" style="38" bestFit="1" customWidth="1"/>
    <col min="5890" max="5890" width="11.44140625" style="38" customWidth="1"/>
    <col min="5891" max="5891" width="10.44140625" style="38" customWidth="1"/>
    <col min="5892" max="5892" width="13.21875" style="38" customWidth="1"/>
    <col min="5893" max="5893" width="14.21875" style="38" customWidth="1"/>
    <col min="5894" max="5894" width="12.21875" style="38" customWidth="1"/>
    <col min="5895" max="6143" width="9.21875" style="38" customWidth="1"/>
    <col min="6144" max="6144" width="8.21875" style="38" customWidth="1"/>
    <col min="6145" max="6145" width="70.44140625" style="38" bestFit="1" customWidth="1"/>
    <col min="6146" max="6146" width="11.44140625" style="38" customWidth="1"/>
    <col min="6147" max="6147" width="10.44140625" style="38" customWidth="1"/>
    <col min="6148" max="6148" width="13.21875" style="38" customWidth="1"/>
    <col min="6149" max="6149" width="14.21875" style="38" customWidth="1"/>
    <col min="6150" max="6150" width="12.21875" style="38" customWidth="1"/>
    <col min="6151" max="6399" width="9.21875" style="38" customWidth="1"/>
    <col min="6400" max="6400" width="8.21875" style="38" customWidth="1"/>
    <col min="6401" max="6401" width="70.44140625" style="38" bestFit="1" customWidth="1"/>
    <col min="6402" max="6402" width="11.44140625" style="38" customWidth="1"/>
    <col min="6403" max="6403" width="10.44140625" style="38" customWidth="1"/>
    <col min="6404" max="6404" width="13.21875" style="38" customWidth="1"/>
    <col min="6405" max="6405" width="14.21875" style="38" customWidth="1"/>
    <col min="6406" max="6406" width="12.21875" style="38" customWidth="1"/>
    <col min="6407" max="6655" width="9.21875" style="38" customWidth="1"/>
    <col min="6656" max="6656" width="8.21875" style="38" customWidth="1"/>
    <col min="6657" max="6657" width="70.44140625" style="38" bestFit="1" customWidth="1"/>
    <col min="6658" max="6658" width="11.44140625" style="38" customWidth="1"/>
    <col min="6659" max="6659" width="10.44140625" style="38" customWidth="1"/>
    <col min="6660" max="6660" width="13.21875" style="38" customWidth="1"/>
    <col min="6661" max="6661" width="14.21875" style="38" customWidth="1"/>
    <col min="6662" max="6662" width="12.21875" style="38" customWidth="1"/>
    <col min="6663" max="6911" width="9.21875" style="38" customWidth="1"/>
    <col min="6912" max="6912" width="8.21875" style="38" customWidth="1"/>
    <col min="6913" max="6913" width="70.44140625" style="38" bestFit="1" customWidth="1"/>
    <col min="6914" max="6914" width="11.44140625" style="38" customWidth="1"/>
    <col min="6915" max="6915" width="10.44140625" style="38" customWidth="1"/>
    <col min="6916" max="6916" width="13.21875" style="38" customWidth="1"/>
    <col min="6917" max="6917" width="14.21875" style="38" customWidth="1"/>
    <col min="6918" max="6918" width="12.21875" style="38" customWidth="1"/>
    <col min="6919" max="7167" width="9.21875" style="38" customWidth="1"/>
    <col min="7168" max="7168" width="8.21875" style="38" customWidth="1"/>
    <col min="7169" max="7169" width="70.44140625" style="38" bestFit="1" customWidth="1"/>
    <col min="7170" max="7170" width="11.44140625" style="38" customWidth="1"/>
    <col min="7171" max="7171" width="10.44140625" style="38" customWidth="1"/>
    <col min="7172" max="7172" width="13.21875" style="38" customWidth="1"/>
    <col min="7173" max="7173" width="14.21875" style="38" customWidth="1"/>
    <col min="7174" max="7174" width="12.21875" style="38" customWidth="1"/>
    <col min="7175" max="7423" width="9.21875" style="38" customWidth="1"/>
    <col min="7424" max="7424" width="8.21875" style="38" customWidth="1"/>
    <col min="7425" max="7425" width="70.44140625" style="38" bestFit="1" customWidth="1"/>
    <col min="7426" max="7426" width="11.44140625" style="38" customWidth="1"/>
    <col min="7427" max="7427" width="10.44140625" style="38" customWidth="1"/>
    <col min="7428" max="7428" width="13.21875" style="38" customWidth="1"/>
    <col min="7429" max="7429" width="14.21875" style="38" customWidth="1"/>
    <col min="7430" max="7430" width="12.21875" style="38" customWidth="1"/>
    <col min="7431" max="7679" width="9.21875" style="38" customWidth="1"/>
    <col min="7680" max="7680" width="8.21875" style="38" customWidth="1"/>
    <col min="7681" max="7681" width="70.44140625" style="38" bestFit="1" customWidth="1"/>
    <col min="7682" max="7682" width="11.44140625" style="38" customWidth="1"/>
    <col min="7683" max="7683" width="10.44140625" style="38" customWidth="1"/>
    <col min="7684" max="7684" width="13.21875" style="38" customWidth="1"/>
    <col min="7685" max="7685" width="14.21875" style="38" customWidth="1"/>
    <col min="7686" max="7686" width="12.21875" style="38" customWidth="1"/>
    <col min="7687" max="7935" width="9.21875" style="38" customWidth="1"/>
    <col min="7936" max="7936" width="8.21875" style="38" customWidth="1"/>
    <col min="7937" max="7937" width="70.44140625" style="38" bestFit="1" customWidth="1"/>
    <col min="7938" max="7938" width="11.44140625" style="38" customWidth="1"/>
    <col min="7939" max="7939" width="10.44140625" style="38" customWidth="1"/>
    <col min="7940" max="7940" width="13.21875" style="38" customWidth="1"/>
    <col min="7941" max="7941" width="14.21875" style="38" customWidth="1"/>
    <col min="7942" max="7942" width="12.21875" style="38" customWidth="1"/>
    <col min="7943" max="8191" width="9.21875" style="38" customWidth="1"/>
    <col min="8192" max="8192" width="8.21875" style="38" customWidth="1"/>
    <col min="8193" max="8193" width="70.44140625" style="38" bestFit="1" customWidth="1"/>
    <col min="8194" max="8194" width="11.44140625" style="38" customWidth="1"/>
    <col min="8195" max="8195" width="10.44140625" style="38" customWidth="1"/>
    <col min="8196" max="8196" width="13.21875" style="38" customWidth="1"/>
    <col min="8197" max="8197" width="14.21875" style="38" customWidth="1"/>
    <col min="8198" max="8198" width="12.21875" style="38" customWidth="1"/>
    <col min="8199" max="8447" width="9.21875" style="38" customWidth="1"/>
    <col min="8448" max="8448" width="8.21875" style="38" customWidth="1"/>
    <col min="8449" max="8449" width="70.44140625" style="38" bestFit="1" customWidth="1"/>
    <col min="8450" max="8450" width="11.44140625" style="38" customWidth="1"/>
    <col min="8451" max="8451" width="10.44140625" style="38" customWidth="1"/>
    <col min="8452" max="8452" width="13.21875" style="38" customWidth="1"/>
    <col min="8453" max="8453" width="14.21875" style="38" customWidth="1"/>
    <col min="8454" max="8454" width="12.21875" style="38" customWidth="1"/>
    <col min="8455" max="8703" width="9.21875" style="38" customWidth="1"/>
    <col min="8704" max="8704" width="8.21875" style="38" customWidth="1"/>
    <col min="8705" max="8705" width="70.44140625" style="38" bestFit="1" customWidth="1"/>
    <col min="8706" max="8706" width="11.44140625" style="38" customWidth="1"/>
    <col min="8707" max="8707" width="10.44140625" style="38" customWidth="1"/>
    <col min="8708" max="8708" width="13.21875" style="38" customWidth="1"/>
    <col min="8709" max="8709" width="14.21875" style="38" customWidth="1"/>
    <col min="8710" max="8710" width="12.21875" style="38" customWidth="1"/>
    <col min="8711" max="8959" width="9.21875" style="38" customWidth="1"/>
    <col min="8960" max="8960" width="8.21875" style="38" customWidth="1"/>
    <col min="8961" max="8961" width="70.44140625" style="38" bestFit="1" customWidth="1"/>
    <col min="8962" max="8962" width="11.44140625" style="38" customWidth="1"/>
    <col min="8963" max="8963" width="10.44140625" style="38" customWidth="1"/>
    <col min="8964" max="8964" width="13.21875" style="38" customWidth="1"/>
    <col min="8965" max="8965" width="14.21875" style="38" customWidth="1"/>
    <col min="8966" max="8966" width="12.21875" style="38" customWidth="1"/>
    <col min="8967" max="9215" width="9.21875" style="38" customWidth="1"/>
    <col min="9216" max="9216" width="8.21875" style="38" customWidth="1"/>
    <col min="9217" max="9217" width="70.44140625" style="38" bestFit="1" customWidth="1"/>
    <col min="9218" max="9218" width="11.44140625" style="38" customWidth="1"/>
    <col min="9219" max="9219" width="10.44140625" style="38" customWidth="1"/>
    <col min="9220" max="9220" width="13.21875" style="38" customWidth="1"/>
    <col min="9221" max="9221" width="14.21875" style="38" customWidth="1"/>
    <col min="9222" max="9222" width="12.21875" style="38" customWidth="1"/>
    <col min="9223" max="9471" width="9.21875" style="38" customWidth="1"/>
    <col min="9472" max="9472" width="8.21875" style="38" customWidth="1"/>
    <col min="9473" max="9473" width="70.44140625" style="38" bestFit="1" customWidth="1"/>
    <col min="9474" max="9474" width="11.44140625" style="38" customWidth="1"/>
    <col min="9475" max="9475" width="10.44140625" style="38" customWidth="1"/>
    <col min="9476" max="9476" width="13.21875" style="38" customWidth="1"/>
    <col min="9477" max="9477" width="14.21875" style="38" customWidth="1"/>
    <col min="9478" max="9478" width="12.21875" style="38" customWidth="1"/>
    <col min="9479" max="9727" width="9.21875" style="38" customWidth="1"/>
    <col min="9728" max="9728" width="8.21875" style="38" customWidth="1"/>
    <col min="9729" max="9729" width="70.44140625" style="38" bestFit="1" customWidth="1"/>
    <col min="9730" max="9730" width="11.44140625" style="38" customWidth="1"/>
    <col min="9731" max="9731" width="10.44140625" style="38" customWidth="1"/>
    <col min="9732" max="9732" width="13.21875" style="38" customWidth="1"/>
    <col min="9733" max="9733" width="14.21875" style="38" customWidth="1"/>
    <col min="9734" max="9734" width="12.21875" style="38" customWidth="1"/>
    <col min="9735" max="9983" width="9.21875" style="38" customWidth="1"/>
    <col min="9984" max="9984" width="8.21875" style="38" customWidth="1"/>
    <col min="9985" max="9985" width="70.44140625" style="38" bestFit="1" customWidth="1"/>
    <col min="9986" max="9986" width="11.44140625" style="38" customWidth="1"/>
    <col min="9987" max="9987" width="10.44140625" style="38" customWidth="1"/>
    <col min="9988" max="9988" width="13.21875" style="38" customWidth="1"/>
    <col min="9989" max="9989" width="14.21875" style="38" customWidth="1"/>
    <col min="9990" max="9990" width="12.21875" style="38" customWidth="1"/>
    <col min="9991" max="10239" width="9.21875" style="38" customWidth="1"/>
    <col min="10240" max="10240" width="8.21875" style="38" customWidth="1"/>
    <col min="10241" max="10241" width="70.44140625" style="38" bestFit="1" customWidth="1"/>
    <col min="10242" max="10242" width="11.44140625" style="38" customWidth="1"/>
    <col min="10243" max="10243" width="10.44140625" style="38" customWidth="1"/>
    <col min="10244" max="10244" width="13.21875" style="38" customWidth="1"/>
    <col min="10245" max="10245" width="14.21875" style="38" customWidth="1"/>
    <col min="10246" max="10246" width="12.21875" style="38" customWidth="1"/>
    <col min="10247" max="10495" width="9.21875" style="38" customWidth="1"/>
    <col min="10496" max="10496" width="8.21875" style="38" customWidth="1"/>
    <col min="10497" max="10497" width="70.44140625" style="38" bestFit="1" customWidth="1"/>
    <col min="10498" max="10498" width="11.44140625" style="38" customWidth="1"/>
    <col min="10499" max="10499" width="10.44140625" style="38" customWidth="1"/>
    <col min="10500" max="10500" width="13.21875" style="38" customWidth="1"/>
    <col min="10501" max="10501" width="14.21875" style="38" customWidth="1"/>
    <col min="10502" max="10502" width="12.21875" style="38" customWidth="1"/>
    <col min="10503" max="10751" width="9.21875" style="38" customWidth="1"/>
    <col min="10752" max="10752" width="8.21875" style="38" customWidth="1"/>
    <col min="10753" max="10753" width="70.44140625" style="38" bestFit="1" customWidth="1"/>
    <col min="10754" max="10754" width="11.44140625" style="38" customWidth="1"/>
    <col min="10755" max="10755" width="10.44140625" style="38" customWidth="1"/>
    <col min="10756" max="10756" width="13.21875" style="38" customWidth="1"/>
    <col min="10757" max="10757" width="14.21875" style="38" customWidth="1"/>
    <col min="10758" max="10758" width="12.21875" style="38" customWidth="1"/>
    <col min="10759" max="11007" width="9.21875" style="38" customWidth="1"/>
    <col min="11008" max="11008" width="8.21875" style="38" customWidth="1"/>
    <col min="11009" max="11009" width="70.44140625" style="38" bestFit="1" customWidth="1"/>
    <col min="11010" max="11010" width="11.44140625" style="38" customWidth="1"/>
    <col min="11011" max="11011" width="10.44140625" style="38" customWidth="1"/>
    <col min="11012" max="11012" width="13.21875" style="38" customWidth="1"/>
    <col min="11013" max="11013" width="14.21875" style="38" customWidth="1"/>
    <col min="11014" max="11014" width="12.21875" style="38" customWidth="1"/>
    <col min="11015" max="11263" width="9.21875" style="38" customWidth="1"/>
    <col min="11264" max="11264" width="8.21875" style="38" customWidth="1"/>
    <col min="11265" max="11265" width="70.44140625" style="38" bestFit="1" customWidth="1"/>
    <col min="11266" max="11266" width="11.44140625" style="38" customWidth="1"/>
    <col min="11267" max="11267" width="10.44140625" style="38" customWidth="1"/>
    <col min="11268" max="11268" width="13.21875" style="38" customWidth="1"/>
    <col min="11269" max="11269" width="14.21875" style="38" customWidth="1"/>
    <col min="11270" max="11270" width="12.21875" style="38" customWidth="1"/>
    <col min="11271" max="11519" width="9.21875" style="38" customWidth="1"/>
    <col min="11520" max="11520" width="8.21875" style="38" customWidth="1"/>
    <col min="11521" max="11521" width="70.44140625" style="38" bestFit="1" customWidth="1"/>
    <col min="11522" max="11522" width="11.44140625" style="38" customWidth="1"/>
    <col min="11523" max="11523" width="10.44140625" style="38" customWidth="1"/>
    <col min="11524" max="11524" width="13.21875" style="38" customWidth="1"/>
    <col min="11525" max="11525" width="14.21875" style="38" customWidth="1"/>
    <col min="11526" max="11526" width="12.21875" style="38" customWidth="1"/>
    <col min="11527" max="11775" width="9.21875" style="38" customWidth="1"/>
    <col min="11776" max="11776" width="8.21875" style="38" customWidth="1"/>
    <col min="11777" max="11777" width="70.44140625" style="38" bestFit="1" customWidth="1"/>
    <col min="11778" max="11778" width="11.44140625" style="38" customWidth="1"/>
    <col min="11779" max="11779" width="10.44140625" style="38" customWidth="1"/>
    <col min="11780" max="11780" width="13.21875" style="38" customWidth="1"/>
    <col min="11781" max="11781" width="14.21875" style="38" customWidth="1"/>
    <col min="11782" max="11782" width="12.21875" style="38" customWidth="1"/>
    <col min="11783" max="12031" width="9.21875" style="38" customWidth="1"/>
    <col min="12032" max="12032" width="8.21875" style="38" customWidth="1"/>
    <col min="12033" max="12033" width="70.44140625" style="38" bestFit="1" customWidth="1"/>
    <col min="12034" max="12034" width="11.44140625" style="38" customWidth="1"/>
    <col min="12035" max="12035" width="10.44140625" style="38" customWidth="1"/>
    <col min="12036" max="12036" width="13.21875" style="38" customWidth="1"/>
    <col min="12037" max="12037" width="14.21875" style="38" customWidth="1"/>
    <col min="12038" max="12038" width="12.21875" style="38" customWidth="1"/>
    <col min="12039" max="12287" width="9.21875" style="38" customWidth="1"/>
    <col min="12288" max="12288" width="8.21875" style="38" customWidth="1"/>
    <col min="12289" max="12289" width="70.44140625" style="38" bestFit="1" customWidth="1"/>
    <col min="12290" max="12290" width="11.44140625" style="38" customWidth="1"/>
    <col min="12291" max="12291" width="10.44140625" style="38" customWidth="1"/>
    <col min="12292" max="12292" width="13.21875" style="38" customWidth="1"/>
    <col min="12293" max="12293" width="14.21875" style="38" customWidth="1"/>
    <col min="12294" max="12294" width="12.21875" style="38" customWidth="1"/>
    <col min="12295" max="12543" width="9.21875" style="38" customWidth="1"/>
    <col min="12544" max="12544" width="8.21875" style="38" customWidth="1"/>
    <col min="12545" max="12545" width="70.44140625" style="38" bestFit="1" customWidth="1"/>
    <col min="12546" max="12546" width="11.44140625" style="38" customWidth="1"/>
    <col min="12547" max="12547" width="10.44140625" style="38" customWidth="1"/>
    <col min="12548" max="12548" width="13.21875" style="38" customWidth="1"/>
    <col min="12549" max="12549" width="14.21875" style="38" customWidth="1"/>
    <col min="12550" max="12550" width="12.21875" style="38" customWidth="1"/>
    <col min="12551" max="12799" width="9.21875" style="38" customWidth="1"/>
    <col min="12800" max="12800" width="8.21875" style="38" customWidth="1"/>
    <col min="12801" max="12801" width="70.44140625" style="38" bestFit="1" customWidth="1"/>
    <col min="12802" max="12802" width="11.44140625" style="38" customWidth="1"/>
    <col min="12803" max="12803" width="10.44140625" style="38" customWidth="1"/>
    <col min="12804" max="12804" width="13.21875" style="38" customWidth="1"/>
    <col min="12805" max="12805" width="14.21875" style="38" customWidth="1"/>
    <col min="12806" max="12806" width="12.21875" style="38" customWidth="1"/>
    <col min="12807" max="13055" width="9.21875" style="38" customWidth="1"/>
    <col min="13056" max="13056" width="8.21875" style="38" customWidth="1"/>
    <col min="13057" max="13057" width="70.44140625" style="38" bestFit="1" customWidth="1"/>
    <col min="13058" max="13058" width="11.44140625" style="38" customWidth="1"/>
    <col min="13059" max="13059" width="10.44140625" style="38" customWidth="1"/>
    <col min="13060" max="13060" width="13.21875" style="38" customWidth="1"/>
    <col min="13061" max="13061" width="14.21875" style="38" customWidth="1"/>
    <col min="13062" max="13062" width="12.21875" style="38" customWidth="1"/>
    <col min="13063" max="13311" width="9.21875" style="38" customWidth="1"/>
    <col min="13312" max="13312" width="8.21875" style="38" customWidth="1"/>
    <col min="13313" max="13313" width="70.44140625" style="38" bestFit="1" customWidth="1"/>
    <col min="13314" max="13314" width="11.44140625" style="38" customWidth="1"/>
    <col min="13315" max="13315" width="10.44140625" style="38" customWidth="1"/>
    <col min="13316" max="13316" width="13.21875" style="38" customWidth="1"/>
    <col min="13317" max="13317" width="14.21875" style="38" customWidth="1"/>
    <col min="13318" max="13318" width="12.21875" style="38" customWidth="1"/>
    <col min="13319" max="13567" width="9.21875" style="38" customWidth="1"/>
    <col min="13568" max="13568" width="8.21875" style="38" customWidth="1"/>
    <col min="13569" max="13569" width="70.44140625" style="38" bestFit="1" customWidth="1"/>
    <col min="13570" max="13570" width="11.44140625" style="38" customWidth="1"/>
    <col min="13571" max="13571" width="10.44140625" style="38" customWidth="1"/>
    <col min="13572" max="13572" width="13.21875" style="38" customWidth="1"/>
    <col min="13573" max="13573" width="14.21875" style="38" customWidth="1"/>
    <col min="13574" max="13574" width="12.21875" style="38" customWidth="1"/>
    <col min="13575" max="13823" width="9.21875" style="38" customWidth="1"/>
    <col min="13824" max="13824" width="8.21875" style="38" customWidth="1"/>
    <col min="13825" max="13825" width="70.44140625" style="38" bestFit="1" customWidth="1"/>
    <col min="13826" max="13826" width="11.44140625" style="38" customWidth="1"/>
    <col min="13827" max="13827" width="10.44140625" style="38" customWidth="1"/>
    <col min="13828" max="13828" width="13.21875" style="38" customWidth="1"/>
    <col min="13829" max="13829" width="14.21875" style="38" customWidth="1"/>
    <col min="13830" max="13830" width="12.21875" style="38" customWidth="1"/>
    <col min="13831" max="14079" width="9.21875" style="38" customWidth="1"/>
    <col min="14080" max="14080" width="8.21875" style="38" customWidth="1"/>
    <col min="14081" max="14081" width="70.44140625" style="38" bestFit="1" customWidth="1"/>
    <col min="14082" max="14082" width="11.44140625" style="38" customWidth="1"/>
    <col min="14083" max="14083" width="10.44140625" style="38" customWidth="1"/>
    <col min="14084" max="14084" width="13.21875" style="38" customWidth="1"/>
    <col min="14085" max="14085" width="14.21875" style="38" customWidth="1"/>
    <col min="14086" max="14086" width="12.21875" style="38" customWidth="1"/>
    <col min="14087" max="14335" width="9.21875" style="38" customWidth="1"/>
    <col min="14336" max="14336" width="8.21875" style="38" customWidth="1"/>
    <col min="14337" max="14337" width="70.44140625" style="38" bestFit="1" customWidth="1"/>
    <col min="14338" max="14338" width="11.44140625" style="38" customWidth="1"/>
    <col min="14339" max="14339" width="10.44140625" style="38" customWidth="1"/>
    <col min="14340" max="14340" width="13.21875" style="38" customWidth="1"/>
    <col min="14341" max="14341" width="14.21875" style="38" customWidth="1"/>
    <col min="14342" max="14342" width="12.21875" style="38" customWidth="1"/>
    <col min="14343" max="14591" width="9.21875" style="38" customWidth="1"/>
    <col min="14592" max="14592" width="8.21875" style="38" customWidth="1"/>
    <col min="14593" max="14593" width="70.44140625" style="38" bestFit="1" customWidth="1"/>
    <col min="14594" max="14594" width="11.44140625" style="38" customWidth="1"/>
    <col min="14595" max="14595" width="10.44140625" style="38" customWidth="1"/>
    <col min="14596" max="14596" width="13.21875" style="38" customWidth="1"/>
    <col min="14597" max="14597" width="14.21875" style="38" customWidth="1"/>
    <col min="14598" max="14598" width="12.21875" style="38" customWidth="1"/>
    <col min="14599" max="14847" width="9.21875" style="38" customWidth="1"/>
    <col min="14848" max="14848" width="8.21875" style="38" customWidth="1"/>
    <col min="14849" max="14849" width="70.44140625" style="38" bestFit="1" customWidth="1"/>
    <col min="14850" max="14850" width="11.44140625" style="38" customWidth="1"/>
    <col min="14851" max="14851" width="10.44140625" style="38" customWidth="1"/>
    <col min="14852" max="14852" width="13.21875" style="38" customWidth="1"/>
    <col min="14853" max="14853" width="14.21875" style="38" customWidth="1"/>
    <col min="14854" max="14854" width="12.21875" style="38" customWidth="1"/>
    <col min="14855" max="15103" width="9.21875" style="38" customWidth="1"/>
    <col min="15104" max="15104" width="8.21875" style="38" customWidth="1"/>
    <col min="15105" max="15105" width="70.44140625" style="38" bestFit="1" customWidth="1"/>
    <col min="15106" max="15106" width="11.44140625" style="38" customWidth="1"/>
    <col min="15107" max="15107" width="10.44140625" style="38" customWidth="1"/>
    <col min="15108" max="15108" width="13.21875" style="38" customWidth="1"/>
    <col min="15109" max="15109" width="14.21875" style="38" customWidth="1"/>
    <col min="15110" max="15110" width="12.21875" style="38" customWidth="1"/>
    <col min="15111" max="15359" width="9.21875" style="38" customWidth="1"/>
    <col min="15360" max="15360" width="8.21875" style="38" customWidth="1"/>
    <col min="15361" max="15361" width="70.44140625" style="38" bestFit="1" customWidth="1"/>
    <col min="15362" max="15362" width="11.44140625" style="38" customWidth="1"/>
    <col min="15363" max="15363" width="10.44140625" style="38" customWidth="1"/>
    <col min="15364" max="15364" width="13.21875" style="38" customWidth="1"/>
    <col min="15365" max="15365" width="14.21875" style="38" customWidth="1"/>
    <col min="15366" max="15366" width="12.21875" style="38" customWidth="1"/>
    <col min="15367" max="15615" width="9.21875" style="38" customWidth="1"/>
    <col min="15616" max="15616" width="8.21875" style="38" customWidth="1"/>
    <col min="15617" max="15617" width="70.44140625" style="38" bestFit="1" customWidth="1"/>
    <col min="15618" max="15618" width="11.44140625" style="38" customWidth="1"/>
    <col min="15619" max="15619" width="10.44140625" style="38" customWidth="1"/>
    <col min="15620" max="15620" width="13.21875" style="38" customWidth="1"/>
    <col min="15621" max="15621" width="14.21875" style="38" customWidth="1"/>
    <col min="15622" max="15622" width="12.21875" style="38" customWidth="1"/>
    <col min="15623" max="15871" width="9.21875" style="38" customWidth="1"/>
    <col min="15872" max="15872" width="8.21875" style="38" customWidth="1"/>
    <col min="15873" max="15873" width="70.44140625" style="38" bestFit="1" customWidth="1"/>
    <col min="15874" max="15874" width="11.44140625" style="38" customWidth="1"/>
    <col min="15875" max="15875" width="10.44140625" style="38" customWidth="1"/>
    <col min="15876" max="15876" width="13.21875" style="38" customWidth="1"/>
    <col min="15877" max="15877" width="14.21875" style="38" customWidth="1"/>
    <col min="15878" max="15878" width="12.21875" style="38" customWidth="1"/>
    <col min="15879" max="16127" width="9.21875" style="38" customWidth="1"/>
    <col min="16128" max="16128" width="8.21875" style="38" customWidth="1"/>
    <col min="16129" max="16129" width="70.44140625" style="38" bestFit="1" customWidth="1"/>
    <col min="16130" max="16130" width="11.44140625" style="38" customWidth="1"/>
    <col min="16131" max="16131" width="10.44140625" style="38" customWidth="1"/>
    <col min="16132" max="16132" width="13.21875" style="38" customWidth="1"/>
    <col min="16133" max="16133" width="14.21875" style="38" customWidth="1"/>
    <col min="16134" max="16134" width="12.21875" style="38" customWidth="1"/>
    <col min="16135" max="16384" width="9.21875" style="38" customWidth="1"/>
  </cols>
  <sheetData>
    <row r="1" spans="1:8" ht="10.5" customHeight="1" x14ac:dyDescent="0.2">
      <c r="B1" s="42"/>
      <c r="C1" s="42"/>
      <c r="D1" s="44"/>
      <c r="E1" s="44"/>
    </row>
    <row r="2" spans="1:8" ht="10.5" customHeight="1" x14ac:dyDescent="0.2">
      <c r="B2" s="42"/>
      <c r="C2" s="42"/>
      <c r="D2" s="44"/>
      <c r="E2" s="44"/>
    </row>
    <row r="3" spans="1:8" ht="10.5" customHeight="1" x14ac:dyDescent="0.2">
      <c r="B3" s="42"/>
      <c r="C3" s="42"/>
      <c r="D3" s="44"/>
      <c r="E3" s="44"/>
    </row>
    <row r="4" spans="1:8" ht="13.05" customHeight="1" x14ac:dyDescent="0.25">
      <c r="A4" s="512" t="s">
        <v>1254</v>
      </c>
      <c r="B4" s="486"/>
      <c r="C4" s="486"/>
      <c r="D4" s="488"/>
      <c r="E4" s="488"/>
      <c r="F4" s="492"/>
      <c r="H4" s="473" t="s">
        <v>912</v>
      </c>
    </row>
    <row r="5" spans="1:8" x14ac:dyDescent="0.2">
      <c r="A5" s="492"/>
      <c r="B5" s="486"/>
      <c r="C5" s="486"/>
      <c r="D5" s="488"/>
      <c r="E5" s="488"/>
      <c r="F5" s="492"/>
    </row>
    <row r="6" spans="1:8" x14ac:dyDescent="0.2">
      <c r="A6" s="492"/>
      <c r="B6" s="486"/>
      <c r="C6" s="486"/>
      <c r="D6" s="488"/>
      <c r="E6" s="488"/>
      <c r="F6" s="492"/>
    </row>
    <row r="7" spans="1:8" ht="10.5" customHeight="1" x14ac:dyDescent="0.2">
      <c r="B7" s="42"/>
      <c r="C7" s="42"/>
      <c r="D7" s="44"/>
      <c r="E7" s="44"/>
    </row>
    <row r="8" spans="1:8" s="168" customFormat="1" ht="15" customHeight="1" x14ac:dyDescent="0.3">
      <c r="A8" s="252" t="s">
        <v>34</v>
      </c>
      <c r="B8" s="195"/>
      <c r="C8" s="195"/>
      <c r="D8" s="508" t="s">
        <v>1251</v>
      </c>
      <c r="E8" s="510"/>
      <c r="F8" s="170"/>
      <c r="G8" s="506" t="s">
        <v>1220</v>
      </c>
    </row>
    <row r="9" spans="1:8" s="168" customFormat="1" ht="14.4" customHeight="1" x14ac:dyDescent="0.3">
      <c r="A9" s="171" t="s">
        <v>1252</v>
      </c>
      <c r="B9" s="181" t="s">
        <v>776</v>
      </c>
      <c r="C9" s="182"/>
      <c r="D9" s="172" t="s">
        <v>1255</v>
      </c>
      <c r="E9" s="180" t="s">
        <v>803</v>
      </c>
      <c r="F9" s="182"/>
      <c r="G9" s="507"/>
    </row>
    <row r="10" spans="1:8" s="168" customFormat="1" ht="14.4" customHeight="1" x14ac:dyDescent="0.3">
      <c r="A10" s="277" t="s">
        <v>35</v>
      </c>
      <c r="B10" s="410" t="s">
        <v>36</v>
      </c>
      <c r="C10" s="176"/>
      <c r="D10" s="268">
        <v>100</v>
      </c>
      <c r="E10" s="231"/>
      <c r="F10" s="176"/>
      <c r="G10" s="507"/>
      <c r="H10" s="457" t="s">
        <v>1226</v>
      </c>
    </row>
    <row r="11" spans="1:8" s="168" customFormat="1" ht="14.4" customHeight="1" x14ac:dyDescent="0.3">
      <c r="A11" s="278" t="s">
        <v>37</v>
      </c>
      <c r="B11" s="410" t="s">
        <v>36</v>
      </c>
      <c r="C11" s="176"/>
      <c r="D11" s="268">
        <v>115</v>
      </c>
      <c r="E11" s="231"/>
      <c r="F11" s="176"/>
      <c r="G11" s="507"/>
      <c r="H11" s="457" t="s">
        <v>1226</v>
      </c>
    </row>
    <row r="12" spans="1:8" s="168" customFormat="1" ht="14.4" customHeight="1" x14ac:dyDescent="0.3">
      <c r="A12" s="173" t="s">
        <v>38</v>
      </c>
      <c r="B12" s="410" t="s">
        <v>36</v>
      </c>
      <c r="C12" s="176"/>
      <c r="D12" s="268">
        <v>154</v>
      </c>
      <c r="E12" s="231"/>
      <c r="F12" s="176"/>
      <c r="G12" s="507"/>
      <c r="H12" s="457" t="s">
        <v>1226</v>
      </c>
    </row>
    <row r="13" spans="1:8" s="168" customFormat="1" ht="14.4" customHeight="1" x14ac:dyDescent="0.3">
      <c r="A13" s="173" t="s">
        <v>39</v>
      </c>
      <c r="B13" s="410" t="s">
        <v>36</v>
      </c>
      <c r="C13" s="176"/>
      <c r="D13" s="268">
        <v>21</v>
      </c>
      <c r="E13" s="231"/>
      <c r="F13" s="176"/>
      <c r="G13" s="506" t="s">
        <v>1220</v>
      </c>
      <c r="H13" s="457" t="s">
        <v>1226</v>
      </c>
    </row>
    <row r="14" spans="1:8" s="168" customFormat="1" ht="13.95" customHeight="1" x14ac:dyDescent="0.3">
      <c r="A14" s="173" t="s">
        <v>1256</v>
      </c>
      <c r="B14" s="410" t="s">
        <v>36</v>
      </c>
      <c r="C14" s="174"/>
      <c r="D14" s="268">
        <v>10</v>
      </c>
      <c r="E14" s="231"/>
      <c r="F14" s="174"/>
      <c r="G14" s="507"/>
      <c r="H14" s="457" t="s">
        <v>1226</v>
      </c>
    </row>
    <row r="15" spans="1:8" s="168" customFormat="1" ht="13.95" customHeight="1" x14ac:dyDescent="0.3">
      <c r="A15" s="173" t="s">
        <v>1257</v>
      </c>
      <c r="B15" s="410" t="s">
        <v>36</v>
      </c>
      <c r="C15" s="174"/>
      <c r="D15" s="268">
        <v>150</v>
      </c>
      <c r="E15" s="231"/>
      <c r="F15" s="174"/>
      <c r="G15" s="507"/>
      <c r="H15" s="457" t="s">
        <v>1226</v>
      </c>
    </row>
    <row r="16" spans="1:8" s="168" customFormat="1" ht="14.4" customHeight="1" x14ac:dyDescent="0.3">
      <c r="A16" s="173" t="s">
        <v>42</v>
      </c>
      <c r="B16" s="410" t="s">
        <v>36</v>
      </c>
      <c r="C16" s="175"/>
      <c r="D16" s="268">
        <v>50</v>
      </c>
      <c r="E16" s="231"/>
      <c r="F16" s="175"/>
      <c r="G16" s="507"/>
      <c r="H16" s="457" t="s">
        <v>1226</v>
      </c>
    </row>
    <row r="17" spans="1:8" s="168" customFormat="1" ht="14.4" customHeight="1" x14ac:dyDescent="0.3">
      <c r="A17" s="173" t="s">
        <v>43</v>
      </c>
      <c r="B17" s="410" t="s">
        <v>36</v>
      </c>
      <c r="C17" s="175"/>
      <c r="D17" s="268">
        <v>140</v>
      </c>
      <c r="E17" s="231"/>
      <c r="F17" s="175"/>
      <c r="G17" s="507"/>
      <c r="H17" s="457" t="s">
        <v>1226</v>
      </c>
    </row>
    <row r="18" spans="1:8" s="168" customFormat="1" ht="14.4" customHeight="1" x14ac:dyDescent="0.3">
      <c r="A18" s="173" t="s">
        <v>44</v>
      </c>
      <c r="B18" s="410" t="s">
        <v>36</v>
      </c>
      <c r="C18" s="175"/>
      <c r="D18" s="268">
        <v>128</v>
      </c>
      <c r="E18" s="231"/>
      <c r="F18" s="175"/>
      <c r="G18" s="506" t="s">
        <v>1220</v>
      </c>
      <c r="H18" s="457" t="s">
        <v>1226</v>
      </c>
    </row>
    <row r="19" spans="1:8" s="168" customFormat="1" ht="14.4" customHeight="1" x14ac:dyDescent="0.3">
      <c r="A19" s="173" t="s">
        <v>45</v>
      </c>
      <c r="B19" s="410" t="s">
        <v>36</v>
      </c>
      <c r="C19" s="175"/>
      <c r="D19" s="268">
        <v>26</v>
      </c>
      <c r="E19" s="231"/>
      <c r="F19" s="175"/>
      <c r="G19" s="507"/>
      <c r="H19" s="457" t="s">
        <v>1226</v>
      </c>
    </row>
    <row r="20" spans="1:8" s="168" customFormat="1" ht="14.4" customHeight="1" x14ac:dyDescent="0.3">
      <c r="A20" s="173" t="s">
        <v>46</v>
      </c>
      <c r="B20" s="410" t="s">
        <v>36</v>
      </c>
      <c r="C20" s="175"/>
      <c r="D20" s="268">
        <v>10</v>
      </c>
      <c r="E20" s="231"/>
      <c r="F20" s="175"/>
      <c r="G20" s="507"/>
      <c r="H20" s="457" t="s">
        <v>1226</v>
      </c>
    </row>
    <row r="21" spans="1:8" s="168" customFormat="1" ht="14.4" customHeight="1" x14ac:dyDescent="0.3">
      <c r="A21" s="173" t="s">
        <v>47</v>
      </c>
      <c r="B21" s="410" t="s">
        <v>36</v>
      </c>
      <c r="C21" s="175"/>
      <c r="D21" s="268">
        <v>153</v>
      </c>
      <c r="E21" s="231"/>
      <c r="F21" s="175"/>
      <c r="G21" s="507"/>
      <c r="H21" s="457" t="s">
        <v>1226</v>
      </c>
    </row>
    <row r="22" spans="1:8" s="168" customFormat="1" ht="14.4" customHeight="1" x14ac:dyDescent="0.3">
      <c r="A22" s="173" t="s">
        <v>48</v>
      </c>
      <c r="B22" s="410" t="s">
        <v>36</v>
      </c>
      <c r="C22" s="175"/>
      <c r="D22" s="268">
        <v>36</v>
      </c>
      <c r="E22" s="231"/>
      <c r="F22" s="175"/>
      <c r="G22" s="507"/>
      <c r="H22" s="457" t="s">
        <v>1226</v>
      </c>
    </row>
    <row r="23" spans="1:8" s="168" customFormat="1" ht="14.4" customHeight="1" x14ac:dyDescent="0.3">
      <c r="A23" s="173" t="s">
        <v>49</v>
      </c>
      <c r="B23" s="410" t="s">
        <v>36</v>
      </c>
      <c r="C23" s="175"/>
      <c r="D23" s="268">
        <v>10</v>
      </c>
      <c r="E23" s="231"/>
      <c r="F23" s="175"/>
      <c r="G23" s="506" t="s">
        <v>1220</v>
      </c>
      <c r="H23" s="457" t="s">
        <v>1226</v>
      </c>
    </row>
    <row r="24" spans="1:8" s="168" customFormat="1" ht="14.4" customHeight="1" x14ac:dyDescent="0.3">
      <c r="A24" s="173" t="s">
        <v>50</v>
      </c>
      <c r="B24" s="410" t="s">
        <v>36</v>
      </c>
      <c r="C24" s="175"/>
      <c r="D24" s="268">
        <v>190</v>
      </c>
      <c r="E24" s="231"/>
      <c r="F24" s="175"/>
      <c r="G24" s="507"/>
      <c r="H24" s="457" t="s">
        <v>1226</v>
      </c>
    </row>
    <row r="25" spans="1:8" s="168" customFormat="1" ht="14.4" customHeight="1" x14ac:dyDescent="0.3">
      <c r="A25" s="173" t="s">
        <v>51</v>
      </c>
      <c r="B25" s="410" t="s">
        <v>36</v>
      </c>
      <c r="C25" s="175"/>
      <c r="D25" s="268">
        <v>220</v>
      </c>
      <c r="E25" s="231"/>
      <c r="F25" s="175"/>
      <c r="G25" s="507"/>
      <c r="H25" s="457" t="s">
        <v>1226</v>
      </c>
    </row>
    <row r="26" spans="1:8" s="168" customFormat="1" ht="14.4" customHeight="1" x14ac:dyDescent="0.3">
      <c r="A26" s="173" t="s">
        <v>52</v>
      </c>
      <c r="B26" s="410" t="s">
        <v>36</v>
      </c>
      <c r="C26" s="175"/>
      <c r="D26" s="268">
        <v>250</v>
      </c>
      <c r="E26" s="231"/>
      <c r="F26" s="175"/>
      <c r="G26" s="507"/>
      <c r="H26" s="457" t="s">
        <v>1226</v>
      </c>
    </row>
    <row r="27" spans="1:8" s="168" customFormat="1" ht="14.4" customHeight="1" x14ac:dyDescent="0.3">
      <c r="A27" s="267" t="s">
        <v>53</v>
      </c>
      <c r="B27" s="410" t="s">
        <v>36</v>
      </c>
      <c r="C27" s="175"/>
      <c r="D27" s="268">
        <v>110</v>
      </c>
      <c r="E27" s="231"/>
      <c r="F27" s="175"/>
      <c r="G27" s="507"/>
      <c r="H27" s="457" t="s">
        <v>1226</v>
      </c>
    </row>
    <row r="28" spans="1:8" s="168" customFormat="1" ht="14.4" customHeight="1" x14ac:dyDescent="0.3">
      <c r="A28" s="279" t="s">
        <v>54</v>
      </c>
      <c r="B28" s="410" t="s">
        <v>36</v>
      </c>
      <c r="C28" s="175"/>
      <c r="D28" s="268">
        <v>110</v>
      </c>
      <c r="E28" s="231"/>
      <c r="F28" s="175"/>
      <c r="G28" s="506" t="s">
        <v>1220</v>
      </c>
      <c r="H28" s="457" t="s">
        <v>1226</v>
      </c>
    </row>
    <row r="29" spans="1:8" s="168" customFormat="1" ht="14.4" customHeight="1" x14ac:dyDescent="0.3">
      <c r="A29" s="173"/>
      <c r="B29" s="250"/>
      <c r="C29" s="175"/>
      <c r="D29" s="196"/>
      <c r="E29" s="231"/>
      <c r="F29" s="175"/>
      <c r="G29" s="507"/>
    </row>
    <row r="30" spans="1:8" s="168" customFormat="1" ht="14.4" customHeight="1" x14ac:dyDescent="0.3">
      <c r="A30" s="173"/>
      <c r="B30" s="250"/>
      <c r="C30" s="175"/>
      <c r="D30" s="196"/>
      <c r="E30" s="231"/>
      <c r="F30" s="175"/>
      <c r="G30" s="507"/>
    </row>
    <row r="31" spans="1:8" s="168" customFormat="1" ht="6" customHeight="1" x14ac:dyDescent="0.3">
      <c r="A31" s="177"/>
      <c r="B31" s="178"/>
      <c r="C31" s="179"/>
      <c r="D31" s="197"/>
      <c r="E31" s="198"/>
      <c r="F31" s="179"/>
      <c r="G31" s="507"/>
    </row>
    <row r="32" spans="1:8" ht="10.5" customHeight="1" x14ac:dyDescent="0.2">
      <c r="B32" s="42"/>
      <c r="C32" s="42"/>
      <c r="D32" s="44"/>
      <c r="E32" s="44"/>
      <c r="G32" s="507"/>
    </row>
    <row r="33" spans="1:8" s="168" customFormat="1" ht="15" customHeight="1" x14ac:dyDescent="0.3">
      <c r="A33" s="252" t="s">
        <v>1258</v>
      </c>
      <c r="B33" s="195"/>
      <c r="C33" s="195"/>
      <c r="D33" s="508" t="s">
        <v>1251</v>
      </c>
      <c r="E33" s="510"/>
      <c r="F33" s="170"/>
      <c r="G33" s="506" t="s">
        <v>1220</v>
      </c>
    </row>
    <row r="34" spans="1:8" s="168" customFormat="1" ht="14.4" customHeight="1" x14ac:dyDescent="0.3">
      <c r="A34" s="171" t="s">
        <v>1252</v>
      </c>
      <c r="B34" s="181" t="s">
        <v>801</v>
      </c>
      <c r="C34" s="182"/>
      <c r="D34" s="172" t="s">
        <v>1259</v>
      </c>
      <c r="E34" s="180" t="s">
        <v>803</v>
      </c>
      <c r="F34" s="182"/>
      <c r="G34" s="507"/>
    </row>
    <row r="35" spans="1:8" s="168" customFormat="1" ht="14.4" customHeight="1" x14ac:dyDescent="0.3">
      <c r="A35" t="s">
        <v>1260</v>
      </c>
      <c r="B35" s="250">
        <v>0</v>
      </c>
      <c r="C35" s="176"/>
      <c r="D35" s="268">
        <v>180</v>
      </c>
      <c r="E35" s="231">
        <f>B35*D35</f>
        <v>0</v>
      </c>
      <c r="F35" s="176"/>
      <c r="G35" s="507"/>
      <c r="H35" s="457" t="s">
        <v>1226</v>
      </c>
    </row>
    <row r="36" spans="1:8" s="168" customFormat="1" ht="14.4" customHeight="1" x14ac:dyDescent="0.3">
      <c r="A36" s="173"/>
      <c r="B36" s="250">
        <v>0</v>
      </c>
      <c r="C36" s="176"/>
      <c r="D36" s="196">
        <v>0</v>
      </c>
      <c r="E36" s="231">
        <f>B36*D36</f>
        <v>0</v>
      </c>
      <c r="F36" s="176"/>
      <c r="G36" s="507"/>
    </row>
    <row r="37" spans="1:8" s="168" customFormat="1" ht="14.4" customHeight="1" x14ac:dyDescent="0.3">
      <c r="A37" s="173"/>
      <c r="B37" s="250">
        <v>0</v>
      </c>
      <c r="C37" s="176"/>
      <c r="D37" s="196">
        <v>0</v>
      </c>
      <c r="E37" s="231">
        <f>B37*D37</f>
        <v>0</v>
      </c>
      <c r="F37" s="176"/>
      <c r="G37" s="507"/>
    </row>
    <row r="38" spans="1:8" s="168" customFormat="1" ht="6" customHeight="1" x14ac:dyDescent="0.3">
      <c r="A38" s="177"/>
      <c r="B38" s="251"/>
      <c r="C38" s="179"/>
      <c r="D38" s="197"/>
      <c r="E38" s="198"/>
      <c r="F38" s="179"/>
    </row>
    <row r="39" spans="1:8" ht="10.5" customHeight="1" x14ac:dyDescent="0.2">
      <c r="B39" s="42"/>
      <c r="C39" s="42"/>
      <c r="D39" s="44"/>
      <c r="E39" s="44"/>
    </row>
    <row r="40" spans="1:8" s="168" customFormat="1" ht="15" customHeight="1" x14ac:dyDescent="0.3">
      <c r="A40" s="252" t="s">
        <v>1261</v>
      </c>
      <c r="B40" s="195"/>
      <c r="C40" s="195"/>
      <c r="D40" s="508" t="s">
        <v>1251</v>
      </c>
      <c r="E40" s="510"/>
      <c r="F40" s="170"/>
      <c r="G40" s="506" t="s">
        <v>1220</v>
      </c>
    </row>
    <row r="41" spans="1:8" s="168" customFormat="1" ht="14.4" customHeight="1" x14ac:dyDescent="0.3">
      <c r="A41" s="171" t="s">
        <v>1252</v>
      </c>
      <c r="B41" s="181" t="s">
        <v>801</v>
      </c>
      <c r="C41" s="182"/>
      <c r="D41" s="172" t="s">
        <v>1259</v>
      </c>
      <c r="E41" s="180" t="s">
        <v>803</v>
      </c>
      <c r="F41" s="182"/>
      <c r="G41" s="507"/>
    </row>
    <row r="42" spans="1:8" s="168" customFormat="1" ht="14.4" customHeight="1" x14ac:dyDescent="0.3">
      <c r="A42" t="s">
        <v>1262</v>
      </c>
      <c r="B42" s="250">
        <v>0</v>
      </c>
      <c r="C42" s="176"/>
      <c r="D42" s="268">
        <v>130</v>
      </c>
      <c r="E42" s="231">
        <f>B42*D42</f>
        <v>0</v>
      </c>
      <c r="F42" s="176"/>
      <c r="G42" s="507"/>
      <c r="H42" s="457" t="s">
        <v>1226</v>
      </c>
    </row>
    <row r="43" spans="1:8" s="168" customFormat="1" ht="14.4" customHeight="1" x14ac:dyDescent="0.3">
      <c r="A43" s="173"/>
      <c r="B43" s="250">
        <v>0</v>
      </c>
      <c r="C43" s="176"/>
      <c r="D43" s="196">
        <v>0</v>
      </c>
      <c r="E43" s="231">
        <f>B43*D43</f>
        <v>0</v>
      </c>
      <c r="F43" s="176"/>
      <c r="G43" s="507"/>
    </row>
    <row r="44" spans="1:8" s="168" customFormat="1" ht="14.4" customHeight="1" x14ac:dyDescent="0.3">
      <c r="A44" s="173"/>
      <c r="B44" s="250">
        <v>0</v>
      </c>
      <c r="C44" s="176"/>
      <c r="D44" s="196">
        <v>0</v>
      </c>
      <c r="E44" s="231">
        <f>B44*D44</f>
        <v>0</v>
      </c>
      <c r="F44" s="176"/>
      <c r="G44" s="507"/>
    </row>
    <row r="45" spans="1:8" s="168" customFormat="1" ht="6" customHeight="1" x14ac:dyDescent="0.3">
      <c r="A45" s="177"/>
      <c r="B45" s="178"/>
      <c r="C45" s="179"/>
      <c r="D45" s="197"/>
      <c r="E45" s="198"/>
      <c r="F45" s="179"/>
    </row>
    <row r="46" spans="1:8" ht="10.5" customHeight="1" x14ac:dyDescent="0.2">
      <c r="B46" s="42"/>
      <c r="C46" s="42"/>
      <c r="D46" s="44"/>
      <c r="E46" s="44"/>
    </row>
    <row r="47" spans="1:8" s="168" customFormat="1" ht="15" customHeight="1" x14ac:dyDescent="0.3">
      <c r="A47" s="252" t="s">
        <v>1263</v>
      </c>
      <c r="B47" s="195"/>
      <c r="C47" s="195"/>
      <c r="D47" s="508" t="s">
        <v>1251</v>
      </c>
      <c r="E47" s="510"/>
      <c r="F47" s="170"/>
      <c r="G47" s="506" t="s">
        <v>1220</v>
      </c>
    </row>
    <row r="48" spans="1:8" s="168" customFormat="1" ht="14.4" customHeight="1" x14ac:dyDescent="0.3">
      <c r="A48" s="171" t="s">
        <v>1252</v>
      </c>
      <c r="B48" s="181" t="s">
        <v>801</v>
      </c>
      <c r="C48" s="182"/>
      <c r="D48" s="172" t="s">
        <v>1264</v>
      </c>
      <c r="E48" s="180" t="s">
        <v>803</v>
      </c>
      <c r="F48" s="182"/>
      <c r="G48" s="507"/>
    </row>
    <row r="49" spans="1:8" s="168" customFormat="1" ht="14.4" customHeight="1" x14ac:dyDescent="0.3">
      <c r="A49" s="269" t="s">
        <v>1265</v>
      </c>
      <c r="B49" s="250">
        <v>0</v>
      </c>
      <c r="C49" s="176"/>
      <c r="D49" s="268">
        <v>13.5</v>
      </c>
      <c r="E49" s="231">
        <f>B49*D49</f>
        <v>0</v>
      </c>
      <c r="F49" s="176"/>
      <c r="G49" s="507"/>
      <c r="H49" s="457" t="s">
        <v>1226</v>
      </c>
    </row>
    <row r="50" spans="1:8" s="168" customFormat="1" ht="14.4" customHeight="1" x14ac:dyDescent="0.3">
      <c r="A50" s="269" t="s">
        <v>1266</v>
      </c>
      <c r="B50" s="250">
        <v>0</v>
      </c>
      <c r="C50" s="176"/>
      <c r="D50" s="268">
        <v>16</v>
      </c>
      <c r="E50" s="231">
        <f>B50*D50</f>
        <v>0</v>
      </c>
      <c r="F50" s="176"/>
      <c r="G50" s="507"/>
      <c r="H50" s="457" t="s">
        <v>1226</v>
      </c>
    </row>
    <row r="51" spans="1:8" s="168" customFormat="1" ht="14.4" customHeight="1" x14ac:dyDescent="0.3">
      <c r="A51" s="269" t="s">
        <v>1267</v>
      </c>
      <c r="B51" s="250">
        <v>0</v>
      </c>
      <c r="C51" s="176"/>
      <c r="D51" s="268">
        <v>80</v>
      </c>
      <c r="E51" s="231">
        <f>B51*D51</f>
        <v>0</v>
      </c>
      <c r="F51" s="176"/>
      <c r="G51" s="507"/>
      <c r="H51" s="457" t="s">
        <v>1226</v>
      </c>
    </row>
    <row r="52" spans="1:8" s="168" customFormat="1" ht="6" customHeight="1" x14ac:dyDescent="0.3">
      <c r="A52" s="177"/>
      <c r="B52" s="178"/>
      <c r="C52" s="179"/>
      <c r="D52" s="197"/>
      <c r="E52" s="198"/>
      <c r="F52" s="179"/>
    </row>
    <row r="53" spans="1:8" ht="10.5" customHeight="1" x14ac:dyDescent="0.2">
      <c r="B53" s="42"/>
      <c r="C53" s="42"/>
      <c r="D53" s="44"/>
      <c r="E53" s="44"/>
    </row>
    <row r="54" spans="1:8" s="168" customFormat="1" ht="15" customHeight="1" x14ac:dyDescent="0.3">
      <c r="A54" s="252" t="s">
        <v>1268</v>
      </c>
      <c r="B54" s="195"/>
      <c r="C54" s="195"/>
      <c r="D54" s="508" t="s">
        <v>1251</v>
      </c>
      <c r="E54" s="510"/>
      <c r="F54" s="170"/>
      <c r="G54" s="506" t="s">
        <v>1220</v>
      </c>
    </row>
    <row r="55" spans="1:8" s="168" customFormat="1" ht="14.4" customHeight="1" x14ac:dyDescent="0.3">
      <c r="A55" s="171" t="s">
        <v>1252</v>
      </c>
      <c r="B55" s="181" t="s">
        <v>801</v>
      </c>
      <c r="C55" s="182"/>
      <c r="D55" s="172" t="s">
        <v>802</v>
      </c>
      <c r="E55" s="180" t="s">
        <v>803</v>
      </c>
      <c r="F55" s="182"/>
      <c r="G55" s="507"/>
    </row>
    <row r="56" spans="1:8" s="168" customFormat="1" ht="14.4" customHeight="1" x14ac:dyDescent="0.3">
      <c r="A56" s="270" t="s">
        <v>1269</v>
      </c>
      <c r="B56" s="250">
        <v>0</v>
      </c>
      <c r="C56" s="176"/>
      <c r="D56" s="268">
        <v>145</v>
      </c>
      <c r="E56" s="231">
        <f>B56*D56</f>
        <v>0</v>
      </c>
      <c r="F56" s="176"/>
      <c r="G56" s="507"/>
      <c r="H56" s="457" t="s">
        <v>1226</v>
      </c>
    </row>
    <row r="57" spans="1:8" s="168" customFormat="1" ht="14.4" customHeight="1" x14ac:dyDescent="0.3">
      <c r="A57" s="271" t="s">
        <v>1270</v>
      </c>
      <c r="B57" s="250">
        <v>0</v>
      </c>
      <c r="C57" s="176"/>
      <c r="D57" s="268">
        <v>155</v>
      </c>
      <c r="E57" s="231">
        <f>B57*D57</f>
        <v>0</v>
      </c>
      <c r="F57" s="176"/>
      <c r="G57" s="507"/>
      <c r="H57" s="457" t="s">
        <v>1226</v>
      </c>
    </row>
    <row r="58" spans="1:8" s="168" customFormat="1" ht="14.4" customHeight="1" x14ac:dyDescent="0.3">
      <c r="A58" s="270" t="s">
        <v>1271</v>
      </c>
      <c r="B58" s="250">
        <v>0</v>
      </c>
      <c r="C58" s="176"/>
      <c r="D58" s="268">
        <v>180</v>
      </c>
      <c r="E58" s="231">
        <f>B58*D58</f>
        <v>0</v>
      </c>
      <c r="F58" s="176"/>
      <c r="G58" s="507"/>
      <c r="H58" s="457" t="s">
        <v>1226</v>
      </c>
    </row>
    <row r="59" spans="1:8" s="168" customFormat="1" ht="14.4" customHeight="1" x14ac:dyDescent="0.3">
      <c r="A59" s="270" t="s">
        <v>1272</v>
      </c>
      <c r="B59" s="250">
        <v>0</v>
      </c>
      <c r="C59" s="176"/>
      <c r="D59" s="268">
        <v>185</v>
      </c>
      <c r="E59" s="231">
        <f>B59*D59</f>
        <v>0</v>
      </c>
      <c r="F59" s="176"/>
      <c r="H59" s="457" t="s">
        <v>1226</v>
      </c>
    </row>
    <row r="60" spans="1:8" s="168" customFormat="1" ht="6" customHeight="1" x14ac:dyDescent="0.3">
      <c r="A60" s="177"/>
      <c r="B60" s="178"/>
      <c r="C60" s="179"/>
      <c r="D60" s="197"/>
      <c r="E60" s="198"/>
      <c r="F60" s="179"/>
    </row>
    <row r="61" spans="1:8" ht="10.5" customHeight="1" x14ac:dyDescent="0.2">
      <c r="B61" s="42"/>
      <c r="C61" s="42"/>
      <c r="D61" s="44"/>
      <c r="E61" s="44"/>
    </row>
    <row r="62" spans="1:8" s="168" customFormat="1" ht="15" customHeight="1" x14ac:dyDescent="0.3">
      <c r="A62" s="252" t="s">
        <v>1273</v>
      </c>
      <c r="B62" s="195"/>
      <c r="C62" s="195"/>
      <c r="D62" s="508" t="s">
        <v>1251</v>
      </c>
      <c r="E62" s="510"/>
      <c r="F62" s="170"/>
      <c r="G62" s="506" t="s">
        <v>1220</v>
      </c>
    </row>
    <row r="63" spans="1:8" s="168" customFormat="1" ht="14.4" customHeight="1" x14ac:dyDescent="0.3">
      <c r="A63" s="171" t="s">
        <v>1252</v>
      </c>
      <c r="B63" s="181" t="s">
        <v>801</v>
      </c>
      <c r="C63" s="182"/>
      <c r="D63" s="172" t="s">
        <v>31</v>
      </c>
      <c r="E63" s="180" t="s">
        <v>803</v>
      </c>
      <c r="F63" s="182"/>
      <c r="G63" s="507"/>
    </row>
    <row r="64" spans="1:8" s="168" customFormat="1" ht="14.4" customHeight="1" x14ac:dyDescent="0.3">
      <c r="A64" s="173" t="s">
        <v>1274</v>
      </c>
      <c r="B64" s="250">
        <v>0</v>
      </c>
      <c r="C64" s="176"/>
      <c r="D64" s="268">
        <v>97</v>
      </c>
      <c r="E64" s="231">
        <f>B64*D64</f>
        <v>0</v>
      </c>
      <c r="F64" s="176"/>
      <c r="G64" s="507"/>
      <c r="H64" s="457" t="s">
        <v>1226</v>
      </c>
    </row>
    <row r="65" spans="1:8" s="168" customFormat="1" ht="14.4" customHeight="1" x14ac:dyDescent="0.3">
      <c r="A65" s="267" t="s">
        <v>1275</v>
      </c>
      <c r="B65" s="250">
        <v>0</v>
      </c>
      <c r="C65" s="176"/>
      <c r="D65" s="268">
        <v>97</v>
      </c>
      <c r="E65" s="231">
        <f>B65*D65</f>
        <v>0</v>
      </c>
      <c r="F65" s="176"/>
      <c r="G65" s="507"/>
      <c r="H65" s="457" t="s">
        <v>1226</v>
      </c>
    </row>
    <row r="66" spans="1:8" s="168" customFormat="1" ht="14.4" customHeight="1" x14ac:dyDescent="0.3">
      <c r="A66" s="267" t="s">
        <v>1276</v>
      </c>
      <c r="B66" s="250">
        <v>0</v>
      </c>
      <c r="C66" s="176"/>
      <c r="D66" s="268">
        <v>5500</v>
      </c>
      <c r="E66" s="231">
        <f>B66*D66</f>
        <v>0</v>
      </c>
      <c r="F66" s="176"/>
      <c r="G66" s="507"/>
    </row>
    <row r="67" spans="1:8" s="168" customFormat="1" ht="14.4" customHeight="1" x14ac:dyDescent="0.3">
      <c r="A67" s="173"/>
      <c r="B67" s="250"/>
      <c r="C67" s="176"/>
      <c r="D67" s="196"/>
      <c r="E67" s="231"/>
      <c r="F67" s="176"/>
      <c r="G67" s="280"/>
    </row>
    <row r="68" spans="1:8" s="168" customFormat="1" ht="6" customHeight="1" x14ac:dyDescent="0.3">
      <c r="A68" s="177"/>
      <c r="B68" s="178"/>
      <c r="C68" s="179"/>
      <c r="D68" s="197"/>
      <c r="E68" s="198"/>
      <c r="F68" s="179"/>
    </row>
    <row r="69" spans="1:8" ht="10.5" customHeight="1" x14ac:dyDescent="0.2">
      <c r="B69" s="42"/>
      <c r="C69" s="42"/>
      <c r="D69" s="44"/>
      <c r="E69" s="44"/>
    </row>
    <row r="70" spans="1:8" s="168" customFormat="1" ht="15" customHeight="1" x14ac:dyDescent="0.3">
      <c r="A70" s="252" t="s">
        <v>1277</v>
      </c>
      <c r="B70" s="195"/>
      <c r="C70" s="195"/>
      <c r="D70" s="508" t="s">
        <v>1251</v>
      </c>
      <c r="E70" s="510"/>
      <c r="F70" s="170"/>
      <c r="G70" s="506" t="s">
        <v>1220</v>
      </c>
    </row>
    <row r="71" spans="1:8" s="168" customFormat="1" ht="14.4" customHeight="1" x14ac:dyDescent="0.3">
      <c r="A71" s="171" t="s">
        <v>1252</v>
      </c>
      <c r="B71" s="181" t="s">
        <v>801</v>
      </c>
      <c r="C71" s="182"/>
      <c r="D71" s="172" t="s">
        <v>802</v>
      </c>
      <c r="E71" s="180" t="s">
        <v>803</v>
      </c>
      <c r="F71" s="182"/>
      <c r="G71" s="507"/>
    </row>
    <row r="72" spans="1:8" s="168" customFormat="1" ht="14.4" customHeight="1" x14ac:dyDescent="0.3">
      <c r="A72" s="173" t="s">
        <v>1278</v>
      </c>
      <c r="B72" s="250">
        <v>0</v>
      </c>
      <c r="C72" s="176"/>
      <c r="D72" s="268">
        <v>115</v>
      </c>
      <c r="E72" s="231">
        <f>B72*D72</f>
        <v>0</v>
      </c>
      <c r="F72" s="176"/>
      <c r="G72" s="507"/>
      <c r="H72" s="457" t="s">
        <v>1226</v>
      </c>
    </row>
    <row r="73" spans="1:8" s="168" customFormat="1" ht="14.4" customHeight="1" x14ac:dyDescent="0.3">
      <c r="A73" s="173" t="s">
        <v>1279</v>
      </c>
      <c r="B73" s="250">
        <v>0</v>
      </c>
      <c r="C73" s="176"/>
      <c r="D73" s="268">
        <v>90</v>
      </c>
      <c r="E73" s="231">
        <f>B73*D73</f>
        <v>0</v>
      </c>
      <c r="F73" s="176"/>
      <c r="G73" s="507"/>
    </row>
    <row r="74" spans="1:8" s="168" customFormat="1" ht="14.4" customHeight="1" x14ac:dyDescent="0.3">
      <c r="A74" s="173"/>
      <c r="B74" s="250">
        <v>0</v>
      </c>
      <c r="C74" s="176"/>
      <c r="D74" s="196">
        <v>0</v>
      </c>
      <c r="E74" s="231">
        <f>B74*D74</f>
        <v>0</v>
      </c>
      <c r="F74" s="176"/>
      <c r="G74" s="507"/>
      <c r="H74" s="457" t="s">
        <v>1226</v>
      </c>
    </row>
    <row r="75" spans="1:8" s="168" customFormat="1" ht="6" customHeight="1" x14ac:dyDescent="0.3">
      <c r="A75" s="177"/>
      <c r="B75" s="178"/>
      <c r="C75" s="179"/>
      <c r="D75" s="197"/>
      <c r="E75" s="198"/>
      <c r="F75" s="179"/>
    </row>
    <row r="76" spans="1:8" ht="10.5" customHeight="1" x14ac:dyDescent="0.2">
      <c r="B76" s="42"/>
      <c r="C76" s="42"/>
      <c r="D76" s="44"/>
      <c r="E76" s="44"/>
    </row>
    <row r="77" spans="1:8" ht="10.5" customHeight="1" x14ac:dyDescent="0.2">
      <c r="B77" s="42"/>
      <c r="C77" s="42"/>
      <c r="D77" s="44"/>
      <c r="E77" s="44"/>
    </row>
    <row r="78" spans="1:8" s="168" customFormat="1" ht="15" customHeight="1" x14ac:dyDescent="0.3">
      <c r="A78" s="252" t="s">
        <v>1280</v>
      </c>
      <c r="B78" s="195"/>
      <c r="C78" s="195"/>
      <c r="D78" s="508" t="s">
        <v>1251</v>
      </c>
      <c r="E78" s="510"/>
      <c r="F78" s="170"/>
      <c r="G78" s="506" t="s">
        <v>1220</v>
      </c>
    </row>
    <row r="79" spans="1:8" s="168" customFormat="1" ht="14.4" customHeight="1" x14ac:dyDescent="0.3">
      <c r="A79" s="171" t="s">
        <v>1252</v>
      </c>
      <c r="B79" s="181" t="s">
        <v>801</v>
      </c>
      <c r="C79" s="182"/>
      <c r="D79" s="172" t="s">
        <v>802</v>
      </c>
      <c r="E79" s="180" t="s">
        <v>803</v>
      </c>
      <c r="F79" s="182"/>
      <c r="G79" s="507"/>
    </row>
    <row r="80" spans="1:8" s="168" customFormat="1" ht="14.4" customHeight="1" x14ac:dyDescent="0.3">
      <c r="A80" s="275" t="s">
        <v>1281</v>
      </c>
      <c r="B80" s="250">
        <v>0</v>
      </c>
      <c r="C80" s="176"/>
      <c r="D80" s="268">
        <v>130</v>
      </c>
      <c r="E80" s="274">
        <f t="shared" ref="E80:E86" si="0">B80*D80</f>
        <v>0</v>
      </c>
      <c r="F80" s="176"/>
      <c r="G80" s="507"/>
      <c r="H80" s="457" t="s">
        <v>1226</v>
      </c>
    </row>
    <row r="81" spans="1:8" s="168" customFormat="1" ht="14.4" customHeight="1" x14ac:dyDescent="0.3">
      <c r="A81" s="275" t="s">
        <v>1282</v>
      </c>
      <c r="B81" s="250">
        <v>0</v>
      </c>
      <c r="C81" s="176"/>
      <c r="D81" s="268">
        <v>100</v>
      </c>
      <c r="E81" s="274">
        <f t="shared" si="0"/>
        <v>0</v>
      </c>
      <c r="F81" s="176"/>
      <c r="G81" s="507"/>
      <c r="H81" s="457" t="s">
        <v>1226</v>
      </c>
    </row>
    <row r="82" spans="1:8" s="168" customFormat="1" ht="14.4" customHeight="1" x14ac:dyDescent="0.3">
      <c r="A82" s="275" t="s">
        <v>1283</v>
      </c>
      <c r="B82" s="250">
        <v>0</v>
      </c>
      <c r="C82" s="176"/>
      <c r="D82" s="268">
        <v>450</v>
      </c>
      <c r="E82" s="274">
        <f t="shared" si="0"/>
        <v>0</v>
      </c>
      <c r="F82" s="176"/>
      <c r="G82" s="507"/>
      <c r="H82" s="457" t="s">
        <v>1226</v>
      </c>
    </row>
    <row r="83" spans="1:8" s="168" customFormat="1" ht="14.4" customHeight="1" x14ac:dyDescent="0.3">
      <c r="A83" s="275" t="s">
        <v>1284</v>
      </c>
      <c r="B83" s="250">
        <v>0</v>
      </c>
      <c r="C83" s="176"/>
      <c r="D83" s="268">
        <v>800</v>
      </c>
      <c r="E83" s="274">
        <f t="shared" si="0"/>
        <v>0</v>
      </c>
      <c r="F83" s="176"/>
      <c r="G83" s="506" t="s">
        <v>1220</v>
      </c>
      <c r="H83" s="457" t="s">
        <v>1226</v>
      </c>
    </row>
    <row r="84" spans="1:8" s="168" customFormat="1" ht="14.4" customHeight="1" x14ac:dyDescent="0.3">
      <c r="A84" s="276" t="s">
        <v>129</v>
      </c>
      <c r="B84" s="250">
        <v>0</v>
      </c>
      <c r="C84" s="176"/>
      <c r="D84" s="268">
        <v>1945</v>
      </c>
      <c r="E84" s="274">
        <f t="shared" si="0"/>
        <v>0</v>
      </c>
      <c r="F84" s="176"/>
      <c r="G84" s="507"/>
      <c r="H84" s="457" t="s">
        <v>1226</v>
      </c>
    </row>
    <row r="85" spans="1:8" s="168" customFormat="1" ht="14.4" customHeight="1" x14ac:dyDescent="0.3">
      <c r="A85" s="276" t="s">
        <v>1285</v>
      </c>
      <c r="B85" s="250">
        <v>0</v>
      </c>
      <c r="C85" s="176"/>
      <c r="D85" s="268">
        <v>3560</v>
      </c>
      <c r="E85" s="274">
        <f t="shared" si="0"/>
        <v>0</v>
      </c>
      <c r="F85" s="176"/>
      <c r="G85" s="507"/>
      <c r="H85" s="457" t="s">
        <v>1226</v>
      </c>
    </row>
    <row r="86" spans="1:8" s="168" customFormat="1" ht="14.4" customHeight="1" x14ac:dyDescent="0.3">
      <c r="A86" s="275" t="s">
        <v>130</v>
      </c>
      <c r="B86" s="250">
        <v>0</v>
      </c>
      <c r="C86" s="176"/>
      <c r="D86" s="268">
        <v>350</v>
      </c>
      <c r="E86" s="274">
        <f t="shared" si="0"/>
        <v>0</v>
      </c>
      <c r="F86" s="176"/>
      <c r="G86" s="507"/>
      <c r="H86" s="457" t="s">
        <v>1226</v>
      </c>
    </row>
    <row r="87" spans="1:8" s="168" customFormat="1" ht="14.4" customHeight="1" x14ac:dyDescent="0.3">
      <c r="A87" s="173"/>
      <c r="B87" s="250"/>
      <c r="C87" s="176"/>
      <c r="D87" s="196"/>
      <c r="E87" s="231"/>
      <c r="F87" s="176"/>
      <c r="G87" s="507"/>
    </row>
    <row r="88" spans="1:8" s="168" customFormat="1" ht="6" customHeight="1" x14ac:dyDescent="0.3">
      <c r="A88" s="177"/>
      <c r="B88" s="178"/>
      <c r="C88" s="179"/>
      <c r="D88" s="197"/>
      <c r="E88" s="198"/>
      <c r="F88" s="179"/>
    </row>
    <row r="89" spans="1:8" ht="10.5" customHeight="1" x14ac:dyDescent="0.2">
      <c r="B89" s="42"/>
      <c r="C89" s="42"/>
      <c r="D89" s="44"/>
      <c r="E89" s="44"/>
    </row>
    <row r="90" spans="1:8" ht="10.5" customHeight="1" x14ac:dyDescent="0.2">
      <c r="B90" s="42"/>
      <c r="C90" s="42"/>
      <c r="D90" s="44"/>
      <c r="E90" s="44"/>
    </row>
    <row r="91" spans="1:8" ht="10.5" customHeight="1" x14ac:dyDescent="0.2">
      <c r="B91" s="42"/>
      <c r="C91" s="42"/>
      <c r="D91" s="44"/>
      <c r="E91" s="44"/>
    </row>
    <row r="92" spans="1:8" ht="10.5" customHeight="1" x14ac:dyDescent="0.2">
      <c r="B92" s="42"/>
      <c r="C92" s="42"/>
      <c r="D92" s="44"/>
      <c r="E92" s="44"/>
    </row>
    <row r="93" spans="1:8" ht="10.5" customHeight="1" x14ac:dyDescent="0.2">
      <c r="B93" s="42"/>
      <c r="C93" s="42"/>
      <c r="D93" s="44"/>
      <c r="E93" s="44"/>
    </row>
    <row r="94" spans="1:8" ht="10.8" customHeight="1" thickBot="1" x14ac:dyDescent="0.25">
      <c r="B94" s="42"/>
      <c r="C94" s="42"/>
      <c r="D94" s="44"/>
      <c r="E94" s="44"/>
    </row>
    <row r="95" spans="1:8" ht="13.95" customHeight="1" thickBot="1" x14ac:dyDescent="0.3">
      <c r="A95" s="511" t="s">
        <v>1286</v>
      </c>
      <c r="B95" s="502"/>
      <c r="C95" s="502"/>
      <c r="D95" s="502"/>
      <c r="E95" s="502"/>
      <c r="F95" s="95"/>
    </row>
    <row r="96" spans="1:8" ht="10.8" customHeight="1" thickBot="1" x14ac:dyDescent="0.25">
      <c r="A96" s="82"/>
      <c r="B96" s="42" t="s">
        <v>776</v>
      </c>
      <c r="C96" s="42" t="s">
        <v>932</v>
      </c>
      <c r="D96" s="44" t="s">
        <v>1287</v>
      </c>
      <c r="E96" s="44" t="s">
        <v>1215</v>
      </c>
      <c r="F96" s="85"/>
    </row>
    <row r="97" spans="1:7" x14ac:dyDescent="0.2">
      <c r="A97" s="85" t="s">
        <v>1288</v>
      </c>
      <c r="B97" s="86" t="s">
        <v>1289</v>
      </c>
      <c r="C97" s="96">
        <v>1</v>
      </c>
      <c r="D97" s="86">
        <v>220</v>
      </c>
      <c r="E97" s="88">
        <f>C97*D97</f>
        <v>220</v>
      </c>
      <c r="F97" s="129" t="s">
        <v>1290</v>
      </c>
    </row>
    <row r="98" spans="1:7" ht="10.5" customHeight="1" x14ac:dyDescent="0.2">
      <c r="A98" s="95" t="s">
        <v>1291</v>
      </c>
      <c r="B98" s="86" t="s">
        <v>10</v>
      </c>
      <c r="C98" s="96">
        <v>1</v>
      </c>
      <c r="D98" s="86">
        <v>190</v>
      </c>
      <c r="E98" s="88">
        <f>C98*D98</f>
        <v>190</v>
      </c>
      <c r="F98" s="80"/>
    </row>
    <row r="99" spans="1:7" x14ac:dyDescent="0.2">
      <c r="A99" s="85" t="s">
        <v>1292</v>
      </c>
      <c r="B99" s="86" t="s">
        <v>1289</v>
      </c>
      <c r="C99" s="96">
        <v>1</v>
      </c>
      <c r="D99" s="86">
        <v>65</v>
      </c>
      <c r="E99" s="88">
        <f>C99*D99</f>
        <v>65</v>
      </c>
      <c r="F99" s="80" t="s">
        <v>1293</v>
      </c>
      <c r="G99" s="38" t="s">
        <v>1294</v>
      </c>
    </row>
    <row r="100" spans="1:7" x14ac:dyDescent="0.2">
      <c r="A100" s="85" t="s">
        <v>1295</v>
      </c>
      <c r="B100" s="86" t="s">
        <v>1296</v>
      </c>
      <c r="C100" s="96">
        <v>1</v>
      </c>
      <c r="D100" s="86">
        <v>0.2</v>
      </c>
      <c r="E100" s="88">
        <f>C100*D100</f>
        <v>0.2</v>
      </c>
      <c r="F100" s="80"/>
      <c r="G100" s="38">
        <v>0.16</v>
      </c>
    </row>
    <row r="101" spans="1:7" x14ac:dyDescent="0.2">
      <c r="A101" s="85" t="s">
        <v>1297</v>
      </c>
      <c r="B101" s="86" t="s">
        <v>1296</v>
      </c>
      <c r="C101" s="96">
        <v>1</v>
      </c>
      <c r="D101" s="86">
        <v>0.18</v>
      </c>
      <c r="E101" s="88">
        <f>C101*D101</f>
        <v>0.18</v>
      </c>
      <c r="F101" s="80"/>
      <c r="G101" s="38">
        <v>0.11</v>
      </c>
    </row>
    <row r="102" spans="1:7" ht="10.5" customHeight="1" x14ac:dyDescent="0.2">
      <c r="A102" s="95"/>
      <c r="B102" s="86"/>
      <c r="C102" s="96"/>
      <c r="D102" s="86"/>
      <c r="E102" s="88"/>
      <c r="F102" s="80"/>
    </row>
    <row r="103" spans="1:7" x14ac:dyDescent="0.2">
      <c r="A103" s="85"/>
      <c r="B103" s="86" t="s">
        <v>1289</v>
      </c>
      <c r="C103" s="96">
        <v>1</v>
      </c>
      <c r="D103" s="86">
        <v>0</v>
      </c>
      <c r="E103" s="88">
        <f>C103*D103</f>
        <v>0</v>
      </c>
      <c r="F103" s="80"/>
    </row>
    <row r="104" spans="1:7" x14ac:dyDescent="0.2">
      <c r="A104" s="85" t="s">
        <v>1298</v>
      </c>
      <c r="B104" s="86" t="s">
        <v>1289</v>
      </c>
      <c r="C104" s="96">
        <v>1</v>
      </c>
      <c r="D104" s="86">
        <v>0</v>
      </c>
      <c r="E104" s="88">
        <f>C104*D104</f>
        <v>0</v>
      </c>
      <c r="F104" s="80"/>
    </row>
    <row r="105" spans="1:7" x14ac:dyDescent="0.2">
      <c r="A105" s="85" t="s">
        <v>1299</v>
      </c>
      <c r="B105" s="86" t="s">
        <v>1289</v>
      </c>
      <c r="C105" s="96">
        <v>1</v>
      </c>
      <c r="D105" s="86">
        <v>0</v>
      </c>
      <c r="E105" s="88">
        <f>C105*D105</f>
        <v>0</v>
      </c>
      <c r="F105" s="80"/>
    </row>
    <row r="106" spans="1:7" x14ac:dyDescent="0.2">
      <c r="A106" s="85" t="s">
        <v>1300</v>
      </c>
      <c r="B106" s="86" t="s">
        <v>1289</v>
      </c>
      <c r="C106" s="96">
        <v>1</v>
      </c>
      <c r="D106" s="86">
        <v>2500</v>
      </c>
      <c r="E106" s="88">
        <f>C106*D106</f>
        <v>2500</v>
      </c>
      <c r="F106" s="80"/>
    </row>
    <row r="107" spans="1:7" x14ac:dyDescent="0.2">
      <c r="A107" s="85"/>
      <c r="B107" s="86"/>
      <c r="C107" s="96"/>
      <c r="D107" s="86"/>
      <c r="E107" s="88"/>
      <c r="F107" s="80"/>
    </row>
    <row r="108" spans="1:7" x14ac:dyDescent="0.2">
      <c r="A108" s="85"/>
      <c r="B108" s="86"/>
      <c r="C108" s="96"/>
      <c r="D108" s="86"/>
      <c r="E108" s="88"/>
      <c r="F108" s="80"/>
    </row>
    <row r="109" spans="1:7" x14ac:dyDescent="0.2">
      <c r="A109" s="85"/>
      <c r="B109" s="86"/>
      <c r="C109" s="96"/>
      <c r="D109" s="86"/>
      <c r="E109" s="88"/>
      <c r="F109" s="80"/>
    </row>
    <row r="110" spans="1:7" x14ac:dyDescent="0.2">
      <c r="A110" s="85"/>
      <c r="B110" s="86"/>
      <c r="C110" s="96"/>
      <c r="D110" s="86"/>
      <c r="E110" s="88"/>
      <c r="F110" s="80"/>
    </row>
    <row r="111" spans="1:7" x14ac:dyDescent="0.2">
      <c r="A111" s="85"/>
      <c r="B111" s="86"/>
      <c r="C111" s="96"/>
      <c r="D111" s="86"/>
      <c r="E111" s="88"/>
      <c r="F111" s="80"/>
    </row>
    <row r="112" spans="1:7" x14ac:dyDescent="0.2">
      <c r="A112" s="85"/>
      <c r="B112" s="86"/>
      <c r="C112" s="96"/>
      <c r="D112" s="86"/>
      <c r="E112" s="88"/>
      <c r="F112" s="80"/>
    </row>
    <row r="113" spans="1:6" x14ac:dyDescent="0.2">
      <c r="A113" s="85"/>
      <c r="B113" s="86"/>
      <c r="C113" s="96"/>
      <c r="D113" s="86"/>
      <c r="E113" s="88"/>
      <c r="F113" s="80"/>
    </row>
    <row r="114" spans="1:6" ht="10.5" customHeight="1" x14ac:dyDescent="0.2">
      <c r="A114" s="121"/>
      <c r="B114" s="123"/>
      <c r="C114" s="123"/>
      <c r="D114" s="122"/>
      <c r="E114" s="105"/>
      <c r="F114" s="80"/>
    </row>
    <row r="115" spans="1:6" ht="10.5" customHeight="1" x14ac:dyDescent="0.2">
      <c r="A115" s="39"/>
      <c r="B115" s="39"/>
      <c r="C115" s="39"/>
      <c r="D115" s="153"/>
      <c r="E115" s="125"/>
      <c r="F115" s="80"/>
    </row>
    <row r="116" spans="1:6" x14ac:dyDescent="0.2">
      <c r="E116" s="79"/>
      <c r="F116" s="80"/>
    </row>
    <row r="117" spans="1:6" x14ac:dyDescent="0.2">
      <c r="E117" s="38"/>
      <c r="F117" s="46"/>
    </row>
    <row r="118" spans="1:6" x14ac:dyDescent="0.2">
      <c r="E118" s="51"/>
    </row>
    <row r="119" spans="1:6" x14ac:dyDescent="0.2">
      <c r="E119" s="52"/>
    </row>
    <row r="120" spans="1:6" x14ac:dyDescent="0.2">
      <c r="E120" s="46"/>
    </row>
    <row r="121" spans="1:6" x14ac:dyDescent="0.2">
      <c r="A121" s="53"/>
      <c r="B121" s="38"/>
      <c r="E121" s="38"/>
    </row>
  </sheetData>
  <mergeCells count="23">
    <mergeCell ref="A95:E95"/>
    <mergeCell ref="D78:E78"/>
    <mergeCell ref="A4:F6"/>
    <mergeCell ref="G8:G12"/>
    <mergeCell ref="D62:E62"/>
    <mergeCell ref="G70:G74"/>
    <mergeCell ref="G23:G27"/>
    <mergeCell ref="D8:E8"/>
    <mergeCell ref="G62:G66"/>
    <mergeCell ref="G13:G17"/>
    <mergeCell ref="D33:E33"/>
    <mergeCell ref="D54:E54"/>
    <mergeCell ref="G28:G32"/>
    <mergeCell ref="G18:G22"/>
    <mergeCell ref="G83:G87"/>
    <mergeCell ref="G78:G82"/>
    <mergeCell ref="G33:G37"/>
    <mergeCell ref="D40:E40"/>
    <mergeCell ref="G54:G58"/>
    <mergeCell ref="G47:G51"/>
    <mergeCell ref="D70:E70"/>
    <mergeCell ref="G40:G44"/>
    <mergeCell ref="D47:E47"/>
  </mergeCells>
  <printOptions gridLines="1"/>
  <pageMargins left="0.46" right="0.42" top="0.37" bottom="0.4" header="0.39" footer="0.38"/>
  <pageSetup paperSize="8" scale="80" orientation="portrait" horizontalDpi="1200" verticalDpi="1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</sheetPr>
  <dimension ref="A1:K368"/>
  <sheetViews>
    <sheetView zoomScale="130" zoomScaleNormal="130" workbookViewId="0">
      <selection activeCell="I320" sqref="I320"/>
    </sheetView>
  </sheetViews>
  <sheetFormatPr defaultColWidth="9.21875" defaultRowHeight="10.199999999999999" x14ac:dyDescent="0.2"/>
  <cols>
    <col min="1" max="1" width="8.21875" style="38" customWidth="1"/>
    <col min="2" max="2" width="48.21875" style="38" customWidth="1"/>
    <col min="3" max="3" width="9.21875" style="40" customWidth="1"/>
    <col min="4" max="4" width="10.5546875" style="40" bestFit="1" customWidth="1"/>
    <col min="5" max="5" width="10.21875" style="41" customWidth="1"/>
    <col min="6" max="6" width="11" style="41" customWidth="1"/>
    <col min="7" max="7" width="12.21875" style="38" customWidth="1"/>
    <col min="8" max="9" width="7.77734375" style="38" customWidth="1"/>
    <col min="10" max="256" width="9.21875" style="38" customWidth="1"/>
    <col min="257" max="257" width="8.21875" style="38" customWidth="1"/>
    <col min="258" max="258" width="70.44140625" style="38" bestFit="1" customWidth="1"/>
    <col min="259" max="259" width="11.44140625" style="38" customWidth="1"/>
    <col min="260" max="260" width="10.44140625" style="38" customWidth="1"/>
    <col min="261" max="261" width="13.21875" style="38" customWidth="1"/>
    <col min="262" max="262" width="14.21875" style="38" customWidth="1"/>
    <col min="263" max="263" width="12.21875" style="38" customWidth="1"/>
    <col min="264" max="512" width="9.21875" style="38" customWidth="1"/>
    <col min="513" max="513" width="8.21875" style="38" customWidth="1"/>
    <col min="514" max="514" width="70.44140625" style="38" bestFit="1" customWidth="1"/>
    <col min="515" max="515" width="11.44140625" style="38" customWidth="1"/>
    <col min="516" max="516" width="10.44140625" style="38" customWidth="1"/>
    <col min="517" max="517" width="13.21875" style="38" customWidth="1"/>
    <col min="518" max="518" width="14.21875" style="38" customWidth="1"/>
    <col min="519" max="519" width="12.21875" style="38" customWidth="1"/>
    <col min="520" max="768" width="9.21875" style="38" customWidth="1"/>
    <col min="769" max="769" width="8.21875" style="38" customWidth="1"/>
    <col min="770" max="770" width="70.44140625" style="38" bestFit="1" customWidth="1"/>
    <col min="771" max="771" width="11.44140625" style="38" customWidth="1"/>
    <col min="772" max="772" width="10.44140625" style="38" customWidth="1"/>
    <col min="773" max="773" width="13.21875" style="38" customWidth="1"/>
    <col min="774" max="774" width="14.21875" style="38" customWidth="1"/>
    <col min="775" max="775" width="12.21875" style="38" customWidth="1"/>
    <col min="776" max="1024" width="9.21875" style="38" customWidth="1"/>
    <col min="1025" max="1025" width="8.21875" style="38" customWidth="1"/>
    <col min="1026" max="1026" width="70.44140625" style="38" bestFit="1" customWidth="1"/>
    <col min="1027" max="1027" width="11.44140625" style="38" customWidth="1"/>
    <col min="1028" max="1028" width="10.44140625" style="38" customWidth="1"/>
    <col min="1029" max="1029" width="13.21875" style="38" customWidth="1"/>
    <col min="1030" max="1030" width="14.21875" style="38" customWidth="1"/>
    <col min="1031" max="1031" width="12.21875" style="38" customWidth="1"/>
    <col min="1032" max="1280" width="9.21875" style="38" customWidth="1"/>
    <col min="1281" max="1281" width="8.21875" style="38" customWidth="1"/>
    <col min="1282" max="1282" width="70.44140625" style="38" bestFit="1" customWidth="1"/>
    <col min="1283" max="1283" width="11.44140625" style="38" customWidth="1"/>
    <col min="1284" max="1284" width="10.44140625" style="38" customWidth="1"/>
    <col min="1285" max="1285" width="13.21875" style="38" customWidth="1"/>
    <col min="1286" max="1286" width="14.21875" style="38" customWidth="1"/>
    <col min="1287" max="1287" width="12.21875" style="38" customWidth="1"/>
    <col min="1288" max="1536" width="9.21875" style="38" customWidth="1"/>
    <col min="1537" max="1537" width="8.21875" style="38" customWidth="1"/>
    <col min="1538" max="1538" width="70.44140625" style="38" bestFit="1" customWidth="1"/>
    <col min="1539" max="1539" width="11.44140625" style="38" customWidth="1"/>
    <col min="1540" max="1540" width="10.44140625" style="38" customWidth="1"/>
    <col min="1541" max="1541" width="13.21875" style="38" customWidth="1"/>
    <col min="1542" max="1542" width="14.21875" style="38" customWidth="1"/>
    <col min="1543" max="1543" width="12.21875" style="38" customWidth="1"/>
    <col min="1544" max="1792" width="9.21875" style="38" customWidth="1"/>
    <col min="1793" max="1793" width="8.21875" style="38" customWidth="1"/>
    <col min="1794" max="1794" width="70.44140625" style="38" bestFit="1" customWidth="1"/>
    <col min="1795" max="1795" width="11.44140625" style="38" customWidth="1"/>
    <col min="1796" max="1796" width="10.44140625" style="38" customWidth="1"/>
    <col min="1797" max="1797" width="13.21875" style="38" customWidth="1"/>
    <col min="1798" max="1798" width="14.21875" style="38" customWidth="1"/>
    <col min="1799" max="1799" width="12.21875" style="38" customWidth="1"/>
    <col min="1800" max="2048" width="9.21875" style="38" customWidth="1"/>
    <col min="2049" max="2049" width="8.21875" style="38" customWidth="1"/>
    <col min="2050" max="2050" width="70.44140625" style="38" bestFit="1" customWidth="1"/>
    <col min="2051" max="2051" width="11.44140625" style="38" customWidth="1"/>
    <col min="2052" max="2052" width="10.44140625" style="38" customWidth="1"/>
    <col min="2053" max="2053" width="13.21875" style="38" customWidth="1"/>
    <col min="2054" max="2054" width="14.21875" style="38" customWidth="1"/>
    <col min="2055" max="2055" width="12.21875" style="38" customWidth="1"/>
    <col min="2056" max="2304" width="9.21875" style="38" customWidth="1"/>
    <col min="2305" max="2305" width="8.21875" style="38" customWidth="1"/>
    <col min="2306" max="2306" width="70.44140625" style="38" bestFit="1" customWidth="1"/>
    <col min="2307" max="2307" width="11.44140625" style="38" customWidth="1"/>
    <col min="2308" max="2308" width="10.44140625" style="38" customWidth="1"/>
    <col min="2309" max="2309" width="13.21875" style="38" customWidth="1"/>
    <col min="2310" max="2310" width="14.21875" style="38" customWidth="1"/>
    <col min="2311" max="2311" width="12.21875" style="38" customWidth="1"/>
    <col min="2312" max="2560" width="9.21875" style="38" customWidth="1"/>
    <col min="2561" max="2561" width="8.21875" style="38" customWidth="1"/>
    <col min="2562" max="2562" width="70.44140625" style="38" bestFit="1" customWidth="1"/>
    <col min="2563" max="2563" width="11.44140625" style="38" customWidth="1"/>
    <col min="2564" max="2564" width="10.44140625" style="38" customWidth="1"/>
    <col min="2565" max="2565" width="13.21875" style="38" customWidth="1"/>
    <col min="2566" max="2566" width="14.21875" style="38" customWidth="1"/>
    <col min="2567" max="2567" width="12.21875" style="38" customWidth="1"/>
    <col min="2568" max="2816" width="9.21875" style="38" customWidth="1"/>
    <col min="2817" max="2817" width="8.21875" style="38" customWidth="1"/>
    <col min="2818" max="2818" width="70.44140625" style="38" bestFit="1" customWidth="1"/>
    <col min="2819" max="2819" width="11.44140625" style="38" customWidth="1"/>
    <col min="2820" max="2820" width="10.44140625" style="38" customWidth="1"/>
    <col min="2821" max="2821" width="13.21875" style="38" customWidth="1"/>
    <col min="2822" max="2822" width="14.21875" style="38" customWidth="1"/>
    <col min="2823" max="2823" width="12.21875" style="38" customWidth="1"/>
    <col min="2824" max="3072" width="9.21875" style="38" customWidth="1"/>
    <col min="3073" max="3073" width="8.21875" style="38" customWidth="1"/>
    <col min="3074" max="3074" width="70.44140625" style="38" bestFit="1" customWidth="1"/>
    <col min="3075" max="3075" width="11.44140625" style="38" customWidth="1"/>
    <col min="3076" max="3076" width="10.44140625" style="38" customWidth="1"/>
    <col min="3077" max="3077" width="13.21875" style="38" customWidth="1"/>
    <col min="3078" max="3078" width="14.21875" style="38" customWidth="1"/>
    <col min="3079" max="3079" width="12.21875" style="38" customWidth="1"/>
    <col min="3080" max="3328" width="9.21875" style="38" customWidth="1"/>
    <col min="3329" max="3329" width="8.21875" style="38" customWidth="1"/>
    <col min="3330" max="3330" width="70.44140625" style="38" bestFit="1" customWidth="1"/>
    <col min="3331" max="3331" width="11.44140625" style="38" customWidth="1"/>
    <col min="3332" max="3332" width="10.44140625" style="38" customWidth="1"/>
    <col min="3333" max="3333" width="13.21875" style="38" customWidth="1"/>
    <col min="3334" max="3334" width="14.21875" style="38" customWidth="1"/>
    <col min="3335" max="3335" width="12.21875" style="38" customWidth="1"/>
    <col min="3336" max="3584" width="9.21875" style="38" customWidth="1"/>
    <col min="3585" max="3585" width="8.21875" style="38" customWidth="1"/>
    <col min="3586" max="3586" width="70.44140625" style="38" bestFit="1" customWidth="1"/>
    <col min="3587" max="3587" width="11.44140625" style="38" customWidth="1"/>
    <col min="3588" max="3588" width="10.44140625" style="38" customWidth="1"/>
    <col min="3589" max="3589" width="13.21875" style="38" customWidth="1"/>
    <col min="3590" max="3590" width="14.21875" style="38" customWidth="1"/>
    <col min="3591" max="3591" width="12.21875" style="38" customWidth="1"/>
    <col min="3592" max="3840" width="9.21875" style="38" customWidth="1"/>
    <col min="3841" max="3841" width="8.21875" style="38" customWidth="1"/>
    <col min="3842" max="3842" width="70.44140625" style="38" bestFit="1" customWidth="1"/>
    <col min="3843" max="3843" width="11.44140625" style="38" customWidth="1"/>
    <col min="3844" max="3844" width="10.44140625" style="38" customWidth="1"/>
    <col min="3845" max="3845" width="13.21875" style="38" customWidth="1"/>
    <col min="3846" max="3846" width="14.21875" style="38" customWidth="1"/>
    <col min="3847" max="3847" width="12.21875" style="38" customWidth="1"/>
    <col min="3848" max="4096" width="9.21875" style="38" customWidth="1"/>
    <col min="4097" max="4097" width="8.21875" style="38" customWidth="1"/>
    <col min="4098" max="4098" width="70.44140625" style="38" bestFit="1" customWidth="1"/>
    <col min="4099" max="4099" width="11.44140625" style="38" customWidth="1"/>
    <col min="4100" max="4100" width="10.44140625" style="38" customWidth="1"/>
    <col min="4101" max="4101" width="13.21875" style="38" customWidth="1"/>
    <col min="4102" max="4102" width="14.21875" style="38" customWidth="1"/>
    <col min="4103" max="4103" width="12.21875" style="38" customWidth="1"/>
    <col min="4104" max="4352" width="9.21875" style="38" customWidth="1"/>
    <col min="4353" max="4353" width="8.21875" style="38" customWidth="1"/>
    <col min="4354" max="4354" width="70.44140625" style="38" bestFit="1" customWidth="1"/>
    <col min="4355" max="4355" width="11.44140625" style="38" customWidth="1"/>
    <col min="4356" max="4356" width="10.44140625" style="38" customWidth="1"/>
    <col min="4357" max="4357" width="13.21875" style="38" customWidth="1"/>
    <col min="4358" max="4358" width="14.21875" style="38" customWidth="1"/>
    <col min="4359" max="4359" width="12.21875" style="38" customWidth="1"/>
    <col min="4360" max="4608" width="9.21875" style="38" customWidth="1"/>
    <col min="4609" max="4609" width="8.21875" style="38" customWidth="1"/>
    <col min="4610" max="4610" width="70.44140625" style="38" bestFit="1" customWidth="1"/>
    <col min="4611" max="4611" width="11.44140625" style="38" customWidth="1"/>
    <col min="4612" max="4612" width="10.44140625" style="38" customWidth="1"/>
    <col min="4613" max="4613" width="13.21875" style="38" customWidth="1"/>
    <col min="4614" max="4614" width="14.21875" style="38" customWidth="1"/>
    <col min="4615" max="4615" width="12.21875" style="38" customWidth="1"/>
    <col min="4616" max="4864" width="9.21875" style="38" customWidth="1"/>
    <col min="4865" max="4865" width="8.21875" style="38" customWidth="1"/>
    <col min="4866" max="4866" width="70.44140625" style="38" bestFit="1" customWidth="1"/>
    <col min="4867" max="4867" width="11.44140625" style="38" customWidth="1"/>
    <col min="4868" max="4868" width="10.44140625" style="38" customWidth="1"/>
    <col min="4869" max="4869" width="13.21875" style="38" customWidth="1"/>
    <col min="4870" max="4870" width="14.21875" style="38" customWidth="1"/>
    <col min="4871" max="4871" width="12.21875" style="38" customWidth="1"/>
    <col min="4872" max="5120" width="9.21875" style="38" customWidth="1"/>
    <col min="5121" max="5121" width="8.21875" style="38" customWidth="1"/>
    <col min="5122" max="5122" width="70.44140625" style="38" bestFit="1" customWidth="1"/>
    <col min="5123" max="5123" width="11.44140625" style="38" customWidth="1"/>
    <col min="5124" max="5124" width="10.44140625" style="38" customWidth="1"/>
    <col min="5125" max="5125" width="13.21875" style="38" customWidth="1"/>
    <col min="5126" max="5126" width="14.21875" style="38" customWidth="1"/>
    <col min="5127" max="5127" width="12.21875" style="38" customWidth="1"/>
    <col min="5128" max="5376" width="9.21875" style="38" customWidth="1"/>
    <col min="5377" max="5377" width="8.21875" style="38" customWidth="1"/>
    <col min="5378" max="5378" width="70.44140625" style="38" bestFit="1" customWidth="1"/>
    <col min="5379" max="5379" width="11.44140625" style="38" customWidth="1"/>
    <col min="5380" max="5380" width="10.44140625" style="38" customWidth="1"/>
    <col min="5381" max="5381" width="13.21875" style="38" customWidth="1"/>
    <col min="5382" max="5382" width="14.21875" style="38" customWidth="1"/>
    <col min="5383" max="5383" width="12.21875" style="38" customWidth="1"/>
    <col min="5384" max="5632" width="9.21875" style="38" customWidth="1"/>
    <col min="5633" max="5633" width="8.21875" style="38" customWidth="1"/>
    <col min="5634" max="5634" width="70.44140625" style="38" bestFit="1" customWidth="1"/>
    <col min="5635" max="5635" width="11.44140625" style="38" customWidth="1"/>
    <col min="5636" max="5636" width="10.44140625" style="38" customWidth="1"/>
    <col min="5637" max="5637" width="13.21875" style="38" customWidth="1"/>
    <col min="5638" max="5638" width="14.21875" style="38" customWidth="1"/>
    <col min="5639" max="5639" width="12.21875" style="38" customWidth="1"/>
    <col min="5640" max="5888" width="9.21875" style="38" customWidth="1"/>
    <col min="5889" max="5889" width="8.21875" style="38" customWidth="1"/>
    <col min="5890" max="5890" width="70.44140625" style="38" bestFit="1" customWidth="1"/>
    <col min="5891" max="5891" width="11.44140625" style="38" customWidth="1"/>
    <col min="5892" max="5892" width="10.44140625" style="38" customWidth="1"/>
    <col min="5893" max="5893" width="13.21875" style="38" customWidth="1"/>
    <col min="5894" max="5894" width="14.21875" style="38" customWidth="1"/>
    <col min="5895" max="5895" width="12.21875" style="38" customWidth="1"/>
    <col min="5896" max="6144" width="9.21875" style="38" customWidth="1"/>
    <col min="6145" max="6145" width="8.21875" style="38" customWidth="1"/>
    <col min="6146" max="6146" width="70.44140625" style="38" bestFit="1" customWidth="1"/>
    <col min="6147" max="6147" width="11.44140625" style="38" customWidth="1"/>
    <col min="6148" max="6148" width="10.44140625" style="38" customWidth="1"/>
    <col min="6149" max="6149" width="13.21875" style="38" customWidth="1"/>
    <col min="6150" max="6150" width="14.21875" style="38" customWidth="1"/>
    <col min="6151" max="6151" width="12.21875" style="38" customWidth="1"/>
    <col min="6152" max="6400" width="9.21875" style="38" customWidth="1"/>
    <col min="6401" max="6401" width="8.21875" style="38" customWidth="1"/>
    <col min="6402" max="6402" width="70.44140625" style="38" bestFit="1" customWidth="1"/>
    <col min="6403" max="6403" width="11.44140625" style="38" customWidth="1"/>
    <col min="6404" max="6404" width="10.44140625" style="38" customWidth="1"/>
    <col min="6405" max="6405" width="13.21875" style="38" customWidth="1"/>
    <col min="6406" max="6406" width="14.21875" style="38" customWidth="1"/>
    <col min="6407" max="6407" width="12.21875" style="38" customWidth="1"/>
    <col min="6408" max="6656" width="9.21875" style="38" customWidth="1"/>
    <col min="6657" max="6657" width="8.21875" style="38" customWidth="1"/>
    <col min="6658" max="6658" width="70.44140625" style="38" bestFit="1" customWidth="1"/>
    <col min="6659" max="6659" width="11.44140625" style="38" customWidth="1"/>
    <col min="6660" max="6660" width="10.44140625" style="38" customWidth="1"/>
    <col min="6661" max="6661" width="13.21875" style="38" customWidth="1"/>
    <col min="6662" max="6662" width="14.21875" style="38" customWidth="1"/>
    <col min="6663" max="6663" width="12.21875" style="38" customWidth="1"/>
    <col min="6664" max="6912" width="9.21875" style="38" customWidth="1"/>
    <col min="6913" max="6913" width="8.21875" style="38" customWidth="1"/>
    <col min="6914" max="6914" width="70.44140625" style="38" bestFit="1" customWidth="1"/>
    <col min="6915" max="6915" width="11.44140625" style="38" customWidth="1"/>
    <col min="6916" max="6916" width="10.44140625" style="38" customWidth="1"/>
    <col min="6917" max="6917" width="13.21875" style="38" customWidth="1"/>
    <col min="6918" max="6918" width="14.21875" style="38" customWidth="1"/>
    <col min="6919" max="6919" width="12.21875" style="38" customWidth="1"/>
    <col min="6920" max="7168" width="9.21875" style="38" customWidth="1"/>
    <col min="7169" max="7169" width="8.21875" style="38" customWidth="1"/>
    <col min="7170" max="7170" width="70.44140625" style="38" bestFit="1" customWidth="1"/>
    <col min="7171" max="7171" width="11.44140625" style="38" customWidth="1"/>
    <col min="7172" max="7172" width="10.44140625" style="38" customWidth="1"/>
    <col min="7173" max="7173" width="13.21875" style="38" customWidth="1"/>
    <col min="7174" max="7174" width="14.21875" style="38" customWidth="1"/>
    <col min="7175" max="7175" width="12.21875" style="38" customWidth="1"/>
    <col min="7176" max="7424" width="9.21875" style="38" customWidth="1"/>
    <col min="7425" max="7425" width="8.21875" style="38" customWidth="1"/>
    <col min="7426" max="7426" width="70.44140625" style="38" bestFit="1" customWidth="1"/>
    <col min="7427" max="7427" width="11.44140625" style="38" customWidth="1"/>
    <col min="7428" max="7428" width="10.44140625" style="38" customWidth="1"/>
    <col min="7429" max="7429" width="13.21875" style="38" customWidth="1"/>
    <col min="7430" max="7430" width="14.21875" style="38" customWidth="1"/>
    <col min="7431" max="7431" width="12.21875" style="38" customWidth="1"/>
    <col min="7432" max="7680" width="9.21875" style="38" customWidth="1"/>
    <col min="7681" max="7681" width="8.21875" style="38" customWidth="1"/>
    <col min="7682" max="7682" width="70.44140625" style="38" bestFit="1" customWidth="1"/>
    <col min="7683" max="7683" width="11.44140625" style="38" customWidth="1"/>
    <col min="7684" max="7684" width="10.44140625" style="38" customWidth="1"/>
    <col min="7685" max="7685" width="13.21875" style="38" customWidth="1"/>
    <col min="7686" max="7686" width="14.21875" style="38" customWidth="1"/>
    <col min="7687" max="7687" width="12.21875" style="38" customWidth="1"/>
    <col min="7688" max="7936" width="9.21875" style="38" customWidth="1"/>
    <col min="7937" max="7937" width="8.21875" style="38" customWidth="1"/>
    <col min="7938" max="7938" width="70.44140625" style="38" bestFit="1" customWidth="1"/>
    <col min="7939" max="7939" width="11.44140625" style="38" customWidth="1"/>
    <col min="7940" max="7940" width="10.44140625" style="38" customWidth="1"/>
    <col min="7941" max="7941" width="13.21875" style="38" customWidth="1"/>
    <col min="7942" max="7942" width="14.21875" style="38" customWidth="1"/>
    <col min="7943" max="7943" width="12.21875" style="38" customWidth="1"/>
    <col min="7944" max="8192" width="9.21875" style="38" customWidth="1"/>
    <col min="8193" max="8193" width="8.21875" style="38" customWidth="1"/>
    <col min="8194" max="8194" width="70.44140625" style="38" bestFit="1" customWidth="1"/>
    <col min="8195" max="8195" width="11.44140625" style="38" customWidth="1"/>
    <col min="8196" max="8196" width="10.44140625" style="38" customWidth="1"/>
    <col min="8197" max="8197" width="13.21875" style="38" customWidth="1"/>
    <col min="8198" max="8198" width="14.21875" style="38" customWidth="1"/>
    <col min="8199" max="8199" width="12.21875" style="38" customWidth="1"/>
    <col min="8200" max="8448" width="9.21875" style="38" customWidth="1"/>
    <col min="8449" max="8449" width="8.21875" style="38" customWidth="1"/>
    <col min="8450" max="8450" width="70.44140625" style="38" bestFit="1" customWidth="1"/>
    <col min="8451" max="8451" width="11.44140625" style="38" customWidth="1"/>
    <col min="8452" max="8452" width="10.44140625" style="38" customWidth="1"/>
    <col min="8453" max="8453" width="13.21875" style="38" customWidth="1"/>
    <col min="8454" max="8454" width="14.21875" style="38" customWidth="1"/>
    <col min="8455" max="8455" width="12.21875" style="38" customWidth="1"/>
    <col min="8456" max="8704" width="9.21875" style="38" customWidth="1"/>
    <col min="8705" max="8705" width="8.21875" style="38" customWidth="1"/>
    <col min="8706" max="8706" width="70.44140625" style="38" bestFit="1" customWidth="1"/>
    <col min="8707" max="8707" width="11.44140625" style="38" customWidth="1"/>
    <col min="8708" max="8708" width="10.44140625" style="38" customWidth="1"/>
    <col min="8709" max="8709" width="13.21875" style="38" customWidth="1"/>
    <col min="8710" max="8710" width="14.21875" style="38" customWidth="1"/>
    <col min="8711" max="8711" width="12.21875" style="38" customWidth="1"/>
    <col min="8712" max="8960" width="9.21875" style="38" customWidth="1"/>
    <col min="8961" max="8961" width="8.21875" style="38" customWidth="1"/>
    <col min="8962" max="8962" width="70.44140625" style="38" bestFit="1" customWidth="1"/>
    <col min="8963" max="8963" width="11.44140625" style="38" customWidth="1"/>
    <col min="8964" max="8964" width="10.44140625" style="38" customWidth="1"/>
    <col min="8965" max="8965" width="13.21875" style="38" customWidth="1"/>
    <col min="8966" max="8966" width="14.21875" style="38" customWidth="1"/>
    <col min="8967" max="8967" width="12.21875" style="38" customWidth="1"/>
    <col min="8968" max="9216" width="9.21875" style="38" customWidth="1"/>
    <col min="9217" max="9217" width="8.21875" style="38" customWidth="1"/>
    <col min="9218" max="9218" width="70.44140625" style="38" bestFit="1" customWidth="1"/>
    <col min="9219" max="9219" width="11.44140625" style="38" customWidth="1"/>
    <col min="9220" max="9220" width="10.44140625" style="38" customWidth="1"/>
    <col min="9221" max="9221" width="13.21875" style="38" customWidth="1"/>
    <col min="9222" max="9222" width="14.21875" style="38" customWidth="1"/>
    <col min="9223" max="9223" width="12.21875" style="38" customWidth="1"/>
    <col min="9224" max="9472" width="9.21875" style="38" customWidth="1"/>
    <col min="9473" max="9473" width="8.21875" style="38" customWidth="1"/>
    <col min="9474" max="9474" width="70.44140625" style="38" bestFit="1" customWidth="1"/>
    <col min="9475" max="9475" width="11.44140625" style="38" customWidth="1"/>
    <col min="9476" max="9476" width="10.44140625" style="38" customWidth="1"/>
    <col min="9477" max="9477" width="13.21875" style="38" customWidth="1"/>
    <col min="9478" max="9478" width="14.21875" style="38" customWidth="1"/>
    <col min="9479" max="9479" width="12.21875" style="38" customWidth="1"/>
    <col min="9480" max="9728" width="9.21875" style="38" customWidth="1"/>
    <col min="9729" max="9729" width="8.21875" style="38" customWidth="1"/>
    <col min="9730" max="9730" width="70.44140625" style="38" bestFit="1" customWidth="1"/>
    <col min="9731" max="9731" width="11.44140625" style="38" customWidth="1"/>
    <col min="9732" max="9732" width="10.44140625" style="38" customWidth="1"/>
    <col min="9733" max="9733" width="13.21875" style="38" customWidth="1"/>
    <col min="9734" max="9734" width="14.21875" style="38" customWidth="1"/>
    <col min="9735" max="9735" width="12.21875" style="38" customWidth="1"/>
    <col min="9736" max="9984" width="9.21875" style="38" customWidth="1"/>
    <col min="9985" max="9985" width="8.21875" style="38" customWidth="1"/>
    <col min="9986" max="9986" width="70.44140625" style="38" bestFit="1" customWidth="1"/>
    <col min="9987" max="9987" width="11.44140625" style="38" customWidth="1"/>
    <col min="9988" max="9988" width="10.44140625" style="38" customWidth="1"/>
    <col min="9989" max="9989" width="13.21875" style="38" customWidth="1"/>
    <col min="9990" max="9990" width="14.21875" style="38" customWidth="1"/>
    <col min="9991" max="9991" width="12.21875" style="38" customWidth="1"/>
    <col min="9992" max="10240" width="9.21875" style="38" customWidth="1"/>
    <col min="10241" max="10241" width="8.21875" style="38" customWidth="1"/>
    <col min="10242" max="10242" width="70.44140625" style="38" bestFit="1" customWidth="1"/>
    <col min="10243" max="10243" width="11.44140625" style="38" customWidth="1"/>
    <col min="10244" max="10244" width="10.44140625" style="38" customWidth="1"/>
    <col min="10245" max="10245" width="13.21875" style="38" customWidth="1"/>
    <col min="10246" max="10246" width="14.21875" style="38" customWidth="1"/>
    <col min="10247" max="10247" width="12.21875" style="38" customWidth="1"/>
    <col min="10248" max="10496" width="9.21875" style="38" customWidth="1"/>
    <col min="10497" max="10497" width="8.21875" style="38" customWidth="1"/>
    <col min="10498" max="10498" width="70.44140625" style="38" bestFit="1" customWidth="1"/>
    <col min="10499" max="10499" width="11.44140625" style="38" customWidth="1"/>
    <col min="10500" max="10500" width="10.44140625" style="38" customWidth="1"/>
    <col min="10501" max="10501" width="13.21875" style="38" customWidth="1"/>
    <col min="10502" max="10502" width="14.21875" style="38" customWidth="1"/>
    <col min="10503" max="10503" width="12.21875" style="38" customWidth="1"/>
    <col min="10504" max="10752" width="9.21875" style="38" customWidth="1"/>
    <col min="10753" max="10753" width="8.21875" style="38" customWidth="1"/>
    <col min="10754" max="10754" width="70.44140625" style="38" bestFit="1" customWidth="1"/>
    <col min="10755" max="10755" width="11.44140625" style="38" customWidth="1"/>
    <col min="10756" max="10756" width="10.44140625" style="38" customWidth="1"/>
    <col min="10757" max="10757" width="13.21875" style="38" customWidth="1"/>
    <col min="10758" max="10758" width="14.21875" style="38" customWidth="1"/>
    <col min="10759" max="10759" width="12.21875" style="38" customWidth="1"/>
    <col min="10760" max="11008" width="9.21875" style="38" customWidth="1"/>
    <col min="11009" max="11009" width="8.21875" style="38" customWidth="1"/>
    <col min="11010" max="11010" width="70.44140625" style="38" bestFit="1" customWidth="1"/>
    <col min="11011" max="11011" width="11.44140625" style="38" customWidth="1"/>
    <col min="11012" max="11012" width="10.44140625" style="38" customWidth="1"/>
    <col min="11013" max="11013" width="13.21875" style="38" customWidth="1"/>
    <col min="11014" max="11014" width="14.21875" style="38" customWidth="1"/>
    <col min="11015" max="11015" width="12.21875" style="38" customWidth="1"/>
    <col min="11016" max="11264" width="9.21875" style="38" customWidth="1"/>
    <col min="11265" max="11265" width="8.21875" style="38" customWidth="1"/>
    <col min="11266" max="11266" width="70.44140625" style="38" bestFit="1" customWidth="1"/>
    <col min="11267" max="11267" width="11.44140625" style="38" customWidth="1"/>
    <col min="11268" max="11268" width="10.44140625" style="38" customWidth="1"/>
    <col min="11269" max="11269" width="13.21875" style="38" customWidth="1"/>
    <col min="11270" max="11270" width="14.21875" style="38" customWidth="1"/>
    <col min="11271" max="11271" width="12.21875" style="38" customWidth="1"/>
    <col min="11272" max="11520" width="9.21875" style="38" customWidth="1"/>
    <col min="11521" max="11521" width="8.21875" style="38" customWidth="1"/>
    <col min="11522" max="11522" width="70.44140625" style="38" bestFit="1" customWidth="1"/>
    <col min="11523" max="11523" width="11.44140625" style="38" customWidth="1"/>
    <col min="11524" max="11524" width="10.44140625" style="38" customWidth="1"/>
    <col min="11525" max="11525" width="13.21875" style="38" customWidth="1"/>
    <col min="11526" max="11526" width="14.21875" style="38" customWidth="1"/>
    <col min="11527" max="11527" width="12.21875" style="38" customWidth="1"/>
    <col min="11528" max="11776" width="9.21875" style="38" customWidth="1"/>
    <col min="11777" max="11777" width="8.21875" style="38" customWidth="1"/>
    <col min="11778" max="11778" width="70.44140625" style="38" bestFit="1" customWidth="1"/>
    <col min="11779" max="11779" width="11.44140625" style="38" customWidth="1"/>
    <col min="11780" max="11780" width="10.44140625" style="38" customWidth="1"/>
    <col min="11781" max="11781" width="13.21875" style="38" customWidth="1"/>
    <col min="11782" max="11782" width="14.21875" style="38" customWidth="1"/>
    <col min="11783" max="11783" width="12.21875" style="38" customWidth="1"/>
    <col min="11784" max="12032" width="9.21875" style="38" customWidth="1"/>
    <col min="12033" max="12033" width="8.21875" style="38" customWidth="1"/>
    <col min="12034" max="12034" width="70.44140625" style="38" bestFit="1" customWidth="1"/>
    <col min="12035" max="12035" width="11.44140625" style="38" customWidth="1"/>
    <col min="12036" max="12036" width="10.44140625" style="38" customWidth="1"/>
    <col min="12037" max="12037" width="13.21875" style="38" customWidth="1"/>
    <col min="12038" max="12038" width="14.21875" style="38" customWidth="1"/>
    <col min="12039" max="12039" width="12.21875" style="38" customWidth="1"/>
    <col min="12040" max="12288" width="9.21875" style="38" customWidth="1"/>
    <col min="12289" max="12289" width="8.21875" style="38" customWidth="1"/>
    <col min="12290" max="12290" width="70.44140625" style="38" bestFit="1" customWidth="1"/>
    <col min="12291" max="12291" width="11.44140625" style="38" customWidth="1"/>
    <col min="12292" max="12292" width="10.44140625" style="38" customWidth="1"/>
    <col min="12293" max="12293" width="13.21875" style="38" customWidth="1"/>
    <col min="12294" max="12294" width="14.21875" style="38" customWidth="1"/>
    <col min="12295" max="12295" width="12.21875" style="38" customWidth="1"/>
    <col min="12296" max="12544" width="9.21875" style="38" customWidth="1"/>
    <col min="12545" max="12545" width="8.21875" style="38" customWidth="1"/>
    <col min="12546" max="12546" width="70.44140625" style="38" bestFit="1" customWidth="1"/>
    <col min="12547" max="12547" width="11.44140625" style="38" customWidth="1"/>
    <col min="12548" max="12548" width="10.44140625" style="38" customWidth="1"/>
    <col min="12549" max="12549" width="13.21875" style="38" customWidth="1"/>
    <col min="12550" max="12550" width="14.21875" style="38" customWidth="1"/>
    <col min="12551" max="12551" width="12.21875" style="38" customWidth="1"/>
    <col min="12552" max="12800" width="9.21875" style="38" customWidth="1"/>
    <col min="12801" max="12801" width="8.21875" style="38" customWidth="1"/>
    <col min="12802" max="12802" width="70.44140625" style="38" bestFit="1" customWidth="1"/>
    <col min="12803" max="12803" width="11.44140625" style="38" customWidth="1"/>
    <col min="12804" max="12804" width="10.44140625" style="38" customWidth="1"/>
    <col min="12805" max="12805" width="13.21875" style="38" customWidth="1"/>
    <col min="12806" max="12806" width="14.21875" style="38" customWidth="1"/>
    <col min="12807" max="12807" width="12.21875" style="38" customWidth="1"/>
    <col min="12808" max="13056" width="9.21875" style="38" customWidth="1"/>
    <col min="13057" max="13057" width="8.21875" style="38" customWidth="1"/>
    <col min="13058" max="13058" width="70.44140625" style="38" bestFit="1" customWidth="1"/>
    <col min="13059" max="13059" width="11.44140625" style="38" customWidth="1"/>
    <col min="13060" max="13060" width="10.44140625" style="38" customWidth="1"/>
    <col min="13061" max="13061" width="13.21875" style="38" customWidth="1"/>
    <col min="13062" max="13062" width="14.21875" style="38" customWidth="1"/>
    <col min="13063" max="13063" width="12.21875" style="38" customWidth="1"/>
    <col min="13064" max="13312" width="9.21875" style="38" customWidth="1"/>
    <col min="13313" max="13313" width="8.21875" style="38" customWidth="1"/>
    <col min="13314" max="13314" width="70.44140625" style="38" bestFit="1" customWidth="1"/>
    <col min="13315" max="13315" width="11.44140625" style="38" customWidth="1"/>
    <col min="13316" max="13316" width="10.44140625" style="38" customWidth="1"/>
    <col min="13317" max="13317" width="13.21875" style="38" customWidth="1"/>
    <col min="13318" max="13318" width="14.21875" style="38" customWidth="1"/>
    <col min="13319" max="13319" width="12.21875" style="38" customWidth="1"/>
    <col min="13320" max="13568" width="9.21875" style="38" customWidth="1"/>
    <col min="13569" max="13569" width="8.21875" style="38" customWidth="1"/>
    <col min="13570" max="13570" width="70.44140625" style="38" bestFit="1" customWidth="1"/>
    <col min="13571" max="13571" width="11.44140625" style="38" customWidth="1"/>
    <col min="13572" max="13572" width="10.44140625" style="38" customWidth="1"/>
    <col min="13573" max="13573" width="13.21875" style="38" customWidth="1"/>
    <col min="13574" max="13574" width="14.21875" style="38" customWidth="1"/>
    <col min="13575" max="13575" width="12.21875" style="38" customWidth="1"/>
    <col min="13576" max="13824" width="9.21875" style="38" customWidth="1"/>
    <col min="13825" max="13825" width="8.21875" style="38" customWidth="1"/>
    <col min="13826" max="13826" width="70.44140625" style="38" bestFit="1" customWidth="1"/>
    <col min="13827" max="13827" width="11.44140625" style="38" customWidth="1"/>
    <col min="13828" max="13828" width="10.44140625" style="38" customWidth="1"/>
    <col min="13829" max="13829" width="13.21875" style="38" customWidth="1"/>
    <col min="13830" max="13830" width="14.21875" style="38" customWidth="1"/>
    <col min="13831" max="13831" width="12.21875" style="38" customWidth="1"/>
    <col min="13832" max="14080" width="9.21875" style="38" customWidth="1"/>
    <col min="14081" max="14081" width="8.21875" style="38" customWidth="1"/>
    <col min="14082" max="14082" width="70.44140625" style="38" bestFit="1" customWidth="1"/>
    <col min="14083" max="14083" width="11.44140625" style="38" customWidth="1"/>
    <col min="14084" max="14084" width="10.44140625" style="38" customWidth="1"/>
    <col min="14085" max="14085" width="13.21875" style="38" customWidth="1"/>
    <col min="14086" max="14086" width="14.21875" style="38" customWidth="1"/>
    <col min="14087" max="14087" width="12.21875" style="38" customWidth="1"/>
    <col min="14088" max="14336" width="9.21875" style="38" customWidth="1"/>
    <col min="14337" max="14337" width="8.21875" style="38" customWidth="1"/>
    <col min="14338" max="14338" width="70.44140625" style="38" bestFit="1" customWidth="1"/>
    <col min="14339" max="14339" width="11.44140625" style="38" customWidth="1"/>
    <col min="14340" max="14340" width="10.44140625" style="38" customWidth="1"/>
    <col min="14341" max="14341" width="13.21875" style="38" customWidth="1"/>
    <col min="14342" max="14342" width="14.21875" style="38" customWidth="1"/>
    <col min="14343" max="14343" width="12.21875" style="38" customWidth="1"/>
    <col min="14344" max="14592" width="9.21875" style="38" customWidth="1"/>
    <col min="14593" max="14593" width="8.21875" style="38" customWidth="1"/>
    <col min="14594" max="14594" width="70.44140625" style="38" bestFit="1" customWidth="1"/>
    <col min="14595" max="14595" width="11.44140625" style="38" customWidth="1"/>
    <col min="14596" max="14596" width="10.44140625" style="38" customWidth="1"/>
    <col min="14597" max="14597" width="13.21875" style="38" customWidth="1"/>
    <col min="14598" max="14598" width="14.21875" style="38" customWidth="1"/>
    <col min="14599" max="14599" width="12.21875" style="38" customWidth="1"/>
    <col min="14600" max="14848" width="9.21875" style="38" customWidth="1"/>
    <col min="14849" max="14849" width="8.21875" style="38" customWidth="1"/>
    <col min="14850" max="14850" width="70.44140625" style="38" bestFit="1" customWidth="1"/>
    <col min="14851" max="14851" width="11.44140625" style="38" customWidth="1"/>
    <col min="14852" max="14852" width="10.44140625" style="38" customWidth="1"/>
    <col min="14853" max="14853" width="13.21875" style="38" customWidth="1"/>
    <col min="14854" max="14854" width="14.21875" style="38" customWidth="1"/>
    <col min="14855" max="14855" width="12.21875" style="38" customWidth="1"/>
    <col min="14856" max="15104" width="9.21875" style="38" customWidth="1"/>
    <col min="15105" max="15105" width="8.21875" style="38" customWidth="1"/>
    <col min="15106" max="15106" width="70.44140625" style="38" bestFit="1" customWidth="1"/>
    <col min="15107" max="15107" width="11.44140625" style="38" customWidth="1"/>
    <col min="15108" max="15108" width="10.44140625" style="38" customWidth="1"/>
    <col min="15109" max="15109" width="13.21875" style="38" customWidth="1"/>
    <col min="15110" max="15110" width="14.21875" style="38" customWidth="1"/>
    <col min="15111" max="15111" width="12.21875" style="38" customWidth="1"/>
    <col min="15112" max="15360" width="9.21875" style="38" customWidth="1"/>
    <col min="15361" max="15361" width="8.21875" style="38" customWidth="1"/>
    <col min="15362" max="15362" width="70.44140625" style="38" bestFit="1" customWidth="1"/>
    <col min="15363" max="15363" width="11.44140625" style="38" customWidth="1"/>
    <col min="15364" max="15364" width="10.44140625" style="38" customWidth="1"/>
    <col min="15365" max="15365" width="13.21875" style="38" customWidth="1"/>
    <col min="15366" max="15366" width="14.21875" style="38" customWidth="1"/>
    <col min="15367" max="15367" width="12.21875" style="38" customWidth="1"/>
    <col min="15368" max="15616" width="9.21875" style="38" customWidth="1"/>
    <col min="15617" max="15617" width="8.21875" style="38" customWidth="1"/>
    <col min="15618" max="15618" width="70.44140625" style="38" bestFit="1" customWidth="1"/>
    <col min="15619" max="15619" width="11.44140625" style="38" customWidth="1"/>
    <col min="15620" max="15620" width="10.44140625" style="38" customWidth="1"/>
    <col min="15621" max="15621" width="13.21875" style="38" customWidth="1"/>
    <col min="15622" max="15622" width="14.21875" style="38" customWidth="1"/>
    <col min="15623" max="15623" width="12.21875" style="38" customWidth="1"/>
    <col min="15624" max="15872" width="9.21875" style="38" customWidth="1"/>
    <col min="15873" max="15873" width="8.21875" style="38" customWidth="1"/>
    <col min="15874" max="15874" width="70.44140625" style="38" bestFit="1" customWidth="1"/>
    <col min="15875" max="15875" width="11.44140625" style="38" customWidth="1"/>
    <col min="15876" max="15876" width="10.44140625" style="38" customWidth="1"/>
    <col min="15877" max="15877" width="13.21875" style="38" customWidth="1"/>
    <col min="15878" max="15878" width="14.21875" style="38" customWidth="1"/>
    <col min="15879" max="15879" width="12.21875" style="38" customWidth="1"/>
    <col min="15880" max="16128" width="9.21875" style="38" customWidth="1"/>
    <col min="16129" max="16129" width="8.21875" style="38" customWidth="1"/>
    <col min="16130" max="16130" width="70.44140625" style="38" bestFit="1" customWidth="1"/>
    <col min="16131" max="16131" width="11.44140625" style="38" customWidth="1"/>
    <col min="16132" max="16132" width="10.44140625" style="38" customWidth="1"/>
    <col min="16133" max="16133" width="13.21875" style="38" customWidth="1"/>
    <col min="16134" max="16134" width="14.21875" style="38" customWidth="1"/>
    <col min="16135" max="16135" width="12.21875" style="38" customWidth="1"/>
    <col min="16136" max="16384" width="9.21875" style="38" customWidth="1"/>
  </cols>
  <sheetData>
    <row r="1" spans="1:11" ht="10.5" customHeight="1" x14ac:dyDescent="0.2">
      <c r="A1" s="42"/>
      <c r="C1" s="42"/>
      <c r="D1" s="42"/>
      <c r="E1" s="44"/>
      <c r="F1" s="44"/>
    </row>
    <row r="2" spans="1:11" ht="10.5" customHeight="1" x14ac:dyDescent="0.2">
      <c r="A2" s="42"/>
      <c r="C2" s="42"/>
      <c r="D2" s="42"/>
      <c r="E2" s="44"/>
      <c r="F2" s="44"/>
    </row>
    <row r="3" spans="1:11" ht="10.5" customHeight="1" x14ac:dyDescent="0.2">
      <c r="A3" s="42"/>
      <c r="B3" s="514" t="s">
        <v>1301</v>
      </c>
      <c r="C3" s="486"/>
      <c r="D3" s="486"/>
      <c r="E3" s="488"/>
      <c r="F3" s="488"/>
    </row>
    <row r="4" spans="1:11" ht="10.8" customHeight="1" thickBot="1" x14ac:dyDescent="0.25">
      <c r="A4" s="42"/>
      <c r="C4" s="42"/>
      <c r="D4" s="42"/>
      <c r="E4" s="44"/>
      <c r="F4" s="44"/>
    </row>
    <row r="5" spans="1:11" ht="13.95" customHeight="1" thickBot="1" x14ac:dyDescent="0.3">
      <c r="A5" s="42"/>
      <c r="B5" s="511" t="s">
        <v>1302</v>
      </c>
      <c r="C5" s="502"/>
      <c r="D5" s="502"/>
      <c r="E5" s="502"/>
      <c r="F5" s="502"/>
      <c r="G5" s="95"/>
    </row>
    <row r="6" spans="1:11" ht="10.8" customHeight="1" thickBot="1" x14ac:dyDescent="0.25">
      <c r="A6" s="42"/>
      <c r="B6" s="82" t="s">
        <v>1303</v>
      </c>
      <c r="C6" s="97" t="s">
        <v>1304</v>
      </c>
      <c r="D6" s="97" t="s">
        <v>108</v>
      </c>
      <c r="E6" s="97" t="s">
        <v>945</v>
      </c>
      <c r="F6" s="105" t="s">
        <v>1305</v>
      </c>
      <c r="G6" s="85"/>
    </row>
    <row r="7" spans="1:11" ht="10.5" customHeight="1" x14ac:dyDescent="0.2">
      <c r="A7" s="42"/>
      <c r="B7" s="107" t="s">
        <v>1306</v>
      </c>
      <c r="C7" s="109" t="s">
        <v>1307</v>
      </c>
      <c r="D7" s="200" t="s">
        <v>1308</v>
      </c>
      <c r="E7" s="83"/>
      <c r="F7" s="84"/>
      <c r="K7" s="80"/>
    </row>
    <row r="8" spans="1:11" ht="10.5" customHeight="1" x14ac:dyDescent="0.2">
      <c r="A8" s="42" t="s">
        <v>1309</v>
      </c>
      <c r="B8" s="107" t="s">
        <v>1310</v>
      </c>
      <c r="C8" s="109">
        <v>1</v>
      </c>
      <c r="D8" s="83"/>
      <c r="E8" s="83"/>
      <c r="F8" s="84"/>
      <c r="K8" s="80"/>
    </row>
    <row r="9" spans="1:11" ht="10.5" hidden="1" customHeight="1" x14ac:dyDescent="0.2">
      <c r="A9" s="42"/>
      <c r="B9" s="85" t="s">
        <v>1311</v>
      </c>
      <c r="C9" s="104" t="s">
        <v>1312</v>
      </c>
      <c r="D9" s="86"/>
      <c r="E9" s="87"/>
      <c r="F9" s="88"/>
      <c r="G9" s="80"/>
    </row>
    <row r="10" spans="1:11" ht="10.5" hidden="1" customHeight="1" x14ac:dyDescent="0.2">
      <c r="A10" s="42"/>
      <c r="B10" s="85" t="s">
        <v>1313</v>
      </c>
      <c r="C10" s="104" t="s">
        <v>1312</v>
      </c>
      <c r="D10" s="86"/>
      <c r="E10" s="87"/>
      <c r="F10" s="88"/>
      <c r="G10" s="80"/>
    </row>
    <row r="11" spans="1:11" ht="10.5" hidden="1" customHeight="1" x14ac:dyDescent="0.2">
      <c r="A11" s="42"/>
      <c r="B11" s="85" t="s">
        <v>1314</v>
      </c>
      <c r="C11" s="104" t="s">
        <v>1312</v>
      </c>
      <c r="D11" s="86"/>
      <c r="E11" s="87"/>
      <c r="F11" s="88"/>
      <c r="G11" s="80"/>
    </row>
    <row r="12" spans="1:11" ht="10.5" hidden="1" customHeight="1" x14ac:dyDescent="0.2">
      <c r="A12" s="42"/>
      <c r="B12" s="85" t="s">
        <v>1315</v>
      </c>
      <c r="C12" s="104" t="s">
        <v>1312</v>
      </c>
      <c r="D12" s="86"/>
      <c r="E12" s="87"/>
      <c r="F12" s="88"/>
      <c r="G12" s="80"/>
    </row>
    <row r="13" spans="1:11" ht="10.5" hidden="1" customHeight="1" x14ac:dyDescent="0.2">
      <c r="A13" s="42"/>
      <c r="B13" s="85" t="s">
        <v>1316</v>
      </c>
      <c r="C13" s="104" t="s">
        <v>1312</v>
      </c>
      <c r="D13" s="86"/>
      <c r="E13" s="87"/>
      <c r="F13" s="88"/>
      <c r="G13" s="80"/>
    </row>
    <row r="14" spans="1:11" ht="10.5" hidden="1" customHeight="1" x14ac:dyDescent="0.2">
      <c r="A14" s="42"/>
      <c r="B14" s="85" t="s">
        <v>1317</v>
      </c>
      <c r="C14" s="104" t="s">
        <v>1312</v>
      </c>
      <c r="D14" s="86"/>
      <c r="E14" s="87"/>
      <c r="F14" s="88"/>
      <c r="G14" s="80"/>
    </row>
    <row r="15" spans="1:11" ht="10.5" hidden="1" customHeight="1" x14ac:dyDescent="0.2">
      <c r="A15" s="42"/>
      <c r="B15" s="85"/>
      <c r="C15" s="86"/>
      <c r="D15" s="86"/>
      <c r="E15" s="87"/>
      <c r="F15" s="88"/>
      <c r="G15" s="80"/>
    </row>
    <row r="16" spans="1:11" ht="10.5" hidden="1" customHeight="1" x14ac:dyDescent="0.2">
      <c r="A16" s="42"/>
      <c r="B16" s="85"/>
      <c r="C16" s="97" t="s">
        <v>1304</v>
      </c>
      <c r="D16" s="97" t="s">
        <v>108</v>
      </c>
      <c r="E16" s="97" t="s">
        <v>945</v>
      </c>
      <c r="F16" s="105" t="s">
        <v>1305</v>
      </c>
      <c r="G16" s="80"/>
    </row>
    <row r="17" spans="1:11" ht="10.5" hidden="1" customHeight="1" x14ac:dyDescent="0.2">
      <c r="A17" s="42"/>
      <c r="B17" s="89" t="s">
        <v>1318</v>
      </c>
      <c r="C17" s="86">
        <f>D17/7</f>
        <v>112.85714285714286</v>
      </c>
      <c r="D17" s="87">
        <v>790</v>
      </c>
      <c r="E17" s="86">
        <f>D17*4</f>
        <v>3160</v>
      </c>
      <c r="F17" s="88">
        <f>E17*3</f>
        <v>9480</v>
      </c>
      <c r="G17" s="80"/>
      <c r="H17" s="80"/>
    </row>
    <row r="18" spans="1:11" ht="10.5" hidden="1" customHeight="1" x14ac:dyDescent="0.2">
      <c r="A18" s="42"/>
      <c r="B18" s="89"/>
      <c r="C18" s="86"/>
      <c r="D18" s="87"/>
      <c r="E18" s="86"/>
      <c r="F18" s="88"/>
      <c r="G18" s="80"/>
    </row>
    <row r="19" spans="1:11" ht="10.5" hidden="1" customHeight="1" x14ac:dyDescent="0.2">
      <c r="A19" s="42"/>
      <c r="B19" s="106" t="s">
        <v>1319</v>
      </c>
      <c r="C19" s="86">
        <f>D19/7</f>
        <v>0</v>
      </c>
      <c r="D19" s="87">
        <v>0</v>
      </c>
      <c r="E19" s="86">
        <f>D19*4</f>
        <v>0</v>
      </c>
      <c r="F19" s="88">
        <f>E19*3</f>
        <v>0</v>
      </c>
      <c r="G19" s="80"/>
    </row>
    <row r="20" spans="1:11" ht="10.5" hidden="1" customHeight="1" x14ac:dyDescent="0.2">
      <c r="A20" s="42"/>
      <c r="B20" s="106" t="s">
        <v>1320</v>
      </c>
      <c r="C20" s="86">
        <f>D20/7</f>
        <v>0</v>
      </c>
      <c r="D20" s="87">
        <v>0</v>
      </c>
      <c r="E20" s="86">
        <f>D20*4</f>
        <v>0</v>
      </c>
      <c r="F20" s="88">
        <f>E20*3</f>
        <v>0</v>
      </c>
      <c r="G20" s="80"/>
    </row>
    <row r="21" spans="1:11" ht="10.5" hidden="1" customHeight="1" x14ac:dyDescent="0.2">
      <c r="A21" s="42"/>
      <c r="B21" s="106" t="s">
        <v>1321</v>
      </c>
      <c r="C21" s="86">
        <f>D21/7</f>
        <v>0</v>
      </c>
      <c r="D21" s="87">
        <v>0</v>
      </c>
      <c r="E21" s="86">
        <f>D21*4</f>
        <v>0</v>
      </c>
      <c r="F21" s="88">
        <f>E21*3</f>
        <v>0</v>
      </c>
      <c r="G21" s="80"/>
    </row>
    <row r="22" spans="1:11" ht="10.5" hidden="1" customHeight="1" x14ac:dyDescent="0.2">
      <c r="A22" s="42"/>
      <c r="B22" s="106" t="s">
        <v>1322</v>
      </c>
      <c r="C22" s="86">
        <f>D22/7</f>
        <v>0</v>
      </c>
      <c r="D22" s="87">
        <v>0</v>
      </c>
      <c r="E22" s="86">
        <f>D22*4</f>
        <v>0</v>
      </c>
      <c r="F22" s="88">
        <f>E22*3</f>
        <v>0</v>
      </c>
      <c r="G22" s="80"/>
    </row>
    <row r="23" spans="1:11" ht="10.5" hidden="1" customHeight="1" x14ac:dyDescent="0.2">
      <c r="A23" s="42"/>
      <c r="B23" s="106" t="s">
        <v>1323</v>
      </c>
      <c r="C23" s="86">
        <f>D23/7</f>
        <v>0</v>
      </c>
      <c r="D23" s="87">
        <v>0</v>
      </c>
      <c r="E23" s="86">
        <f>D23*4</f>
        <v>0</v>
      </c>
      <c r="F23" s="88">
        <f>E23*3</f>
        <v>0</v>
      </c>
      <c r="G23" s="80"/>
    </row>
    <row r="24" spans="1:11" ht="10.5" hidden="1" customHeight="1" x14ac:dyDescent="0.2">
      <c r="A24" s="42"/>
      <c r="B24" s="106"/>
      <c r="C24" s="86"/>
      <c r="D24" s="87"/>
      <c r="E24" s="86"/>
      <c r="F24" s="88"/>
      <c r="G24" s="80"/>
    </row>
    <row r="25" spans="1:11" ht="10.5" customHeight="1" x14ac:dyDescent="0.2">
      <c r="A25" s="42"/>
      <c r="B25" s="89" t="s">
        <v>1324</v>
      </c>
      <c r="C25" s="87">
        <f>SUM(C17:C24)</f>
        <v>112.85714285714286</v>
      </c>
      <c r="D25" s="87">
        <f>SUM(D17:D24)</f>
        <v>790</v>
      </c>
      <c r="E25" s="87">
        <f>SUM(E17:E24)</f>
        <v>3160</v>
      </c>
      <c r="F25" s="87">
        <f>SUM(F17:F24)</f>
        <v>9480</v>
      </c>
      <c r="G25" s="100"/>
    </row>
    <row r="26" spans="1:11" ht="10.5" customHeight="1" x14ac:dyDescent="0.2">
      <c r="A26" s="42"/>
      <c r="B26" s="89" t="s">
        <v>1325</v>
      </c>
      <c r="C26" s="86">
        <f>D26/7</f>
        <v>112.85714285714286</v>
      </c>
      <c r="D26" s="87">
        <f>D17/C8</f>
        <v>790</v>
      </c>
      <c r="E26" s="86">
        <f>D26*4</f>
        <v>3160</v>
      </c>
      <c r="F26" s="88">
        <f>E26*3</f>
        <v>9480</v>
      </c>
      <c r="G26" s="80"/>
    </row>
    <row r="27" spans="1:11" ht="10.8" customHeight="1" thickBot="1" x14ac:dyDescent="0.25">
      <c r="A27" s="42"/>
      <c r="B27" s="110"/>
      <c r="C27" s="90"/>
      <c r="D27" s="90"/>
      <c r="E27" s="87"/>
      <c r="F27" s="92"/>
      <c r="G27" s="80"/>
    </row>
    <row r="28" spans="1:11" ht="10.5" customHeight="1" x14ac:dyDescent="0.2">
      <c r="A28" s="42"/>
      <c r="B28" s="256" t="s">
        <v>1306</v>
      </c>
      <c r="C28" s="257" t="s">
        <v>1307</v>
      </c>
      <c r="D28" s="258" t="s">
        <v>1326</v>
      </c>
      <c r="E28" s="259"/>
      <c r="F28" s="260"/>
      <c r="K28" s="80"/>
    </row>
    <row r="29" spans="1:11" ht="10.5" customHeight="1" x14ac:dyDescent="0.2">
      <c r="A29" s="42" t="s">
        <v>1309</v>
      </c>
      <c r="B29" s="107" t="s">
        <v>1310</v>
      </c>
      <c r="C29" s="109">
        <v>2</v>
      </c>
      <c r="D29" s="83"/>
      <c r="E29" s="83"/>
      <c r="F29" s="84"/>
      <c r="K29" s="80"/>
    </row>
    <row r="30" spans="1:11" ht="10.5" hidden="1" customHeight="1" x14ac:dyDescent="0.2">
      <c r="A30" s="42"/>
      <c r="B30" s="95"/>
      <c r="C30" s="83"/>
      <c r="D30" s="83"/>
      <c r="E30" s="83"/>
      <c r="F30" s="84"/>
      <c r="K30" s="80"/>
    </row>
    <row r="31" spans="1:11" ht="10.5" hidden="1" customHeight="1" x14ac:dyDescent="0.2">
      <c r="A31" s="42"/>
      <c r="B31" s="85" t="s">
        <v>1311</v>
      </c>
      <c r="C31" s="104" t="s">
        <v>1312</v>
      </c>
      <c r="D31" s="86"/>
      <c r="E31" s="87"/>
      <c r="F31" s="88"/>
      <c r="G31" s="80"/>
    </row>
    <row r="32" spans="1:11" ht="10.5" hidden="1" customHeight="1" x14ac:dyDescent="0.2">
      <c r="A32" s="42"/>
      <c r="B32" s="85" t="s">
        <v>1313</v>
      </c>
      <c r="C32" s="104" t="s">
        <v>1312</v>
      </c>
      <c r="D32" s="86"/>
      <c r="E32" s="87"/>
      <c r="F32" s="88"/>
      <c r="G32" s="80"/>
    </row>
    <row r="33" spans="1:7" ht="10.5" hidden="1" customHeight="1" x14ac:dyDescent="0.2">
      <c r="A33" s="42"/>
      <c r="B33" s="85" t="s">
        <v>1314</v>
      </c>
      <c r="C33" s="111" t="s">
        <v>1327</v>
      </c>
      <c r="D33" s="111" t="s">
        <v>1328</v>
      </c>
      <c r="E33" s="87"/>
      <c r="F33" s="88"/>
      <c r="G33" s="80"/>
    </row>
    <row r="34" spans="1:7" ht="10.5" hidden="1" customHeight="1" x14ac:dyDescent="0.2">
      <c r="A34" s="42"/>
      <c r="B34" s="85" t="s">
        <v>1315</v>
      </c>
      <c r="C34" s="111" t="s">
        <v>1327</v>
      </c>
      <c r="D34" s="111" t="s">
        <v>1328</v>
      </c>
      <c r="E34" s="87"/>
      <c r="F34" s="88"/>
      <c r="G34" s="80"/>
    </row>
    <row r="35" spans="1:7" ht="10.5" hidden="1" customHeight="1" x14ac:dyDescent="0.2">
      <c r="A35" s="42"/>
      <c r="B35" s="85" t="s">
        <v>1316</v>
      </c>
      <c r="C35" s="104" t="s">
        <v>1312</v>
      </c>
      <c r="D35" s="86"/>
      <c r="E35" s="87"/>
      <c r="F35" s="88"/>
      <c r="G35" s="80"/>
    </row>
    <row r="36" spans="1:7" ht="10.5" hidden="1" customHeight="1" x14ac:dyDescent="0.2">
      <c r="A36" s="42"/>
      <c r="B36" s="85" t="s">
        <v>1317</v>
      </c>
      <c r="C36" s="104" t="s">
        <v>1312</v>
      </c>
      <c r="D36" s="86"/>
      <c r="E36" s="87"/>
      <c r="F36" s="88"/>
      <c r="G36" s="80"/>
    </row>
    <row r="37" spans="1:7" ht="10.5" hidden="1" customHeight="1" x14ac:dyDescent="0.2">
      <c r="A37" s="42"/>
      <c r="B37" s="85"/>
      <c r="C37" s="86"/>
      <c r="D37" s="86"/>
      <c r="E37" s="87"/>
      <c r="F37" s="88"/>
      <c r="G37" s="80"/>
    </row>
    <row r="38" spans="1:7" ht="10.5" hidden="1" customHeight="1" x14ac:dyDescent="0.2">
      <c r="A38" s="42"/>
      <c r="B38" s="85"/>
      <c r="C38" s="97" t="s">
        <v>1304</v>
      </c>
      <c r="D38" s="97" t="s">
        <v>108</v>
      </c>
      <c r="E38" s="97" t="s">
        <v>945</v>
      </c>
      <c r="F38" s="105" t="s">
        <v>1305</v>
      </c>
      <c r="G38" s="80"/>
    </row>
    <row r="39" spans="1:7" ht="10.5" hidden="1" customHeight="1" x14ac:dyDescent="0.2">
      <c r="A39" s="42"/>
      <c r="B39" s="89" t="s">
        <v>1318</v>
      </c>
      <c r="C39" s="86">
        <f>D39/7</f>
        <v>101.42857142857143</v>
      </c>
      <c r="D39" s="87">
        <v>710</v>
      </c>
      <c r="E39" s="86">
        <f>D39*4</f>
        <v>2840</v>
      </c>
      <c r="F39" s="88">
        <f>E39*3</f>
        <v>8520</v>
      </c>
      <c r="G39" s="80"/>
    </row>
    <row r="40" spans="1:7" ht="10.5" hidden="1" customHeight="1" x14ac:dyDescent="0.2">
      <c r="A40" s="42"/>
      <c r="B40" s="89"/>
      <c r="C40" s="86"/>
      <c r="D40" s="87"/>
      <c r="E40" s="86"/>
      <c r="F40" s="88"/>
      <c r="G40" s="80"/>
    </row>
    <row r="41" spans="1:7" ht="10.5" hidden="1" customHeight="1" x14ac:dyDescent="0.2">
      <c r="A41" s="42"/>
      <c r="B41" s="106" t="s">
        <v>1319</v>
      </c>
      <c r="C41" s="86">
        <f>D41/7</f>
        <v>0</v>
      </c>
      <c r="D41" s="87">
        <v>0</v>
      </c>
      <c r="E41" s="86">
        <f>D41*4</f>
        <v>0</v>
      </c>
      <c r="F41" s="88">
        <f>E41*3</f>
        <v>0</v>
      </c>
      <c r="G41" s="80"/>
    </row>
    <row r="42" spans="1:7" ht="10.5" hidden="1" customHeight="1" x14ac:dyDescent="0.2">
      <c r="A42" s="42"/>
      <c r="B42" s="106" t="s">
        <v>1320</v>
      </c>
      <c r="C42" s="86">
        <f>D42/7</f>
        <v>0</v>
      </c>
      <c r="D42" s="87">
        <v>0</v>
      </c>
      <c r="E42" s="86">
        <f>D42*4</f>
        <v>0</v>
      </c>
      <c r="F42" s="88">
        <f>E42*3</f>
        <v>0</v>
      </c>
      <c r="G42" s="80"/>
    </row>
    <row r="43" spans="1:7" ht="10.5" hidden="1" customHeight="1" x14ac:dyDescent="0.2">
      <c r="A43" s="42"/>
      <c r="B43" s="106" t="s">
        <v>1321</v>
      </c>
      <c r="C43" s="86">
        <f>D43/7</f>
        <v>0</v>
      </c>
      <c r="D43" s="87">
        <v>0</v>
      </c>
      <c r="E43" s="86">
        <f>D43*4</f>
        <v>0</v>
      </c>
      <c r="F43" s="88">
        <f>E43*3</f>
        <v>0</v>
      </c>
      <c r="G43" s="80"/>
    </row>
    <row r="44" spans="1:7" ht="10.5" hidden="1" customHeight="1" x14ac:dyDescent="0.2">
      <c r="A44" s="42"/>
      <c r="B44" s="106" t="s">
        <v>1322</v>
      </c>
      <c r="C44" s="86">
        <f>D44/7</f>
        <v>0</v>
      </c>
      <c r="D44" s="87">
        <v>0</v>
      </c>
      <c r="E44" s="86">
        <f>D44*4</f>
        <v>0</v>
      </c>
      <c r="F44" s="88">
        <f>E44*3</f>
        <v>0</v>
      </c>
      <c r="G44" s="80"/>
    </row>
    <row r="45" spans="1:7" ht="10.5" hidden="1" customHeight="1" x14ac:dyDescent="0.2">
      <c r="A45" s="42"/>
      <c r="B45" s="106" t="s">
        <v>1323</v>
      </c>
      <c r="C45" s="86">
        <f>D45/7</f>
        <v>0</v>
      </c>
      <c r="D45" s="87">
        <v>0</v>
      </c>
      <c r="E45" s="86">
        <f>D45*4</f>
        <v>0</v>
      </c>
      <c r="F45" s="88">
        <f>E45*3</f>
        <v>0</v>
      </c>
      <c r="G45" s="80"/>
    </row>
    <row r="46" spans="1:7" ht="10.5" hidden="1" customHeight="1" x14ac:dyDescent="0.2">
      <c r="A46" s="42"/>
      <c r="B46" s="106"/>
      <c r="C46" s="86"/>
      <c r="D46" s="87"/>
      <c r="E46" s="86"/>
      <c r="F46" s="88"/>
      <c r="G46" s="80"/>
    </row>
    <row r="47" spans="1:7" ht="10.5" customHeight="1" x14ac:dyDescent="0.2">
      <c r="A47" s="42"/>
      <c r="B47" s="89" t="s">
        <v>1324</v>
      </c>
      <c r="C47" s="87">
        <f>SUM(C39:C46)</f>
        <v>101.42857142857143</v>
      </c>
      <c r="D47" s="87">
        <f>SUM(D39:D46)</f>
        <v>710</v>
      </c>
      <c r="E47" s="87">
        <f>SUM(E39:E46)</f>
        <v>2840</v>
      </c>
      <c r="F47" s="87">
        <f>SUM(F39:F46)</f>
        <v>8520</v>
      </c>
      <c r="G47" s="100"/>
    </row>
    <row r="48" spans="1:7" ht="10.5" customHeight="1" x14ac:dyDescent="0.2">
      <c r="A48" s="42"/>
      <c r="B48" s="89" t="s">
        <v>1325</v>
      </c>
      <c r="C48" s="86">
        <f>D48/7</f>
        <v>50.714285714285715</v>
      </c>
      <c r="D48" s="87">
        <f>D39/C29</f>
        <v>355</v>
      </c>
      <c r="E48" s="86">
        <f>D48*4</f>
        <v>1420</v>
      </c>
      <c r="F48" s="88">
        <f>E48*3</f>
        <v>4260</v>
      </c>
      <c r="G48" s="80"/>
    </row>
    <row r="49" spans="1:11" ht="10.8" customHeight="1" thickBot="1" x14ac:dyDescent="0.25">
      <c r="A49" s="42"/>
      <c r="B49" s="106"/>
      <c r="C49" s="86"/>
      <c r="D49" s="91"/>
      <c r="E49" s="86"/>
      <c r="F49" s="88"/>
      <c r="G49" s="80"/>
    </row>
    <row r="50" spans="1:11" ht="10.5" customHeight="1" x14ac:dyDescent="0.2">
      <c r="A50" s="42"/>
      <c r="B50" s="261" t="s">
        <v>1306</v>
      </c>
      <c r="C50" s="257" t="s">
        <v>1307</v>
      </c>
      <c r="D50" s="258" t="s">
        <v>1326</v>
      </c>
      <c r="E50" s="259"/>
      <c r="F50" s="262"/>
      <c r="K50" s="80"/>
    </row>
    <row r="51" spans="1:11" ht="10.5" customHeight="1" x14ac:dyDescent="0.2">
      <c r="A51" s="42" t="s">
        <v>1309</v>
      </c>
      <c r="B51" s="107" t="s">
        <v>1310</v>
      </c>
      <c r="C51" s="109">
        <v>3</v>
      </c>
      <c r="D51" s="83"/>
      <c r="E51" s="83"/>
      <c r="F51" s="84"/>
      <c r="K51" s="80"/>
    </row>
    <row r="52" spans="1:11" ht="10.5" hidden="1" customHeight="1" x14ac:dyDescent="0.2">
      <c r="A52" s="42"/>
      <c r="B52" s="95"/>
      <c r="C52" s="83"/>
      <c r="D52" s="83"/>
      <c r="E52" s="83"/>
      <c r="F52" s="84"/>
      <c r="K52" s="80"/>
    </row>
    <row r="53" spans="1:11" ht="10.5" hidden="1" customHeight="1" x14ac:dyDescent="0.2">
      <c r="A53" s="42"/>
      <c r="B53" s="85" t="s">
        <v>1311</v>
      </c>
      <c r="C53" s="104" t="s">
        <v>1312</v>
      </c>
      <c r="D53" s="86"/>
      <c r="E53" s="87"/>
      <c r="F53" s="88"/>
      <c r="G53" s="80"/>
    </row>
    <row r="54" spans="1:11" ht="10.5" hidden="1" customHeight="1" x14ac:dyDescent="0.2">
      <c r="A54" s="42"/>
      <c r="B54" s="85" t="s">
        <v>1313</v>
      </c>
      <c r="C54" s="104" t="s">
        <v>1312</v>
      </c>
      <c r="D54" s="86"/>
      <c r="E54" s="87"/>
      <c r="F54" s="88"/>
      <c r="G54" s="80"/>
    </row>
    <row r="55" spans="1:11" ht="10.5" hidden="1" customHeight="1" x14ac:dyDescent="0.2">
      <c r="A55" s="42"/>
      <c r="B55" s="85" t="s">
        <v>1314</v>
      </c>
      <c r="C55" s="111" t="s">
        <v>1327</v>
      </c>
      <c r="D55" s="111" t="s">
        <v>1328</v>
      </c>
      <c r="E55" s="87"/>
      <c r="F55" s="88"/>
      <c r="G55" s="80"/>
    </row>
    <row r="56" spans="1:11" ht="10.5" hidden="1" customHeight="1" x14ac:dyDescent="0.2">
      <c r="A56" s="42"/>
      <c r="B56" s="85" t="s">
        <v>1315</v>
      </c>
      <c r="C56" s="111" t="s">
        <v>1327</v>
      </c>
      <c r="D56" s="111" t="s">
        <v>1328</v>
      </c>
      <c r="E56" s="87"/>
      <c r="F56" s="88"/>
      <c r="G56" s="80"/>
    </row>
    <row r="57" spans="1:11" ht="10.5" hidden="1" customHeight="1" x14ac:dyDescent="0.2">
      <c r="A57" s="42"/>
      <c r="B57" s="85" t="s">
        <v>1316</v>
      </c>
      <c r="C57" s="104" t="s">
        <v>1312</v>
      </c>
      <c r="D57" s="86"/>
      <c r="E57" s="87"/>
      <c r="F57" s="88"/>
      <c r="G57" s="80"/>
    </row>
    <row r="58" spans="1:11" ht="10.5" hidden="1" customHeight="1" x14ac:dyDescent="0.2">
      <c r="A58" s="42"/>
      <c r="B58" s="85" t="s">
        <v>1317</v>
      </c>
      <c r="C58" s="104" t="s">
        <v>1312</v>
      </c>
      <c r="D58" s="86"/>
      <c r="E58" s="87"/>
      <c r="F58" s="88"/>
      <c r="G58" s="80"/>
    </row>
    <row r="59" spans="1:11" ht="10.5" hidden="1" customHeight="1" x14ac:dyDescent="0.2">
      <c r="A59" s="42"/>
      <c r="B59" s="85"/>
      <c r="C59" s="86"/>
      <c r="D59" s="86"/>
      <c r="E59" s="87"/>
      <c r="F59" s="88"/>
      <c r="G59" s="80"/>
    </row>
    <row r="60" spans="1:11" ht="10.5" hidden="1" customHeight="1" x14ac:dyDescent="0.2">
      <c r="A60" s="42"/>
      <c r="B60" s="85"/>
      <c r="C60" s="97" t="s">
        <v>1304</v>
      </c>
      <c r="D60" s="97" t="s">
        <v>108</v>
      </c>
      <c r="E60" s="97" t="s">
        <v>945</v>
      </c>
      <c r="F60" s="105" t="s">
        <v>1305</v>
      </c>
      <c r="G60" s="80"/>
    </row>
    <row r="61" spans="1:11" ht="10.5" hidden="1" customHeight="1" x14ac:dyDescent="0.2">
      <c r="A61" s="42"/>
      <c r="B61" s="89" t="s">
        <v>1318</v>
      </c>
      <c r="C61" s="86">
        <f>D61/7</f>
        <v>130.71428571428572</v>
      </c>
      <c r="D61" s="87">
        <v>915</v>
      </c>
      <c r="E61" s="86">
        <f>D61*4</f>
        <v>3660</v>
      </c>
      <c r="F61" s="88">
        <f>E61*3</f>
        <v>10980</v>
      </c>
      <c r="G61" s="80"/>
    </row>
    <row r="62" spans="1:11" ht="10.5" hidden="1" customHeight="1" x14ac:dyDescent="0.2">
      <c r="A62" s="42"/>
      <c r="B62" s="89"/>
      <c r="C62" s="86"/>
      <c r="D62" s="87"/>
      <c r="E62" s="86"/>
      <c r="F62" s="88"/>
      <c r="G62" s="80"/>
    </row>
    <row r="63" spans="1:11" ht="10.5" hidden="1" customHeight="1" x14ac:dyDescent="0.2">
      <c r="A63" s="42"/>
      <c r="B63" s="106" t="s">
        <v>1319</v>
      </c>
      <c r="C63" s="86">
        <f>D63/7</f>
        <v>0</v>
      </c>
      <c r="D63" s="87">
        <v>0</v>
      </c>
      <c r="E63" s="86">
        <f>D63*4</f>
        <v>0</v>
      </c>
      <c r="F63" s="88">
        <f>E63*3</f>
        <v>0</v>
      </c>
      <c r="G63" s="80"/>
    </row>
    <row r="64" spans="1:11" ht="10.5" hidden="1" customHeight="1" x14ac:dyDescent="0.2">
      <c r="A64" s="42"/>
      <c r="B64" s="106" t="s">
        <v>1320</v>
      </c>
      <c r="C64" s="86">
        <f>D64/7</f>
        <v>0</v>
      </c>
      <c r="D64" s="87">
        <v>0</v>
      </c>
      <c r="E64" s="86">
        <f>D64*4</f>
        <v>0</v>
      </c>
      <c r="F64" s="88">
        <f>E64*3</f>
        <v>0</v>
      </c>
      <c r="G64" s="80"/>
    </row>
    <row r="65" spans="1:11" ht="10.5" hidden="1" customHeight="1" x14ac:dyDescent="0.2">
      <c r="A65" s="42"/>
      <c r="B65" s="106" t="s">
        <v>1321</v>
      </c>
      <c r="C65" s="86">
        <f>D65/7</f>
        <v>0</v>
      </c>
      <c r="D65" s="87">
        <v>0</v>
      </c>
      <c r="E65" s="86">
        <f>D65*4</f>
        <v>0</v>
      </c>
      <c r="F65" s="88">
        <f>E65*3</f>
        <v>0</v>
      </c>
      <c r="G65" s="80"/>
    </row>
    <row r="66" spans="1:11" ht="10.5" hidden="1" customHeight="1" x14ac:dyDescent="0.2">
      <c r="A66" s="42"/>
      <c r="B66" s="106" t="s">
        <v>1322</v>
      </c>
      <c r="C66" s="86">
        <f>D66/7</f>
        <v>0</v>
      </c>
      <c r="D66" s="87">
        <v>0</v>
      </c>
      <c r="E66" s="86">
        <f>D66*4</f>
        <v>0</v>
      </c>
      <c r="F66" s="88">
        <f>E66*3</f>
        <v>0</v>
      </c>
      <c r="G66" s="80"/>
    </row>
    <row r="67" spans="1:11" ht="10.5" hidden="1" customHeight="1" x14ac:dyDescent="0.2">
      <c r="A67" s="42"/>
      <c r="B67" s="106" t="s">
        <v>1323</v>
      </c>
      <c r="C67" s="86">
        <f>D67/7</f>
        <v>0</v>
      </c>
      <c r="D67" s="87">
        <v>0</v>
      </c>
      <c r="E67" s="86">
        <f>D67*4</f>
        <v>0</v>
      </c>
      <c r="F67" s="88">
        <f>E67*3</f>
        <v>0</v>
      </c>
      <c r="G67" s="80"/>
    </row>
    <row r="68" spans="1:11" ht="10.5" hidden="1" customHeight="1" x14ac:dyDescent="0.2">
      <c r="A68" s="42"/>
      <c r="B68" s="106"/>
      <c r="C68" s="86"/>
      <c r="D68" s="87"/>
      <c r="E68" s="86"/>
      <c r="F68" s="88"/>
      <c r="G68" s="80"/>
    </row>
    <row r="69" spans="1:11" ht="10.5" customHeight="1" x14ac:dyDescent="0.2">
      <c r="A69" s="42"/>
      <c r="B69" s="89" t="s">
        <v>1324</v>
      </c>
      <c r="C69" s="87">
        <f>SUM(C61:C68)</f>
        <v>130.71428571428572</v>
      </c>
      <c r="D69" s="87">
        <f>SUM(D61:D68)</f>
        <v>915</v>
      </c>
      <c r="E69" s="87">
        <f>SUM(E61:E68)</f>
        <v>3660</v>
      </c>
      <c r="F69" s="87">
        <f>SUM(F61:F68)</f>
        <v>10980</v>
      </c>
      <c r="G69" s="100"/>
    </row>
    <row r="70" spans="1:11" ht="10.5" customHeight="1" x14ac:dyDescent="0.2">
      <c r="A70" s="42"/>
      <c r="B70" s="89" t="s">
        <v>1325</v>
      </c>
      <c r="C70" s="86">
        <f>D70/7</f>
        <v>43.571428571428569</v>
      </c>
      <c r="D70" s="87">
        <f>D69/C51</f>
        <v>305</v>
      </c>
      <c r="E70" s="86">
        <f>D70*4</f>
        <v>1220</v>
      </c>
      <c r="F70" s="88">
        <f>E70*3</f>
        <v>3660</v>
      </c>
      <c r="G70" s="80"/>
    </row>
    <row r="71" spans="1:11" ht="10.8" customHeight="1" thickBot="1" x14ac:dyDescent="0.25">
      <c r="A71" s="42"/>
      <c r="B71" s="85"/>
      <c r="C71" s="86"/>
      <c r="D71" s="90"/>
      <c r="E71" s="87"/>
      <c r="F71" s="88"/>
      <c r="G71" s="80"/>
    </row>
    <row r="72" spans="1:11" ht="10.5" customHeight="1" x14ac:dyDescent="0.2">
      <c r="A72" s="42"/>
      <c r="B72" s="108" t="s">
        <v>1329</v>
      </c>
      <c r="C72" s="109" t="s">
        <v>1307</v>
      </c>
      <c r="D72" s="201" t="s">
        <v>1330</v>
      </c>
      <c r="E72" s="93"/>
      <c r="F72" s="94"/>
      <c r="K72" s="80"/>
    </row>
    <row r="73" spans="1:11" ht="10.5" customHeight="1" x14ac:dyDescent="0.2">
      <c r="A73" s="42" t="s">
        <v>1309</v>
      </c>
      <c r="B73" s="107" t="s">
        <v>1310</v>
      </c>
      <c r="C73" s="109">
        <v>2</v>
      </c>
      <c r="D73" s="83"/>
      <c r="E73" s="83"/>
      <c r="F73" s="84"/>
      <c r="K73" s="80"/>
    </row>
    <row r="74" spans="1:11" ht="10.5" hidden="1" customHeight="1" x14ac:dyDescent="0.2">
      <c r="A74" s="42"/>
      <c r="B74" s="95"/>
      <c r="C74" s="83"/>
      <c r="D74" s="83"/>
      <c r="E74" s="83"/>
      <c r="F74" s="84"/>
      <c r="K74" s="80"/>
    </row>
    <row r="75" spans="1:11" ht="10.5" hidden="1" customHeight="1" x14ac:dyDescent="0.2">
      <c r="A75" s="42"/>
      <c r="B75" s="85" t="s">
        <v>1311</v>
      </c>
      <c r="C75" s="104" t="s">
        <v>1312</v>
      </c>
      <c r="D75" s="86"/>
      <c r="E75" s="87"/>
      <c r="F75" s="88"/>
      <c r="G75" s="80"/>
    </row>
    <row r="76" spans="1:11" ht="10.5" hidden="1" customHeight="1" x14ac:dyDescent="0.2">
      <c r="A76" s="42"/>
      <c r="B76" s="85" t="s">
        <v>1313</v>
      </c>
      <c r="C76" s="104" t="s">
        <v>1312</v>
      </c>
      <c r="D76" s="86"/>
      <c r="E76" s="87"/>
      <c r="F76" s="88"/>
      <c r="G76" s="80"/>
    </row>
    <row r="77" spans="1:11" ht="10.5" hidden="1" customHeight="1" x14ac:dyDescent="0.2">
      <c r="A77" s="42"/>
      <c r="B77" s="85" t="s">
        <v>1314</v>
      </c>
      <c r="C77" s="111" t="s">
        <v>1327</v>
      </c>
      <c r="D77" s="111" t="s">
        <v>1328</v>
      </c>
      <c r="E77" s="87"/>
      <c r="F77" s="88"/>
      <c r="G77" s="80"/>
    </row>
    <row r="78" spans="1:11" ht="10.5" hidden="1" customHeight="1" x14ac:dyDescent="0.2">
      <c r="A78" s="42"/>
      <c r="B78" s="85" t="s">
        <v>1315</v>
      </c>
      <c r="C78" s="111" t="s">
        <v>1327</v>
      </c>
      <c r="D78" s="111" t="s">
        <v>1328</v>
      </c>
      <c r="E78" s="87"/>
      <c r="F78" s="88"/>
      <c r="G78" s="80"/>
    </row>
    <row r="79" spans="1:11" ht="10.5" hidden="1" customHeight="1" x14ac:dyDescent="0.2">
      <c r="A79" s="42"/>
      <c r="B79" s="85" t="s">
        <v>1316</v>
      </c>
      <c r="C79" s="104" t="s">
        <v>1312</v>
      </c>
      <c r="D79" s="86"/>
      <c r="E79" s="87"/>
      <c r="F79" s="88"/>
      <c r="G79" s="80"/>
    </row>
    <row r="80" spans="1:11" ht="10.5" hidden="1" customHeight="1" x14ac:dyDescent="0.2">
      <c r="A80" s="42"/>
      <c r="B80" s="85" t="s">
        <v>1317</v>
      </c>
      <c r="C80" s="104" t="s">
        <v>1312</v>
      </c>
      <c r="D80" s="86"/>
      <c r="E80" s="87"/>
      <c r="F80" s="88"/>
      <c r="G80" s="80"/>
    </row>
    <row r="81" spans="1:11" ht="10.5" hidden="1" customHeight="1" x14ac:dyDescent="0.2">
      <c r="A81" s="42"/>
      <c r="B81" s="85"/>
      <c r="C81" s="86"/>
      <c r="D81" s="86"/>
      <c r="E81" s="87"/>
      <c r="F81" s="88"/>
      <c r="G81" s="80"/>
    </row>
    <row r="82" spans="1:11" ht="10.5" hidden="1" customHeight="1" x14ac:dyDescent="0.2">
      <c r="A82" s="42"/>
      <c r="B82" s="85"/>
      <c r="C82" s="97" t="s">
        <v>1304</v>
      </c>
      <c r="D82" s="97" t="s">
        <v>108</v>
      </c>
      <c r="E82" s="97" t="s">
        <v>945</v>
      </c>
      <c r="F82" s="105" t="s">
        <v>1305</v>
      </c>
      <c r="G82" s="80"/>
    </row>
    <row r="83" spans="1:11" ht="10.5" hidden="1" customHeight="1" x14ac:dyDescent="0.2">
      <c r="A83" s="42"/>
      <c r="B83" s="89" t="s">
        <v>1318</v>
      </c>
      <c r="C83" s="86">
        <f>D83/7</f>
        <v>254.28571428571428</v>
      </c>
      <c r="D83" s="87">
        <v>1780</v>
      </c>
      <c r="E83" s="86">
        <f>D83*4</f>
        <v>7120</v>
      </c>
      <c r="F83" s="88">
        <f>E83*3</f>
        <v>21360</v>
      </c>
      <c r="G83" s="80"/>
    </row>
    <row r="84" spans="1:11" ht="10.5" hidden="1" customHeight="1" x14ac:dyDescent="0.2">
      <c r="A84" s="42"/>
      <c r="B84" s="89"/>
      <c r="C84" s="86"/>
      <c r="D84" s="87"/>
      <c r="E84" s="86"/>
      <c r="F84" s="88"/>
      <c r="G84" s="80"/>
    </row>
    <row r="85" spans="1:11" ht="10.5" hidden="1" customHeight="1" x14ac:dyDescent="0.2">
      <c r="A85" s="42"/>
      <c r="B85" s="106" t="s">
        <v>1319</v>
      </c>
      <c r="C85" s="86">
        <f>D85/7</f>
        <v>0</v>
      </c>
      <c r="D85" s="87">
        <v>0</v>
      </c>
      <c r="E85" s="86">
        <f>D85*4</f>
        <v>0</v>
      </c>
      <c r="F85" s="88">
        <f>E85*3</f>
        <v>0</v>
      </c>
      <c r="G85" s="80"/>
    </row>
    <row r="86" spans="1:11" ht="10.5" hidden="1" customHeight="1" x14ac:dyDescent="0.2">
      <c r="A86" s="42"/>
      <c r="B86" s="106" t="s">
        <v>1320</v>
      </c>
      <c r="C86" s="86">
        <f>D86/7</f>
        <v>0</v>
      </c>
      <c r="D86" s="87">
        <v>0</v>
      </c>
      <c r="E86" s="86">
        <f>D86*4</f>
        <v>0</v>
      </c>
      <c r="F86" s="88">
        <f>E86*3</f>
        <v>0</v>
      </c>
      <c r="G86" s="80"/>
    </row>
    <row r="87" spans="1:11" ht="10.5" hidden="1" customHeight="1" x14ac:dyDescent="0.2">
      <c r="A87" s="42"/>
      <c r="B87" s="106" t="s">
        <v>1321</v>
      </c>
      <c r="C87" s="86">
        <f>D87/7</f>
        <v>0</v>
      </c>
      <c r="D87" s="87">
        <v>0</v>
      </c>
      <c r="E87" s="86">
        <f>D87*4</f>
        <v>0</v>
      </c>
      <c r="F87" s="88">
        <f>E87*3</f>
        <v>0</v>
      </c>
      <c r="G87" s="80"/>
    </row>
    <row r="88" spans="1:11" ht="10.5" hidden="1" customHeight="1" x14ac:dyDescent="0.2">
      <c r="A88" s="42"/>
      <c r="B88" s="106" t="s">
        <v>1322</v>
      </c>
      <c r="C88" s="86">
        <f>D88/7</f>
        <v>0</v>
      </c>
      <c r="D88" s="87">
        <v>0</v>
      </c>
      <c r="E88" s="86">
        <f>D88*4</f>
        <v>0</v>
      </c>
      <c r="F88" s="88">
        <f>E88*3</f>
        <v>0</v>
      </c>
      <c r="G88" s="80"/>
    </row>
    <row r="89" spans="1:11" ht="10.5" hidden="1" customHeight="1" x14ac:dyDescent="0.2">
      <c r="A89" s="42"/>
      <c r="B89" s="106" t="s">
        <v>1323</v>
      </c>
      <c r="C89" s="86">
        <f>D89/7</f>
        <v>0</v>
      </c>
      <c r="D89" s="87">
        <v>0</v>
      </c>
      <c r="E89" s="86">
        <f>D89*4</f>
        <v>0</v>
      </c>
      <c r="F89" s="88">
        <f>E89*3</f>
        <v>0</v>
      </c>
      <c r="G89" s="80"/>
    </row>
    <row r="90" spans="1:11" ht="10.5" hidden="1" customHeight="1" x14ac:dyDescent="0.2">
      <c r="A90" s="42"/>
      <c r="B90" s="106"/>
      <c r="C90" s="86"/>
      <c r="D90" s="87"/>
      <c r="E90" s="86"/>
      <c r="F90" s="88"/>
      <c r="G90" s="80"/>
    </row>
    <row r="91" spans="1:11" ht="10.5" customHeight="1" x14ac:dyDescent="0.2">
      <c r="A91" s="42"/>
      <c r="B91" s="89" t="s">
        <v>1324</v>
      </c>
      <c r="C91" s="87">
        <f>SUM(C83:C90)</f>
        <v>254.28571428571428</v>
      </c>
      <c r="D91" s="87">
        <f>SUM(D83:D90)</f>
        <v>1780</v>
      </c>
      <c r="E91" s="87">
        <f>SUM(E83:E90)</f>
        <v>7120</v>
      </c>
      <c r="F91" s="87">
        <f>SUM(F83:F90)</f>
        <v>21360</v>
      </c>
      <c r="G91" s="100"/>
    </row>
    <row r="92" spans="1:11" ht="10.5" customHeight="1" x14ac:dyDescent="0.2">
      <c r="A92" s="42"/>
      <c r="B92" s="89" t="s">
        <v>1325</v>
      </c>
      <c r="C92" s="86">
        <f>D92/7</f>
        <v>127.14285714285714</v>
      </c>
      <c r="D92" s="87">
        <f>D91/C73</f>
        <v>890</v>
      </c>
      <c r="E92" s="86">
        <f>D92*4</f>
        <v>3560</v>
      </c>
      <c r="F92" s="88">
        <f>E92*3</f>
        <v>10680</v>
      </c>
      <c r="G92" s="80"/>
    </row>
    <row r="93" spans="1:11" ht="10.8" customHeight="1" thickBot="1" x14ac:dyDescent="0.25">
      <c r="A93" s="42"/>
      <c r="B93" s="110"/>
      <c r="C93" s="90"/>
      <c r="D93" s="90"/>
      <c r="E93" s="91"/>
      <c r="F93" s="92"/>
      <c r="G93" s="80"/>
    </row>
    <row r="94" spans="1:11" ht="10.8" customHeight="1" thickBot="1" x14ac:dyDescent="0.25">
      <c r="A94" s="42"/>
      <c r="B94" s="82" t="s">
        <v>1331</v>
      </c>
      <c r="C94" s="97" t="s">
        <v>1304</v>
      </c>
      <c r="D94" s="97" t="s">
        <v>108</v>
      </c>
      <c r="E94" s="97" t="s">
        <v>945</v>
      </c>
      <c r="F94" s="105" t="s">
        <v>1305</v>
      </c>
      <c r="G94" s="85"/>
    </row>
    <row r="95" spans="1:11" ht="10.5" customHeight="1" x14ac:dyDescent="0.2">
      <c r="A95" s="42"/>
      <c r="B95" s="107" t="s">
        <v>1306</v>
      </c>
      <c r="C95" s="109" t="s">
        <v>1332</v>
      </c>
      <c r="D95" s="200" t="s">
        <v>1308</v>
      </c>
      <c r="E95" s="83"/>
      <c r="F95" s="84"/>
      <c r="K95" s="80"/>
    </row>
    <row r="96" spans="1:11" ht="10.5" customHeight="1" x14ac:dyDescent="0.2">
      <c r="A96" s="42" t="s">
        <v>1309</v>
      </c>
      <c r="B96" s="107" t="s">
        <v>1310</v>
      </c>
      <c r="C96" s="109">
        <v>1</v>
      </c>
      <c r="D96" s="83"/>
      <c r="E96" s="83"/>
      <c r="F96" s="84"/>
      <c r="K96" s="80"/>
    </row>
    <row r="97" spans="1:7" ht="10.5" hidden="1" customHeight="1" x14ac:dyDescent="0.2">
      <c r="A97" s="42"/>
      <c r="B97" s="85" t="s">
        <v>1311</v>
      </c>
      <c r="C97" s="104" t="s">
        <v>1312</v>
      </c>
      <c r="D97" s="86"/>
      <c r="E97" s="87"/>
      <c r="F97" s="88"/>
      <c r="G97" s="80"/>
    </row>
    <row r="98" spans="1:7" ht="10.5" hidden="1" customHeight="1" x14ac:dyDescent="0.2">
      <c r="A98" s="42"/>
      <c r="B98" s="85" t="s">
        <v>1313</v>
      </c>
      <c r="C98" s="104" t="s">
        <v>1312</v>
      </c>
      <c r="D98" s="86"/>
      <c r="E98" s="87"/>
      <c r="F98" s="88"/>
      <c r="G98" s="80"/>
    </row>
    <row r="99" spans="1:7" ht="10.5" hidden="1" customHeight="1" x14ac:dyDescent="0.2">
      <c r="A99" s="42"/>
      <c r="B99" s="85" t="s">
        <v>1314</v>
      </c>
      <c r="C99" s="104" t="s">
        <v>1312</v>
      </c>
      <c r="D99" s="86"/>
      <c r="E99" s="87"/>
      <c r="F99" s="88"/>
      <c r="G99" s="80"/>
    </row>
    <row r="100" spans="1:7" ht="10.5" hidden="1" customHeight="1" x14ac:dyDescent="0.2">
      <c r="A100" s="42"/>
      <c r="B100" s="85" t="s">
        <v>1315</v>
      </c>
      <c r="C100" s="104" t="s">
        <v>1312</v>
      </c>
      <c r="D100" s="86"/>
      <c r="E100" s="87"/>
      <c r="F100" s="88"/>
      <c r="G100" s="80"/>
    </row>
    <row r="101" spans="1:7" ht="10.5" hidden="1" customHeight="1" x14ac:dyDescent="0.2">
      <c r="A101" s="42"/>
      <c r="B101" s="85" t="s">
        <v>1316</v>
      </c>
      <c r="C101" s="104" t="s">
        <v>1312</v>
      </c>
      <c r="D101" s="86"/>
      <c r="E101" s="87"/>
      <c r="F101" s="88"/>
      <c r="G101" s="80"/>
    </row>
    <row r="102" spans="1:7" ht="10.5" hidden="1" customHeight="1" x14ac:dyDescent="0.2">
      <c r="A102" s="42"/>
      <c r="B102" s="85" t="s">
        <v>1317</v>
      </c>
      <c r="C102" s="104" t="s">
        <v>1312</v>
      </c>
      <c r="D102" s="86"/>
      <c r="E102" s="87"/>
      <c r="F102" s="88"/>
      <c r="G102" s="80"/>
    </row>
    <row r="103" spans="1:7" ht="10.5" hidden="1" customHeight="1" x14ac:dyDescent="0.2">
      <c r="A103" s="42"/>
      <c r="B103" s="112" t="s">
        <v>1333</v>
      </c>
      <c r="C103" s="86"/>
      <c r="D103" s="86"/>
      <c r="E103" s="87"/>
      <c r="F103" s="88"/>
      <c r="G103" s="80"/>
    </row>
    <row r="104" spans="1:7" ht="10.5" hidden="1" customHeight="1" x14ac:dyDescent="0.2">
      <c r="A104" s="42"/>
      <c r="B104" s="85"/>
      <c r="C104" s="97" t="s">
        <v>1304</v>
      </c>
      <c r="D104" s="97" t="s">
        <v>108</v>
      </c>
      <c r="E104" s="97" t="s">
        <v>945</v>
      </c>
      <c r="F104" s="105" t="s">
        <v>1305</v>
      </c>
      <c r="G104" s="80"/>
    </row>
    <row r="105" spans="1:7" ht="10.5" hidden="1" customHeight="1" x14ac:dyDescent="0.2">
      <c r="A105" s="42"/>
      <c r="B105" s="89" t="s">
        <v>1318</v>
      </c>
      <c r="C105" s="86">
        <f>D105/7</f>
        <v>114.28571428571429</v>
      </c>
      <c r="D105" s="87">
        <v>800</v>
      </c>
      <c r="E105" s="86">
        <f>D105*4</f>
        <v>3200</v>
      </c>
      <c r="F105" s="88">
        <f>E105*3</f>
        <v>9600</v>
      </c>
      <c r="G105" s="80"/>
    </row>
    <row r="106" spans="1:7" ht="10.5" hidden="1" customHeight="1" x14ac:dyDescent="0.2">
      <c r="A106" s="42"/>
      <c r="B106" s="89"/>
      <c r="C106" s="86"/>
      <c r="D106" s="87"/>
      <c r="E106" s="86"/>
      <c r="F106" s="88"/>
      <c r="G106" s="80"/>
    </row>
    <row r="107" spans="1:7" ht="10.5" hidden="1" customHeight="1" x14ac:dyDescent="0.2">
      <c r="A107" s="42"/>
      <c r="B107" s="106" t="s">
        <v>1319</v>
      </c>
      <c r="C107" s="86">
        <f>D107/7</f>
        <v>0</v>
      </c>
      <c r="D107" s="87">
        <v>0</v>
      </c>
      <c r="E107" s="86">
        <f>D107*4</f>
        <v>0</v>
      </c>
      <c r="F107" s="88">
        <f>E107*3</f>
        <v>0</v>
      </c>
      <c r="G107" s="80"/>
    </row>
    <row r="108" spans="1:7" ht="10.5" hidden="1" customHeight="1" x14ac:dyDescent="0.2">
      <c r="A108" s="42"/>
      <c r="B108" s="106" t="s">
        <v>1320</v>
      </c>
      <c r="C108" s="86">
        <f>D108/7</f>
        <v>0</v>
      </c>
      <c r="D108" s="87">
        <v>0</v>
      </c>
      <c r="E108" s="86">
        <f>D108*4</f>
        <v>0</v>
      </c>
      <c r="F108" s="88">
        <f>E108*3</f>
        <v>0</v>
      </c>
      <c r="G108" s="80"/>
    </row>
    <row r="109" spans="1:7" ht="10.5" hidden="1" customHeight="1" x14ac:dyDescent="0.2">
      <c r="A109" s="42"/>
      <c r="B109" s="106" t="s">
        <v>1321</v>
      </c>
      <c r="C109" s="86">
        <f>D109/7</f>
        <v>0</v>
      </c>
      <c r="D109" s="87">
        <v>0</v>
      </c>
      <c r="E109" s="86">
        <f>D109*4</f>
        <v>0</v>
      </c>
      <c r="F109" s="88">
        <f>E109*3</f>
        <v>0</v>
      </c>
      <c r="G109" s="80"/>
    </row>
    <row r="110" spans="1:7" ht="10.5" hidden="1" customHeight="1" x14ac:dyDescent="0.2">
      <c r="A110" s="42"/>
      <c r="B110" s="106" t="s">
        <v>1322</v>
      </c>
      <c r="C110" s="86">
        <f>D110/7</f>
        <v>0</v>
      </c>
      <c r="D110" s="87">
        <v>0</v>
      </c>
      <c r="E110" s="86">
        <f>D110*4</f>
        <v>0</v>
      </c>
      <c r="F110" s="88">
        <f>E110*3</f>
        <v>0</v>
      </c>
      <c r="G110" s="80"/>
    </row>
    <row r="111" spans="1:7" ht="10.5" hidden="1" customHeight="1" x14ac:dyDescent="0.2">
      <c r="A111" s="42"/>
      <c r="B111" s="106" t="s">
        <v>1323</v>
      </c>
      <c r="C111" s="86">
        <f>D111/7</f>
        <v>0</v>
      </c>
      <c r="D111" s="87">
        <v>0</v>
      </c>
      <c r="E111" s="86">
        <f>D111*4</f>
        <v>0</v>
      </c>
      <c r="F111" s="88">
        <f>E111*3</f>
        <v>0</v>
      </c>
      <c r="G111" s="80"/>
    </row>
    <row r="112" spans="1:7" ht="10.5" hidden="1" customHeight="1" x14ac:dyDescent="0.2">
      <c r="A112" s="42"/>
      <c r="B112" s="106"/>
      <c r="C112" s="86"/>
      <c r="D112" s="87"/>
      <c r="E112" s="86"/>
      <c r="F112" s="88"/>
      <c r="G112" s="80"/>
    </row>
    <row r="113" spans="1:11" ht="10.5" customHeight="1" x14ac:dyDescent="0.2">
      <c r="A113" s="42"/>
      <c r="B113" s="89" t="s">
        <v>1324</v>
      </c>
      <c r="C113" s="87">
        <f>SUM(C105:C112)</f>
        <v>114.28571428571429</v>
      </c>
      <c r="D113" s="87">
        <f>SUM(D105:D112)</f>
        <v>800</v>
      </c>
      <c r="E113" s="87">
        <f>SUM(E105:E112)</f>
        <v>3200</v>
      </c>
      <c r="F113" s="87">
        <f>SUM(F105:F112)</f>
        <v>9600</v>
      </c>
      <c r="G113" s="100"/>
    </row>
    <row r="114" spans="1:11" ht="10.5" customHeight="1" x14ac:dyDescent="0.2">
      <c r="A114" s="42"/>
      <c r="B114" s="89" t="s">
        <v>1325</v>
      </c>
      <c r="C114" s="86">
        <f>D114/7</f>
        <v>114.28571428571429</v>
      </c>
      <c r="D114" s="87">
        <f>D113/C96</f>
        <v>800</v>
      </c>
      <c r="E114" s="86">
        <f>D114*4</f>
        <v>3200</v>
      </c>
      <c r="F114" s="88">
        <f>E114*3</f>
        <v>9600</v>
      </c>
      <c r="G114" s="80"/>
    </row>
    <row r="115" spans="1:11" ht="10.8" customHeight="1" thickBot="1" x14ac:dyDescent="0.25">
      <c r="A115" s="42"/>
      <c r="B115" s="110"/>
      <c r="C115" s="90"/>
      <c r="D115" s="90"/>
      <c r="E115" s="91"/>
      <c r="F115" s="92"/>
      <c r="G115" s="80"/>
    </row>
    <row r="116" spans="1:11" ht="10.5" customHeight="1" x14ac:dyDescent="0.2">
      <c r="A116" s="42" t="s">
        <v>1309</v>
      </c>
      <c r="B116" s="256" t="s">
        <v>1306</v>
      </c>
      <c r="C116" s="257" t="s">
        <v>1334</v>
      </c>
      <c r="D116" s="258" t="s">
        <v>1326</v>
      </c>
      <c r="E116" s="83"/>
      <c r="F116" s="84"/>
      <c r="K116" s="80"/>
    </row>
    <row r="117" spans="1:11" ht="10.5" hidden="1" customHeight="1" x14ac:dyDescent="0.2">
      <c r="B117" s="107" t="s">
        <v>1310</v>
      </c>
      <c r="C117" s="109">
        <v>2</v>
      </c>
      <c r="D117" s="83"/>
      <c r="E117" s="83"/>
      <c r="F117" s="84"/>
      <c r="K117" s="80"/>
    </row>
    <row r="118" spans="1:11" ht="10.5" hidden="1" customHeight="1" x14ac:dyDescent="0.2">
      <c r="A118" s="42"/>
      <c r="B118" s="85" t="s">
        <v>1311</v>
      </c>
      <c r="C118" s="104" t="s">
        <v>1312</v>
      </c>
      <c r="D118" s="86"/>
      <c r="E118" s="87"/>
      <c r="F118" s="88"/>
      <c r="G118" s="80"/>
    </row>
    <row r="119" spans="1:11" ht="10.5" hidden="1" customHeight="1" x14ac:dyDescent="0.2">
      <c r="A119" s="42"/>
      <c r="B119" s="85" t="s">
        <v>1313</v>
      </c>
      <c r="C119" s="104" t="s">
        <v>1312</v>
      </c>
      <c r="D119" s="86"/>
      <c r="E119" s="87"/>
      <c r="F119" s="88"/>
      <c r="G119" s="80"/>
    </row>
    <row r="120" spans="1:11" ht="10.5" hidden="1" customHeight="1" x14ac:dyDescent="0.2">
      <c r="A120" s="42"/>
      <c r="B120" s="85" t="s">
        <v>1314</v>
      </c>
      <c r="C120" s="111" t="s">
        <v>1327</v>
      </c>
      <c r="D120" s="111" t="s">
        <v>1328</v>
      </c>
      <c r="E120" s="87"/>
      <c r="F120" s="88"/>
      <c r="G120" s="80"/>
    </row>
    <row r="121" spans="1:11" ht="10.5" hidden="1" customHeight="1" x14ac:dyDescent="0.2">
      <c r="A121" s="42"/>
      <c r="B121" s="85" t="s">
        <v>1315</v>
      </c>
      <c r="C121" s="111" t="s">
        <v>1327</v>
      </c>
      <c r="D121" s="111" t="s">
        <v>1328</v>
      </c>
      <c r="E121" s="87"/>
      <c r="F121" s="88"/>
      <c r="G121" s="80"/>
    </row>
    <row r="122" spans="1:11" ht="10.5" hidden="1" customHeight="1" x14ac:dyDescent="0.2">
      <c r="A122" s="42"/>
      <c r="B122" s="85" t="s">
        <v>1316</v>
      </c>
      <c r="C122" s="104" t="s">
        <v>1312</v>
      </c>
      <c r="D122" s="86"/>
      <c r="E122" s="87"/>
      <c r="F122" s="88"/>
      <c r="G122" s="80"/>
    </row>
    <row r="123" spans="1:11" ht="10.5" hidden="1" customHeight="1" x14ac:dyDescent="0.2">
      <c r="A123" s="42"/>
      <c r="B123" s="85" t="s">
        <v>1317</v>
      </c>
      <c r="C123" s="104" t="s">
        <v>1312</v>
      </c>
      <c r="D123" s="86"/>
      <c r="E123" s="87"/>
      <c r="F123" s="88"/>
      <c r="G123" s="80"/>
    </row>
    <row r="124" spans="1:11" ht="10.5" hidden="1" customHeight="1" x14ac:dyDescent="0.2">
      <c r="A124" s="42"/>
      <c r="B124" s="112" t="s">
        <v>1333</v>
      </c>
      <c r="C124" s="86"/>
      <c r="D124" s="86"/>
      <c r="E124" s="87"/>
      <c r="F124" s="88"/>
      <c r="G124" s="80"/>
    </row>
    <row r="125" spans="1:11" ht="10.5" hidden="1" customHeight="1" x14ac:dyDescent="0.2">
      <c r="A125" s="42"/>
      <c r="B125" s="85"/>
      <c r="C125" s="97" t="s">
        <v>1304</v>
      </c>
      <c r="D125" s="97" t="s">
        <v>108</v>
      </c>
      <c r="E125" s="97" t="s">
        <v>945</v>
      </c>
      <c r="F125" s="105" t="s">
        <v>1305</v>
      </c>
      <c r="G125" s="80"/>
    </row>
    <row r="126" spans="1:11" ht="10.5" hidden="1" customHeight="1" x14ac:dyDescent="0.2">
      <c r="A126" s="42"/>
      <c r="B126" s="89" t="s">
        <v>1318</v>
      </c>
      <c r="C126" s="86">
        <f>D126/7</f>
        <v>142.85714285714286</v>
      </c>
      <c r="D126" s="87">
        <v>1000</v>
      </c>
      <c r="E126" s="86">
        <f>D126*4</f>
        <v>4000</v>
      </c>
      <c r="F126" s="88">
        <f>E126*3</f>
        <v>12000</v>
      </c>
      <c r="G126" s="80"/>
    </row>
    <row r="127" spans="1:11" ht="10.5" hidden="1" customHeight="1" x14ac:dyDescent="0.2">
      <c r="A127" s="42"/>
      <c r="B127" s="89"/>
      <c r="C127" s="86"/>
      <c r="D127" s="87"/>
      <c r="E127" s="86"/>
      <c r="F127" s="88"/>
      <c r="G127" s="80"/>
    </row>
    <row r="128" spans="1:11" ht="10.5" hidden="1" customHeight="1" x14ac:dyDescent="0.2">
      <c r="A128" s="42"/>
      <c r="B128" s="106" t="s">
        <v>1319</v>
      </c>
      <c r="C128" s="86">
        <f>D128/7</f>
        <v>0</v>
      </c>
      <c r="D128" s="87">
        <v>0</v>
      </c>
      <c r="E128" s="86">
        <f>D128*4</f>
        <v>0</v>
      </c>
      <c r="F128" s="88">
        <f>E128*3</f>
        <v>0</v>
      </c>
      <c r="G128" s="80"/>
    </row>
    <row r="129" spans="1:11" ht="10.5" hidden="1" customHeight="1" x14ac:dyDescent="0.2">
      <c r="A129" s="42"/>
      <c r="B129" s="106" t="s">
        <v>1320</v>
      </c>
      <c r="C129" s="86">
        <f>D129/7</f>
        <v>0</v>
      </c>
      <c r="D129" s="87">
        <v>0</v>
      </c>
      <c r="E129" s="86">
        <f>D129*4</f>
        <v>0</v>
      </c>
      <c r="F129" s="88">
        <f>E129*3</f>
        <v>0</v>
      </c>
      <c r="G129" s="80"/>
    </row>
    <row r="130" spans="1:11" ht="10.5" hidden="1" customHeight="1" x14ac:dyDescent="0.2">
      <c r="A130" s="42"/>
      <c r="B130" s="106" t="s">
        <v>1321</v>
      </c>
      <c r="C130" s="86">
        <f>D130/7</f>
        <v>0</v>
      </c>
      <c r="D130" s="87">
        <v>0</v>
      </c>
      <c r="E130" s="86">
        <f>D130*4</f>
        <v>0</v>
      </c>
      <c r="F130" s="88">
        <f>E130*3</f>
        <v>0</v>
      </c>
      <c r="G130" s="80"/>
    </row>
    <row r="131" spans="1:11" ht="10.5" hidden="1" customHeight="1" x14ac:dyDescent="0.2">
      <c r="A131" s="42"/>
      <c r="B131" s="106" t="s">
        <v>1322</v>
      </c>
      <c r="C131" s="86">
        <f>D131/7</f>
        <v>0</v>
      </c>
      <c r="D131" s="87">
        <v>0</v>
      </c>
      <c r="E131" s="86">
        <f>D131*4</f>
        <v>0</v>
      </c>
      <c r="F131" s="88">
        <f>E131*3</f>
        <v>0</v>
      </c>
      <c r="G131" s="80"/>
    </row>
    <row r="132" spans="1:11" ht="10.5" hidden="1" customHeight="1" x14ac:dyDescent="0.2">
      <c r="A132" s="42"/>
      <c r="B132" s="106" t="s">
        <v>1323</v>
      </c>
      <c r="C132" s="86">
        <f>D132/7</f>
        <v>0</v>
      </c>
      <c r="D132" s="87">
        <v>0</v>
      </c>
      <c r="E132" s="86">
        <f>D132*4</f>
        <v>0</v>
      </c>
      <c r="F132" s="88">
        <f>E132*3</f>
        <v>0</v>
      </c>
      <c r="G132" s="80"/>
    </row>
    <row r="133" spans="1:11" ht="10.5" hidden="1" customHeight="1" x14ac:dyDescent="0.2">
      <c r="A133" s="42"/>
      <c r="B133" s="106"/>
      <c r="C133" s="86"/>
      <c r="D133" s="87"/>
      <c r="E133" s="86"/>
      <c r="F133" s="88"/>
      <c r="G133" s="80"/>
    </row>
    <row r="134" spans="1:11" ht="10.5" hidden="1" customHeight="1" x14ac:dyDescent="0.2">
      <c r="A134" s="42"/>
      <c r="B134" s="89" t="s">
        <v>1324</v>
      </c>
      <c r="C134" s="87">
        <f>SUM(C126:C133)</f>
        <v>142.85714285714286</v>
      </c>
      <c r="D134" s="87">
        <f>SUM(D126:D133)</f>
        <v>1000</v>
      </c>
      <c r="E134" s="87">
        <f>SUM(E126:E133)</f>
        <v>4000</v>
      </c>
      <c r="F134" s="87">
        <f>SUM(F126:F133)</f>
        <v>12000</v>
      </c>
      <c r="G134" s="100"/>
    </row>
    <row r="135" spans="1:11" ht="10.5" hidden="1" customHeight="1" x14ac:dyDescent="0.2">
      <c r="A135" s="42"/>
      <c r="B135" s="89" t="s">
        <v>1325</v>
      </c>
      <c r="C135" s="86">
        <f>D135/7</f>
        <v>71.428571428571431</v>
      </c>
      <c r="D135" s="87">
        <f>D134/C117</f>
        <v>500</v>
      </c>
      <c r="E135" s="86">
        <f>D135*4</f>
        <v>2000</v>
      </c>
      <c r="F135" s="88">
        <f>E135*3</f>
        <v>6000</v>
      </c>
      <c r="G135" s="80"/>
    </row>
    <row r="136" spans="1:11" ht="10.8" customHeight="1" thickBot="1" x14ac:dyDescent="0.25">
      <c r="A136" s="42"/>
      <c r="B136" s="113"/>
      <c r="C136" s="90"/>
      <c r="D136" s="91"/>
      <c r="E136" s="90"/>
      <c r="F136" s="92"/>
      <c r="G136" s="80"/>
    </row>
    <row r="137" spans="1:11" ht="10.5" customHeight="1" x14ac:dyDescent="0.2">
      <c r="A137" s="42" t="s">
        <v>1309</v>
      </c>
      <c r="B137" s="256" t="s">
        <v>1306</v>
      </c>
      <c r="C137" s="257" t="s">
        <v>1334</v>
      </c>
      <c r="D137" s="258" t="s">
        <v>1326</v>
      </c>
      <c r="E137" s="263"/>
      <c r="F137" s="260"/>
      <c r="K137" s="80"/>
    </row>
    <row r="138" spans="1:11" ht="10.5" hidden="1" customHeight="1" x14ac:dyDescent="0.2">
      <c r="B138" s="107" t="s">
        <v>1310</v>
      </c>
      <c r="C138" s="109">
        <v>3</v>
      </c>
      <c r="D138" s="83"/>
      <c r="E138" s="83"/>
      <c r="F138" s="84"/>
      <c r="K138" s="80"/>
    </row>
    <row r="139" spans="1:11" ht="10.5" hidden="1" customHeight="1" x14ac:dyDescent="0.2">
      <c r="A139" s="42"/>
      <c r="B139" s="85" t="s">
        <v>1311</v>
      </c>
      <c r="C139" s="104" t="s">
        <v>1312</v>
      </c>
      <c r="D139" s="86"/>
      <c r="E139" s="87"/>
      <c r="F139" s="88"/>
      <c r="G139" s="80"/>
    </row>
    <row r="140" spans="1:11" ht="10.5" hidden="1" customHeight="1" x14ac:dyDescent="0.2">
      <c r="A140" s="42"/>
      <c r="B140" s="85" t="s">
        <v>1313</v>
      </c>
      <c r="C140" s="104" t="s">
        <v>1312</v>
      </c>
      <c r="D140" s="86"/>
      <c r="E140" s="87"/>
      <c r="F140" s="88"/>
      <c r="G140" s="80"/>
    </row>
    <row r="141" spans="1:11" ht="10.5" hidden="1" customHeight="1" x14ac:dyDescent="0.2">
      <c r="A141" s="42"/>
      <c r="B141" s="85" t="s">
        <v>1314</v>
      </c>
      <c r="C141" s="104" t="s">
        <v>1312</v>
      </c>
      <c r="D141" s="86"/>
      <c r="E141" s="87"/>
      <c r="F141" s="88"/>
      <c r="G141" s="80"/>
    </row>
    <row r="142" spans="1:11" ht="10.5" hidden="1" customHeight="1" x14ac:dyDescent="0.2">
      <c r="A142" s="42"/>
      <c r="B142" s="85" t="s">
        <v>1315</v>
      </c>
      <c r="C142" s="104" t="s">
        <v>1312</v>
      </c>
      <c r="D142" s="86"/>
      <c r="E142" s="87"/>
      <c r="F142" s="88"/>
      <c r="G142" s="80"/>
    </row>
    <row r="143" spans="1:11" ht="10.5" hidden="1" customHeight="1" x14ac:dyDescent="0.2">
      <c r="A143" s="42"/>
      <c r="B143" s="85" t="s">
        <v>1316</v>
      </c>
      <c r="C143" s="104" t="s">
        <v>1312</v>
      </c>
      <c r="D143" s="86"/>
      <c r="E143" s="87"/>
      <c r="F143" s="88"/>
      <c r="G143" s="80"/>
    </row>
    <row r="144" spans="1:11" ht="10.5" hidden="1" customHeight="1" x14ac:dyDescent="0.2">
      <c r="A144" s="42"/>
      <c r="B144" s="85" t="s">
        <v>1317</v>
      </c>
      <c r="C144" s="104" t="s">
        <v>1312</v>
      </c>
      <c r="D144" s="86"/>
      <c r="E144" s="87"/>
      <c r="F144" s="88"/>
      <c r="G144" s="80"/>
    </row>
    <row r="145" spans="1:11" ht="10.5" hidden="1" customHeight="1" x14ac:dyDescent="0.2">
      <c r="A145" s="42"/>
      <c r="B145" s="112" t="s">
        <v>1333</v>
      </c>
      <c r="C145" s="86"/>
      <c r="D145" s="86"/>
      <c r="E145" s="87"/>
      <c r="F145" s="88"/>
      <c r="G145" s="80"/>
    </row>
    <row r="146" spans="1:11" ht="10.5" hidden="1" customHeight="1" x14ac:dyDescent="0.2">
      <c r="A146" s="42"/>
      <c r="B146" s="85"/>
      <c r="C146" s="97" t="s">
        <v>1304</v>
      </c>
      <c r="D146" s="97" t="s">
        <v>108</v>
      </c>
      <c r="E146" s="97" t="s">
        <v>945</v>
      </c>
      <c r="F146" s="105" t="s">
        <v>1305</v>
      </c>
      <c r="G146" s="80"/>
    </row>
    <row r="147" spans="1:11" ht="10.5" hidden="1" customHeight="1" x14ac:dyDescent="0.2">
      <c r="A147" s="42"/>
      <c r="B147" s="89" t="s">
        <v>1318</v>
      </c>
      <c r="C147" s="86">
        <f>D147/7</f>
        <v>178.57142857142858</v>
      </c>
      <c r="D147" s="87">
        <v>1250</v>
      </c>
      <c r="E147" s="86">
        <f>D147*4</f>
        <v>5000</v>
      </c>
      <c r="F147" s="88">
        <f>E147*3</f>
        <v>15000</v>
      </c>
      <c r="G147" s="80"/>
    </row>
    <row r="148" spans="1:11" ht="10.5" hidden="1" customHeight="1" x14ac:dyDescent="0.2">
      <c r="A148" s="42"/>
      <c r="B148" s="89"/>
      <c r="C148" s="86"/>
      <c r="D148" s="87"/>
      <c r="E148" s="86"/>
      <c r="F148" s="88"/>
      <c r="G148" s="80"/>
    </row>
    <row r="149" spans="1:11" ht="10.5" hidden="1" customHeight="1" x14ac:dyDescent="0.2">
      <c r="A149" s="42"/>
      <c r="B149" s="106" t="s">
        <v>1319</v>
      </c>
      <c r="C149" s="86">
        <f>D149/7</f>
        <v>0</v>
      </c>
      <c r="D149" s="87">
        <v>0</v>
      </c>
      <c r="E149" s="86">
        <f>D149*4</f>
        <v>0</v>
      </c>
      <c r="F149" s="88">
        <f>E149*3</f>
        <v>0</v>
      </c>
      <c r="G149" s="80"/>
    </row>
    <row r="150" spans="1:11" ht="10.5" hidden="1" customHeight="1" x14ac:dyDescent="0.2">
      <c r="A150" s="42"/>
      <c r="B150" s="106" t="s">
        <v>1320</v>
      </c>
      <c r="C150" s="86">
        <f>D150/7</f>
        <v>0</v>
      </c>
      <c r="D150" s="87">
        <v>0</v>
      </c>
      <c r="E150" s="86">
        <f>D150*4</f>
        <v>0</v>
      </c>
      <c r="F150" s="88">
        <f>E150*3</f>
        <v>0</v>
      </c>
      <c r="G150" s="80"/>
    </row>
    <row r="151" spans="1:11" ht="10.5" hidden="1" customHeight="1" x14ac:dyDescent="0.2">
      <c r="A151" s="42"/>
      <c r="B151" s="106" t="s">
        <v>1321</v>
      </c>
      <c r="C151" s="86">
        <f>D151/7</f>
        <v>0</v>
      </c>
      <c r="D151" s="87">
        <v>0</v>
      </c>
      <c r="E151" s="86">
        <f>D151*4</f>
        <v>0</v>
      </c>
      <c r="F151" s="88">
        <f>E151*3</f>
        <v>0</v>
      </c>
      <c r="G151" s="80"/>
    </row>
    <row r="152" spans="1:11" ht="10.5" hidden="1" customHeight="1" x14ac:dyDescent="0.2">
      <c r="A152" s="42"/>
      <c r="B152" s="106" t="s">
        <v>1322</v>
      </c>
      <c r="C152" s="86">
        <f>D152/7</f>
        <v>0</v>
      </c>
      <c r="D152" s="87">
        <v>0</v>
      </c>
      <c r="E152" s="86">
        <f>D152*4</f>
        <v>0</v>
      </c>
      <c r="F152" s="88">
        <f>E152*3</f>
        <v>0</v>
      </c>
      <c r="G152" s="80"/>
    </row>
    <row r="153" spans="1:11" ht="10.5" hidden="1" customHeight="1" x14ac:dyDescent="0.2">
      <c r="A153" s="42"/>
      <c r="B153" s="106" t="s">
        <v>1323</v>
      </c>
      <c r="C153" s="86">
        <f>D153/7</f>
        <v>0</v>
      </c>
      <c r="D153" s="87">
        <v>0</v>
      </c>
      <c r="E153" s="86">
        <f>D153*4</f>
        <v>0</v>
      </c>
      <c r="F153" s="88">
        <f>E153*3</f>
        <v>0</v>
      </c>
      <c r="G153" s="80"/>
    </row>
    <row r="154" spans="1:11" ht="10.5" hidden="1" customHeight="1" x14ac:dyDescent="0.2">
      <c r="A154" s="42"/>
      <c r="B154" s="106"/>
      <c r="C154" s="86"/>
      <c r="D154" s="87"/>
      <c r="E154" s="86"/>
      <c r="F154" s="88"/>
      <c r="G154" s="80"/>
    </row>
    <row r="155" spans="1:11" ht="10.5" hidden="1" customHeight="1" x14ac:dyDescent="0.2">
      <c r="A155" s="42"/>
      <c r="B155" s="89" t="s">
        <v>1324</v>
      </c>
      <c r="C155" s="87">
        <f>SUM(C147:C154)</f>
        <v>178.57142857142858</v>
      </c>
      <c r="D155" s="87">
        <f>SUM(D147:D154)</f>
        <v>1250</v>
      </c>
      <c r="E155" s="87">
        <f>SUM(E147:E154)</f>
        <v>5000</v>
      </c>
      <c r="F155" s="87">
        <f>SUM(F147:F154)</f>
        <v>15000</v>
      </c>
      <c r="G155" s="100"/>
    </row>
    <row r="156" spans="1:11" ht="10.5" hidden="1" customHeight="1" x14ac:dyDescent="0.2">
      <c r="A156" s="42"/>
      <c r="B156" s="89" t="s">
        <v>1325</v>
      </c>
      <c r="C156" s="86">
        <f>D156/7</f>
        <v>59.523809523809526</v>
      </c>
      <c r="D156" s="87">
        <f>D155/C138</f>
        <v>416.66666666666669</v>
      </c>
      <c r="E156" s="86">
        <f>D156*4</f>
        <v>1666.6666666666667</v>
      </c>
      <c r="F156" s="88">
        <f>E156*3</f>
        <v>5000</v>
      </c>
      <c r="G156" s="80"/>
    </row>
    <row r="157" spans="1:11" ht="10.8" customHeight="1" thickBot="1" x14ac:dyDescent="0.25">
      <c r="A157" s="42"/>
      <c r="B157" s="113"/>
      <c r="C157" s="90"/>
      <c r="D157" s="91"/>
      <c r="E157" s="90"/>
      <c r="F157" s="92"/>
      <c r="G157" s="80"/>
    </row>
    <row r="158" spans="1:11" ht="10.5" customHeight="1" x14ac:dyDescent="0.2">
      <c r="A158" s="42"/>
      <c r="B158" s="107" t="s">
        <v>1329</v>
      </c>
      <c r="C158" s="109" t="s">
        <v>1334</v>
      </c>
      <c r="D158" s="201" t="s">
        <v>1330</v>
      </c>
      <c r="E158" s="83"/>
      <c r="F158" s="84"/>
      <c r="K158" s="80"/>
    </row>
    <row r="159" spans="1:11" ht="10.5" customHeight="1" x14ac:dyDescent="0.2">
      <c r="A159" s="42" t="s">
        <v>1309</v>
      </c>
      <c r="B159" s="107" t="s">
        <v>1310</v>
      </c>
      <c r="C159" s="109">
        <v>2</v>
      </c>
      <c r="D159" s="83"/>
      <c r="E159" s="83"/>
      <c r="F159" s="84"/>
      <c r="K159" s="80"/>
    </row>
    <row r="160" spans="1:11" ht="10.5" hidden="1" customHeight="1" x14ac:dyDescent="0.2">
      <c r="A160" s="42"/>
      <c r="B160" s="85" t="s">
        <v>1311</v>
      </c>
      <c r="C160" s="104" t="s">
        <v>1312</v>
      </c>
      <c r="D160" s="86"/>
      <c r="E160" s="87"/>
      <c r="F160" s="88"/>
      <c r="G160" s="80"/>
    </row>
    <row r="161" spans="1:7" ht="10.5" hidden="1" customHeight="1" x14ac:dyDescent="0.2">
      <c r="A161" s="42"/>
      <c r="B161" s="85" t="s">
        <v>1313</v>
      </c>
      <c r="C161" s="104" t="s">
        <v>1312</v>
      </c>
      <c r="D161" s="86"/>
      <c r="E161" s="87"/>
      <c r="F161" s="88"/>
      <c r="G161" s="80"/>
    </row>
    <row r="162" spans="1:7" ht="10.5" hidden="1" customHeight="1" x14ac:dyDescent="0.2">
      <c r="A162" s="42"/>
      <c r="B162" s="85" t="s">
        <v>1314</v>
      </c>
      <c r="C162" s="104" t="s">
        <v>1312</v>
      </c>
      <c r="D162" s="86"/>
      <c r="E162" s="87"/>
      <c r="F162" s="88"/>
      <c r="G162" s="80"/>
    </row>
    <row r="163" spans="1:7" ht="10.5" hidden="1" customHeight="1" x14ac:dyDescent="0.2">
      <c r="A163" s="42"/>
      <c r="B163" s="85" t="s">
        <v>1315</v>
      </c>
      <c r="C163" s="104" t="s">
        <v>1312</v>
      </c>
      <c r="D163" s="86"/>
      <c r="E163" s="87"/>
      <c r="F163" s="88"/>
      <c r="G163" s="80"/>
    </row>
    <row r="164" spans="1:7" ht="10.5" hidden="1" customHeight="1" x14ac:dyDescent="0.2">
      <c r="A164" s="42"/>
      <c r="B164" s="85" t="s">
        <v>1316</v>
      </c>
      <c r="C164" s="104" t="s">
        <v>1312</v>
      </c>
      <c r="D164" s="86"/>
      <c r="E164" s="87"/>
      <c r="F164" s="88"/>
      <c r="G164" s="80"/>
    </row>
    <row r="165" spans="1:7" ht="10.5" hidden="1" customHeight="1" x14ac:dyDescent="0.2">
      <c r="A165" s="42"/>
      <c r="B165" s="85" t="s">
        <v>1317</v>
      </c>
      <c r="C165" s="104" t="s">
        <v>1312</v>
      </c>
      <c r="D165" s="86"/>
      <c r="E165" s="87"/>
      <c r="F165" s="88"/>
      <c r="G165" s="80"/>
    </row>
    <row r="166" spans="1:7" ht="10.5" hidden="1" customHeight="1" x14ac:dyDescent="0.2">
      <c r="A166" s="42"/>
      <c r="B166" s="112" t="s">
        <v>1333</v>
      </c>
      <c r="C166" s="86"/>
      <c r="D166" s="86"/>
      <c r="E166" s="87"/>
      <c r="F166" s="88"/>
      <c r="G166" s="80"/>
    </row>
    <row r="167" spans="1:7" ht="10.5" hidden="1" customHeight="1" x14ac:dyDescent="0.2">
      <c r="A167" s="42"/>
      <c r="B167" s="85"/>
      <c r="C167" s="97" t="s">
        <v>1304</v>
      </c>
      <c r="D167" s="97" t="s">
        <v>108</v>
      </c>
      <c r="E167" s="97" t="s">
        <v>945</v>
      </c>
      <c r="F167" s="105" t="s">
        <v>1305</v>
      </c>
      <c r="G167" s="80"/>
    </row>
    <row r="168" spans="1:7" ht="10.5" hidden="1" customHeight="1" x14ac:dyDescent="0.2">
      <c r="A168" s="42"/>
      <c r="B168" s="89" t="s">
        <v>1318</v>
      </c>
      <c r="C168" s="86">
        <f>D168/7</f>
        <v>185.71428571428572</v>
      </c>
      <c r="D168" s="87">
        <v>1300</v>
      </c>
      <c r="E168" s="86">
        <f>D168*4</f>
        <v>5200</v>
      </c>
      <c r="F168" s="88">
        <f>E168*3</f>
        <v>15600</v>
      </c>
      <c r="G168" s="80"/>
    </row>
    <row r="169" spans="1:7" ht="10.5" hidden="1" customHeight="1" x14ac:dyDescent="0.2">
      <c r="A169" s="42"/>
      <c r="B169" s="89"/>
      <c r="C169" s="86"/>
      <c r="D169" s="87"/>
      <c r="E169" s="86"/>
      <c r="F169" s="88"/>
      <c r="G169" s="80"/>
    </row>
    <row r="170" spans="1:7" ht="10.5" hidden="1" customHeight="1" x14ac:dyDescent="0.2">
      <c r="A170" s="42"/>
      <c r="B170" s="106" t="s">
        <v>1319</v>
      </c>
      <c r="C170" s="86">
        <f>D170/7</f>
        <v>0</v>
      </c>
      <c r="D170" s="87">
        <v>0</v>
      </c>
      <c r="E170" s="86">
        <f>D170*4</f>
        <v>0</v>
      </c>
      <c r="F170" s="88">
        <f>E170*3</f>
        <v>0</v>
      </c>
      <c r="G170" s="80"/>
    </row>
    <row r="171" spans="1:7" ht="10.5" hidden="1" customHeight="1" x14ac:dyDescent="0.2">
      <c r="A171" s="42"/>
      <c r="B171" s="106" t="s">
        <v>1320</v>
      </c>
      <c r="C171" s="86">
        <f>D171/7</f>
        <v>0</v>
      </c>
      <c r="D171" s="87">
        <v>0</v>
      </c>
      <c r="E171" s="86">
        <f>D171*4</f>
        <v>0</v>
      </c>
      <c r="F171" s="88">
        <f>E171*3</f>
        <v>0</v>
      </c>
      <c r="G171" s="80"/>
    </row>
    <row r="172" spans="1:7" ht="10.5" hidden="1" customHeight="1" x14ac:dyDescent="0.2">
      <c r="A172" s="42"/>
      <c r="B172" s="106" t="s">
        <v>1321</v>
      </c>
      <c r="C172" s="86">
        <f>D172/7</f>
        <v>0</v>
      </c>
      <c r="D172" s="87">
        <v>0</v>
      </c>
      <c r="E172" s="86">
        <f>D172*4</f>
        <v>0</v>
      </c>
      <c r="F172" s="88">
        <f>E172*3</f>
        <v>0</v>
      </c>
      <c r="G172" s="80"/>
    </row>
    <row r="173" spans="1:7" ht="10.5" hidden="1" customHeight="1" x14ac:dyDescent="0.2">
      <c r="A173" s="42"/>
      <c r="B173" s="106" t="s">
        <v>1322</v>
      </c>
      <c r="C173" s="86">
        <f>D173/7</f>
        <v>0</v>
      </c>
      <c r="D173" s="87">
        <v>0</v>
      </c>
      <c r="E173" s="86">
        <f>D173*4</f>
        <v>0</v>
      </c>
      <c r="F173" s="88">
        <f>E173*3</f>
        <v>0</v>
      </c>
      <c r="G173" s="80"/>
    </row>
    <row r="174" spans="1:7" ht="10.5" hidden="1" customHeight="1" x14ac:dyDescent="0.2">
      <c r="A174" s="42"/>
      <c r="B174" s="106" t="s">
        <v>1323</v>
      </c>
      <c r="C174" s="86">
        <f>D174/7</f>
        <v>0</v>
      </c>
      <c r="D174" s="87">
        <v>0</v>
      </c>
      <c r="E174" s="86">
        <f>D174*4</f>
        <v>0</v>
      </c>
      <c r="F174" s="88">
        <f>E174*3</f>
        <v>0</v>
      </c>
      <c r="G174" s="80"/>
    </row>
    <row r="175" spans="1:7" ht="10.5" customHeight="1" x14ac:dyDescent="0.2">
      <c r="A175" s="42"/>
      <c r="B175" s="106"/>
      <c r="C175" s="86"/>
      <c r="D175" s="87"/>
      <c r="E175" s="86"/>
      <c r="F175" s="88"/>
      <c r="G175" s="80"/>
    </row>
    <row r="176" spans="1:7" ht="10.5" customHeight="1" x14ac:dyDescent="0.2">
      <c r="A176" s="42"/>
      <c r="B176" s="89" t="s">
        <v>1324</v>
      </c>
      <c r="C176" s="87">
        <f>SUM(C168:C175)</f>
        <v>185.71428571428572</v>
      </c>
      <c r="D176" s="87">
        <f>SUM(D168:D175)</f>
        <v>1300</v>
      </c>
      <c r="E176" s="87">
        <f>SUM(E168:E175)</f>
        <v>5200</v>
      </c>
      <c r="F176" s="87">
        <f>SUM(F168:F175)</f>
        <v>15600</v>
      </c>
      <c r="G176" s="100"/>
    </row>
    <row r="177" spans="1:11" ht="10.5" customHeight="1" x14ac:dyDescent="0.2">
      <c r="A177" s="42"/>
      <c r="B177" s="89" t="s">
        <v>1325</v>
      </c>
      <c r="C177" s="86">
        <f>D177/7</f>
        <v>92.857142857142861</v>
      </c>
      <c r="D177" s="87">
        <f>D176/C159</f>
        <v>650</v>
      </c>
      <c r="E177" s="86">
        <f>D177*4</f>
        <v>2600</v>
      </c>
      <c r="F177" s="88">
        <f>E177*3</f>
        <v>7800</v>
      </c>
      <c r="G177" s="80"/>
    </row>
    <row r="178" spans="1:11" ht="10.8" customHeight="1" thickBot="1" x14ac:dyDescent="0.25">
      <c r="A178" s="42"/>
      <c r="B178" s="110"/>
      <c r="C178" s="90"/>
      <c r="D178" s="90"/>
      <c r="E178" s="91"/>
      <c r="F178" s="92"/>
      <c r="G178" s="80"/>
    </row>
    <row r="179" spans="1:11" ht="10.5" customHeight="1" x14ac:dyDescent="0.2">
      <c r="A179" s="264" t="s">
        <v>1309</v>
      </c>
      <c r="B179" s="256" t="s">
        <v>1329</v>
      </c>
      <c r="C179" s="257" t="s">
        <v>1334</v>
      </c>
      <c r="D179" s="258" t="s">
        <v>1326</v>
      </c>
      <c r="E179" s="263"/>
      <c r="F179" s="260"/>
      <c r="K179" s="80"/>
    </row>
    <row r="180" spans="1:11" ht="10.5" hidden="1" customHeight="1" x14ac:dyDescent="0.2">
      <c r="A180" s="42"/>
      <c r="B180" s="107" t="s">
        <v>1310</v>
      </c>
      <c r="C180" s="109">
        <v>4</v>
      </c>
      <c r="D180" s="83"/>
      <c r="E180" s="83"/>
      <c r="F180" s="84"/>
      <c r="K180" s="80"/>
    </row>
    <row r="181" spans="1:11" ht="10.5" hidden="1" customHeight="1" x14ac:dyDescent="0.2">
      <c r="A181" s="42"/>
      <c r="B181" s="85" t="s">
        <v>1311</v>
      </c>
      <c r="C181" s="104" t="s">
        <v>1312</v>
      </c>
      <c r="D181" s="86"/>
      <c r="E181" s="87"/>
      <c r="F181" s="88"/>
      <c r="G181" s="80"/>
    </row>
    <row r="182" spans="1:11" ht="10.5" hidden="1" customHeight="1" x14ac:dyDescent="0.2">
      <c r="A182" s="42"/>
      <c r="B182" s="85" t="s">
        <v>1313</v>
      </c>
      <c r="C182" s="104" t="s">
        <v>1312</v>
      </c>
      <c r="D182" s="86"/>
      <c r="E182" s="87"/>
      <c r="F182" s="88"/>
      <c r="G182" s="80"/>
    </row>
    <row r="183" spans="1:11" ht="10.5" hidden="1" customHeight="1" x14ac:dyDescent="0.2">
      <c r="A183" s="42"/>
      <c r="B183" s="85" t="s">
        <v>1314</v>
      </c>
      <c r="C183" s="104" t="s">
        <v>1312</v>
      </c>
      <c r="D183" s="86"/>
      <c r="E183" s="87"/>
      <c r="F183" s="88"/>
      <c r="G183" s="80"/>
    </row>
    <row r="184" spans="1:11" ht="10.5" hidden="1" customHeight="1" x14ac:dyDescent="0.2">
      <c r="A184" s="42"/>
      <c r="B184" s="85" t="s">
        <v>1315</v>
      </c>
      <c r="C184" s="104" t="s">
        <v>1312</v>
      </c>
      <c r="D184" s="86"/>
      <c r="E184" s="87"/>
      <c r="F184" s="88"/>
      <c r="G184" s="80"/>
    </row>
    <row r="185" spans="1:11" ht="10.5" hidden="1" customHeight="1" x14ac:dyDescent="0.2">
      <c r="A185" s="42"/>
      <c r="B185" s="85" t="s">
        <v>1316</v>
      </c>
      <c r="C185" s="104" t="s">
        <v>1312</v>
      </c>
      <c r="D185" s="86"/>
      <c r="E185" s="87"/>
      <c r="F185" s="88"/>
      <c r="G185" s="80"/>
    </row>
    <row r="186" spans="1:11" ht="10.5" hidden="1" customHeight="1" x14ac:dyDescent="0.2">
      <c r="A186" s="42"/>
      <c r="B186" s="85" t="s">
        <v>1317</v>
      </c>
      <c r="C186" s="104" t="s">
        <v>1312</v>
      </c>
      <c r="D186" s="86"/>
      <c r="E186" s="87"/>
      <c r="F186" s="88"/>
      <c r="G186" s="80"/>
    </row>
    <row r="187" spans="1:11" ht="10.5" hidden="1" customHeight="1" x14ac:dyDescent="0.2">
      <c r="A187" s="42"/>
      <c r="B187" s="112" t="s">
        <v>1333</v>
      </c>
      <c r="C187" s="86"/>
      <c r="D187" s="86"/>
      <c r="E187" s="87"/>
      <c r="F187" s="88"/>
      <c r="G187" s="80"/>
    </row>
    <row r="188" spans="1:11" ht="10.5" hidden="1" customHeight="1" x14ac:dyDescent="0.2">
      <c r="A188" s="42"/>
      <c r="B188" s="85"/>
      <c r="C188" s="97" t="s">
        <v>1304</v>
      </c>
      <c r="D188" s="97" t="s">
        <v>108</v>
      </c>
      <c r="E188" s="97" t="s">
        <v>945</v>
      </c>
      <c r="F188" s="105" t="s">
        <v>1305</v>
      </c>
      <c r="G188" s="80"/>
    </row>
    <row r="189" spans="1:11" ht="10.5" hidden="1" customHeight="1" x14ac:dyDescent="0.2">
      <c r="A189" s="42"/>
      <c r="B189" s="89" t="s">
        <v>1318</v>
      </c>
      <c r="C189" s="86">
        <f>D189/7</f>
        <v>240</v>
      </c>
      <c r="D189" s="87">
        <v>1680</v>
      </c>
      <c r="E189" s="86">
        <f>D189*4</f>
        <v>6720</v>
      </c>
      <c r="F189" s="88">
        <f>E189*3</f>
        <v>20160</v>
      </c>
      <c r="G189" s="80"/>
    </row>
    <row r="190" spans="1:11" ht="10.5" hidden="1" customHeight="1" x14ac:dyDescent="0.2">
      <c r="A190" s="42"/>
      <c r="B190" s="89"/>
      <c r="C190" s="86"/>
      <c r="D190" s="87"/>
      <c r="E190" s="86"/>
      <c r="F190" s="88"/>
      <c r="G190" s="80"/>
    </row>
    <row r="191" spans="1:11" ht="10.5" hidden="1" customHeight="1" x14ac:dyDescent="0.2">
      <c r="A191" s="42"/>
      <c r="B191" s="106" t="s">
        <v>1319</v>
      </c>
      <c r="C191" s="86">
        <f>D191/7</f>
        <v>0</v>
      </c>
      <c r="D191" s="87">
        <v>0</v>
      </c>
      <c r="E191" s="86">
        <f>D191*4</f>
        <v>0</v>
      </c>
      <c r="F191" s="88">
        <f>E191*3</f>
        <v>0</v>
      </c>
      <c r="G191" s="80"/>
    </row>
    <row r="192" spans="1:11" ht="10.5" hidden="1" customHeight="1" x14ac:dyDescent="0.2">
      <c r="A192" s="42"/>
      <c r="B192" s="106" t="s">
        <v>1320</v>
      </c>
      <c r="C192" s="86">
        <f>D192/7</f>
        <v>0</v>
      </c>
      <c r="D192" s="87">
        <v>0</v>
      </c>
      <c r="E192" s="86">
        <f>D192*4</f>
        <v>0</v>
      </c>
      <c r="F192" s="88">
        <f>E192*3</f>
        <v>0</v>
      </c>
      <c r="G192" s="80"/>
    </row>
    <row r="193" spans="1:11" ht="10.5" hidden="1" customHeight="1" x14ac:dyDescent="0.2">
      <c r="A193" s="42"/>
      <c r="B193" s="106" t="s">
        <v>1321</v>
      </c>
      <c r="C193" s="86">
        <f>D193/7</f>
        <v>0</v>
      </c>
      <c r="D193" s="87">
        <v>0</v>
      </c>
      <c r="E193" s="86">
        <f>D193*4</f>
        <v>0</v>
      </c>
      <c r="F193" s="88">
        <f>E193*3</f>
        <v>0</v>
      </c>
      <c r="G193" s="80"/>
    </row>
    <row r="194" spans="1:11" ht="10.5" hidden="1" customHeight="1" x14ac:dyDescent="0.2">
      <c r="A194" s="42"/>
      <c r="B194" s="106" t="s">
        <v>1322</v>
      </c>
      <c r="C194" s="86">
        <f>D194/7</f>
        <v>0</v>
      </c>
      <c r="D194" s="87">
        <v>0</v>
      </c>
      <c r="E194" s="86">
        <f>D194*4</f>
        <v>0</v>
      </c>
      <c r="F194" s="88">
        <f>E194*3</f>
        <v>0</v>
      </c>
      <c r="G194" s="80"/>
    </row>
    <row r="195" spans="1:11" ht="10.5" hidden="1" customHeight="1" x14ac:dyDescent="0.2">
      <c r="A195" s="42"/>
      <c r="B195" s="106" t="s">
        <v>1323</v>
      </c>
      <c r="C195" s="86">
        <f>D195/7</f>
        <v>0</v>
      </c>
      <c r="D195" s="87">
        <v>0</v>
      </c>
      <c r="E195" s="86">
        <f>D195*4</f>
        <v>0</v>
      </c>
      <c r="F195" s="88">
        <f>E195*3</f>
        <v>0</v>
      </c>
      <c r="G195" s="80"/>
    </row>
    <row r="196" spans="1:11" ht="10.5" hidden="1" customHeight="1" x14ac:dyDescent="0.2">
      <c r="A196" s="42"/>
      <c r="B196" s="106"/>
      <c r="C196" s="86"/>
      <c r="D196" s="87"/>
      <c r="E196" s="86"/>
      <c r="F196" s="88"/>
      <c r="G196" s="80"/>
    </row>
    <row r="197" spans="1:11" ht="10.5" hidden="1" customHeight="1" x14ac:dyDescent="0.2">
      <c r="A197" s="42"/>
      <c r="B197" s="89" t="s">
        <v>1324</v>
      </c>
      <c r="C197" s="87">
        <f>SUM(C189:C196)</f>
        <v>240</v>
      </c>
      <c r="D197" s="87">
        <f>SUM(D189:D196)</f>
        <v>1680</v>
      </c>
      <c r="E197" s="87">
        <f>SUM(E189:E196)</f>
        <v>6720</v>
      </c>
      <c r="F197" s="87">
        <f>SUM(F189:F196)</f>
        <v>20160</v>
      </c>
      <c r="G197" s="100"/>
    </row>
    <row r="198" spans="1:11" ht="10.5" hidden="1" customHeight="1" x14ac:dyDescent="0.2">
      <c r="A198" s="42"/>
      <c r="B198" s="89" t="s">
        <v>1325</v>
      </c>
      <c r="C198" s="86">
        <f>D198/7</f>
        <v>60</v>
      </c>
      <c r="D198" s="87">
        <f>D197/C180</f>
        <v>420</v>
      </c>
      <c r="E198" s="86">
        <f>D198*4</f>
        <v>1680</v>
      </c>
      <c r="F198" s="88">
        <f>E198*3</f>
        <v>5040</v>
      </c>
      <c r="G198" s="80"/>
    </row>
    <row r="199" spans="1:11" ht="10.8" customHeight="1" thickBot="1" x14ac:dyDescent="0.25">
      <c r="A199" s="42"/>
      <c r="B199" s="110"/>
      <c r="C199" s="90"/>
      <c r="D199" s="90"/>
      <c r="E199" s="91"/>
      <c r="F199" s="92"/>
      <c r="G199" s="80"/>
    </row>
    <row r="200" spans="1:11" ht="10.5" customHeight="1" x14ac:dyDescent="0.2">
      <c r="A200" s="42"/>
      <c r="B200" s="107" t="s">
        <v>1335</v>
      </c>
      <c r="C200" s="109" t="s">
        <v>1334</v>
      </c>
      <c r="D200" s="201" t="s">
        <v>1330</v>
      </c>
      <c r="E200" s="83"/>
      <c r="F200" s="84"/>
      <c r="K200" s="80"/>
    </row>
    <row r="201" spans="1:11" ht="10.5" customHeight="1" x14ac:dyDescent="0.2">
      <c r="A201" s="42" t="s">
        <v>1309</v>
      </c>
      <c r="B201" s="107" t="s">
        <v>1310</v>
      </c>
      <c r="C201" s="109">
        <v>3</v>
      </c>
      <c r="D201" s="83"/>
      <c r="E201" s="83"/>
      <c r="F201" s="84"/>
      <c r="K201" s="80"/>
    </row>
    <row r="202" spans="1:11" ht="10.5" hidden="1" customHeight="1" x14ac:dyDescent="0.2">
      <c r="A202" s="42"/>
      <c r="B202" s="85" t="s">
        <v>1311</v>
      </c>
      <c r="C202" s="104" t="s">
        <v>1312</v>
      </c>
      <c r="D202" s="86"/>
      <c r="E202" s="87"/>
      <c r="F202" s="88"/>
      <c r="G202" s="80"/>
    </row>
    <row r="203" spans="1:11" ht="10.5" hidden="1" customHeight="1" x14ac:dyDescent="0.2">
      <c r="A203" s="42"/>
      <c r="B203" s="85" t="s">
        <v>1313</v>
      </c>
      <c r="C203" s="104" t="s">
        <v>1312</v>
      </c>
      <c r="D203" s="86"/>
      <c r="E203" s="87"/>
      <c r="F203" s="88"/>
      <c r="G203" s="80"/>
    </row>
    <row r="204" spans="1:11" ht="10.5" hidden="1" customHeight="1" x14ac:dyDescent="0.2">
      <c r="A204" s="42"/>
      <c r="B204" s="85" t="s">
        <v>1314</v>
      </c>
      <c r="C204" s="104" t="s">
        <v>1312</v>
      </c>
      <c r="D204" s="86"/>
      <c r="E204" s="87"/>
      <c r="F204" s="88"/>
      <c r="G204" s="80"/>
    </row>
    <row r="205" spans="1:11" ht="10.5" hidden="1" customHeight="1" x14ac:dyDescent="0.2">
      <c r="A205" s="42"/>
      <c r="B205" s="85" t="s">
        <v>1315</v>
      </c>
      <c r="C205" s="104" t="s">
        <v>1312</v>
      </c>
      <c r="D205" s="86"/>
      <c r="E205" s="87"/>
      <c r="F205" s="88"/>
      <c r="G205" s="80"/>
    </row>
    <row r="206" spans="1:11" ht="10.5" hidden="1" customHeight="1" x14ac:dyDescent="0.2">
      <c r="A206" s="42"/>
      <c r="B206" s="85" t="s">
        <v>1316</v>
      </c>
      <c r="C206" s="104" t="s">
        <v>1312</v>
      </c>
      <c r="D206" s="86"/>
      <c r="E206" s="87"/>
      <c r="F206" s="88"/>
      <c r="G206" s="80"/>
    </row>
    <row r="207" spans="1:11" ht="10.5" hidden="1" customHeight="1" x14ac:dyDescent="0.2">
      <c r="A207" s="42"/>
      <c r="B207" s="85" t="s">
        <v>1317</v>
      </c>
      <c r="C207" s="104" t="s">
        <v>1312</v>
      </c>
      <c r="D207" s="86"/>
      <c r="E207" s="87"/>
      <c r="F207" s="88"/>
      <c r="G207" s="80"/>
    </row>
    <row r="208" spans="1:11" ht="10.5" hidden="1" customHeight="1" x14ac:dyDescent="0.2">
      <c r="A208" s="42"/>
      <c r="B208" s="112" t="s">
        <v>1333</v>
      </c>
      <c r="C208" s="86"/>
      <c r="D208" s="86"/>
      <c r="E208" s="87"/>
      <c r="F208" s="88"/>
      <c r="G208" s="80"/>
    </row>
    <row r="209" spans="1:11" ht="10.5" hidden="1" customHeight="1" x14ac:dyDescent="0.2">
      <c r="A209" s="42"/>
      <c r="B209" s="85"/>
      <c r="C209" s="97" t="s">
        <v>1304</v>
      </c>
      <c r="D209" s="97" t="s">
        <v>108</v>
      </c>
      <c r="E209" s="97" t="s">
        <v>945</v>
      </c>
      <c r="F209" s="105" t="s">
        <v>1305</v>
      </c>
      <c r="G209" s="80"/>
    </row>
    <row r="210" spans="1:11" ht="10.5" hidden="1" customHeight="1" x14ac:dyDescent="0.2">
      <c r="A210" s="42"/>
      <c r="B210" s="89" t="s">
        <v>1318</v>
      </c>
      <c r="C210" s="86">
        <f>D210/7</f>
        <v>328.57142857142856</v>
      </c>
      <c r="D210" s="87">
        <v>2300</v>
      </c>
      <c r="E210" s="86">
        <f>D210*4</f>
        <v>9200</v>
      </c>
      <c r="F210" s="88">
        <f>E210*3</f>
        <v>27600</v>
      </c>
      <c r="G210" s="80"/>
    </row>
    <row r="211" spans="1:11" ht="10.5" hidden="1" customHeight="1" x14ac:dyDescent="0.2">
      <c r="A211" s="42"/>
      <c r="B211" s="89"/>
      <c r="C211" s="86"/>
      <c r="D211" s="87"/>
      <c r="E211" s="86"/>
      <c r="F211" s="88"/>
      <c r="G211" s="80"/>
    </row>
    <row r="212" spans="1:11" ht="10.5" hidden="1" customHeight="1" x14ac:dyDescent="0.2">
      <c r="A212" s="42"/>
      <c r="B212" s="106" t="s">
        <v>1319</v>
      </c>
      <c r="C212" s="86">
        <f>D212/7</f>
        <v>0</v>
      </c>
      <c r="D212" s="87">
        <v>0</v>
      </c>
      <c r="E212" s="86">
        <f>D212*4</f>
        <v>0</v>
      </c>
      <c r="F212" s="88">
        <f>E212*3</f>
        <v>0</v>
      </c>
      <c r="G212" s="80"/>
    </row>
    <row r="213" spans="1:11" ht="10.5" hidden="1" customHeight="1" x14ac:dyDescent="0.2">
      <c r="A213" s="42"/>
      <c r="B213" s="106" t="s">
        <v>1320</v>
      </c>
      <c r="C213" s="86">
        <f>D213/7</f>
        <v>0</v>
      </c>
      <c r="D213" s="87">
        <v>0</v>
      </c>
      <c r="E213" s="86">
        <f>D213*4</f>
        <v>0</v>
      </c>
      <c r="F213" s="88">
        <f>E213*3</f>
        <v>0</v>
      </c>
      <c r="G213" s="80"/>
    </row>
    <row r="214" spans="1:11" ht="10.5" hidden="1" customHeight="1" x14ac:dyDescent="0.2">
      <c r="A214" s="42"/>
      <c r="B214" s="106" t="s">
        <v>1321</v>
      </c>
      <c r="C214" s="86">
        <f>D214/7</f>
        <v>0</v>
      </c>
      <c r="D214" s="87">
        <v>0</v>
      </c>
      <c r="E214" s="86">
        <f>D214*4</f>
        <v>0</v>
      </c>
      <c r="F214" s="88">
        <f>E214*3</f>
        <v>0</v>
      </c>
      <c r="G214" s="80"/>
    </row>
    <row r="215" spans="1:11" ht="10.5" hidden="1" customHeight="1" x14ac:dyDescent="0.2">
      <c r="A215" s="42"/>
      <c r="B215" s="106" t="s">
        <v>1322</v>
      </c>
      <c r="C215" s="86">
        <f>D215/7</f>
        <v>0</v>
      </c>
      <c r="D215" s="87">
        <v>0</v>
      </c>
      <c r="E215" s="86">
        <f>D215*4</f>
        <v>0</v>
      </c>
      <c r="F215" s="88">
        <f>E215*3</f>
        <v>0</v>
      </c>
      <c r="G215" s="80"/>
    </row>
    <row r="216" spans="1:11" ht="10.5" hidden="1" customHeight="1" x14ac:dyDescent="0.2">
      <c r="A216" s="42"/>
      <c r="B216" s="106" t="s">
        <v>1323</v>
      </c>
      <c r="C216" s="86">
        <f>D216/7</f>
        <v>0</v>
      </c>
      <c r="D216" s="87">
        <v>0</v>
      </c>
      <c r="E216" s="86">
        <f>D216*4</f>
        <v>0</v>
      </c>
      <c r="F216" s="88">
        <f>E216*3</f>
        <v>0</v>
      </c>
      <c r="G216" s="80"/>
    </row>
    <row r="217" spans="1:11" ht="10.5" customHeight="1" x14ac:dyDescent="0.2">
      <c r="A217" s="42"/>
      <c r="B217" s="106"/>
      <c r="C217" s="86"/>
      <c r="D217" s="87"/>
      <c r="E217" s="86"/>
      <c r="F217" s="88"/>
      <c r="G217" s="80"/>
    </row>
    <row r="218" spans="1:11" ht="10.5" customHeight="1" x14ac:dyDescent="0.2">
      <c r="A218" s="42"/>
      <c r="B218" s="89" t="s">
        <v>1324</v>
      </c>
      <c r="C218" s="87">
        <f>SUM(C210:C217)</f>
        <v>328.57142857142856</v>
      </c>
      <c r="D218" s="87">
        <f>SUM(D210:D217)</f>
        <v>2300</v>
      </c>
      <c r="E218" s="87">
        <f>SUM(E210:E217)</f>
        <v>9200</v>
      </c>
      <c r="F218" s="87">
        <f>SUM(F210:F217)</f>
        <v>27600</v>
      </c>
      <c r="G218" s="100"/>
    </row>
    <row r="219" spans="1:11" ht="10.5" customHeight="1" x14ac:dyDescent="0.2">
      <c r="A219" s="42"/>
      <c r="B219" s="89" t="s">
        <v>1325</v>
      </c>
      <c r="C219" s="86">
        <f>D219/7</f>
        <v>109.52380952380952</v>
      </c>
      <c r="D219" s="87">
        <f>D218/C201</f>
        <v>766.66666666666663</v>
      </c>
      <c r="E219" s="86">
        <f>D219*4</f>
        <v>3066.6666666666665</v>
      </c>
      <c r="F219" s="88">
        <f>E219*3</f>
        <v>9200</v>
      </c>
      <c r="G219" s="80"/>
    </row>
    <row r="220" spans="1:11" ht="10.8" customHeight="1" thickBot="1" x14ac:dyDescent="0.25">
      <c r="A220" s="42"/>
      <c r="B220" s="110"/>
      <c r="C220" s="90"/>
      <c r="D220" s="90"/>
      <c r="E220" s="91"/>
      <c r="F220" s="92"/>
      <c r="G220" s="80"/>
    </row>
    <row r="221" spans="1:11" ht="10.5" customHeight="1" x14ac:dyDescent="0.2">
      <c r="A221" s="42" t="s">
        <v>1309</v>
      </c>
      <c r="B221" s="256" t="s">
        <v>1335</v>
      </c>
      <c r="C221" s="257" t="s">
        <v>1334</v>
      </c>
      <c r="D221" s="258" t="s">
        <v>1326</v>
      </c>
      <c r="E221" s="263"/>
      <c r="F221" s="260"/>
      <c r="K221" s="80"/>
    </row>
    <row r="222" spans="1:11" ht="10.5" hidden="1" customHeight="1" x14ac:dyDescent="0.2">
      <c r="A222" s="42"/>
      <c r="B222" s="107" t="s">
        <v>1310</v>
      </c>
      <c r="C222" s="109">
        <v>6</v>
      </c>
      <c r="D222" s="83"/>
      <c r="E222" s="83"/>
      <c r="F222" s="84"/>
      <c r="K222" s="80"/>
    </row>
    <row r="223" spans="1:11" ht="10.5" hidden="1" customHeight="1" x14ac:dyDescent="0.2">
      <c r="A223" s="42"/>
      <c r="B223" s="85" t="s">
        <v>1311</v>
      </c>
      <c r="C223" s="104" t="s">
        <v>1312</v>
      </c>
      <c r="D223" s="86"/>
      <c r="E223" s="87"/>
      <c r="F223" s="88"/>
      <c r="G223" s="80"/>
    </row>
    <row r="224" spans="1:11" ht="10.5" hidden="1" customHeight="1" x14ac:dyDescent="0.2">
      <c r="A224" s="42"/>
      <c r="B224" s="85" t="s">
        <v>1313</v>
      </c>
      <c r="C224" s="104" t="s">
        <v>1312</v>
      </c>
      <c r="D224" s="86"/>
      <c r="E224" s="87"/>
      <c r="F224" s="88"/>
      <c r="G224" s="80"/>
    </row>
    <row r="225" spans="1:7" ht="10.5" hidden="1" customHeight="1" x14ac:dyDescent="0.2">
      <c r="A225" s="42"/>
      <c r="B225" s="85" t="s">
        <v>1314</v>
      </c>
      <c r="C225" s="104" t="s">
        <v>1312</v>
      </c>
      <c r="D225" s="86"/>
      <c r="E225" s="87"/>
      <c r="F225" s="88"/>
      <c r="G225" s="80"/>
    </row>
    <row r="226" spans="1:7" ht="10.5" hidden="1" customHeight="1" x14ac:dyDescent="0.2">
      <c r="A226" s="42"/>
      <c r="B226" s="85" t="s">
        <v>1315</v>
      </c>
      <c r="C226" s="104" t="s">
        <v>1312</v>
      </c>
      <c r="D226" s="86"/>
      <c r="E226" s="87"/>
      <c r="F226" s="88"/>
      <c r="G226" s="80"/>
    </row>
    <row r="227" spans="1:7" ht="10.5" hidden="1" customHeight="1" x14ac:dyDescent="0.2">
      <c r="A227" s="42"/>
      <c r="B227" s="85" t="s">
        <v>1316</v>
      </c>
      <c r="C227" s="104" t="s">
        <v>1312</v>
      </c>
      <c r="D227" s="86"/>
      <c r="E227" s="87"/>
      <c r="F227" s="88"/>
      <c r="G227" s="80"/>
    </row>
    <row r="228" spans="1:7" ht="10.5" hidden="1" customHeight="1" x14ac:dyDescent="0.2">
      <c r="A228" s="42"/>
      <c r="B228" s="85" t="s">
        <v>1317</v>
      </c>
      <c r="C228" s="104" t="s">
        <v>1312</v>
      </c>
      <c r="D228" s="86"/>
      <c r="E228" s="87"/>
      <c r="F228" s="88"/>
      <c r="G228" s="80"/>
    </row>
    <row r="229" spans="1:7" ht="10.5" hidden="1" customHeight="1" x14ac:dyDescent="0.2">
      <c r="A229" s="42"/>
      <c r="B229" s="112" t="s">
        <v>1333</v>
      </c>
      <c r="C229" s="86"/>
      <c r="D229" s="86"/>
      <c r="E229" s="87"/>
      <c r="F229" s="88"/>
      <c r="G229" s="80"/>
    </row>
    <row r="230" spans="1:7" ht="10.5" hidden="1" customHeight="1" x14ac:dyDescent="0.2">
      <c r="A230" s="42"/>
      <c r="B230" s="85"/>
      <c r="C230" s="97" t="s">
        <v>1304</v>
      </c>
      <c r="D230" s="97" t="s">
        <v>108</v>
      </c>
      <c r="E230" s="97" t="s">
        <v>945</v>
      </c>
      <c r="F230" s="105" t="s">
        <v>1305</v>
      </c>
      <c r="G230" s="80"/>
    </row>
    <row r="231" spans="1:7" ht="10.5" hidden="1" customHeight="1" x14ac:dyDescent="0.2">
      <c r="A231" s="42"/>
      <c r="B231" s="89" t="s">
        <v>1318</v>
      </c>
      <c r="C231" s="86">
        <f>D231/7</f>
        <v>378.57142857142856</v>
      </c>
      <c r="D231" s="87">
        <v>2650</v>
      </c>
      <c r="E231" s="86">
        <f>D231*4</f>
        <v>10600</v>
      </c>
      <c r="F231" s="88">
        <f>E231*3</f>
        <v>31800</v>
      </c>
      <c r="G231" s="80"/>
    </row>
    <row r="232" spans="1:7" ht="10.5" hidden="1" customHeight="1" x14ac:dyDescent="0.2">
      <c r="A232" s="42"/>
      <c r="B232" s="89"/>
      <c r="C232" s="86"/>
      <c r="D232" s="87"/>
      <c r="E232" s="86"/>
      <c r="F232" s="88"/>
      <c r="G232" s="80"/>
    </row>
    <row r="233" spans="1:7" ht="10.5" hidden="1" customHeight="1" x14ac:dyDescent="0.2">
      <c r="A233" s="42"/>
      <c r="B233" s="106" t="s">
        <v>1319</v>
      </c>
      <c r="C233" s="86">
        <f>D233/7</f>
        <v>0</v>
      </c>
      <c r="D233" s="87">
        <v>0</v>
      </c>
      <c r="E233" s="86">
        <f>D233*4</f>
        <v>0</v>
      </c>
      <c r="F233" s="88">
        <f>E233*3</f>
        <v>0</v>
      </c>
      <c r="G233" s="80"/>
    </row>
    <row r="234" spans="1:7" ht="10.5" hidden="1" customHeight="1" x14ac:dyDescent="0.2">
      <c r="A234" s="42"/>
      <c r="B234" s="106" t="s">
        <v>1320</v>
      </c>
      <c r="C234" s="86">
        <f>D234/7</f>
        <v>0</v>
      </c>
      <c r="D234" s="87">
        <v>0</v>
      </c>
      <c r="E234" s="86">
        <f>D234*4</f>
        <v>0</v>
      </c>
      <c r="F234" s="88">
        <f>E234*3</f>
        <v>0</v>
      </c>
      <c r="G234" s="80"/>
    </row>
    <row r="235" spans="1:7" ht="10.5" hidden="1" customHeight="1" x14ac:dyDescent="0.2">
      <c r="A235" s="42"/>
      <c r="B235" s="106" t="s">
        <v>1321</v>
      </c>
      <c r="C235" s="86">
        <f>D235/7</f>
        <v>0</v>
      </c>
      <c r="D235" s="87">
        <v>0</v>
      </c>
      <c r="E235" s="86">
        <f>D235*4</f>
        <v>0</v>
      </c>
      <c r="F235" s="88">
        <f>E235*3</f>
        <v>0</v>
      </c>
      <c r="G235" s="80"/>
    </row>
    <row r="236" spans="1:7" ht="10.5" hidden="1" customHeight="1" x14ac:dyDescent="0.2">
      <c r="A236" s="42"/>
      <c r="B236" s="106" t="s">
        <v>1322</v>
      </c>
      <c r="C236" s="86">
        <f>D236/7</f>
        <v>0</v>
      </c>
      <c r="D236" s="87">
        <v>0</v>
      </c>
      <c r="E236" s="86">
        <f>D236*4</f>
        <v>0</v>
      </c>
      <c r="F236" s="88">
        <f>E236*3</f>
        <v>0</v>
      </c>
      <c r="G236" s="80"/>
    </row>
    <row r="237" spans="1:7" ht="10.5" hidden="1" customHeight="1" x14ac:dyDescent="0.2">
      <c r="A237" s="42"/>
      <c r="B237" s="106" t="s">
        <v>1323</v>
      </c>
      <c r="C237" s="86">
        <f>D237/7</f>
        <v>0</v>
      </c>
      <c r="D237" s="87">
        <v>0</v>
      </c>
      <c r="E237" s="86">
        <f>D237*4</f>
        <v>0</v>
      </c>
      <c r="F237" s="88">
        <f>E237*3</f>
        <v>0</v>
      </c>
      <c r="G237" s="80"/>
    </row>
    <row r="238" spans="1:7" ht="10.5" hidden="1" customHeight="1" x14ac:dyDescent="0.2">
      <c r="A238" s="42"/>
      <c r="B238" s="106"/>
      <c r="C238" s="86"/>
      <c r="D238" s="87"/>
      <c r="E238" s="86"/>
      <c r="F238" s="88"/>
      <c r="G238" s="80"/>
    </row>
    <row r="239" spans="1:7" ht="10.5" hidden="1" customHeight="1" x14ac:dyDescent="0.2">
      <c r="A239" s="42"/>
      <c r="B239" s="89" t="s">
        <v>1324</v>
      </c>
      <c r="C239" s="87">
        <f>SUM(C231:C238)</f>
        <v>378.57142857142856</v>
      </c>
      <c r="D239" s="87">
        <f>SUM(D231:D238)</f>
        <v>2650</v>
      </c>
      <c r="E239" s="87">
        <f>SUM(E231:E238)</f>
        <v>10600</v>
      </c>
      <c r="F239" s="87">
        <f>SUM(F231:F238)</f>
        <v>31800</v>
      </c>
      <c r="G239" s="100"/>
    </row>
    <row r="240" spans="1:7" ht="10.5" hidden="1" customHeight="1" x14ac:dyDescent="0.2">
      <c r="A240" s="42"/>
      <c r="B240" s="89" t="s">
        <v>1325</v>
      </c>
      <c r="C240" s="86">
        <f>D240/7</f>
        <v>63.095238095238095</v>
      </c>
      <c r="D240" s="87">
        <f>D239/C222</f>
        <v>441.66666666666669</v>
      </c>
      <c r="E240" s="86">
        <f>D240*4</f>
        <v>1766.6666666666667</v>
      </c>
      <c r="F240" s="88">
        <f>E240*3</f>
        <v>5300</v>
      </c>
      <c r="G240" s="80"/>
    </row>
    <row r="241" spans="1:11" ht="10.8" hidden="1" customHeight="1" thickBot="1" x14ac:dyDescent="0.25">
      <c r="A241" s="42"/>
      <c r="B241" s="110"/>
      <c r="C241" s="90"/>
      <c r="D241" s="90"/>
      <c r="E241" s="91"/>
      <c r="F241" s="92"/>
      <c r="G241" s="80"/>
    </row>
    <row r="242" spans="1:11" ht="10.8" customHeight="1" thickBot="1" x14ac:dyDescent="0.25">
      <c r="A242" s="42"/>
      <c r="F242" s="79"/>
      <c r="G242" s="80"/>
    </row>
    <row r="243" spans="1:11" ht="10.8" customHeight="1" thickBot="1" x14ac:dyDescent="0.25">
      <c r="A243" s="42"/>
      <c r="B243" s="82" t="s">
        <v>1336</v>
      </c>
      <c r="C243" s="81"/>
      <c r="D243" s="81"/>
      <c r="E243" s="81"/>
      <c r="F243" s="81"/>
      <c r="G243" s="85"/>
    </row>
    <row r="244" spans="1:11" ht="10.5" customHeight="1" x14ac:dyDescent="0.2">
      <c r="A244" s="42"/>
      <c r="B244" s="107" t="s">
        <v>1335</v>
      </c>
      <c r="C244" s="109" t="s">
        <v>1337</v>
      </c>
      <c r="D244" s="201" t="s">
        <v>1330</v>
      </c>
      <c r="E244" s="83"/>
      <c r="F244" s="84"/>
      <c r="K244" s="80"/>
    </row>
    <row r="245" spans="1:11" ht="10.5" customHeight="1" x14ac:dyDescent="0.2">
      <c r="A245" s="42"/>
      <c r="B245" s="107" t="s">
        <v>1310</v>
      </c>
      <c r="C245" s="109">
        <v>3</v>
      </c>
      <c r="D245" s="83"/>
      <c r="E245" s="83"/>
      <c r="F245" s="84"/>
      <c r="K245" s="80"/>
    </row>
    <row r="246" spans="1:11" ht="10.5" hidden="1" customHeight="1" x14ac:dyDescent="0.2">
      <c r="A246" s="42"/>
      <c r="B246" s="85" t="s">
        <v>1311</v>
      </c>
      <c r="C246" s="104" t="s">
        <v>1312</v>
      </c>
      <c r="D246" s="86"/>
      <c r="E246" s="87"/>
      <c r="F246" s="88"/>
      <c r="G246" s="80"/>
    </row>
    <row r="247" spans="1:11" ht="10.5" hidden="1" customHeight="1" x14ac:dyDescent="0.2">
      <c r="A247" s="42"/>
      <c r="B247" s="85" t="s">
        <v>1313</v>
      </c>
      <c r="C247" s="104" t="s">
        <v>1312</v>
      </c>
      <c r="D247" s="86" t="s">
        <v>1338</v>
      </c>
      <c r="E247" s="87"/>
      <c r="F247" s="88"/>
      <c r="G247" s="80"/>
    </row>
    <row r="248" spans="1:11" ht="10.5" hidden="1" customHeight="1" x14ac:dyDescent="0.2">
      <c r="A248" s="42"/>
      <c r="B248" s="85" t="s">
        <v>1314</v>
      </c>
      <c r="C248" s="104" t="s">
        <v>1312</v>
      </c>
      <c r="D248" s="86" t="s">
        <v>1339</v>
      </c>
      <c r="E248" s="87"/>
      <c r="F248" s="88"/>
      <c r="G248" s="80"/>
    </row>
    <row r="249" spans="1:11" ht="10.5" hidden="1" customHeight="1" x14ac:dyDescent="0.2">
      <c r="A249" s="42"/>
      <c r="B249" s="85" t="s">
        <v>1315</v>
      </c>
      <c r="C249" s="104" t="s">
        <v>1312</v>
      </c>
      <c r="D249" s="86"/>
      <c r="E249" s="87"/>
      <c r="F249" s="88"/>
      <c r="G249" s="80"/>
    </row>
    <row r="250" spans="1:11" ht="10.5" hidden="1" customHeight="1" x14ac:dyDescent="0.2">
      <c r="A250" s="42"/>
      <c r="B250" s="85" t="s">
        <v>1316</v>
      </c>
      <c r="C250" s="104" t="s">
        <v>1312</v>
      </c>
      <c r="D250" s="86"/>
      <c r="E250" s="87"/>
      <c r="F250" s="88"/>
      <c r="G250" s="80"/>
    </row>
    <row r="251" spans="1:11" ht="10.5" hidden="1" customHeight="1" x14ac:dyDescent="0.2">
      <c r="A251" s="42"/>
      <c r="B251" s="85" t="s">
        <v>1317</v>
      </c>
      <c r="C251" s="104" t="s">
        <v>1312</v>
      </c>
      <c r="D251" s="86"/>
      <c r="E251" s="87"/>
      <c r="F251" s="88"/>
      <c r="G251" s="80"/>
    </row>
    <row r="252" spans="1:11" ht="10.5" hidden="1" customHeight="1" x14ac:dyDescent="0.2">
      <c r="A252" s="42"/>
      <c r="B252" s="112"/>
      <c r="C252" s="86"/>
      <c r="D252" s="86"/>
      <c r="E252" s="87"/>
      <c r="F252" s="88"/>
      <c r="G252" s="80"/>
    </row>
    <row r="253" spans="1:11" ht="10.5" hidden="1" customHeight="1" x14ac:dyDescent="0.2">
      <c r="A253" s="42"/>
      <c r="B253" s="85"/>
      <c r="C253" s="97" t="s">
        <v>1304</v>
      </c>
      <c r="D253" s="97" t="s">
        <v>108</v>
      </c>
      <c r="E253" s="97" t="s">
        <v>945</v>
      </c>
      <c r="F253" s="105" t="s">
        <v>1305</v>
      </c>
      <c r="G253" s="80"/>
    </row>
    <row r="254" spans="1:11" ht="10.5" hidden="1" customHeight="1" x14ac:dyDescent="0.2">
      <c r="A254" s="42"/>
      <c r="B254" s="89" t="s">
        <v>1318</v>
      </c>
      <c r="C254" s="86">
        <f>F254/90</f>
        <v>144.44444444444446</v>
      </c>
      <c r="D254" s="86">
        <f>E254/4</f>
        <v>1083.3333333333333</v>
      </c>
      <c r="E254" s="86">
        <f>F254/3</f>
        <v>4333.333333333333</v>
      </c>
      <c r="F254" s="99">
        <v>13000</v>
      </c>
      <c r="G254" s="80"/>
    </row>
    <row r="255" spans="1:11" ht="10.5" hidden="1" customHeight="1" x14ac:dyDescent="0.2">
      <c r="A255" s="42"/>
      <c r="B255" s="89"/>
      <c r="C255" s="86"/>
      <c r="D255" s="87"/>
      <c r="E255" s="86"/>
      <c r="F255" s="88"/>
      <c r="G255" s="80"/>
    </row>
    <row r="256" spans="1:11" ht="10.5" hidden="1" customHeight="1" x14ac:dyDescent="0.2">
      <c r="A256" s="42"/>
      <c r="B256" s="106" t="s">
        <v>1319</v>
      </c>
      <c r="C256" s="86">
        <f>F256/90</f>
        <v>4.4444444444444446</v>
      </c>
      <c r="D256" s="86">
        <f>E256/4</f>
        <v>33.333333333333336</v>
      </c>
      <c r="E256" s="86">
        <f>F256/3</f>
        <v>133.33333333333334</v>
      </c>
      <c r="F256" s="103">
        <v>400</v>
      </c>
      <c r="G256" s="80"/>
    </row>
    <row r="257" spans="1:11" ht="10.5" hidden="1" customHeight="1" x14ac:dyDescent="0.2">
      <c r="A257" s="42"/>
      <c r="B257" s="106" t="s">
        <v>1320</v>
      </c>
      <c r="C257" s="86">
        <f>D257/7</f>
        <v>0</v>
      </c>
      <c r="D257" s="87">
        <v>0</v>
      </c>
      <c r="E257" s="86">
        <f>D257*4</f>
        <v>0</v>
      </c>
      <c r="F257" s="88">
        <f>E257*3</f>
        <v>0</v>
      </c>
      <c r="G257" s="80"/>
    </row>
    <row r="258" spans="1:11" ht="10.5" hidden="1" customHeight="1" x14ac:dyDescent="0.2">
      <c r="A258" s="42"/>
      <c r="B258" s="106" t="s">
        <v>1321</v>
      </c>
      <c r="C258" s="86">
        <f>D258/7</f>
        <v>0</v>
      </c>
      <c r="D258" s="87">
        <v>0</v>
      </c>
      <c r="E258" s="86">
        <f>D258*4</f>
        <v>0</v>
      </c>
      <c r="F258" s="88">
        <f>E258*3</f>
        <v>0</v>
      </c>
      <c r="G258" s="80"/>
    </row>
    <row r="259" spans="1:11" ht="10.5" hidden="1" customHeight="1" x14ac:dyDescent="0.2">
      <c r="A259" s="42"/>
      <c r="B259" s="106" t="s">
        <v>1322</v>
      </c>
      <c r="C259" s="86">
        <f>D259/7</f>
        <v>0</v>
      </c>
      <c r="D259" s="87">
        <v>0</v>
      </c>
      <c r="E259" s="86">
        <f>D259*4</f>
        <v>0</v>
      </c>
      <c r="F259" s="88">
        <f>E259*3</f>
        <v>0</v>
      </c>
      <c r="G259" s="80"/>
    </row>
    <row r="260" spans="1:11" ht="10.5" hidden="1" customHeight="1" x14ac:dyDescent="0.2">
      <c r="A260" s="42"/>
      <c r="B260" s="106" t="s">
        <v>1323</v>
      </c>
      <c r="C260" s="86">
        <f>F260/90</f>
        <v>3.3333333333333335</v>
      </c>
      <c r="D260" s="86">
        <f>E260/4</f>
        <v>25</v>
      </c>
      <c r="E260" s="86">
        <f>F260/3</f>
        <v>100</v>
      </c>
      <c r="F260" s="103">
        <v>300</v>
      </c>
      <c r="G260" s="80"/>
    </row>
    <row r="261" spans="1:11" ht="10.5" hidden="1" customHeight="1" x14ac:dyDescent="0.2">
      <c r="A261" s="42"/>
      <c r="B261" s="106"/>
      <c r="C261" s="86"/>
      <c r="D261" s="87"/>
      <c r="E261" s="86"/>
      <c r="F261" s="88"/>
      <c r="G261" s="80"/>
    </row>
    <row r="262" spans="1:11" ht="10.5" customHeight="1" x14ac:dyDescent="0.2">
      <c r="A262" s="42"/>
      <c r="B262" s="89" t="s">
        <v>1324</v>
      </c>
      <c r="C262" s="87">
        <f>SUM(C254:C261)</f>
        <v>152.22222222222226</v>
      </c>
      <c r="D262" s="87">
        <f>SUM(D254:D261)</f>
        <v>1141.6666666666665</v>
      </c>
      <c r="E262" s="87">
        <f>SUM(E254:E261)</f>
        <v>4566.6666666666661</v>
      </c>
      <c r="F262" s="87">
        <f>SUM(F254:F261)</f>
        <v>13700</v>
      </c>
      <c r="G262" s="100"/>
    </row>
    <row r="263" spans="1:11" ht="10.5" customHeight="1" x14ac:dyDescent="0.2">
      <c r="A263" s="42"/>
      <c r="B263" s="89" t="s">
        <v>1325</v>
      </c>
      <c r="C263" s="86">
        <f>D263/7</f>
        <v>54.365079365079353</v>
      </c>
      <c r="D263" s="87">
        <f>D262/C245</f>
        <v>380.55555555555549</v>
      </c>
      <c r="E263" s="86">
        <f>D263*4</f>
        <v>1522.2222222222219</v>
      </c>
      <c r="F263" s="88">
        <f>E263*3</f>
        <v>4566.6666666666661</v>
      </c>
      <c r="G263" s="80"/>
    </row>
    <row r="264" spans="1:11" ht="10.8" customHeight="1" thickBot="1" x14ac:dyDescent="0.25">
      <c r="A264" s="42"/>
      <c r="B264" s="110"/>
      <c r="C264" s="90"/>
      <c r="D264" s="90"/>
      <c r="E264" s="91"/>
      <c r="F264" s="92"/>
      <c r="G264" s="80"/>
    </row>
    <row r="265" spans="1:11" ht="10.8" customHeight="1" thickBot="1" x14ac:dyDescent="0.25">
      <c r="A265" s="42"/>
      <c r="B265" s="98"/>
      <c r="C265" s="86"/>
      <c r="D265" s="87"/>
      <c r="E265" s="86"/>
      <c r="F265" s="79"/>
      <c r="G265" s="80"/>
    </row>
    <row r="266" spans="1:11" ht="10.8" customHeight="1" thickBot="1" x14ac:dyDescent="0.25">
      <c r="A266" s="42"/>
      <c r="B266" s="82" t="s">
        <v>1340</v>
      </c>
      <c r="C266" s="81"/>
      <c r="D266" s="81"/>
      <c r="E266" s="81"/>
      <c r="F266" s="81"/>
      <c r="G266" s="85"/>
    </row>
    <row r="267" spans="1:11" ht="10.5" customHeight="1" x14ac:dyDescent="0.2">
      <c r="A267" s="42"/>
      <c r="B267" s="107" t="s">
        <v>1335</v>
      </c>
      <c r="C267" s="109" t="s">
        <v>1341</v>
      </c>
      <c r="D267" s="201" t="s">
        <v>1330</v>
      </c>
      <c r="E267" s="83"/>
      <c r="F267" s="84"/>
      <c r="K267" s="80"/>
    </row>
    <row r="268" spans="1:11" ht="10.5" customHeight="1" x14ac:dyDescent="0.2">
      <c r="A268" s="42"/>
      <c r="B268" s="107" t="s">
        <v>1310</v>
      </c>
      <c r="C268" s="109">
        <v>3</v>
      </c>
      <c r="D268" s="83"/>
      <c r="E268" s="83"/>
      <c r="F268" s="84"/>
      <c r="K268" s="80"/>
    </row>
    <row r="269" spans="1:11" ht="10.5" hidden="1" customHeight="1" x14ac:dyDescent="0.2">
      <c r="A269" s="42"/>
      <c r="B269" s="85" t="s">
        <v>1311</v>
      </c>
      <c r="C269" s="111" t="s">
        <v>1327</v>
      </c>
      <c r="D269" s="86"/>
      <c r="E269" s="87"/>
      <c r="F269" s="88"/>
      <c r="G269" s="80"/>
    </row>
    <row r="270" spans="1:11" ht="10.5" hidden="1" customHeight="1" x14ac:dyDescent="0.2">
      <c r="A270" s="42"/>
      <c r="B270" s="85" t="s">
        <v>1313</v>
      </c>
      <c r="C270" s="111" t="s">
        <v>1327</v>
      </c>
      <c r="D270" s="86"/>
      <c r="E270" s="87"/>
      <c r="F270" s="88"/>
      <c r="G270" s="80"/>
    </row>
    <row r="271" spans="1:11" ht="10.5" hidden="1" customHeight="1" x14ac:dyDescent="0.2">
      <c r="A271" s="42"/>
      <c r="B271" s="85" t="s">
        <v>1314</v>
      </c>
      <c r="C271" s="104" t="s">
        <v>1312</v>
      </c>
      <c r="D271" s="86"/>
      <c r="E271" s="87"/>
      <c r="F271" s="88"/>
      <c r="G271" s="80"/>
    </row>
    <row r="272" spans="1:11" ht="10.5" hidden="1" customHeight="1" x14ac:dyDescent="0.2">
      <c r="A272" s="42"/>
      <c r="B272" s="85" t="s">
        <v>1315</v>
      </c>
      <c r="C272" s="104" t="s">
        <v>1312</v>
      </c>
      <c r="D272" s="86"/>
      <c r="E272" s="87"/>
      <c r="F272" s="88"/>
      <c r="G272" s="80"/>
    </row>
    <row r="273" spans="1:7" ht="10.5" hidden="1" customHeight="1" x14ac:dyDescent="0.2">
      <c r="A273" s="42"/>
      <c r="B273" s="85" t="s">
        <v>1316</v>
      </c>
      <c r="C273" s="104" t="s">
        <v>1312</v>
      </c>
      <c r="D273" s="86"/>
      <c r="E273" s="87"/>
      <c r="F273" s="88"/>
      <c r="G273" s="80"/>
    </row>
    <row r="274" spans="1:7" ht="10.5" hidden="1" customHeight="1" x14ac:dyDescent="0.2">
      <c r="A274" s="42"/>
      <c r="B274" s="85" t="s">
        <v>1317</v>
      </c>
      <c r="C274" s="104" t="s">
        <v>1312</v>
      </c>
      <c r="D274" s="86"/>
      <c r="E274" s="87"/>
      <c r="F274" s="88"/>
      <c r="G274" s="80"/>
    </row>
    <row r="275" spans="1:7" ht="10.5" hidden="1" customHeight="1" x14ac:dyDescent="0.2">
      <c r="A275" s="42"/>
      <c r="B275" s="112"/>
      <c r="C275" s="86"/>
      <c r="D275" s="86"/>
      <c r="E275" s="87"/>
      <c r="F275" s="88"/>
      <c r="G275" s="80"/>
    </row>
    <row r="276" spans="1:7" ht="10.5" hidden="1" customHeight="1" x14ac:dyDescent="0.2">
      <c r="A276" s="42"/>
      <c r="B276" s="85"/>
      <c r="C276" s="97" t="s">
        <v>1304</v>
      </c>
      <c r="D276" s="97" t="s">
        <v>108</v>
      </c>
      <c r="E276" s="97" t="s">
        <v>945</v>
      </c>
      <c r="F276" s="105" t="s">
        <v>1305</v>
      </c>
      <c r="G276" s="80"/>
    </row>
    <row r="277" spans="1:7" ht="10.5" hidden="1" customHeight="1" x14ac:dyDescent="0.2">
      <c r="A277" s="42"/>
      <c r="B277" s="89" t="s">
        <v>1318</v>
      </c>
      <c r="C277" s="86">
        <f>F277/90</f>
        <v>77.777777777777771</v>
      </c>
      <c r="D277" s="86">
        <f>E277/4</f>
        <v>583.33333333333337</v>
      </c>
      <c r="E277" s="86">
        <f>F277/3</f>
        <v>2333.3333333333335</v>
      </c>
      <c r="F277" s="99">
        <v>7000</v>
      </c>
      <c r="G277" s="80"/>
    </row>
    <row r="278" spans="1:7" ht="10.5" hidden="1" customHeight="1" x14ac:dyDescent="0.2">
      <c r="A278" s="42"/>
      <c r="B278" s="89"/>
      <c r="C278" s="86"/>
      <c r="D278" s="87"/>
      <c r="E278" s="86"/>
      <c r="F278" s="88"/>
      <c r="G278" s="80"/>
    </row>
    <row r="279" spans="1:7" ht="10.5" hidden="1" customHeight="1" x14ac:dyDescent="0.2">
      <c r="A279" s="42"/>
      <c r="B279" s="106" t="s">
        <v>1319</v>
      </c>
      <c r="C279" s="86">
        <f t="shared" ref="C279:C284" si="0">F279/90</f>
        <v>4.4444444444444446</v>
      </c>
      <c r="D279" s="86">
        <f t="shared" ref="D279:D284" si="1">E279/4</f>
        <v>33.333333333333336</v>
      </c>
      <c r="E279" s="86">
        <f t="shared" ref="E279:E284" si="2">F279/3</f>
        <v>133.33333333333334</v>
      </c>
      <c r="F279" s="103">
        <v>400</v>
      </c>
      <c r="G279" s="80"/>
    </row>
    <row r="280" spans="1:7" ht="10.5" hidden="1" customHeight="1" x14ac:dyDescent="0.2">
      <c r="A280" s="42"/>
      <c r="B280" s="106" t="s">
        <v>1320</v>
      </c>
      <c r="C280" s="86">
        <f t="shared" si="0"/>
        <v>0</v>
      </c>
      <c r="D280" s="86">
        <f t="shared" si="1"/>
        <v>0</v>
      </c>
      <c r="E280" s="86">
        <f t="shared" si="2"/>
        <v>0</v>
      </c>
      <c r="F280" s="99">
        <v>0</v>
      </c>
      <c r="G280" s="80"/>
    </row>
    <row r="281" spans="1:7" ht="10.5" hidden="1" customHeight="1" x14ac:dyDescent="0.2">
      <c r="A281" s="42"/>
      <c r="B281" s="106" t="s">
        <v>1321</v>
      </c>
      <c r="C281" s="86">
        <f t="shared" si="0"/>
        <v>0</v>
      </c>
      <c r="D281" s="86">
        <f t="shared" si="1"/>
        <v>0</v>
      </c>
      <c r="E281" s="86">
        <f t="shared" si="2"/>
        <v>0</v>
      </c>
      <c r="F281" s="99">
        <v>0</v>
      </c>
      <c r="G281" s="80"/>
    </row>
    <row r="282" spans="1:7" ht="10.5" hidden="1" customHeight="1" x14ac:dyDescent="0.2">
      <c r="A282" s="42"/>
      <c r="B282" s="106" t="s">
        <v>1322</v>
      </c>
      <c r="C282" s="86">
        <f t="shared" si="0"/>
        <v>31.111111111111111</v>
      </c>
      <c r="D282" s="86">
        <f t="shared" si="1"/>
        <v>233.33333333333334</v>
      </c>
      <c r="E282" s="86">
        <f t="shared" si="2"/>
        <v>933.33333333333337</v>
      </c>
      <c r="F282" s="103">
        <v>2800</v>
      </c>
      <c r="G282" s="80"/>
    </row>
    <row r="283" spans="1:7" ht="10.5" hidden="1" customHeight="1" x14ac:dyDescent="0.2">
      <c r="A283" s="42"/>
      <c r="B283" s="106" t="s">
        <v>1323</v>
      </c>
      <c r="C283" s="86">
        <f t="shared" si="0"/>
        <v>16.666666666666668</v>
      </c>
      <c r="D283" s="86">
        <f t="shared" si="1"/>
        <v>125</v>
      </c>
      <c r="E283" s="86">
        <f t="shared" si="2"/>
        <v>500</v>
      </c>
      <c r="F283" s="103">
        <v>1500</v>
      </c>
      <c r="G283" s="80"/>
    </row>
    <row r="284" spans="1:7" ht="10.5" hidden="1" customHeight="1" x14ac:dyDescent="0.2">
      <c r="A284" s="42"/>
      <c r="B284" s="106" t="s">
        <v>1342</v>
      </c>
      <c r="C284" s="86">
        <f t="shared" si="0"/>
        <v>11.111111111111111</v>
      </c>
      <c r="D284" s="86">
        <f t="shared" si="1"/>
        <v>83.333333333333329</v>
      </c>
      <c r="E284" s="86">
        <f t="shared" si="2"/>
        <v>333.33333333333331</v>
      </c>
      <c r="F284" s="103">
        <v>1000</v>
      </c>
      <c r="G284" s="80"/>
    </row>
    <row r="285" spans="1:7" ht="10.5" hidden="1" customHeight="1" x14ac:dyDescent="0.2">
      <c r="A285" s="42"/>
      <c r="B285" s="106"/>
      <c r="C285" s="86"/>
      <c r="D285" s="87"/>
      <c r="E285" s="86"/>
      <c r="F285" s="88"/>
      <c r="G285" s="80"/>
    </row>
    <row r="286" spans="1:7" ht="10.5" customHeight="1" x14ac:dyDescent="0.2">
      <c r="A286" s="42"/>
      <c r="B286" s="89" t="s">
        <v>1324</v>
      </c>
      <c r="C286" s="87">
        <f>SUM(C277:C285)</f>
        <v>141.11111111111111</v>
      </c>
      <c r="D286" s="87">
        <f>SUM(D277:D285)</f>
        <v>1058.3333333333335</v>
      </c>
      <c r="E286" s="87">
        <f>SUM(E277:E285)</f>
        <v>4233.3333333333339</v>
      </c>
      <c r="F286" s="87">
        <f>SUM(F277:F285)</f>
        <v>12700</v>
      </c>
      <c r="G286" s="100"/>
    </row>
    <row r="287" spans="1:7" ht="10.5" customHeight="1" x14ac:dyDescent="0.2">
      <c r="A287" s="42"/>
      <c r="B287" s="89" t="s">
        <v>1325</v>
      </c>
      <c r="C287" s="86">
        <f>D287/7</f>
        <v>50.396825396825406</v>
      </c>
      <c r="D287" s="87">
        <f>D286/C268</f>
        <v>352.77777777777783</v>
      </c>
      <c r="E287" s="86">
        <f>D287*4</f>
        <v>1411.1111111111113</v>
      </c>
      <c r="F287" s="88">
        <f>E287*3</f>
        <v>4233.3333333333339</v>
      </c>
      <c r="G287" s="80"/>
    </row>
    <row r="288" spans="1:7" ht="10.8" customHeight="1" thickBot="1" x14ac:dyDescent="0.25">
      <c r="A288" s="42"/>
      <c r="B288" s="110"/>
      <c r="C288" s="90"/>
      <c r="D288" s="90"/>
      <c r="E288" s="91"/>
      <c r="F288" s="92"/>
      <c r="G288" s="80"/>
    </row>
    <row r="289" spans="1:11" ht="10.5" customHeight="1" x14ac:dyDescent="0.2">
      <c r="A289" s="42"/>
      <c r="B289" s="107" t="s">
        <v>1343</v>
      </c>
      <c r="C289" s="109" t="s">
        <v>1341</v>
      </c>
      <c r="D289" s="83"/>
      <c r="E289" s="83"/>
      <c r="F289" s="84"/>
      <c r="K289" s="80"/>
    </row>
    <row r="290" spans="1:11" ht="10.5" customHeight="1" x14ac:dyDescent="0.2">
      <c r="A290" s="42" t="s">
        <v>376</v>
      </c>
      <c r="B290" s="107" t="s">
        <v>1310</v>
      </c>
      <c r="C290" s="109">
        <v>4</v>
      </c>
      <c r="D290" s="83"/>
      <c r="E290" s="83"/>
      <c r="F290" s="84"/>
      <c r="K290" s="80"/>
    </row>
    <row r="291" spans="1:11" ht="10.5" customHeight="1" x14ac:dyDescent="0.2">
      <c r="A291" s="42"/>
      <c r="B291" s="85" t="s">
        <v>1311</v>
      </c>
      <c r="C291" s="111" t="s">
        <v>1327</v>
      </c>
      <c r="D291" s="86"/>
      <c r="E291" s="87"/>
      <c r="F291" s="88"/>
      <c r="G291" s="80"/>
    </row>
    <row r="292" spans="1:11" ht="10.5" customHeight="1" x14ac:dyDescent="0.2">
      <c r="A292" s="42"/>
      <c r="B292" s="85" t="s">
        <v>1313</v>
      </c>
      <c r="C292" s="111" t="s">
        <v>1327</v>
      </c>
      <c r="D292" s="86"/>
      <c r="E292" s="87"/>
      <c r="F292" s="88"/>
      <c r="G292" s="80"/>
    </row>
    <row r="293" spans="1:11" ht="10.5" customHeight="1" x14ac:dyDescent="0.2">
      <c r="A293" s="42"/>
      <c r="B293" s="85" t="s">
        <v>1314</v>
      </c>
      <c r="C293" s="104" t="s">
        <v>1312</v>
      </c>
      <c r="D293" s="86"/>
      <c r="E293" s="87"/>
      <c r="F293" s="88"/>
      <c r="G293" s="80"/>
    </row>
    <row r="294" spans="1:11" ht="10.5" customHeight="1" x14ac:dyDescent="0.2">
      <c r="A294" s="42"/>
      <c r="B294" s="85" t="s">
        <v>1315</v>
      </c>
      <c r="C294" s="104" t="s">
        <v>1312</v>
      </c>
      <c r="D294" s="86"/>
      <c r="E294" s="87"/>
      <c r="F294" s="88"/>
      <c r="G294" s="80"/>
    </row>
    <row r="295" spans="1:11" ht="10.5" customHeight="1" x14ac:dyDescent="0.2">
      <c r="A295" s="42"/>
      <c r="B295" s="85" t="s">
        <v>1316</v>
      </c>
      <c r="C295" s="104" t="s">
        <v>1312</v>
      </c>
      <c r="D295" s="86"/>
      <c r="E295" s="87"/>
      <c r="F295" s="88"/>
      <c r="G295" s="80"/>
    </row>
    <row r="296" spans="1:11" ht="10.5" customHeight="1" x14ac:dyDescent="0.2">
      <c r="A296" s="42"/>
      <c r="B296" s="85" t="s">
        <v>1317</v>
      </c>
      <c r="C296" s="104" t="s">
        <v>1312</v>
      </c>
      <c r="D296" s="86"/>
      <c r="E296" s="87"/>
      <c r="F296" s="88"/>
      <c r="G296" s="80"/>
    </row>
    <row r="297" spans="1:11" ht="10.5" customHeight="1" x14ac:dyDescent="0.2">
      <c r="A297" s="42"/>
      <c r="B297" s="112"/>
      <c r="C297" s="86"/>
      <c r="D297" s="86"/>
      <c r="E297" s="87"/>
      <c r="F297" s="88"/>
      <c r="G297" s="80"/>
    </row>
    <row r="298" spans="1:11" ht="10.5" customHeight="1" x14ac:dyDescent="0.2">
      <c r="A298" s="42"/>
      <c r="B298" s="85"/>
      <c r="C298" s="97" t="s">
        <v>1304</v>
      </c>
      <c r="D298" s="97" t="s">
        <v>108</v>
      </c>
      <c r="E298" s="97" t="s">
        <v>945</v>
      </c>
      <c r="F298" s="105" t="s">
        <v>1305</v>
      </c>
      <c r="G298" s="80"/>
    </row>
    <row r="299" spans="1:11" ht="10.5" customHeight="1" x14ac:dyDescent="0.2">
      <c r="A299" s="42"/>
      <c r="B299" s="89" t="s">
        <v>1318</v>
      </c>
      <c r="C299" s="86">
        <f>F299/90</f>
        <v>87.222222222222229</v>
      </c>
      <c r="D299" s="86">
        <f>E299/4</f>
        <v>654.16666666666663</v>
      </c>
      <c r="E299" s="86">
        <f>F299/3</f>
        <v>2616.6666666666665</v>
      </c>
      <c r="F299" s="99">
        <v>7850</v>
      </c>
      <c r="G299" s="80"/>
    </row>
    <row r="300" spans="1:11" ht="10.5" customHeight="1" x14ac:dyDescent="0.2">
      <c r="A300" s="42"/>
      <c r="B300" s="89"/>
      <c r="C300" s="86"/>
      <c r="D300" s="87"/>
      <c r="E300" s="86"/>
      <c r="F300" s="88"/>
      <c r="G300" s="80"/>
    </row>
    <row r="301" spans="1:11" ht="10.5" customHeight="1" x14ac:dyDescent="0.2">
      <c r="A301" s="42"/>
      <c r="B301" s="106" t="s">
        <v>1319</v>
      </c>
      <c r="C301" s="86">
        <f t="shared" ref="C301:C306" si="3">F301/90</f>
        <v>4.4444444444444446</v>
      </c>
      <c r="D301" s="86">
        <f t="shared" ref="D301:D306" si="4">E301/4</f>
        <v>33.333333333333336</v>
      </c>
      <c r="E301" s="86">
        <f t="shared" ref="E301:E306" si="5">F301/3</f>
        <v>133.33333333333334</v>
      </c>
      <c r="F301" s="103">
        <v>400</v>
      </c>
      <c r="G301" s="80"/>
    </row>
    <row r="302" spans="1:11" ht="10.5" customHeight="1" x14ac:dyDescent="0.2">
      <c r="A302" s="42"/>
      <c r="B302" s="106" t="s">
        <v>1320</v>
      </c>
      <c r="C302" s="86">
        <f t="shared" si="3"/>
        <v>0</v>
      </c>
      <c r="D302" s="86">
        <f t="shared" si="4"/>
        <v>0</v>
      </c>
      <c r="E302" s="86">
        <f t="shared" si="5"/>
        <v>0</v>
      </c>
      <c r="F302" s="99">
        <v>0</v>
      </c>
      <c r="G302" s="80"/>
    </row>
    <row r="303" spans="1:11" ht="10.5" customHeight="1" x14ac:dyDescent="0.2">
      <c r="A303" s="42"/>
      <c r="B303" s="106" t="s">
        <v>1321</v>
      </c>
      <c r="C303" s="86">
        <f t="shared" si="3"/>
        <v>0</v>
      </c>
      <c r="D303" s="86">
        <f t="shared" si="4"/>
        <v>0</v>
      </c>
      <c r="E303" s="86">
        <f t="shared" si="5"/>
        <v>0</v>
      </c>
      <c r="F303" s="99">
        <v>0</v>
      </c>
      <c r="G303" s="80"/>
    </row>
    <row r="304" spans="1:11" ht="10.5" customHeight="1" x14ac:dyDescent="0.2">
      <c r="A304" s="42"/>
      <c r="B304" s="106" t="s">
        <v>1322</v>
      </c>
      <c r="C304" s="86">
        <f t="shared" si="3"/>
        <v>38.888888888888886</v>
      </c>
      <c r="D304" s="86">
        <f t="shared" si="4"/>
        <v>291.66666666666669</v>
      </c>
      <c r="E304" s="86">
        <f t="shared" si="5"/>
        <v>1166.6666666666667</v>
      </c>
      <c r="F304" s="103">
        <v>3500</v>
      </c>
      <c r="G304" s="80"/>
    </row>
    <row r="305" spans="1:7" ht="10.5" customHeight="1" x14ac:dyDescent="0.2">
      <c r="A305" s="42"/>
      <c r="B305" s="106" t="s">
        <v>1323</v>
      </c>
      <c r="C305" s="86">
        <f t="shared" si="3"/>
        <v>20.555555555555557</v>
      </c>
      <c r="D305" s="86">
        <f t="shared" si="4"/>
        <v>154.16666666666666</v>
      </c>
      <c r="E305" s="86">
        <f t="shared" si="5"/>
        <v>616.66666666666663</v>
      </c>
      <c r="F305" s="103">
        <v>1850</v>
      </c>
      <c r="G305" s="80"/>
    </row>
    <row r="306" spans="1:7" ht="10.5" customHeight="1" x14ac:dyDescent="0.2">
      <c r="A306" s="42"/>
      <c r="B306" s="106" t="s">
        <v>1342</v>
      </c>
      <c r="C306" s="86">
        <f t="shared" si="3"/>
        <v>17.777777777777779</v>
      </c>
      <c r="D306" s="86">
        <f t="shared" si="4"/>
        <v>133.33333333333334</v>
      </c>
      <c r="E306" s="86">
        <f t="shared" si="5"/>
        <v>533.33333333333337</v>
      </c>
      <c r="F306" s="103">
        <v>1600</v>
      </c>
      <c r="G306" s="80"/>
    </row>
    <row r="307" spans="1:7" ht="10.5" customHeight="1" x14ac:dyDescent="0.2">
      <c r="A307" s="42"/>
      <c r="B307" s="106"/>
      <c r="C307" s="86"/>
      <c r="D307" s="87"/>
      <c r="E307" s="86"/>
      <c r="F307" s="88"/>
      <c r="G307" s="80"/>
    </row>
    <row r="308" spans="1:7" ht="10.5" customHeight="1" x14ac:dyDescent="0.2">
      <c r="A308" s="42"/>
      <c r="B308" s="89" t="s">
        <v>1324</v>
      </c>
      <c r="C308" s="87">
        <f>SUM(C299:C307)</f>
        <v>168.88888888888886</v>
      </c>
      <c r="D308" s="87">
        <f>SUM(D299:D307)</f>
        <v>1266.6666666666667</v>
      </c>
      <c r="E308" s="301">
        <f>SUM(E299:E307)</f>
        <v>5066.666666666667</v>
      </c>
      <c r="F308" s="87">
        <f>SUM(F299:F307)</f>
        <v>15200</v>
      </c>
      <c r="G308" s="100"/>
    </row>
    <row r="309" spans="1:7" ht="10.5" customHeight="1" x14ac:dyDescent="0.2">
      <c r="A309" s="42"/>
      <c r="B309" s="89" t="s">
        <v>1325</v>
      </c>
      <c r="C309" s="86">
        <f>D309/7</f>
        <v>45.238095238095241</v>
      </c>
      <c r="D309" s="87">
        <f>D308/C290</f>
        <v>316.66666666666669</v>
      </c>
      <c r="E309" s="86">
        <f>D309*4</f>
        <v>1266.6666666666667</v>
      </c>
      <c r="F309" s="88">
        <f>E309*3</f>
        <v>3800</v>
      </c>
      <c r="G309" s="80"/>
    </row>
    <row r="310" spans="1:7" ht="10.8" customHeight="1" thickBot="1" x14ac:dyDescent="0.25">
      <c r="A310" s="42"/>
      <c r="B310" s="110"/>
      <c r="C310" s="90"/>
      <c r="D310" s="90"/>
      <c r="E310" s="91"/>
      <c r="F310" s="92"/>
      <c r="G310" s="80"/>
    </row>
    <row r="311" spans="1:7" ht="10.5" customHeight="1" x14ac:dyDescent="0.2">
      <c r="A311" s="42"/>
    </row>
    <row r="312" spans="1:7" ht="10.8" customHeight="1" thickBot="1" x14ac:dyDescent="0.25">
      <c r="A312" s="42"/>
    </row>
    <row r="313" spans="1:7" ht="10.8" customHeight="1" thickBot="1" x14ac:dyDescent="0.3">
      <c r="A313" s="42"/>
      <c r="B313" s="515" t="s">
        <v>1344</v>
      </c>
      <c r="C313" s="502"/>
      <c r="D313" s="502"/>
      <c r="E313" s="502"/>
      <c r="F313" s="503"/>
      <c r="G313" s="80"/>
    </row>
    <row r="314" spans="1:7" ht="10.5" customHeight="1" x14ac:dyDescent="0.2">
      <c r="A314" s="42"/>
      <c r="B314" s="235"/>
      <c r="C314" s="153"/>
      <c r="D314" s="153"/>
      <c r="E314" s="153"/>
      <c r="F314" s="99"/>
      <c r="G314" s="80"/>
    </row>
    <row r="315" spans="1:7" ht="10.5" customHeight="1" x14ac:dyDescent="0.2">
      <c r="A315" s="42"/>
      <c r="B315" s="513" t="s">
        <v>1345</v>
      </c>
      <c r="C315" s="486"/>
      <c r="D315" s="486"/>
      <c r="E315" s="488"/>
      <c r="F315" s="99">
        <f>E26</f>
        <v>3160</v>
      </c>
      <c r="G315" s="80"/>
    </row>
    <row r="316" spans="1:7" ht="10.5" customHeight="1" x14ac:dyDescent="0.2">
      <c r="A316" s="42"/>
      <c r="B316" s="235"/>
      <c r="C316" s="153"/>
      <c r="D316" s="153"/>
      <c r="E316" s="153"/>
      <c r="F316" s="99"/>
      <c r="G316" s="80"/>
    </row>
    <row r="317" spans="1:7" ht="10.5" customHeight="1" x14ac:dyDescent="0.2">
      <c r="A317" s="42"/>
      <c r="B317" s="513" t="s">
        <v>1346</v>
      </c>
      <c r="C317" s="486"/>
      <c r="D317" s="486"/>
      <c r="E317" s="488"/>
      <c r="F317" s="99">
        <f>AVERAGE(E92)</f>
        <v>3560</v>
      </c>
      <c r="G317" s="80"/>
    </row>
    <row r="318" spans="1:7" ht="10.5" customHeight="1" x14ac:dyDescent="0.2">
      <c r="A318" s="42"/>
      <c r="B318" s="235"/>
      <c r="C318" s="153"/>
      <c r="D318" s="153"/>
      <c r="E318" s="143"/>
      <c r="F318" s="99"/>
      <c r="G318" s="80"/>
    </row>
    <row r="319" spans="1:7" ht="10.5" customHeight="1" x14ac:dyDescent="0.2">
      <c r="A319" s="42"/>
      <c r="B319" s="513" t="s">
        <v>1347</v>
      </c>
      <c r="C319" s="486"/>
      <c r="D319" s="486"/>
      <c r="E319" s="488"/>
      <c r="F319" s="199">
        <f>AVERAGE(E48,E70)</f>
        <v>1320</v>
      </c>
      <c r="G319" s="80"/>
    </row>
    <row r="320" spans="1:7" ht="10.5" customHeight="1" x14ac:dyDescent="0.2">
      <c r="A320" s="42"/>
      <c r="B320" s="235"/>
      <c r="C320" s="153"/>
      <c r="D320" s="153"/>
      <c r="E320" s="153"/>
      <c r="F320" s="99"/>
      <c r="G320" s="80"/>
    </row>
    <row r="321" spans="1:7" ht="6" customHeight="1" x14ac:dyDescent="0.2">
      <c r="A321" s="42"/>
      <c r="B321" s="101"/>
      <c r="C321" s="124"/>
      <c r="D321" s="124"/>
      <c r="E321" s="124"/>
      <c r="F321" s="102"/>
      <c r="G321" s="80"/>
    </row>
    <row r="322" spans="1:7" ht="10.5" customHeight="1" x14ac:dyDescent="0.2">
      <c r="A322" s="42"/>
      <c r="B322" s="513" t="s">
        <v>1348</v>
      </c>
      <c r="C322" s="486"/>
      <c r="D322" s="486"/>
      <c r="E322" s="488"/>
      <c r="F322" s="99">
        <f>E114</f>
        <v>3200</v>
      </c>
      <c r="G322" s="80"/>
    </row>
    <row r="323" spans="1:7" ht="10.5" customHeight="1" x14ac:dyDescent="0.2">
      <c r="A323" s="42"/>
      <c r="B323" s="235"/>
      <c r="C323" s="153"/>
      <c r="D323" s="153"/>
      <c r="E323" s="153"/>
      <c r="F323" s="99"/>
      <c r="G323" s="80"/>
    </row>
    <row r="324" spans="1:7" ht="10.5" customHeight="1" x14ac:dyDescent="0.2">
      <c r="A324" s="42"/>
      <c r="B324" s="513" t="s">
        <v>1349</v>
      </c>
      <c r="C324" s="486"/>
      <c r="D324" s="486"/>
      <c r="E324" s="488"/>
      <c r="F324" s="99">
        <f>AVERAGE(E177,E219)</f>
        <v>2833.333333333333</v>
      </c>
      <c r="G324" s="80"/>
    </row>
    <row r="325" spans="1:7" ht="10.5" customHeight="1" x14ac:dyDescent="0.2">
      <c r="A325" s="42"/>
      <c r="B325" s="235"/>
      <c r="C325" s="153"/>
      <c r="D325" s="153"/>
      <c r="E325" s="153"/>
      <c r="F325" s="99"/>
      <c r="G325" s="80"/>
    </row>
    <row r="326" spans="1:7" ht="10.5" customHeight="1" x14ac:dyDescent="0.2">
      <c r="A326" s="42"/>
      <c r="B326" s="513" t="s">
        <v>1350</v>
      </c>
      <c r="C326" s="486"/>
      <c r="D326" s="486"/>
      <c r="E326" s="488"/>
      <c r="F326" s="199">
        <f>AVERAGE(E240,E198,E156,E135)</f>
        <v>1778.3333333333335</v>
      </c>
      <c r="G326" s="80"/>
    </row>
    <row r="327" spans="1:7" ht="10.5" customHeight="1" x14ac:dyDescent="0.2">
      <c r="A327" s="42"/>
      <c r="B327" s="235"/>
      <c r="C327" s="153"/>
      <c r="D327" s="153"/>
      <c r="E327" s="153"/>
      <c r="F327" s="99"/>
      <c r="G327" s="80"/>
    </row>
    <row r="328" spans="1:7" ht="6" customHeight="1" x14ac:dyDescent="0.2">
      <c r="A328" s="42"/>
      <c r="B328" s="101"/>
      <c r="C328" s="124"/>
      <c r="D328" s="124"/>
      <c r="E328" s="124"/>
      <c r="F328" s="102"/>
      <c r="G328" s="80"/>
    </row>
    <row r="329" spans="1:7" ht="10.5" customHeight="1" x14ac:dyDescent="0.2">
      <c r="A329" s="42"/>
      <c r="B329" s="513" t="s">
        <v>1351</v>
      </c>
      <c r="C329" s="486"/>
      <c r="D329" s="486"/>
      <c r="E329" s="488"/>
      <c r="F329" s="99">
        <f>E263</f>
        <v>1522.2222222222219</v>
      </c>
      <c r="G329" s="80"/>
    </row>
    <row r="330" spans="1:7" ht="10.5" customHeight="1" x14ac:dyDescent="0.2">
      <c r="A330" s="42"/>
      <c r="B330" s="513"/>
      <c r="C330" s="486"/>
      <c r="D330" s="486"/>
      <c r="E330" s="488"/>
      <c r="F330" s="99"/>
      <c r="G330" s="80"/>
    </row>
    <row r="331" spans="1:7" ht="6" customHeight="1" x14ac:dyDescent="0.2">
      <c r="A331" s="42"/>
      <c r="B331" s="101"/>
      <c r="C331" s="124"/>
      <c r="D331" s="124"/>
      <c r="E331" s="124"/>
      <c r="F331" s="102"/>
      <c r="G331" s="80"/>
    </row>
    <row r="332" spans="1:7" ht="10.5" customHeight="1" x14ac:dyDescent="0.2">
      <c r="A332" s="42"/>
      <c r="B332" s="513" t="s">
        <v>1352</v>
      </c>
      <c r="C332" s="486"/>
      <c r="D332" s="486"/>
      <c r="E332" s="488"/>
      <c r="F332" s="99">
        <f>AVERAGE(E309,E287)</f>
        <v>1338.8888888888891</v>
      </c>
      <c r="G332" s="80"/>
    </row>
    <row r="333" spans="1:7" ht="10.8" customHeight="1" thickBot="1" x14ac:dyDescent="0.25">
      <c r="A333" s="42"/>
      <c r="B333" s="147"/>
      <c r="C333" s="150"/>
      <c r="D333" s="153"/>
      <c r="E333" s="150"/>
      <c r="F333" s="149"/>
      <c r="G333" s="80"/>
    </row>
    <row r="334" spans="1:7" ht="10.5" customHeight="1" x14ac:dyDescent="0.2">
      <c r="A334" s="42"/>
      <c r="D334" s="50"/>
    </row>
    <row r="335" spans="1:7" ht="10.8" customHeight="1" thickBot="1" x14ac:dyDescent="0.25">
      <c r="A335" s="42"/>
      <c r="F335" s="38"/>
      <c r="G335" s="46"/>
    </row>
    <row r="336" spans="1:7" ht="10.5" customHeight="1" x14ac:dyDescent="0.2">
      <c r="A336" s="42"/>
      <c r="B336" s="144" t="s">
        <v>1190</v>
      </c>
      <c r="C336" s="145"/>
      <c r="D336" s="154"/>
      <c r="E336" s="155"/>
      <c r="F336" s="156"/>
    </row>
    <row r="337" spans="1:7" ht="20.399999999999999" customHeight="1" x14ac:dyDescent="0.2">
      <c r="A337" s="42"/>
      <c r="B337" s="151" t="str">
        <f>'LabourProject Rates_Master'!B7</f>
        <v>Work ROSTER Example #3 - 6-Day Week, 10Hr Days, Stay @ Rocky for W/E, Return Every 2nd W/E. (FLY)</v>
      </c>
      <c r="C337" s="146"/>
      <c r="D337" s="42"/>
      <c r="E337" s="44"/>
      <c r="F337" s="157"/>
    </row>
    <row r="338" spans="1:7" ht="12.45" customHeight="1" x14ac:dyDescent="0.25">
      <c r="A338" s="42"/>
      <c r="B338" s="235" t="str">
        <f>'LabourProject Rates_Master'!B8</f>
        <v>Working Days/Month</v>
      </c>
      <c r="C338" s="152">
        <f>'LabourProject Rates_Master'!C8</f>
        <v>21</v>
      </c>
      <c r="D338" s="518" t="s">
        <v>1353</v>
      </c>
      <c r="E338" s="488"/>
      <c r="F338" s="519"/>
    </row>
    <row r="339" spans="1:7" ht="10.5" customHeight="1" x14ac:dyDescent="0.2">
      <c r="A339" s="42"/>
      <c r="B339" s="235" t="str">
        <f>'LabourProject Rates_Master'!B9</f>
        <v>No-Work Days/Month</v>
      </c>
      <c r="C339" s="152">
        <f>'LabourProject Rates_Master'!C9</f>
        <v>7</v>
      </c>
      <c r="D339" s="42"/>
      <c r="E339" s="44"/>
      <c r="F339" s="157"/>
    </row>
    <row r="340" spans="1:7" ht="10.8" customHeight="1" thickBot="1" x14ac:dyDescent="0.25">
      <c r="A340" s="42"/>
      <c r="B340" s="147" t="str">
        <f>'LabourProject Rates_Master'!B10</f>
        <v>Avrg Hours / Month</v>
      </c>
      <c r="C340" s="152">
        <f>'LabourProject Rates_Master'!C10</f>
        <v>210</v>
      </c>
      <c r="D340" s="158"/>
      <c r="E340" s="159"/>
      <c r="F340" s="160"/>
    </row>
    <row r="341" spans="1:7" ht="10.8" customHeight="1" thickBot="1" x14ac:dyDescent="0.3">
      <c r="A341" s="42"/>
      <c r="B341" s="515" t="s">
        <v>1354</v>
      </c>
      <c r="C341" s="502"/>
      <c r="D341" s="502"/>
      <c r="E341" s="502"/>
      <c r="F341" s="503"/>
      <c r="G341" s="80"/>
    </row>
    <row r="342" spans="1:7" ht="10.5" customHeight="1" x14ac:dyDescent="0.2">
      <c r="A342" s="42"/>
      <c r="B342" s="235"/>
      <c r="C342" s="153"/>
      <c r="D342" s="153"/>
      <c r="E342" s="153"/>
      <c r="F342" s="99"/>
      <c r="G342" s="80"/>
    </row>
    <row r="343" spans="1:7" ht="10.5" customHeight="1" x14ac:dyDescent="0.2">
      <c r="A343" s="42"/>
      <c r="B343" s="513" t="s">
        <v>1355</v>
      </c>
      <c r="C343" s="486"/>
      <c r="D343" s="486"/>
      <c r="E343" s="488"/>
      <c r="F343" s="99">
        <f>C26</f>
        <v>112.85714285714286</v>
      </c>
      <c r="G343" s="80" t="s">
        <v>1356</v>
      </c>
    </row>
    <row r="344" spans="1:7" ht="10.5" customHeight="1" x14ac:dyDescent="0.2">
      <c r="A344" s="42"/>
      <c r="B344" s="235"/>
      <c r="C344" s="153"/>
      <c r="D344" s="153"/>
      <c r="E344" s="153"/>
      <c r="F344" s="99"/>
      <c r="G344" s="80"/>
    </row>
    <row r="345" spans="1:7" ht="10.5" customHeight="1" x14ac:dyDescent="0.2">
      <c r="A345" s="42"/>
      <c r="B345" s="513" t="s">
        <v>1346</v>
      </c>
      <c r="C345" s="486"/>
      <c r="D345" s="486"/>
      <c r="E345" s="488"/>
      <c r="F345" s="99">
        <f>C92</f>
        <v>127.14285714285714</v>
      </c>
      <c r="G345" s="80" t="s">
        <v>1356</v>
      </c>
    </row>
    <row r="346" spans="1:7" ht="10.5" customHeight="1" x14ac:dyDescent="0.2">
      <c r="A346" s="42"/>
      <c r="B346" s="235"/>
      <c r="C346" s="153"/>
      <c r="D346" s="153"/>
      <c r="E346" s="143"/>
      <c r="F346" s="99"/>
      <c r="G346" s="80"/>
    </row>
    <row r="347" spans="1:7" ht="10.5" customHeight="1" x14ac:dyDescent="0.2">
      <c r="A347" s="42"/>
      <c r="B347" s="516" t="s">
        <v>1347</v>
      </c>
      <c r="C347" s="486"/>
      <c r="D347" s="486"/>
      <c r="E347" s="488"/>
      <c r="F347" s="199">
        <f>F319/$C$338</f>
        <v>62.857142857142854</v>
      </c>
      <c r="G347" s="80"/>
    </row>
    <row r="348" spans="1:7" ht="10.5" customHeight="1" x14ac:dyDescent="0.2">
      <c r="A348" s="42"/>
      <c r="B348" s="235"/>
      <c r="C348" s="153"/>
      <c r="D348" s="153"/>
      <c r="E348" s="153"/>
      <c r="F348" s="99"/>
      <c r="G348" s="80"/>
    </row>
    <row r="349" spans="1:7" ht="6" customHeight="1" x14ac:dyDescent="0.2">
      <c r="A349" s="42"/>
      <c r="B349" s="101"/>
      <c r="C349" s="124"/>
      <c r="D349" s="124"/>
      <c r="E349" s="124"/>
      <c r="F349" s="102"/>
      <c r="G349" s="80"/>
    </row>
    <row r="350" spans="1:7" ht="10.5" customHeight="1" x14ac:dyDescent="0.2">
      <c r="A350" s="42"/>
      <c r="B350" s="513" t="s">
        <v>1357</v>
      </c>
      <c r="C350" s="486"/>
      <c r="D350" s="486"/>
      <c r="E350" s="488"/>
      <c r="F350" s="99">
        <f>C114</f>
        <v>114.28571428571429</v>
      </c>
      <c r="G350" s="80" t="s">
        <v>1356</v>
      </c>
    </row>
    <row r="351" spans="1:7" ht="10.5" customHeight="1" x14ac:dyDescent="0.2">
      <c r="A351" s="42"/>
      <c r="B351" s="235"/>
      <c r="C351" s="153"/>
      <c r="D351" s="153"/>
      <c r="E351" s="153"/>
      <c r="F351" s="99"/>
      <c r="G351" s="80"/>
    </row>
    <row r="352" spans="1:7" ht="10.5" customHeight="1" x14ac:dyDescent="0.2">
      <c r="A352" s="42"/>
      <c r="B352" s="513" t="s">
        <v>1349</v>
      </c>
      <c r="C352" s="486"/>
      <c r="D352" s="486"/>
      <c r="E352" s="488"/>
      <c r="F352" s="99">
        <f>F324/$C$338</f>
        <v>134.92063492063491</v>
      </c>
      <c r="G352" s="80" t="s">
        <v>1358</v>
      </c>
    </row>
    <row r="353" spans="1:7" ht="10.5" customHeight="1" x14ac:dyDescent="0.2">
      <c r="A353" s="42"/>
      <c r="B353" s="235"/>
      <c r="C353" s="153"/>
      <c r="D353" s="153"/>
      <c r="E353" s="153"/>
      <c r="F353" s="99"/>
      <c r="G353" s="80"/>
    </row>
    <row r="354" spans="1:7" ht="10.5" customHeight="1" x14ac:dyDescent="0.2">
      <c r="A354" s="42"/>
      <c r="B354" s="516" t="s">
        <v>1350</v>
      </c>
      <c r="C354" s="486"/>
      <c r="D354" s="486"/>
      <c r="E354" s="488"/>
      <c r="F354" s="199">
        <f>F326/$C$338</f>
        <v>84.682539682539684</v>
      </c>
      <c r="G354" s="80"/>
    </row>
    <row r="355" spans="1:7" ht="10.5" customHeight="1" x14ac:dyDescent="0.2">
      <c r="A355" s="42"/>
      <c r="B355" s="235"/>
      <c r="C355" s="153"/>
      <c r="D355" s="153"/>
      <c r="E355" s="153"/>
      <c r="F355" s="99"/>
      <c r="G355" s="80"/>
    </row>
    <row r="356" spans="1:7" ht="6" customHeight="1" x14ac:dyDescent="0.2">
      <c r="A356" s="42"/>
      <c r="B356" s="101"/>
      <c r="C356" s="124"/>
      <c r="D356" s="124"/>
      <c r="E356" s="124"/>
      <c r="F356" s="102"/>
      <c r="G356" s="80"/>
    </row>
    <row r="357" spans="1:7" ht="10.5" customHeight="1" x14ac:dyDescent="0.2">
      <c r="A357" s="42"/>
      <c r="B357" s="513" t="s">
        <v>1351</v>
      </c>
      <c r="C357" s="486"/>
      <c r="D357" s="486"/>
      <c r="E357" s="488"/>
      <c r="F357" s="99">
        <f>F329/$C$338</f>
        <v>72.48677248677248</v>
      </c>
      <c r="G357" s="80" t="s">
        <v>1358</v>
      </c>
    </row>
    <row r="358" spans="1:7" ht="10.5" customHeight="1" x14ac:dyDescent="0.2">
      <c r="A358" s="42"/>
      <c r="B358" s="513"/>
      <c r="C358" s="486"/>
      <c r="D358" s="486"/>
      <c r="E358" s="488"/>
      <c r="F358" s="99"/>
      <c r="G358" s="80"/>
    </row>
    <row r="359" spans="1:7" ht="6" customHeight="1" x14ac:dyDescent="0.2">
      <c r="A359" s="42"/>
      <c r="B359" s="101"/>
      <c r="C359" s="124"/>
      <c r="D359" s="124"/>
      <c r="E359" s="124"/>
      <c r="F359" s="102"/>
      <c r="G359" s="80"/>
    </row>
    <row r="360" spans="1:7" ht="10.5" customHeight="1" x14ac:dyDescent="0.2">
      <c r="A360" s="42"/>
      <c r="B360" s="513" t="s">
        <v>1352</v>
      </c>
      <c r="C360" s="486"/>
      <c r="D360" s="486"/>
      <c r="E360" s="488"/>
      <c r="F360" s="99">
        <f>F332/$C$338</f>
        <v>63.756613756613767</v>
      </c>
      <c r="G360" s="80" t="s">
        <v>1358</v>
      </c>
    </row>
    <row r="361" spans="1:7" ht="10.8" customHeight="1" thickBot="1" x14ac:dyDescent="0.25">
      <c r="A361" s="42"/>
      <c r="B361" s="147"/>
      <c r="C361" s="150"/>
      <c r="D361" s="150"/>
      <c r="E361" s="150"/>
      <c r="F361" s="149"/>
      <c r="G361" s="80"/>
    </row>
    <row r="362" spans="1:7" ht="10.8" customHeight="1" thickBot="1" x14ac:dyDescent="0.25">
      <c r="A362" s="42"/>
      <c r="F362" s="51"/>
    </row>
    <row r="363" spans="1:7" ht="10.8" customHeight="1" thickBot="1" x14ac:dyDescent="0.3">
      <c r="A363" s="42"/>
      <c r="B363" s="517" t="s">
        <v>1359</v>
      </c>
      <c r="C363" s="502"/>
      <c r="D363" s="502"/>
      <c r="E363" s="502"/>
      <c r="F363" s="503"/>
      <c r="G363" s="80"/>
    </row>
    <row r="364" spans="1:7" ht="10.5" customHeight="1" x14ac:dyDescent="0.2">
      <c r="A364" s="42"/>
      <c r="B364" s="513" t="s">
        <v>1360</v>
      </c>
      <c r="C364" s="486"/>
      <c r="D364" s="486"/>
      <c r="E364" s="488"/>
      <c r="F364" s="103">
        <f>AVERAGE(F343,F350)</f>
        <v>113.57142857142858</v>
      </c>
      <c r="G364" s="80"/>
    </row>
    <row r="365" spans="1:7" ht="10.5" customHeight="1" x14ac:dyDescent="0.2">
      <c r="A365" s="42"/>
      <c r="B365" s="513" t="s">
        <v>1361</v>
      </c>
      <c r="C365" s="486"/>
      <c r="D365" s="486"/>
      <c r="E365" s="488"/>
      <c r="F365" s="103">
        <f>AVERAGE(F357,F360)</f>
        <v>68.121693121693127</v>
      </c>
      <c r="G365" s="80"/>
    </row>
    <row r="366" spans="1:7" ht="6" customHeight="1" x14ac:dyDescent="0.2">
      <c r="A366" s="42"/>
      <c r="B366" s="101"/>
      <c r="C366" s="124"/>
      <c r="D366" s="124"/>
      <c r="E366" s="124"/>
      <c r="F366" s="102"/>
      <c r="G366" s="80"/>
    </row>
    <row r="367" spans="1:7" x14ac:dyDescent="0.2">
      <c r="F367" s="46"/>
    </row>
    <row r="368" spans="1:7" x14ac:dyDescent="0.2">
      <c r="B368" s="53"/>
      <c r="C368" s="38"/>
      <c r="F368" s="38"/>
    </row>
  </sheetData>
  <mergeCells count="26">
    <mergeCell ref="B365:E365"/>
    <mergeCell ref="B345:E345"/>
    <mergeCell ref="B357:E357"/>
    <mergeCell ref="B326:E326"/>
    <mergeCell ref="B347:E347"/>
    <mergeCell ref="B363:F363"/>
    <mergeCell ref="B332:E332"/>
    <mergeCell ref="B350:E350"/>
    <mergeCell ref="B358:E358"/>
    <mergeCell ref="D338:F338"/>
    <mergeCell ref="B354:E354"/>
    <mergeCell ref="B352:E352"/>
    <mergeCell ref="B364:E364"/>
    <mergeCell ref="B360:E360"/>
    <mergeCell ref="B329:E329"/>
    <mergeCell ref="B319:E319"/>
    <mergeCell ref="B3:F3"/>
    <mergeCell ref="B330:E330"/>
    <mergeCell ref="B343:E343"/>
    <mergeCell ref="B341:F341"/>
    <mergeCell ref="B324:E324"/>
    <mergeCell ref="B315:E315"/>
    <mergeCell ref="B322:E322"/>
    <mergeCell ref="B313:F313"/>
    <mergeCell ref="B5:F5"/>
    <mergeCell ref="B317:E317"/>
  </mergeCells>
  <printOptions gridLines="1"/>
  <pageMargins left="0.46" right="0.42" top="0.37" bottom="0.4" header="0.39" footer="0.38"/>
  <pageSetup paperSize="8" scale="80" orientation="portrait" horizontalDpi="1200" verticalDpi="1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57"/>
  <sheetViews>
    <sheetView workbookViewId="0"/>
  </sheetViews>
  <sheetFormatPr defaultRowHeight="13.2" x14ac:dyDescent="0.25"/>
  <cols>
    <col min="1" max="1" width="3" customWidth="1"/>
    <col min="2" max="2" width="92" customWidth="1"/>
    <col min="3" max="3" width="8" customWidth="1"/>
    <col min="4" max="4" width="10" customWidth="1"/>
    <col min="5" max="5" width="14" customWidth="1"/>
    <col min="6" max="6" width="15" customWidth="1"/>
  </cols>
  <sheetData>
    <row r="1" spans="2:6" ht="15.45" customHeight="1" x14ac:dyDescent="0.3">
      <c r="B1" s="480" t="s">
        <v>1362</v>
      </c>
    </row>
    <row r="2" spans="2:6" ht="40.049999999999997" customHeight="1" x14ac:dyDescent="0.25">
      <c r="B2" s="481" t="s">
        <v>1363</v>
      </c>
    </row>
    <row r="4" spans="2:6" ht="15.45" customHeight="1" x14ac:dyDescent="0.3">
      <c r="B4" s="480" t="s">
        <v>1364</v>
      </c>
    </row>
    <row r="6" spans="2:6" ht="13.05" customHeight="1" x14ac:dyDescent="0.25">
      <c r="B6" s="473" t="s">
        <v>1365</v>
      </c>
    </row>
    <row r="7" spans="2:6" x14ac:dyDescent="0.25">
      <c r="B7" t="s">
        <v>1366</v>
      </c>
      <c r="C7" t="s">
        <v>25</v>
      </c>
      <c r="D7">
        <v>110</v>
      </c>
      <c r="E7">
        <f>31.1083*(110/125)^2*1.38</f>
        <v>33.244569177599992</v>
      </c>
      <c r="F7" s="472">
        <f>E7*D7</f>
        <v>3656.9026095359991</v>
      </c>
    </row>
    <row r="8" spans="2:6" x14ac:dyDescent="0.25">
      <c r="B8" t="s">
        <v>1367</v>
      </c>
      <c r="C8" t="s">
        <v>132</v>
      </c>
      <c r="D8">
        <v>1</v>
      </c>
      <c r="E8">
        <f>F7*0.15</f>
        <v>548.53539143039984</v>
      </c>
      <c r="F8" s="472">
        <f>E8*D8</f>
        <v>548.53539143039984</v>
      </c>
    </row>
    <row r="9" spans="2:6" x14ac:dyDescent="0.25">
      <c r="B9" t="s">
        <v>1368</v>
      </c>
      <c r="C9" t="s">
        <v>1369</v>
      </c>
      <c r="D9">
        <v>2</v>
      </c>
      <c r="E9">
        <f>'LabourProject Rates_Master'!E37</f>
        <v>2862.42609924812</v>
      </c>
      <c r="F9" s="472">
        <f>E9*D9</f>
        <v>5724.8521984962399</v>
      </c>
    </row>
    <row r="10" spans="2:6" x14ac:dyDescent="0.25">
      <c r="B10" t="s">
        <v>1370</v>
      </c>
      <c r="C10" t="s">
        <v>132</v>
      </c>
      <c r="D10">
        <v>1</v>
      </c>
      <c r="E10">
        <f>2*'Equip&amp;HIRE_Master'!D10+2*350</f>
        <v>1177.3333333333335</v>
      </c>
      <c r="F10" s="472">
        <f>E10*D10</f>
        <v>1177.3333333333335</v>
      </c>
    </row>
    <row r="11" spans="2:6" x14ac:dyDescent="0.25">
      <c r="B11" t="s">
        <v>1371</v>
      </c>
      <c r="F11" s="472">
        <f>SUM(F7:F10)</f>
        <v>11107.623532795973</v>
      </c>
    </row>
    <row r="12" spans="2:6" ht="13.05" customHeight="1" x14ac:dyDescent="0.25">
      <c r="B12" s="473" t="s">
        <v>1372</v>
      </c>
      <c r="F12" s="468">
        <f>F11*(1+'TCS $ Sched'!Q51)</f>
        <v>15717.287298906302</v>
      </c>
    </row>
    <row r="13" spans="2:6" ht="30" customHeight="1" x14ac:dyDescent="0.25">
      <c r="B13" s="481" t="s">
        <v>1373</v>
      </c>
    </row>
    <row r="15" spans="2:6" ht="13.05" customHeight="1" x14ac:dyDescent="0.25">
      <c r="B15" s="473" t="s">
        <v>1374</v>
      </c>
    </row>
    <row r="16" spans="2:6" x14ac:dyDescent="0.25">
      <c r="B16" t="s">
        <v>1375</v>
      </c>
      <c r="C16" t="s">
        <v>132</v>
      </c>
      <c r="D16">
        <v>1</v>
      </c>
      <c r="E16">
        <v>1500</v>
      </c>
      <c r="F16" s="472">
        <f>E16*D16</f>
        <v>1500</v>
      </c>
    </row>
    <row r="17" spans="2:6" x14ac:dyDescent="0.25">
      <c r="B17" t="s">
        <v>1376</v>
      </c>
      <c r="C17" t="s">
        <v>1369</v>
      </c>
      <c r="D17">
        <v>0.5</v>
      </c>
      <c r="E17">
        <f>'LabourProject Rates_Master'!E37</f>
        <v>2862.42609924812</v>
      </c>
      <c r="F17" s="472">
        <f>E17*D17</f>
        <v>1431.21304962406</v>
      </c>
    </row>
    <row r="18" spans="2:6" x14ac:dyDescent="0.25">
      <c r="B18" t="s">
        <v>1377</v>
      </c>
      <c r="F18" s="472">
        <f>SUM(F16:F17)</f>
        <v>2931.2130496240597</v>
      </c>
    </row>
    <row r="19" spans="2:6" ht="13.05" customHeight="1" x14ac:dyDescent="0.25">
      <c r="B19" s="473" t="s">
        <v>1378</v>
      </c>
      <c r="F19" s="468">
        <f>F18*(1+'TCS $ Sched'!Q51)</f>
        <v>4147.6664652180443</v>
      </c>
    </row>
    <row r="20" spans="2:6" ht="30" customHeight="1" x14ac:dyDescent="0.25">
      <c r="B20" s="481" t="s">
        <v>1379</v>
      </c>
    </row>
    <row r="22" spans="2:6" ht="13.05" customHeight="1" x14ac:dyDescent="0.25">
      <c r="B22" s="473" t="s">
        <v>1380</v>
      </c>
    </row>
    <row r="23" spans="2:6" x14ac:dyDescent="0.25">
      <c r="B23" t="s">
        <v>1381</v>
      </c>
      <c r="C23" t="s">
        <v>27</v>
      </c>
      <c r="D23">
        <v>9</v>
      </c>
      <c r="E23">
        <v>120</v>
      </c>
      <c r="F23" s="472">
        <f>E23*D23</f>
        <v>1080</v>
      </c>
    </row>
    <row r="24" spans="2:6" x14ac:dyDescent="0.25">
      <c r="B24" t="s">
        <v>1382</v>
      </c>
      <c r="C24" t="s">
        <v>1369</v>
      </c>
      <c r="D24">
        <v>0.25</v>
      </c>
      <c r="E24">
        <f>'LabourProject Rates_Master'!E37</f>
        <v>2862.42609924812</v>
      </c>
      <c r="F24" s="472">
        <f>E24*D24</f>
        <v>715.60652481202999</v>
      </c>
    </row>
    <row r="25" spans="2:6" x14ac:dyDescent="0.25">
      <c r="B25" t="s">
        <v>1383</v>
      </c>
      <c r="F25" s="472">
        <f>SUM(F23:F24)</f>
        <v>1795.6065248120299</v>
      </c>
    </row>
    <row r="26" spans="2:6" ht="13.05" customHeight="1" x14ac:dyDescent="0.25">
      <c r="B26" s="473" t="s">
        <v>1384</v>
      </c>
      <c r="F26" s="468">
        <f>F25*(1+'TCS $ Sched'!Q51)</f>
        <v>2540.7832326090224</v>
      </c>
    </row>
    <row r="27" spans="2:6" ht="30" customHeight="1" x14ac:dyDescent="0.25">
      <c r="B27" s="481" t="s">
        <v>1385</v>
      </c>
    </row>
    <row r="29" spans="2:6" ht="13.05" customHeight="1" x14ac:dyDescent="0.25">
      <c r="B29" s="473" t="s">
        <v>1386</v>
      </c>
    </row>
    <row r="30" spans="2:6" ht="55.05" customHeight="1" x14ac:dyDescent="0.25">
      <c r="B30" s="481" t="s">
        <v>1387</v>
      </c>
    </row>
    <row r="31" spans="2:6" ht="55.05" customHeight="1" x14ac:dyDescent="0.25">
      <c r="B31" s="481" t="s">
        <v>1388</v>
      </c>
    </row>
    <row r="32" spans="2:6" ht="55.05" customHeight="1" x14ac:dyDescent="0.25">
      <c r="B32" s="481" t="s">
        <v>1389</v>
      </c>
    </row>
    <row r="34" spans="2:6" ht="15.45" customHeight="1" x14ac:dyDescent="0.3">
      <c r="B34" s="480" t="s">
        <v>1390</v>
      </c>
    </row>
    <row r="36" spans="2:6" ht="13.05" customHeight="1" x14ac:dyDescent="0.25">
      <c r="B36" s="473" t="s">
        <v>1391</v>
      </c>
    </row>
    <row r="37" spans="2:6" x14ac:dyDescent="0.25">
      <c r="B37" t="s">
        <v>1392</v>
      </c>
      <c r="C37" t="s">
        <v>25</v>
      </c>
      <c r="D37">
        <v>134.63</v>
      </c>
      <c r="E37">
        <f>2015/6</f>
        <v>335.83333333333331</v>
      </c>
      <c r="F37" s="472">
        <f>E37*D37</f>
        <v>45213.241666666661</v>
      </c>
    </row>
    <row r="38" spans="2:6" x14ac:dyDescent="0.25">
      <c r="B38" t="s">
        <v>1393</v>
      </c>
      <c r="F38" s="472">
        <f>'Siteworks '!F349</f>
        <v>23118.388147019999</v>
      </c>
    </row>
    <row r="39" spans="2:6" x14ac:dyDescent="0.25">
      <c r="B39" t="s">
        <v>1394</v>
      </c>
      <c r="F39" s="472">
        <f>F37-F38</f>
        <v>22094.853519646662</v>
      </c>
    </row>
    <row r="40" spans="2:6" ht="13.05" customHeight="1" x14ac:dyDescent="0.25">
      <c r="B40" s="473" t="s">
        <v>1395</v>
      </c>
      <c r="F40" s="468">
        <f>F39*1.18*(1+'TCS $ Sched'!Q51)</f>
        <v>36891.776921754034</v>
      </c>
    </row>
    <row r="41" spans="2:6" ht="45" customHeight="1" x14ac:dyDescent="0.25">
      <c r="B41" s="481" t="s">
        <v>1396</v>
      </c>
    </row>
    <row r="43" spans="2:6" ht="13.05" customHeight="1" x14ac:dyDescent="0.25">
      <c r="B43" s="473" t="s">
        <v>1397</v>
      </c>
    </row>
    <row r="44" spans="2:6" x14ac:dyDescent="0.25">
      <c r="B44" t="s">
        <v>1398</v>
      </c>
      <c r="C44" t="s">
        <v>25</v>
      </c>
      <c r="D44">
        <v>17.86</v>
      </c>
      <c r="E44">
        <v>32</v>
      </c>
      <c r="F44" s="472">
        <f>E44*D44</f>
        <v>571.52</v>
      </c>
    </row>
    <row r="45" spans="2:6" x14ac:dyDescent="0.25">
      <c r="B45" t="s">
        <v>1399</v>
      </c>
      <c r="C45" t="s">
        <v>25</v>
      </c>
      <c r="D45">
        <v>112.72</v>
      </c>
      <c r="E45">
        <f>129/6</f>
        <v>21.5</v>
      </c>
      <c r="F45" s="472">
        <f>E45*D45</f>
        <v>2423.48</v>
      </c>
    </row>
    <row r="46" spans="2:6" x14ac:dyDescent="0.25">
      <c r="B46" t="s">
        <v>1400</v>
      </c>
      <c r="C46" t="s">
        <v>25</v>
      </c>
      <c r="D46">
        <v>9.56</v>
      </c>
      <c r="E46">
        <f>119.88/6</f>
        <v>19.98</v>
      </c>
      <c r="F46" s="472">
        <f>E46*D46</f>
        <v>191.00880000000001</v>
      </c>
    </row>
    <row r="47" spans="2:6" x14ac:dyDescent="0.25">
      <c r="B47" t="s">
        <v>1401</v>
      </c>
      <c r="C47" t="s">
        <v>25</v>
      </c>
      <c r="D47">
        <v>26.9</v>
      </c>
      <c r="E47">
        <v>17.52</v>
      </c>
      <c r="F47" s="472">
        <f>E47*D47</f>
        <v>471.28799999999995</v>
      </c>
    </row>
    <row r="48" spans="2:6" x14ac:dyDescent="0.25">
      <c r="B48" t="s">
        <v>1402</v>
      </c>
      <c r="F48" s="472">
        <f>SUM(F44:F47)</f>
        <v>3657.2968000000001</v>
      </c>
    </row>
    <row r="49" spans="2:6" x14ac:dyDescent="0.25">
      <c r="B49" t="s">
        <v>1403</v>
      </c>
      <c r="F49" s="472">
        <f>'ClubHouse (NBC )'!F420+'ClubHouse (NBC )'!F423+'Public Amenities (PAM)'!F405+'Public Amenities (PAM)'!F407</f>
        <v>2479.6372000000001</v>
      </c>
    </row>
    <row r="50" spans="2:6" x14ac:dyDescent="0.25">
      <c r="B50" t="s">
        <v>1404</v>
      </c>
      <c r="F50" s="472">
        <f>'ClubHouse (NBC )'!F421+'ClubHouse (NBC )'!F422+'ClubHouse (NBC )'!F424+'ClubHouse (NBC )'!F425+'ClubHouse (NBC )'!F438+'ClubHouse (NBC )'!F439+'ClubHouse (NBC )'!F442+'ClubHouse (NBC )'!F443+'Public Amenities (PAM)'!F406+'Public Amenities (PAM)'!F408+'Public Amenities (PAM)'!F410+'Public Amenities (PAM)'!F419+'Public Amenities (PAM)'!F420+'Public Amenities (PAM)'!F423+'Public Amenities (PAM)'!F425</f>
        <v>1319.6549999999997</v>
      </c>
    </row>
    <row r="51" spans="2:6" x14ac:dyDescent="0.25">
      <c r="B51" t="s">
        <v>1405</v>
      </c>
      <c r="F51" s="472">
        <f>-F50/3</f>
        <v>-439.88499999999993</v>
      </c>
    </row>
    <row r="52" spans="2:6" x14ac:dyDescent="0.25">
      <c r="B52" t="s">
        <v>1406</v>
      </c>
      <c r="F52" s="472">
        <f>F48-F49+F51</f>
        <v>737.77459999999996</v>
      </c>
    </row>
    <row r="53" spans="2:6" ht="13.05" customHeight="1" x14ac:dyDescent="0.25">
      <c r="B53" s="473" t="s">
        <v>1407</v>
      </c>
      <c r="F53" s="468">
        <f>F52*1.12*(1+'TCS $ Sched'!Q51)</f>
        <v>1169.22518608</v>
      </c>
    </row>
    <row r="54" spans="2:6" ht="55.05" customHeight="1" x14ac:dyDescent="0.25">
      <c r="B54" s="481" t="s">
        <v>1408</v>
      </c>
    </row>
    <row r="56" spans="2:6" ht="30" customHeight="1" x14ac:dyDescent="0.25">
      <c r="B56" s="481" t="s">
        <v>1409</v>
      </c>
    </row>
    <row r="57" spans="2:6" ht="13.05" customHeight="1" x14ac:dyDescent="0.25">
      <c r="B57" s="473" t="s">
        <v>1410</v>
      </c>
      <c r="F57" s="468">
        <f>F12+F19+F26</f>
        <v>22405.736996733365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1"/>
  <sheetViews>
    <sheetView workbookViewId="0"/>
  </sheetViews>
  <sheetFormatPr defaultRowHeight="13.2" x14ac:dyDescent="0.25"/>
  <cols>
    <col min="1" max="1" width="8" customWidth="1"/>
    <col min="2" max="2" width="11" customWidth="1"/>
    <col min="3" max="3" width="58" customWidth="1"/>
    <col min="4" max="4" width="30" customWidth="1"/>
    <col min="5" max="5" width="16" customWidth="1"/>
    <col min="6" max="6" width="62" customWidth="1"/>
  </cols>
  <sheetData>
    <row r="1" spans="1:6" ht="15.45" customHeight="1" x14ac:dyDescent="0.3">
      <c r="A1" s="480" t="s">
        <v>1411</v>
      </c>
    </row>
    <row r="2" spans="1:6" ht="31.95" customHeight="1" x14ac:dyDescent="0.25">
      <c r="A2" s="481" t="s">
        <v>1412</v>
      </c>
    </row>
    <row r="4" spans="1:6" ht="13.05" customHeight="1" x14ac:dyDescent="0.25">
      <c r="A4" s="473" t="s">
        <v>1413</v>
      </c>
      <c r="B4" s="473" t="s">
        <v>1414</v>
      </c>
      <c r="C4" s="473" t="s">
        <v>1415</v>
      </c>
      <c r="D4" s="473" t="s">
        <v>1416</v>
      </c>
      <c r="E4" s="473" t="s">
        <v>1417</v>
      </c>
      <c r="F4" s="473" t="s">
        <v>1418</v>
      </c>
    </row>
    <row r="5" spans="1:6" ht="40.049999999999997" customHeight="1" x14ac:dyDescent="0.25">
      <c r="A5" t="s">
        <v>1419</v>
      </c>
      <c r="B5" t="s">
        <v>1420</v>
      </c>
      <c r="C5" s="481" t="s">
        <v>1421</v>
      </c>
      <c r="D5" s="481" t="s">
        <v>1422</v>
      </c>
      <c r="F5" s="481" t="s">
        <v>1423</v>
      </c>
    </row>
    <row r="6" spans="1:6" ht="40.049999999999997" customHeight="1" x14ac:dyDescent="0.25">
      <c r="A6" t="s">
        <v>1419</v>
      </c>
      <c r="B6" t="s">
        <v>1424</v>
      </c>
      <c r="C6" s="481" t="s">
        <v>1425</v>
      </c>
      <c r="D6" s="481" t="s">
        <v>1422</v>
      </c>
      <c r="F6" s="481" t="s">
        <v>1426</v>
      </c>
    </row>
    <row r="7" spans="1:6" ht="40.049999999999997" customHeight="1" x14ac:dyDescent="0.25">
      <c r="A7" t="s">
        <v>1419</v>
      </c>
      <c r="B7" t="s">
        <v>1427</v>
      </c>
      <c r="C7" s="481" t="s">
        <v>1428</v>
      </c>
      <c r="D7" s="481" t="s">
        <v>1429</v>
      </c>
      <c r="F7" s="481" t="s">
        <v>1430</v>
      </c>
    </row>
    <row r="8" spans="1:6" ht="40.049999999999997" customHeight="1" x14ac:dyDescent="0.25">
      <c r="A8" t="s">
        <v>1419</v>
      </c>
      <c r="B8" t="s">
        <v>1431</v>
      </c>
      <c r="C8" s="481" t="s">
        <v>1432</v>
      </c>
      <c r="D8" s="481" t="s">
        <v>1433</v>
      </c>
      <c r="E8" s="472">
        <f>EBC_Alternates!F12</f>
        <v>15717.287298906302</v>
      </c>
      <c r="F8" s="481" t="s">
        <v>1434</v>
      </c>
    </row>
    <row r="9" spans="1:6" ht="40.049999999999997" customHeight="1" x14ac:dyDescent="0.25">
      <c r="A9" t="s">
        <v>1419</v>
      </c>
      <c r="B9" t="s">
        <v>1435</v>
      </c>
      <c r="C9" s="481" t="s">
        <v>1436</v>
      </c>
      <c r="D9" s="481" t="s">
        <v>1422</v>
      </c>
      <c r="F9" s="481" t="s">
        <v>1437</v>
      </c>
    </row>
    <row r="10" spans="1:6" ht="40.049999999999997" customHeight="1" x14ac:dyDescent="0.25">
      <c r="A10" t="s">
        <v>1419</v>
      </c>
      <c r="B10" t="s">
        <v>1438</v>
      </c>
      <c r="C10" s="481" t="s">
        <v>1439</v>
      </c>
      <c r="D10" s="481" t="s">
        <v>1422</v>
      </c>
      <c r="F10" s="481" t="s">
        <v>1440</v>
      </c>
    </row>
    <row r="11" spans="1:6" ht="40.049999999999997" customHeight="1" x14ac:dyDescent="0.25">
      <c r="A11" t="s">
        <v>1419</v>
      </c>
      <c r="B11" t="s">
        <v>1441</v>
      </c>
      <c r="C11" s="481" t="s">
        <v>1442</v>
      </c>
      <c r="D11" s="481" t="s">
        <v>1422</v>
      </c>
      <c r="F11" s="481" t="s">
        <v>1443</v>
      </c>
    </row>
    <row r="12" spans="1:6" ht="40.049999999999997" customHeight="1" x14ac:dyDescent="0.25">
      <c r="A12" t="s">
        <v>1419</v>
      </c>
      <c r="B12" t="s">
        <v>1444</v>
      </c>
      <c r="C12" s="481" t="s">
        <v>1445</v>
      </c>
      <c r="D12" s="481" t="s">
        <v>1422</v>
      </c>
      <c r="F12" s="481" t="s">
        <v>1446</v>
      </c>
    </row>
    <row r="13" spans="1:6" ht="40.049999999999997" customHeight="1" x14ac:dyDescent="0.25">
      <c r="A13" t="s">
        <v>1419</v>
      </c>
      <c r="B13" t="s">
        <v>1447</v>
      </c>
      <c r="C13" s="481" t="s">
        <v>1448</v>
      </c>
      <c r="D13" s="481" t="s">
        <v>1449</v>
      </c>
      <c r="F13" s="481" t="s">
        <v>1450</v>
      </c>
    </row>
    <row r="14" spans="1:6" ht="40.049999999999997" customHeight="1" x14ac:dyDescent="0.25">
      <c r="A14" t="s">
        <v>1419</v>
      </c>
      <c r="B14" t="s">
        <v>1451</v>
      </c>
      <c r="C14" s="481" t="s">
        <v>1452</v>
      </c>
      <c r="D14" s="481" t="s">
        <v>1453</v>
      </c>
      <c r="F14" s="481" t="s">
        <v>1454</v>
      </c>
    </row>
    <row r="15" spans="1:6" ht="40.049999999999997" customHeight="1" x14ac:dyDescent="0.25">
      <c r="A15" t="s">
        <v>1419</v>
      </c>
      <c r="B15" t="s">
        <v>1455</v>
      </c>
      <c r="C15" s="481" t="s">
        <v>1456</v>
      </c>
      <c r="D15" s="481" t="s">
        <v>1422</v>
      </c>
      <c r="F15" s="481" t="s">
        <v>1457</v>
      </c>
    </row>
    <row r="16" spans="1:6" ht="40.049999999999997" customHeight="1" x14ac:dyDescent="0.25">
      <c r="A16" t="s">
        <v>1419</v>
      </c>
      <c r="B16" t="s">
        <v>1458</v>
      </c>
      <c r="C16" s="481" t="s">
        <v>1459</v>
      </c>
      <c r="D16" s="481" t="s">
        <v>1422</v>
      </c>
      <c r="F16" s="481" t="s">
        <v>1460</v>
      </c>
    </row>
    <row r="17" spans="1:6" ht="40.049999999999997" customHeight="1" x14ac:dyDescent="0.25">
      <c r="A17" t="s">
        <v>1419</v>
      </c>
      <c r="B17" t="s">
        <v>1461</v>
      </c>
      <c r="C17" s="481" t="s">
        <v>1462</v>
      </c>
      <c r="D17" s="481" t="s">
        <v>1463</v>
      </c>
      <c r="E17" s="472">
        <f>'TCS $ Sched'!N71</f>
        <v>207268.83549999999</v>
      </c>
      <c r="F17" s="481" t="s">
        <v>1464</v>
      </c>
    </row>
    <row r="18" spans="1:6" ht="40.049999999999997" customHeight="1" x14ac:dyDescent="0.25">
      <c r="A18" t="s">
        <v>1419</v>
      </c>
      <c r="B18" t="s">
        <v>1465</v>
      </c>
      <c r="C18" s="481" t="s">
        <v>1466</v>
      </c>
      <c r="D18" s="481" t="s">
        <v>1467</v>
      </c>
      <c r="E18" s="472">
        <f>'TCS $ Sched'!N72</f>
        <v>25414.999999999996</v>
      </c>
      <c r="F18" s="481" t="s">
        <v>1468</v>
      </c>
    </row>
    <row r="19" spans="1:6" ht="40.049999999999997" customHeight="1" x14ac:dyDescent="0.25">
      <c r="A19" t="s">
        <v>1419</v>
      </c>
      <c r="B19" t="s">
        <v>1469</v>
      </c>
      <c r="C19" s="481" t="s">
        <v>1470</v>
      </c>
      <c r="D19" s="481" t="s">
        <v>1471</v>
      </c>
      <c r="E19" s="472">
        <f>'TCS $ Sched'!N73</f>
        <v>20000</v>
      </c>
      <c r="F19" s="481" t="s">
        <v>1472</v>
      </c>
    </row>
    <row r="20" spans="1:6" ht="40.049999999999997" customHeight="1" x14ac:dyDescent="0.25">
      <c r="A20" t="s">
        <v>1419</v>
      </c>
      <c r="B20" t="s">
        <v>1473</v>
      </c>
      <c r="C20" s="481" t="s">
        <v>1474</v>
      </c>
      <c r="D20" s="481" t="s">
        <v>1475</v>
      </c>
      <c r="E20" t="s">
        <v>1476</v>
      </c>
      <c r="F20" s="481" t="s">
        <v>1477</v>
      </c>
    </row>
    <row r="21" spans="1:6" ht="40.049999999999997" customHeight="1" x14ac:dyDescent="0.25">
      <c r="A21" t="s">
        <v>1419</v>
      </c>
      <c r="B21" t="s">
        <v>1478</v>
      </c>
      <c r="C21" s="481" t="s">
        <v>1479</v>
      </c>
      <c r="D21" s="481" t="s">
        <v>1475</v>
      </c>
      <c r="E21" t="s">
        <v>1476</v>
      </c>
      <c r="F21" s="481" t="s">
        <v>1480</v>
      </c>
    </row>
    <row r="22" spans="1:6" ht="40.049999999999997" customHeight="1" x14ac:dyDescent="0.25">
      <c r="A22" s="473" t="s">
        <v>1419</v>
      </c>
      <c r="B22" s="473"/>
      <c r="C22" s="482" t="s">
        <v>1481</v>
      </c>
      <c r="D22" s="482"/>
      <c r="E22" s="468">
        <f>'TCS $ Sched'!N83</f>
        <v>1751720.1063262296</v>
      </c>
      <c r="F22" s="482" t="s">
        <v>1482</v>
      </c>
    </row>
    <row r="23" spans="1:6" ht="40.049999999999997" customHeight="1" x14ac:dyDescent="0.25">
      <c r="A23" t="s">
        <v>1483</v>
      </c>
      <c r="B23" t="s">
        <v>1420</v>
      </c>
      <c r="C23" s="481" t="s">
        <v>1484</v>
      </c>
      <c r="D23" s="481" t="s">
        <v>1485</v>
      </c>
      <c r="F23" s="481" t="s">
        <v>1486</v>
      </c>
    </row>
    <row r="24" spans="1:6" ht="40.049999999999997" customHeight="1" x14ac:dyDescent="0.25">
      <c r="A24" t="s">
        <v>1483</v>
      </c>
      <c r="B24" t="s">
        <v>1487</v>
      </c>
      <c r="C24" s="481" t="s">
        <v>1488</v>
      </c>
      <c r="D24" s="481" t="s">
        <v>1485</v>
      </c>
      <c r="F24" s="481" t="s">
        <v>1489</v>
      </c>
    </row>
    <row r="25" spans="1:6" ht="40.049999999999997" customHeight="1" x14ac:dyDescent="0.25">
      <c r="A25" t="s">
        <v>1483</v>
      </c>
      <c r="B25" t="s">
        <v>1438</v>
      </c>
      <c r="C25" s="481" t="s">
        <v>1490</v>
      </c>
      <c r="D25" s="481" t="s">
        <v>1485</v>
      </c>
      <c r="F25" s="481" t="s">
        <v>1491</v>
      </c>
    </row>
    <row r="26" spans="1:6" ht="40.049999999999997" customHeight="1" x14ac:dyDescent="0.25">
      <c r="A26" t="s">
        <v>1483</v>
      </c>
      <c r="B26" t="s">
        <v>1492</v>
      </c>
      <c r="C26" s="481" t="s">
        <v>1493</v>
      </c>
      <c r="D26" s="481" t="s">
        <v>1485</v>
      </c>
      <c r="F26" s="481" t="s">
        <v>1494</v>
      </c>
    </row>
    <row r="27" spans="1:6" ht="40.049999999999997" customHeight="1" x14ac:dyDescent="0.25">
      <c r="A27" t="s">
        <v>1483</v>
      </c>
      <c r="B27" t="s">
        <v>1495</v>
      </c>
      <c r="C27" s="481" t="s">
        <v>1496</v>
      </c>
      <c r="D27" s="481" t="s">
        <v>1485</v>
      </c>
      <c r="F27" s="481" t="s">
        <v>1497</v>
      </c>
    </row>
    <row r="28" spans="1:6" ht="40.049999999999997" customHeight="1" x14ac:dyDescent="0.25">
      <c r="A28" t="s">
        <v>1483</v>
      </c>
      <c r="B28" t="s">
        <v>1498</v>
      </c>
      <c r="C28" s="481" t="s">
        <v>1499</v>
      </c>
      <c r="D28" s="481" t="s">
        <v>1485</v>
      </c>
      <c r="F28" s="481" t="s">
        <v>1500</v>
      </c>
    </row>
    <row r="29" spans="1:6" ht="40.049999999999997" customHeight="1" x14ac:dyDescent="0.25">
      <c r="A29" t="s">
        <v>1483</v>
      </c>
      <c r="B29" t="s">
        <v>1501</v>
      </c>
      <c r="C29" s="481" t="s">
        <v>1502</v>
      </c>
      <c r="D29" s="481" t="s">
        <v>1463</v>
      </c>
      <c r="E29" s="472">
        <f>'TCS $ Sched'!N74</f>
        <v>17250</v>
      </c>
      <c r="F29" s="481" t="s">
        <v>1503</v>
      </c>
    </row>
    <row r="30" spans="1:6" ht="40.049999999999997" customHeight="1" x14ac:dyDescent="0.25">
      <c r="A30" t="s">
        <v>1483</v>
      </c>
      <c r="B30" t="s">
        <v>1504</v>
      </c>
      <c r="C30" s="481" t="s">
        <v>1505</v>
      </c>
      <c r="D30" s="481" t="s">
        <v>1467</v>
      </c>
      <c r="E30" s="472">
        <f>'TCS $ Sched'!N75</f>
        <v>16560</v>
      </c>
      <c r="F30" s="481" t="s">
        <v>1506</v>
      </c>
    </row>
    <row r="31" spans="1:6" ht="40.049999999999997" customHeight="1" x14ac:dyDescent="0.25">
      <c r="A31" t="s">
        <v>1483</v>
      </c>
      <c r="B31" t="s">
        <v>1507</v>
      </c>
      <c r="C31" s="481" t="s">
        <v>1508</v>
      </c>
      <c r="D31" s="481" t="s">
        <v>1467</v>
      </c>
      <c r="E31" s="472">
        <f>'TCS $ Sched'!N76</f>
        <v>33120</v>
      </c>
      <c r="F31" s="481" t="s">
        <v>1509</v>
      </c>
    </row>
    <row r="32" spans="1:6" ht="40.049999999999997" customHeight="1" x14ac:dyDescent="0.25">
      <c r="A32" t="s">
        <v>1483</v>
      </c>
      <c r="B32" t="s">
        <v>1510</v>
      </c>
      <c r="C32" s="481" t="s">
        <v>1511</v>
      </c>
      <c r="D32" s="481" t="s">
        <v>1471</v>
      </c>
      <c r="E32" s="472">
        <f>'TCS $ Sched'!N77</f>
        <v>20000</v>
      </c>
      <c r="F32" s="481" t="s">
        <v>1512</v>
      </c>
    </row>
    <row r="33" spans="1:7" ht="40.049999999999997" customHeight="1" x14ac:dyDescent="0.25">
      <c r="A33" t="s">
        <v>1483</v>
      </c>
      <c r="B33" t="s">
        <v>1513</v>
      </c>
      <c r="C33" s="481" t="s">
        <v>1474</v>
      </c>
      <c r="D33" s="481" t="s">
        <v>1475</v>
      </c>
      <c r="E33" t="s">
        <v>1476</v>
      </c>
      <c r="F33" s="481" t="s">
        <v>1514</v>
      </c>
    </row>
    <row r="34" spans="1:7" ht="40.049999999999997" customHeight="1" x14ac:dyDescent="0.25">
      <c r="A34" t="s">
        <v>1483</v>
      </c>
      <c r="B34" t="s">
        <v>1515</v>
      </c>
      <c r="C34" s="481" t="s">
        <v>1479</v>
      </c>
      <c r="D34" s="481" t="s">
        <v>1475</v>
      </c>
      <c r="E34" t="s">
        <v>1476</v>
      </c>
      <c r="F34" s="481" t="s">
        <v>1516</v>
      </c>
    </row>
    <row r="35" spans="1:7" ht="40.049999999999997" customHeight="1" x14ac:dyDescent="0.25">
      <c r="A35" t="s">
        <v>1483</v>
      </c>
      <c r="B35" t="s">
        <v>1517</v>
      </c>
      <c r="C35" s="481" t="s">
        <v>1518</v>
      </c>
      <c r="D35" s="481" t="s">
        <v>1519</v>
      </c>
      <c r="F35" s="481" t="s">
        <v>1520</v>
      </c>
    </row>
    <row r="36" spans="1:7" ht="40.049999999999997" customHeight="1" x14ac:dyDescent="0.25">
      <c r="A36" s="473" t="s">
        <v>1483</v>
      </c>
      <c r="B36" s="473"/>
      <c r="C36" s="482" t="s">
        <v>1521</v>
      </c>
      <c r="D36" s="482"/>
      <c r="E36" s="468">
        <f>'TCS $ Sched'!N86</f>
        <v>267215.67828116252</v>
      </c>
      <c r="F36" s="482" t="s">
        <v>1522</v>
      </c>
    </row>
    <row r="37" spans="1:7" ht="40.049999999999997" customHeight="1" x14ac:dyDescent="0.25">
      <c r="A37" s="473"/>
      <c r="B37" s="473"/>
      <c r="C37" s="482" t="s">
        <v>1523</v>
      </c>
      <c r="D37" s="482"/>
      <c r="E37" s="468">
        <f>'TCS $ Sched'!N87</f>
        <v>2018935.7846073923</v>
      </c>
      <c r="F37" s="482" t="s">
        <v>1524</v>
      </c>
    </row>
    <row r="39" spans="1:7" ht="15.45" customHeight="1" x14ac:dyDescent="0.3">
      <c r="A39" s="480" t="s">
        <v>1525</v>
      </c>
    </row>
    <row r="40" spans="1:7" ht="31.95" customHeight="1" x14ac:dyDescent="0.25">
      <c r="A40" s="481" t="s">
        <v>1526</v>
      </c>
    </row>
    <row r="42" spans="1:7" ht="13.05" customHeight="1" x14ac:dyDescent="0.25">
      <c r="A42" s="473" t="s">
        <v>1527</v>
      </c>
      <c r="B42" s="473" t="s">
        <v>1528</v>
      </c>
      <c r="C42" s="473" t="s">
        <v>1529</v>
      </c>
      <c r="D42" s="473" t="s">
        <v>1530</v>
      </c>
      <c r="E42" s="473" t="s">
        <v>1531</v>
      </c>
      <c r="F42" s="473" t="s">
        <v>1532</v>
      </c>
    </row>
    <row r="43" spans="1:7" ht="13.05" customHeight="1" x14ac:dyDescent="0.25">
      <c r="A43" t="s">
        <v>1533</v>
      </c>
      <c r="B43">
        <v>18</v>
      </c>
      <c r="C43">
        <v>45</v>
      </c>
      <c r="D43" s="472">
        <f>'LabourProject Rates_Master'!E37+'Equip&amp;HIRE_Master'!D11+'Equip&amp;HIRE_Master'!D22</f>
        <v>3289.4827659147863</v>
      </c>
      <c r="E43">
        <v>25</v>
      </c>
      <c r="F43" s="468">
        <f>D43*(1/B43-1/C43)+E43</f>
        <v>134.64942553049286</v>
      </c>
    </row>
    <row r="44" spans="1:7" ht="13.05" customHeight="1" x14ac:dyDescent="0.25">
      <c r="A44" t="s">
        <v>1534</v>
      </c>
      <c r="B44">
        <v>7</v>
      </c>
      <c r="C44">
        <v>45</v>
      </c>
      <c r="D44" s="472">
        <f>'LabourProject Rates_Master'!E37+'Equip&amp;HIRE_Master'!D11+'Equip&amp;HIRE_Master'!D22</f>
        <v>3289.4827659147863</v>
      </c>
      <c r="E44">
        <v>25</v>
      </c>
      <c r="F44" s="468">
        <f>D44*(1/B44-1/C44)+E44</f>
        <v>421.8264923960694</v>
      </c>
    </row>
    <row r="45" spans="1:7" ht="13.05" customHeight="1" x14ac:dyDescent="0.25">
      <c r="A45" t="s">
        <v>1535</v>
      </c>
      <c r="B45">
        <v>12</v>
      </c>
      <c r="C45">
        <v>45</v>
      </c>
      <c r="D45" s="472">
        <f>'LabourProject Rates_Master'!E37+'Equip&amp;HIRE_Master'!D11+'Equip&amp;HIRE_Master'!D22</f>
        <v>3289.4827659147863</v>
      </c>
      <c r="E45">
        <v>25</v>
      </c>
      <c r="F45" s="468">
        <f>D45*(1/B45-1/C45)+E45</f>
        <v>226.02394680590359</v>
      </c>
    </row>
    <row r="46" spans="1:7" ht="13.05" customHeight="1" x14ac:dyDescent="0.25">
      <c r="A46" t="s">
        <v>1536</v>
      </c>
      <c r="B46">
        <v>4.5</v>
      </c>
      <c r="C46">
        <v>45</v>
      </c>
      <c r="D46" s="472">
        <f>'LabourProject Rates_Master'!E37+'Equip&amp;HIRE_Master'!D11+'Equip&amp;HIRE_Master'!D22</f>
        <v>3289.4827659147863</v>
      </c>
      <c r="E46">
        <v>25</v>
      </c>
      <c r="F46" s="468">
        <f>D46*(1/B46-1/C46)+E46</f>
        <v>682.89655318295718</v>
      </c>
    </row>
    <row r="47" spans="1:7" ht="13.05" customHeight="1" x14ac:dyDescent="0.25">
      <c r="A47" t="s">
        <v>1537</v>
      </c>
      <c r="B47">
        <v>25</v>
      </c>
      <c r="C47">
        <v>45</v>
      </c>
      <c r="D47" s="472">
        <f>'LabourProject Rates_Master'!E37+'Equip&amp;HIRE_Master'!D11</f>
        <v>3123.5927659147865</v>
      </c>
      <c r="E47">
        <f>15+'Material Rates_Master'!D185</f>
        <v>54.75</v>
      </c>
      <c r="F47" s="468">
        <f>D47*(1/B47-1/C47)+E47</f>
        <v>110.28053806070731</v>
      </c>
      <c r="G47" t="s">
        <v>1538</v>
      </c>
    </row>
    <row r="49" spans="1:1" ht="40.049999999999997" customHeight="1" x14ac:dyDescent="0.25">
      <c r="A49" s="481" t="s">
        <v>1539</v>
      </c>
    </row>
    <row r="51" spans="1:1" ht="55.05" customHeight="1" x14ac:dyDescent="0.25">
      <c r="A51" s="481" t="s">
        <v>1540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TCS $ Sched</vt:lpstr>
      <vt:lpstr>00_ TCS Prelim &amp; OH</vt:lpstr>
      <vt:lpstr>ClubHouse (NBC )</vt:lpstr>
      <vt:lpstr>Public Amenities (PAM)</vt:lpstr>
      <vt:lpstr>Siteworks </vt:lpstr>
      <vt:lpstr>LabourProject Rates_Master</vt:lpstr>
      <vt:lpstr>Material Rates_Master</vt:lpstr>
      <vt:lpstr>Equip&amp;HIRE_Master</vt:lpstr>
      <vt:lpstr>Misc Subbie Rates_Master</vt:lpstr>
      <vt:lpstr>Accomodation_Master</vt:lpstr>
      <vt:lpstr>EBC_Alternates</vt:lpstr>
      <vt:lpstr>Sched3_Extract</vt:lpstr>
      <vt:lpstr>'Material Rates_Master'!Print_Area</vt:lpstr>
      <vt:lpstr>'TCS $ Sched'!Print_Area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Hannan</dc:creator>
  <cp:lastModifiedBy>Mitch - TPS</cp:lastModifiedBy>
  <dcterms:created xsi:type="dcterms:W3CDTF">2019-11-28T02:17:14Z</dcterms:created>
  <dcterms:modified xsi:type="dcterms:W3CDTF">2026-07-26T23:40:08Z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Order">
    <vt:r8>5182200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  <property fmtid="{D5CDD505-2E9C-101B-9397-08002B2CF9AE}" pid="10" name="TriggerFlowInfo">
    <vt:lpwstr/>
  </property>
</Properties>
</file>