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2576" tabRatio="600" firstSheet="0" activeTab="3" autoFilterDateGrouping="1"/>
  </bookViews>
  <sheets>
    <sheet xmlns:r="http://schemas.openxmlformats.org/officeDocument/2006/relationships" name="TCS $ Sched" sheetId="1" state="visible" r:id="rId1"/>
    <sheet xmlns:r="http://schemas.openxmlformats.org/officeDocument/2006/relationships" name="00_ TCS Prelim &amp; OH" sheetId="2" state="visible" r:id="rId2"/>
    <sheet xmlns:r="http://schemas.openxmlformats.org/officeDocument/2006/relationships" name="ClubHouse (NBC )" sheetId="3" state="visible" r:id="rId3"/>
    <sheet xmlns:r="http://schemas.openxmlformats.org/officeDocument/2006/relationships" name="Public Amenities (PAM)" sheetId="4" state="visible" r:id="rId4"/>
    <sheet xmlns:r="http://schemas.openxmlformats.org/officeDocument/2006/relationships" name="Siteworks " sheetId="5" state="visible" r:id="rId5"/>
    <sheet xmlns:r="http://schemas.openxmlformats.org/officeDocument/2006/relationships" name="LabourProject Rates_Master" sheetId="6" state="visible" r:id="rId6"/>
    <sheet xmlns:r="http://schemas.openxmlformats.org/officeDocument/2006/relationships" name="Material Rates_Master" sheetId="7" state="visible" r:id="rId7"/>
    <sheet xmlns:r="http://schemas.openxmlformats.org/officeDocument/2006/relationships" name="Equip&amp;HIRE_Master" sheetId="8" state="visible" r:id="rId8"/>
    <sheet xmlns:r="http://schemas.openxmlformats.org/officeDocument/2006/relationships" name="Misc Subbie Rates_Master" sheetId="9" state="visible" r:id="rId9"/>
    <sheet xmlns:r="http://schemas.openxmlformats.org/officeDocument/2006/relationships" name="Accomodation_Master" sheetId="10" state="visible" r:id="rId10"/>
    <sheet xmlns:r="http://schemas.openxmlformats.org/officeDocument/2006/relationships" name="EBC_Alternates" sheetId="11" state="visible" r:id="rId11"/>
    <sheet xmlns:r="http://schemas.openxmlformats.org/officeDocument/2006/relationships" name="Sched3_Extract" sheetId="12" state="visible" r:id="rId12"/>
  </sheets>
  <definedNames>
    <definedName name="aa" localSheetId="0">#REF!</definedName>
    <definedName name="Civil4" localSheetId="0">#REF!</definedName>
    <definedName name="d" localSheetId="0">#REF!</definedName>
    <definedName name="date" localSheetId="0">#REF!</definedName>
    <definedName name="daz" localSheetId="0">#REF!</definedName>
    <definedName name="ddd" localSheetId="0">#REF!</definedName>
    <definedName name="for" localSheetId="0">#REF!</definedName>
    <definedName name="job" localSheetId="0">#REF!</definedName>
    <definedName name="No" localSheetId="0">#REF!</definedName>
    <definedName name="qqq" localSheetId="0">#REF!</definedName>
    <definedName name="site" localSheetId="0">#REF!</definedName>
    <definedName name="site1" localSheetId="0">#REF!</definedName>
    <definedName name="site2" localSheetId="0">#REF!</definedName>
    <definedName name="_xlnm.Print_Area" localSheetId="0">'TCS $ Sched'!$B$1:$N$79</definedName>
    <definedName name="aa" localSheetId="1">#REF!</definedName>
    <definedName name="Civil4" localSheetId="1">#REF!</definedName>
    <definedName name="d" localSheetId="1">#REF!</definedName>
    <definedName name="date" localSheetId="1">#REF!</definedName>
    <definedName name="daz" localSheetId="1">#REF!</definedName>
    <definedName name="ddd" localSheetId="1">#REF!</definedName>
    <definedName name="for" localSheetId="1">#REF!</definedName>
    <definedName name="job" localSheetId="1">#REF!</definedName>
    <definedName name="No" localSheetId="1">#REF!</definedName>
    <definedName name="qqq" localSheetId="1">#REF!</definedName>
    <definedName name="site" localSheetId="1">#REF!</definedName>
    <definedName name="site1" localSheetId="1">#REF!</definedName>
    <definedName name="site2" localSheetId="1">#REF!</definedName>
    <definedName name="aa" localSheetId="2">#REF!</definedName>
    <definedName name="Civil4" localSheetId="2">#REF!</definedName>
    <definedName name="d" localSheetId="2">#REF!</definedName>
    <definedName name="date" localSheetId="2">#REF!</definedName>
    <definedName name="daz" localSheetId="2">#REF!</definedName>
    <definedName name="ddd" localSheetId="2">#REF!</definedName>
    <definedName name="for" localSheetId="2">#REF!</definedName>
    <definedName name="job" localSheetId="2">#REF!</definedName>
    <definedName name="No" localSheetId="2">#REF!</definedName>
    <definedName name="qqq" localSheetId="2">#REF!</definedName>
    <definedName name="site" localSheetId="2">#REF!</definedName>
    <definedName name="site1" localSheetId="2">#REF!</definedName>
    <definedName name="site2" localSheetId="2">#REF!</definedName>
    <definedName name="aa" localSheetId="3">#REF!</definedName>
    <definedName name="Civil4" localSheetId="3">#REF!</definedName>
    <definedName name="d" localSheetId="3">#REF!</definedName>
    <definedName name="date" localSheetId="3">#REF!</definedName>
    <definedName name="daz" localSheetId="3">#REF!</definedName>
    <definedName name="ddd" localSheetId="3">#REF!</definedName>
    <definedName name="for" localSheetId="3">#REF!</definedName>
    <definedName name="job" localSheetId="3">#REF!</definedName>
    <definedName name="No" localSheetId="3">#REF!</definedName>
    <definedName name="qqq" localSheetId="3">#REF!</definedName>
    <definedName name="site" localSheetId="3">#REF!</definedName>
    <definedName name="site1" localSheetId="3">#REF!</definedName>
    <definedName name="site2" localSheetId="3">#REF!</definedName>
    <definedName name="aa" localSheetId="4">#REF!</definedName>
    <definedName name="Civil4" localSheetId="4">#REF!</definedName>
    <definedName name="d" localSheetId="4">#REF!</definedName>
    <definedName name="date" localSheetId="4">#REF!</definedName>
    <definedName name="daz" localSheetId="4">#REF!</definedName>
    <definedName name="ddd" localSheetId="4">#REF!</definedName>
    <definedName name="for" localSheetId="4">#REF!</definedName>
    <definedName name="job" localSheetId="4">#REF!</definedName>
    <definedName name="No" localSheetId="4">#REF!</definedName>
    <definedName name="qqq" localSheetId="4">#REF!</definedName>
    <definedName name="site" localSheetId="4">#REF!</definedName>
    <definedName name="site1" localSheetId="4">#REF!</definedName>
    <definedName name="site2" localSheetId="4">#REF!</definedName>
    <definedName name="aa" localSheetId="5">#REF!</definedName>
    <definedName name="Civil4" localSheetId="5">#REF!</definedName>
    <definedName name="d" localSheetId="5">#REF!</definedName>
    <definedName name="date" localSheetId="5">#REF!</definedName>
    <definedName name="daz" localSheetId="5">#REF!</definedName>
    <definedName name="ddd" localSheetId="5">#REF!</definedName>
    <definedName name="for" localSheetId="5">#REF!</definedName>
    <definedName name="job" localSheetId="5">#REF!</definedName>
    <definedName name="No" localSheetId="5">#REF!</definedName>
    <definedName name="qqq" localSheetId="5">#REF!</definedName>
    <definedName name="site" localSheetId="5">#REF!</definedName>
    <definedName name="site1" localSheetId="5">#REF!</definedName>
    <definedName name="site2" localSheetId="5">#REF!</definedName>
    <definedName name="aa" localSheetId="6">#REF!</definedName>
    <definedName name="Civil4" localSheetId="6">#REF!</definedName>
    <definedName name="d" localSheetId="6">#REF!</definedName>
    <definedName name="date" localSheetId="6">#REF!</definedName>
    <definedName name="qqq" localSheetId="6">#REF!</definedName>
    <definedName name="site" localSheetId="6">#REF!</definedName>
    <definedName name="site1" localSheetId="6">#REF!</definedName>
    <definedName name="_xlnm.Print_Area" localSheetId="6">'Material Rates_Master'!$A$1:$B$241</definedName>
    <definedName name="aa" localSheetId="8">#REF!</definedName>
    <definedName name="Civil4" localSheetId="8">#REF!</definedName>
    <definedName name="d" localSheetId="8">#REF!</definedName>
    <definedName name="date" localSheetId="8">#REF!</definedName>
    <definedName name="daz" localSheetId="8">#REF!</definedName>
    <definedName name="ddd" localSheetId="8">#REF!</definedName>
    <definedName name="for" localSheetId="8">#REF!</definedName>
    <definedName name="job" localSheetId="8">#REF!</definedName>
    <definedName name="No" localSheetId="8">#REF!</definedName>
    <definedName name="qqq" localSheetId="8">#REF!</definedName>
    <definedName name="site" localSheetId="8">#REF!</definedName>
    <definedName name="site1" localSheetId="8">#REF!</definedName>
    <definedName name="site2" localSheetId="8">#REF!</definedName>
    <definedName name="aa" localSheetId="9">#REF!</definedName>
    <definedName name="Civil4" localSheetId="9">#REF!</definedName>
    <definedName name="d" localSheetId="9">#REF!</definedName>
    <definedName name="date" localSheetId="9">#REF!</definedName>
    <definedName name="daz" localSheetId="9">#REF!</definedName>
    <definedName name="ddd" localSheetId="9">#REF!</definedName>
    <definedName name="for" localSheetId="9">#REF!</definedName>
    <definedName name="job" localSheetId="9">#REF!</definedName>
    <definedName name="No" localSheetId="9">#REF!</definedName>
    <definedName name="qqq" localSheetId="9">#REF!</definedName>
    <definedName name="site" localSheetId="9">#REF!</definedName>
    <definedName name="site1" localSheetId="9">#REF!</definedName>
    <definedName name="site2" localSheetId="9">#REF!</definedName>
  </definedNames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_-&quot;$&quot;* #,##0.00_-;\-&quot;$&quot;* #,##0.00_-;_-&quot;$&quot;* &quot;-&quot;??_-;_-@_-"/>
    <numFmt numFmtId="167" formatCode="_(&quot;$&quot;* #,##0.00_);_(&quot;$&quot;* \(#,##0.00\);_(&quot;$&quot;* &quot;-&quot;??_);_(@_)"/>
    <numFmt numFmtId="168" formatCode="_-&quot;$&quot;* #,##0_-;\-&quot;$&quot;* #,##0_-;_-&quot;$&quot;* &quot;-&quot;??_-;_-@_-"/>
    <numFmt numFmtId="169" formatCode="0.0%"/>
  </numFmts>
  <fonts count="6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sz val="8"/>
      <u val="single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b val="1"/>
      <sz val="8"/>
      <u val="singleAccounting"/>
    </font>
    <font>
      <name val="Arial"/>
      <family val="2"/>
      <b val="1"/>
      <sz val="11"/>
      <u val="single"/>
    </font>
    <font>
      <name val="Arial"/>
      <family val="2"/>
      <b val="1"/>
      <sz val="10"/>
      <u val="single"/>
    </font>
    <font>
      <name val="Arial"/>
      <family val="2"/>
      <i val="1"/>
      <sz val="10"/>
    </font>
    <font>
      <name val="Arial"/>
      <family val="2"/>
      <b val="1"/>
      <i val="1"/>
      <sz val="10"/>
    </font>
    <font>
      <name val="Arial"/>
      <family val="2"/>
      <b val="1"/>
      <color theme="5"/>
      <sz val="8"/>
    </font>
    <font>
      <name val="Arial"/>
      <family val="2"/>
      <b val="1"/>
      <color rgb="FFFF0000"/>
      <sz val="10"/>
    </font>
    <font>
      <name val="Arial"/>
      <family val="2"/>
      <b val="1"/>
      <color rgb="FFFF0000"/>
      <sz val="8"/>
      <u val="single"/>
    </font>
    <font>
      <name val="Arial"/>
      <family val="2"/>
      <color theme="9"/>
      <sz val="8"/>
    </font>
    <font>
      <name val="Arial"/>
      <family val="2"/>
      <color rgb="FFFF0000"/>
      <sz val="8"/>
    </font>
    <font>
      <name val="Arial"/>
      <family val="2"/>
      <i val="1"/>
      <color theme="5"/>
      <sz val="8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Arial"/>
      <family val="2"/>
      <sz val="10"/>
    </font>
    <font>
      <name val="Century Gothic"/>
      <family val="2"/>
      <b val="1"/>
      <sz val="10"/>
    </font>
    <font>
      <name val="Calibri Light"/>
      <family val="2"/>
      <b val="1"/>
      <sz val="10"/>
      <scheme val="major"/>
    </font>
    <font>
      <name val="Calibri"/>
      <family val="2"/>
      <color theme="1"/>
      <sz val="9"/>
      <scheme val="minor"/>
    </font>
    <font>
      <name val="Century Gothic"/>
      <family val="2"/>
      <b val="1"/>
      <sz val="9"/>
    </font>
    <font>
      <name val="Century Gothic"/>
      <family val="2"/>
      <sz val="9"/>
    </font>
    <font>
      <name val="Century Gothic"/>
      <family val="2"/>
      <b val="1"/>
      <color theme="5"/>
      <sz val="12"/>
    </font>
    <font>
      <name val="Arial"/>
      <family val="2"/>
      <i val="1"/>
      <color rgb="FF0070C0"/>
      <sz val="8"/>
    </font>
    <font>
      <name val="Calibri"/>
      <family val="2"/>
      <color theme="5"/>
      <sz val="9"/>
      <scheme val="minor"/>
    </font>
    <font>
      <name val="Century Gothic"/>
      <family val="2"/>
      <b val="1"/>
      <color theme="5"/>
      <sz val="9"/>
    </font>
    <font>
      <name val="Arial"/>
      <family val="2"/>
      <b val="1"/>
      <strike val="1"/>
      <sz val="8"/>
    </font>
    <font>
      <name val="Arial"/>
      <family val="2"/>
      <b val="1"/>
      <strike val="1"/>
      <color rgb="FFFF0000"/>
      <sz val="8"/>
    </font>
    <font>
      <name val="Arial"/>
      <family val="2"/>
      <b val="1"/>
      <sz val="14"/>
    </font>
    <font>
      <name val="Arial"/>
      <family val="2"/>
      <b val="1"/>
      <color theme="9"/>
      <sz val="8"/>
    </font>
    <font>
      <name val="Arial"/>
      <family val="2"/>
      <b val="1"/>
      <sz val="12"/>
    </font>
    <font>
      <name val="Arial"/>
      <family val="2"/>
      <b val="1"/>
      <color theme="5"/>
      <sz val="8"/>
      <u val="single"/>
    </font>
    <font>
      <name val="Arial"/>
      <family val="2"/>
      <sz val="18"/>
    </font>
    <font>
      <name val="Calibri"/>
      <family val="2"/>
      <sz val="9"/>
      <scheme val="minor"/>
    </font>
    <font>
      <name val="Arial"/>
      <family val="2"/>
      <b val="1"/>
      <color theme="0"/>
      <sz val="8"/>
    </font>
    <font>
      <name val="Arial"/>
      <family val="2"/>
      <color theme="1"/>
      <sz val="8"/>
    </font>
    <font>
      <name val="Arial"/>
      <family val="2"/>
      <b val="1"/>
      <color theme="1"/>
      <sz val="8"/>
      <u val="single"/>
    </font>
    <font>
      <name val="Arial"/>
      <family val="2"/>
      <color theme="0"/>
      <sz val="8"/>
    </font>
    <font>
      <name val="Segoe UI"/>
      <family val="2"/>
      <color rgb="FF000000"/>
      <sz val="11"/>
    </font>
    <font>
      <name val="Calibri"/>
      <family val="2"/>
      <sz val="11"/>
      <scheme val="minor"/>
    </font>
    <font>
      <name val="Calibri"/>
      <family val="2"/>
      <b val="1"/>
      <color rgb="FFFF0000"/>
      <sz val="11"/>
      <u val="single"/>
      <scheme val="minor"/>
    </font>
    <font>
      <name val="Arial"/>
      <family val="2"/>
      <strike val="1"/>
      <sz val="8"/>
    </font>
    <font>
      <name val="Arial"/>
      <family val="2"/>
      <color theme="0"/>
      <sz val="12"/>
    </font>
    <font>
      <name val="Arial"/>
      <i val="1"/>
      <color rgb="000070C0"/>
      <sz val="8"/>
    </font>
    <font>
      <name val="Arial"/>
      <b val="1"/>
    </font>
    <font>
      <name val="Arial"/>
      <b val="1"/>
      <sz val="12"/>
    </font>
  </fonts>
  <fills count="32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6">
    <xf numFmtId="0" fontId="0" fillId="0" borderId="0"/>
    <xf numFmtId="44" fontId="33" fillId="0" borderId="0"/>
    <xf numFmtId="0" fontId="33" fillId="0" borderId="0"/>
    <xf numFmtId="9" fontId="9" fillId="0" borderId="0"/>
    <xf numFmtId="44" fontId="33" fillId="0" borderId="0"/>
    <xf numFmtId="9" fontId="33" fillId="0" borderId="0"/>
    <xf numFmtId="0" fontId="9" fillId="0" borderId="0"/>
    <xf numFmtId="0" fontId="9" fillId="0" borderId="0"/>
    <xf numFmtId="9" fontId="33" fillId="0" borderId="0"/>
    <xf numFmtId="0" fontId="9" fillId="0" borderId="0"/>
    <xf numFmtId="167" fontId="9" fillId="0" borderId="0"/>
    <xf numFmtId="9" fontId="9" fillId="0" borderId="0"/>
    <xf numFmtId="0" fontId="9" fillId="0" borderId="0"/>
    <xf numFmtId="0" fontId="9" fillId="0" borderId="0"/>
    <xf numFmtId="44" fontId="9" fillId="0" borderId="0"/>
    <xf numFmtId="44" fontId="9" fillId="0" borderId="0"/>
  </cellStyleXfs>
  <cellXfs count="719">
    <xf numFmtId="0" fontId="0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165" fontId="11" fillId="0" borderId="0" applyAlignment="1" pivotButton="0" quotePrefix="0" xfId="0">
      <alignment horizontal="right" vertical="top"/>
    </xf>
    <xf numFmtId="165" fontId="10" fillId="0" borderId="0" applyAlignment="1" pivotButton="0" quotePrefix="0" xfId="0">
      <alignment horizontal="right" vertical="top"/>
    </xf>
    <xf numFmtId="0" fontId="10" fillId="0" borderId="0" applyAlignment="1" pivotButton="0" quotePrefix="0" xfId="0">
      <alignment vertical="top"/>
    </xf>
    <xf numFmtId="0" fontId="12" fillId="0" borderId="0" applyAlignment="1" pivotButton="0" quotePrefix="0" xfId="0">
      <alignment horizontal="center"/>
    </xf>
    <xf numFmtId="14" fontId="10" fillId="0" borderId="0" applyAlignment="1" pivotButton="0" quotePrefix="0" xfId="0">
      <alignment horizontal="right" vertical="top"/>
    </xf>
    <xf numFmtId="164" fontId="10" fillId="0" borderId="0" applyAlignment="1" pivotButton="0" quotePrefix="0" xfId="0">
      <alignment horizontal="center" vertical="top"/>
    </xf>
    <xf numFmtId="0" fontId="10" fillId="0" borderId="0" applyAlignment="1" pivotButton="0" quotePrefix="0" xfId="0">
      <alignment horizontal="right"/>
    </xf>
    <xf numFmtId="164" fontId="10" fillId="0" borderId="0" applyAlignment="1" pivotButton="0" quotePrefix="0" xfId="0">
      <alignment horizontal="center"/>
    </xf>
    <xf numFmtId="0" fontId="10" fillId="2" borderId="0" pivotButton="0" quotePrefix="0" xfId="0"/>
    <xf numFmtId="164" fontId="10" fillId="2" borderId="0" pivotButton="0" quotePrefix="0" xfId="0"/>
    <xf numFmtId="164" fontId="10" fillId="2" borderId="0" applyAlignment="1" pivotButton="0" quotePrefix="0" xfId="0">
      <alignment horizontal="center"/>
    </xf>
    <xf numFmtId="164" fontId="10" fillId="0" borderId="0" applyAlignment="1" pivotButton="0" quotePrefix="0" xfId="1">
      <alignment horizontal="right"/>
    </xf>
    <xf numFmtId="0" fontId="10" fillId="0" borderId="0" applyAlignment="1" pivotButton="0" quotePrefix="0" xfId="0">
      <alignment vertical="center"/>
    </xf>
    <xf numFmtId="0" fontId="15" fillId="0" borderId="0" pivotButton="0" quotePrefix="0" xfId="0"/>
    <xf numFmtId="164" fontId="10" fillId="0" borderId="0" applyAlignment="1" pivotButton="0" quotePrefix="0" xfId="0">
      <alignment horizontal="right"/>
    </xf>
    <xf numFmtId="0" fontId="16" fillId="0" borderId="0" pivotButton="0" quotePrefix="0" xfId="0"/>
    <xf numFmtId="164" fontId="11" fillId="0" borderId="0" applyAlignment="1" pivotButton="0" quotePrefix="0" xfId="0">
      <alignment horizontal="right"/>
    </xf>
    <xf numFmtId="166" fontId="10" fillId="0" borderId="0" pivotButton="0" quotePrefix="0" xfId="1"/>
    <xf numFmtId="166" fontId="10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17" fillId="0" borderId="3" applyAlignment="1" pivotButton="0" quotePrefix="0" xfId="0">
      <alignment horizontal="center"/>
    </xf>
    <xf numFmtId="166" fontId="10" fillId="0" borderId="3" pivotButton="0" quotePrefix="0" xfId="1"/>
    <xf numFmtId="166" fontId="10" fillId="0" borderId="5" pivotButton="0" quotePrefix="0" xfId="1"/>
    <xf numFmtId="166" fontId="10" fillId="0" borderId="1" pivotButton="0" quotePrefix="0" xfId="0"/>
    <xf numFmtId="2" fontId="10" fillId="0" borderId="0" applyAlignment="1" pivotButton="0" quotePrefix="0" xfId="3">
      <alignment horizontal="right"/>
    </xf>
    <xf numFmtId="2" fontId="11" fillId="0" borderId="0" applyAlignment="1" pivotButton="0" quotePrefix="0" xfId="3">
      <alignment horizontal="right"/>
    </xf>
    <xf numFmtId="166" fontId="11" fillId="0" borderId="0" pivotButton="0" quotePrefix="0" xfId="0"/>
    <xf numFmtId="2" fontId="10" fillId="0" borderId="0" pivotButton="0" quotePrefix="0" xfId="0"/>
    <xf numFmtId="166" fontId="19" fillId="0" borderId="0" pivotButton="0" quotePrefix="0" xfId="0"/>
    <xf numFmtId="164" fontId="18" fillId="0" borderId="0" applyAlignment="1" pivotButton="0" quotePrefix="0" xfId="0">
      <alignment horizontal="center"/>
    </xf>
    <xf numFmtId="164" fontId="10" fillId="0" borderId="0" applyAlignment="1" pivotButton="0" quotePrefix="0" xfId="0">
      <alignment horizontal="right" vertical="center"/>
    </xf>
    <xf numFmtId="166" fontId="10" fillId="4" borderId="3" pivotButton="0" quotePrefix="0" xfId="1"/>
    <xf numFmtId="0" fontId="10" fillId="0" borderId="0" applyAlignment="1" pivotButton="0" quotePrefix="0" xfId="0">
      <alignment horizontal="center"/>
    </xf>
    <xf numFmtId="0" fontId="10" fillId="0" borderId="0" pivotButton="0" quotePrefix="0" xfId="2"/>
    <xf numFmtId="0" fontId="11" fillId="0" borderId="0" pivotButton="0" quotePrefix="0" xfId="2"/>
    <xf numFmtId="0" fontId="10" fillId="0" borderId="0" applyAlignment="1" pivotButton="0" quotePrefix="0" xfId="2">
      <alignment horizontal="center"/>
    </xf>
    <xf numFmtId="166" fontId="10" fillId="0" borderId="0" pivotButton="0" quotePrefix="0" xfId="4"/>
    <xf numFmtId="0" fontId="11" fillId="0" borderId="0" applyAlignment="1" pivotButton="0" quotePrefix="0" xfId="2">
      <alignment horizontal="center"/>
    </xf>
    <xf numFmtId="0" fontId="20" fillId="0" borderId="0" pivotButton="0" quotePrefix="0" xfId="2"/>
    <xf numFmtId="166" fontId="11" fillId="0" borderId="0" applyAlignment="1" pivotButton="0" quotePrefix="0" xfId="4">
      <alignment horizontal="center"/>
    </xf>
    <xf numFmtId="166" fontId="10" fillId="0" borderId="0" pivotButton="0" quotePrefix="0" xfId="4"/>
    <xf numFmtId="0" fontId="11" fillId="5" borderId="12" pivotButton="0" quotePrefix="0" xfId="2"/>
    <xf numFmtId="166" fontId="10" fillId="0" borderId="0" pivotButton="0" quotePrefix="0" xfId="2"/>
    <xf numFmtId="166" fontId="10" fillId="0" borderId="0" pivotButton="0" quotePrefix="0" xfId="4"/>
    <xf numFmtId="0" fontId="11" fillId="2" borderId="15" pivotButton="0" quotePrefix="0" xfId="2"/>
    <xf numFmtId="166" fontId="10" fillId="0" borderId="0" applyAlignment="1" pivotButton="0" quotePrefix="0" xfId="4">
      <alignment horizontal="center"/>
    </xf>
    <xf numFmtId="166" fontId="10" fillId="0" borderId="0" pivotButton="0" quotePrefix="0" xfId="4"/>
    <xf numFmtId="166" fontId="10" fillId="0" borderId="10" pivotButton="0" quotePrefix="0" xfId="4"/>
    <xf numFmtId="0" fontId="10" fillId="0" borderId="7" applyAlignment="1" pivotButton="0" quotePrefix="0" xfId="2">
      <alignment horizontal="center"/>
    </xf>
    <xf numFmtId="10" fontId="10" fillId="0" borderId="0" pivotButton="0" quotePrefix="0" xfId="5"/>
    <xf numFmtId="10" fontId="10" fillId="0" borderId="0" pivotButton="0" quotePrefix="0" xfId="4"/>
    <xf numFmtId="0" fontId="10" fillId="0" borderId="0" pivotButton="0" quotePrefix="1" xfId="2"/>
    <xf numFmtId="0" fontId="10" fillId="3" borderId="0" pivotButton="0" quotePrefix="0" xfId="2"/>
    <xf numFmtId="166" fontId="10" fillId="4" borderId="3" applyAlignment="1" pivotButton="0" quotePrefix="0" xfId="1">
      <alignment vertical="center"/>
    </xf>
    <xf numFmtId="166" fontId="10" fillId="0" borderId="0" applyAlignment="1" pivotButton="0" quotePrefix="0" xfId="0">
      <alignment vertical="center"/>
    </xf>
    <xf numFmtId="0" fontId="10" fillId="5" borderId="4" pivotButton="0" quotePrefix="0" xfId="0"/>
    <xf numFmtId="166" fontId="10" fillId="3" borderId="3" pivotButton="0" quotePrefix="0" xfId="1"/>
    <xf numFmtId="166" fontId="10" fillId="5" borderId="11" applyAlignment="1" pivotButton="0" quotePrefix="0" xfId="1">
      <alignment horizontal="left"/>
    </xf>
    <xf numFmtId="0" fontId="14" fillId="0" borderId="0" pivotButton="0" quotePrefix="0" xfId="0"/>
    <xf numFmtId="0" fontId="21" fillId="0" borderId="0" applyAlignment="1" pivotButton="0" quotePrefix="0" xfId="0">
      <alignment horizontal="center"/>
    </xf>
    <xf numFmtId="0" fontId="13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2" borderId="0" pivotButton="0" quotePrefix="0" xfId="0"/>
    <xf numFmtId="0" fontId="14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22" fillId="0" borderId="0" pivotButton="0" quotePrefix="0" xfId="0"/>
    <xf numFmtId="0" fontId="13" fillId="0" borderId="0" pivotButton="0" quotePrefix="0" xfId="0"/>
    <xf numFmtId="166" fontId="10" fillId="0" borderId="3" pivotButton="0" quotePrefix="0" xfId="1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166" fontId="14" fillId="0" borderId="0" applyAlignment="1" pivotButton="0" quotePrefix="0" xfId="1">
      <alignment horizontal="right" vertical="center"/>
    </xf>
    <xf numFmtId="164" fontId="13" fillId="0" borderId="0" pivotButton="0" quotePrefix="0" xfId="0"/>
    <xf numFmtId="0" fontId="22" fillId="0" borderId="0" applyAlignment="1" pivotButton="0" quotePrefix="0" xfId="0">
      <alignment horizontal="right"/>
    </xf>
    <xf numFmtId="164" fontId="23" fillId="0" borderId="1" applyAlignment="1" pivotButton="0" quotePrefix="0" xfId="0">
      <alignment horizontal="right"/>
    </xf>
    <xf numFmtId="164" fontId="13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right"/>
    </xf>
    <xf numFmtId="164" fontId="21" fillId="0" borderId="2" applyAlignment="1" pivotButton="0" quotePrefix="0" xfId="0">
      <alignment horizontal="right"/>
    </xf>
    <xf numFmtId="164" fontId="10" fillId="0" borderId="0" applyAlignment="1" pivotButton="0" quotePrefix="0" xfId="2">
      <alignment horizontal="center" vertical="center"/>
    </xf>
    <xf numFmtId="164" fontId="10" fillId="0" borderId="0" pivotButton="0" quotePrefix="0" xfId="2"/>
    <xf numFmtId="0" fontId="11" fillId="0" borderId="13" applyAlignment="1" pivotButton="0" quotePrefix="0" xfId="2">
      <alignment horizontal="center" vertical="center"/>
    </xf>
    <xf numFmtId="0" fontId="11" fillId="4" borderId="15" applyAlignment="1" pivotButton="0" quotePrefix="0" xfId="2">
      <alignment horizontal="center"/>
    </xf>
    <xf numFmtId="0" fontId="11" fillId="0" borderId="0" applyAlignment="1" pivotButton="0" quotePrefix="0" xfId="2">
      <alignment horizontal="center" vertical="center"/>
    </xf>
    <xf numFmtId="0" fontId="11" fillId="0" borderId="3" applyAlignment="1" pivotButton="0" quotePrefix="0" xfId="2">
      <alignment horizontal="center" vertical="center"/>
    </xf>
    <xf numFmtId="0" fontId="10" fillId="0" borderId="4" pivotButton="0" quotePrefix="0" xfId="2"/>
    <xf numFmtId="164" fontId="10" fillId="0" borderId="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4" fontId="10" fillId="0" borderId="3" applyAlignment="1" pivotButton="0" quotePrefix="0" xfId="2">
      <alignment horizontal="center" vertical="center"/>
    </xf>
    <xf numFmtId="0" fontId="10" fillId="0" borderId="4" applyAlignment="1" pivotButton="0" quotePrefix="0" xfId="2">
      <alignment horizontal="right"/>
    </xf>
    <xf numFmtId="164" fontId="10" fillId="0" borderId="10" applyAlignment="1" pivotButton="0" quotePrefix="0" xfId="1">
      <alignment horizontal="center" vertical="center"/>
    </xf>
    <xf numFmtId="164" fontId="11" fillId="0" borderId="10" applyAlignment="1" pivotButton="0" quotePrefix="0" xfId="1">
      <alignment horizontal="center" vertical="center"/>
    </xf>
    <xf numFmtId="164" fontId="10" fillId="0" borderId="11" applyAlignment="1" pivotButton="0" quotePrefix="0" xfId="2">
      <alignment horizontal="center" vertical="center"/>
    </xf>
    <xf numFmtId="0" fontId="11" fillId="0" borderId="7" applyAlignment="1" pivotButton="0" quotePrefix="0" xfId="2">
      <alignment horizontal="center" vertical="center"/>
    </xf>
    <xf numFmtId="0" fontId="11" fillId="0" borderId="8" applyAlignment="1" pivotButton="0" quotePrefix="0" xfId="2">
      <alignment horizontal="center" vertical="center"/>
    </xf>
    <xf numFmtId="0" fontId="11" fillId="0" borderId="4" pivotButton="0" quotePrefix="0" xfId="2"/>
    <xf numFmtId="2" fontId="10" fillId="0" borderId="0" applyAlignment="1" pivotButton="0" quotePrefix="0" xfId="1">
      <alignment horizontal="center" vertical="center"/>
    </xf>
    <xf numFmtId="164" fontId="10" fillId="0" borderId="0" applyAlignment="1" pivotButton="0" quotePrefix="0" xfId="1">
      <alignment horizontal="center" vertical="center"/>
    </xf>
    <xf numFmtId="164" fontId="11" fillId="0" borderId="17" applyAlignment="1" pivotButton="0" quotePrefix="0" xfId="1">
      <alignment horizontal="center" vertical="center"/>
    </xf>
    <xf numFmtId="0" fontId="10" fillId="0" borderId="0" applyAlignment="1" pivotButton="0" quotePrefix="0" xfId="2">
      <alignment wrapText="1"/>
    </xf>
    <xf numFmtId="164" fontId="11" fillId="0" borderId="3" applyAlignment="1" pivotButton="0" quotePrefix="0" xfId="2">
      <alignment horizontal="center" vertical="center"/>
    </xf>
    <xf numFmtId="164" fontId="10" fillId="0" borderId="4" pivotButton="0" quotePrefix="0" xfId="2"/>
    <xf numFmtId="0" fontId="11" fillId="2" borderId="4" applyAlignment="1" pivotButton="0" quotePrefix="0" xfId="2">
      <alignment horizontal="right"/>
    </xf>
    <xf numFmtId="164" fontId="11" fillId="2" borderId="3" applyAlignment="1" pivotButton="0" quotePrefix="0" xfId="2">
      <alignment horizontal="center" vertical="center"/>
    </xf>
    <xf numFmtId="164" fontId="11" fillId="3" borderId="3" applyAlignment="1" pivotButton="0" quotePrefix="0" xfId="2">
      <alignment horizontal="center" vertical="center"/>
    </xf>
    <xf numFmtId="164" fontId="27" fillId="0" borderId="0" applyAlignment="1" pivotButton="0" quotePrefix="0" xfId="1">
      <alignment horizontal="center" vertical="center"/>
    </xf>
    <xf numFmtId="164" fontId="11" fillId="0" borderId="18" applyAlignment="1" pivotButton="0" quotePrefix="0" xfId="2">
      <alignment horizontal="center" vertical="center"/>
    </xf>
    <xf numFmtId="0" fontId="10" fillId="0" borderId="4" applyAlignment="1" pivotButton="0" quotePrefix="0" xfId="2">
      <alignment horizontal="left"/>
    </xf>
    <xf numFmtId="0" fontId="11" fillId="5" borderId="4" applyAlignment="1" pivotButton="0" quotePrefix="0" xfId="2">
      <alignment horizontal="right"/>
    </xf>
    <xf numFmtId="0" fontId="11" fillId="5" borderId="6" applyAlignment="1" pivotButton="0" quotePrefix="0" xfId="2">
      <alignment horizontal="right"/>
    </xf>
    <xf numFmtId="0" fontId="11" fillId="3" borderId="0" applyAlignment="1" pivotButton="0" quotePrefix="0" xfId="2">
      <alignment horizontal="center" vertical="center"/>
    </xf>
    <xf numFmtId="0" fontId="10" fillId="0" borderId="9" pivotButton="0" quotePrefix="0" xfId="2"/>
    <xf numFmtId="164" fontId="28" fillId="0" borderId="0" applyAlignment="1" pivotButton="0" quotePrefix="0" xfId="1">
      <alignment horizontal="center" vertical="center"/>
    </xf>
    <xf numFmtId="0" fontId="29" fillId="0" borderId="4" pivotButton="0" quotePrefix="0" xfId="2"/>
    <xf numFmtId="0" fontId="10" fillId="0" borderId="9" applyAlignment="1" pivotButton="0" quotePrefix="0" xfId="2">
      <alignment horizontal="right"/>
    </xf>
    <xf numFmtId="0" fontId="7" fillId="0" borderId="0" pivotButton="0" quotePrefix="0" xfId="7"/>
    <xf numFmtId="0" fontId="7" fillId="2" borderId="13" pivotButton="0" quotePrefix="0" xfId="7"/>
    <xf numFmtId="0" fontId="7" fillId="2" borderId="14" pivotButton="0" quotePrefix="0" xfId="7"/>
    <xf numFmtId="0" fontId="32" fillId="9" borderId="0" pivotButton="0" quotePrefix="0" xfId="7"/>
    <xf numFmtId="164" fontId="7" fillId="0" borderId="0" applyAlignment="1" pivotButton="0" quotePrefix="0" xfId="7">
      <alignment horizontal="center"/>
    </xf>
    <xf numFmtId="164" fontId="7" fillId="0" borderId="0" applyAlignment="1" pivotButton="0" quotePrefix="0" xfId="7">
      <alignment horizontal="center" vertical="center"/>
    </xf>
    <xf numFmtId="0" fontId="31" fillId="0" borderId="0" applyAlignment="1" pivotButton="0" quotePrefix="0" xfId="7">
      <alignment horizontal="right"/>
    </xf>
    <xf numFmtId="0" fontId="11" fillId="0" borderId="16" pivotButton="0" quotePrefix="0" xfId="2"/>
    <xf numFmtId="0" fontId="11" fillId="0" borderId="17" applyAlignment="1" pivotButton="0" quotePrefix="0" xfId="2">
      <alignment horizontal="right"/>
    </xf>
    <xf numFmtId="0" fontId="11" fillId="0" borderId="17" pivotButton="0" quotePrefix="0" xfId="2"/>
    <xf numFmtId="0" fontId="11" fillId="2" borderId="0" applyAlignment="1" pivotButton="0" quotePrefix="0" xfId="2">
      <alignment horizontal="right"/>
    </xf>
    <xf numFmtId="164" fontId="11" fillId="0" borderId="0" applyAlignment="1" pivotButton="0" quotePrefix="0" xfId="2">
      <alignment horizontal="center" vertical="center"/>
    </xf>
    <xf numFmtId="0" fontId="11" fillId="0" borderId="10" pivotButton="0" quotePrefix="0" xfId="2"/>
    <xf numFmtId="0" fontId="10" fillId="6" borderId="0" applyAlignment="1" pivotButton="0" quotePrefix="0" xfId="2">
      <alignment horizontal="center"/>
    </xf>
    <xf numFmtId="166" fontId="11" fillId="6" borderId="0" pivotButton="0" quotePrefix="0" xfId="4"/>
    <xf numFmtId="164" fontId="10" fillId="3" borderId="0" pivotButton="0" quotePrefix="0" xfId="2"/>
    <xf numFmtId="0" fontId="10" fillId="6" borderId="7" applyAlignment="1" pivotButton="0" quotePrefix="0" xfId="2">
      <alignment horizontal="center"/>
    </xf>
    <xf numFmtId="0" fontId="10" fillId="6" borderId="9" applyAlignment="1" pivotButton="0" quotePrefix="0" xfId="2">
      <alignment horizontal="center"/>
    </xf>
    <xf numFmtId="0" fontId="10" fillId="6" borderId="10" applyAlignment="1" pivotButton="0" quotePrefix="0" xfId="2">
      <alignment horizontal="center"/>
    </xf>
    <xf numFmtId="0" fontId="10" fillId="6" borderId="4" applyAlignment="1" pivotButton="0" quotePrefix="0" xfId="2">
      <alignment horizontal="center"/>
    </xf>
    <xf numFmtId="166" fontId="11" fillId="6" borderId="7" pivotButton="0" quotePrefix="0" xfId="4"/>
    <xf numFmtId="166" fontId="11" fillId="6" borderId="10" pivotButton="0" quotePrefix="0" xfId="4"/>
    <xf numFmtId="166" fontId="10" fillId="6" borderId="8" pivotButton="0" quotePrefix="0" xfId="4"/>
    <xf numFmtId="166" fontId="10" fillId="6" borderId="3" pivotButton="0" quotePrefix="0" xfId="4"/>
    <xf numFmtId="166" fontId="11" fillId="0" borderId="0" pivotButton="0" quotePrefix="0" xfId="4"/>
    <xf numFmtId="0" fontId="11" fillId="10" borderId="0" pivotButton="0" quotePrefix="0" xfId="2"/>
    <xf numFmtId="0" fontId="10" fillId="10" borderId="0" applyAlignment="1" pivotButton="0" quotePrefix="0" xfId="2">
      <alignment horizontal="center"/>
    </xf>
    <xf numFmtId="166" fontId="11" fillId="10" borderId="0" pivotButton="0" quotePrefix="0" xfId="4"/>
    <xf numFmtId="166" fontId="10" fillId="10" borderId="0" pivotButton="0" quotePrefix="0" xfId="4"/>
    <xf numFmtId="0" fontId="10" fillId="0" borderId="0" applyAlignment="1" pivotButton="0" quotePrefix="0" xfId="2">
      <alignment horizontal="right"/>
    </xf>
    <xf numFmtId="0" fontId="26" fillId="3" borderId="6" pivotButton="0" quotePrefix="0" xfId="2"/>
    <xf numFmtId="0" fontId="11" fillId="0" borderId="8" applyAlignment="1" pivotButton="0" quotePrefix="0" xfId="2">
      <alignment horizontal="center"/>
    </xf>
    <xf numFmtId="0" fontId="11" fillId="0" borderId="3" applyAlignment="1" pivotButton="0" quotePrefix="0" xfId="2">
      <alignment horizontal="center"/>
    </xf>
    <xf numFmtId="0" fontId="11" fillId="0" borderId="9" applyAlignment="1" pivotButton="0" quotePrefix="0" xfId="2">
      <alignment horizontal="right"/>
    </xf>
    <xf numFmtId="0" fontId="11" fillId="11" borderId="12" pivotButton="0" quotePrefix="0" xfId="2"/>
    <xf numFmtId="164" fontId="11" fillId="0" borderId="11" applyAlignment="1" pivotButton="0" quotePrefix="0" xfId="2">
      <alignment horizontal="center" vertical="center"/>
    </xf>
    <xf numFmtId="0" fontId="11" fillId="0" borderId="10" applyAlignment="1" pivotButton="0" quotePrefix="0" xfId="2">
      <alignment horizontal="right"/>
    </xf>
    <xf numFmtId="0" fontId="11" fillId="0" borderId="4" applyAlignment="1" pivotButton="0" quotePrefix="0" xfId="2">
      <alignment wrapText="1"/>
    </xf>
    <xf numFmtId="2" fontId="11" fillId="0" borderId="3" applyAlignment="1" pivotButton="0" quotePrefix="0" xfId="2">
      <alignment horizontal="center"/>
    </xf>
    <xf numFmtId="0" fontId="11" fillId="0" borderId="0" applyAlignment="1" pivotButton="0" quotePrefix="0" xfId="2">
      <alignment horizontal="right"/>
    </xf>
    <xf numFmtId="0" fontId="11" fillId="0" borderId="6" applyAlignment="1" pivotButton="0" quotePrefix="0" xfId="2">
      <alignment horizontal="center"/>
    </xf>
    <xf numFmtId="166" fontId="11" fillId="0" borderId="7" applyAlignment="1" pivotButton="0" quotePrefix="0" xfId="4">
      <alignment horizontal="center"/>
    </xf>
    <xf numFmtId="166" fontId="11" fillId="0" borderId="8" applyAlignment="1" pivotButton="0" quotePrefix="0" xfId="4">
      <alignment horizontal="center"/>
    </xf>
    <xf numFmtId="166" fontId="11" fillId="0" borderId="3" applyAlignment="1" pivotButton="0" quotePrefix="0" xfId="4">
      <alignment horizontal="center"/>
    </xf>
    <xf numFmtId="0" fontId="11" fillId="0" borderId="10" applyAlignment="1" pivotButton="0" quotePrefix="0" xfId="2">
      <alignment horizontal="center"/>
    </xf>
    <xf numFmtId="166" fontId="11" fillId="0" borderId="10" applyAlignment="1" pivotButton="0" quotePrefix="0" xfId="4">
      <alignment horizontal="center"/>
    </xf>
    <xf numFmtId="166" fontId="11" fillId="0" borderId="11" applyAlignment="1" pivotButton="0" quotePrefix="0" xfId="4">
      <alignment horizontal="center"/>
    </xf>
    <xf numFmtId="0" fontId="18" fillId="9" borderId="21" pivotButton="0" quotePrefix="0" xfId="2"/>
    <xf numFmtId="0" fontId="11" fillId="0" borderId="20" pivotButton="0" quotePrefix="0" xfId="2"/>
    <xf numFmtId="166" fontId="10" fillId="0" borderId="8" pivotButton="0" quotePrefix="0" xfId="4"/>
    <xf numFmtId="0" fontId="10" fillId="0" borderId="10" applyAlignment="1" pivotButton="0" quotePrefix="0" xfId="2">
      <alignment horizontal="center"/>
    </xf>
    <xf numFmtId="166" fontId="10" fillId="0" borderId="11" pivotButton="0" quotePrefix="0" xfId="4"/>
    <xf numFmtId="0" fontId="10" fillId="4" borderId="10" applyAlignment="1" pivotButton="0" quotePrefix="0" xfId="2">
      <alignment horizontal="center"/>
    </xf>
    <xf numFmtId="0" fontId="31" fillId="3" borderId="12" pivotButton="0" quotePrefix="0" xfId="7"/>
    <xf numFmtId="0" fontId="6" fillId="0" borderId="0" pivotButton="0" quotePrefix="0" xfId="9"/>
    <xf numFmtId="0" fontId="34" fillId="0" borderId="22" applyAlignment="1" pivotButton="0" quotePrefix="0" xfId="9">
      <alignment horizontal="center" vertical="center" wrapText="1"/>
    </xf>
    <xf numFmtId="167" fontId="34" fillId="2" borderId="22" applyAlignment="1" pivotButton="0" quotePrefix="0" xfId="10">
      <alignment horizontal="center" vertical="center"/>
    </xf>
    <xf numFmtId="0" fontId="34" fillId="13" borderId="22" applyAlignment="1" pivotButton="0" quotePrefix="0" xfId="9">
      <alignment horizontal="center" vertical="center" wrapText="1"/>
    </xf>
    <xf numFmtId="168" fontId="34" fillId="14" borderId="22" applyAlignment="1" pivotButton="0" quotePrefix="0" xfId="10">
      <alignment horizontal="center" vertical="center" wrapText="1"/>
    </xf>
    <xf numFmtId="0" fontId="36" fillId="0" borderId="23" applyAlignment="1" pivotButton="0" quotePrefix="0" xfId="9">
      <alignment horizontal="center"/>
    </xf>
    <xf numFmtId="168" fontId="38" fillId="2" borderId="22" applyAlignment="1" pivotButton="0" quotePrefix="0" xfId="10">
      <alignment horizontal="center" vertical="center"/>
    </xf>
    <xf numFmtId="168" fontId="38" fillId="2" borderId="22" applyAlignment="1" pivotButton="0" quotePrefix="0" xfId="10">
      <alignment horizontal="left" vertical="center"/>
    </xf>
    <xf numFmtId="9" fontId="37" fillId="2" borderId="22" applyAlignment="1" pivotButton="0" quotePrefix="0" xfId="11">
      <alignment horizontal="center" vertical="center"/>
    </xf>
    <xf numFmtId="0" fontId="36" fillId="6" borderId="23" applyAlignment="1" pivotButton="0" quotePrefix="0" xfId="9">
      <alignment horizontal="center"/>
    </xf>
    <xf numFmtId="2" fontId="6" fillId="6" borderId="22" pivotButton="0" quotePrefix="0" xfId="9"/>
    <xf numFmtId="9" fontId="37" fillId="6" borderId="22" applyAlignment="1" pivotButton="0" quotePrefix="0" xfId="11">
      <alignment horizontal="center" vertical="center"/>
    </xf>
    <xf numFmtId="0" fontId="34" fillId="14" borderId="22" applyAlignment="1" pivotButton="0" quotePrefix="0" xfId="10">
      <alignment horizontal="center" vertical="center" wrapText="1"/>
    </xf>
    <xf numFmtId="2" fontId="35" fillId="14" borderId="22" applyAlignment="1" pivotButton="0" quotePrefix="0" xfId="10">
      <alignment horizontal="center" vertical="center" wrapText="1"/>
    </xf>
    <xf numFmtId="168" fontId="34" fillId="2" borderId="22" applyAlignment="1" pivotButton="0" quotePrefix="0" xfId="10">
      <alignment horizontal="center" vertical="center" wrapText="1"/>
    </xf>
    <xf numFmtId="9" fontId="10" fillId="0" borderId="0" applyAlignment="1" pivotButton="0" quotePrefix="0" xfId="8">
      <alignment horizontal="center"/>
    </xf>
    <xf numFmtId="167" fontId="10" fillId="0" borderId="0" pivotButton="0" quotePrefix="0" xfId="2"/>
    <xf numFmtId="0" fontId="24" fillId="0" borderId="0" pivotButton="0" quotePrefix="0" xfId="2"/>
    <xf numFmtId="0" fontId="31" fillId="0" borderId="0" pivotButton="0" quotePrefix="0" xfId="7"/>
    <xf numFmtId="0" fontId="31" fillId="0" borderId="0" applyAlignment="1" pivotButton="0" quotePrefix="0" xfId="7">
      <alignment horizontal="center"/>
    </xf>
    <xf numFmtId="164" fontId="31" fillId="0" borderId="0" applyAlignment="1" pivotButton="0" quotePrefix="0" xfId="7">
      <alignment horizontal="center" vertical="center"/>
    </xf>
    <xf numFmtId="164" fontId="7" fillId="0" borderId="0" pivotButton="0" quotePrefix="0" xfId="7"/>
    <xf numFmtId="0" fontId="7" fillId="0" borderId="0" applyAlignment="1" pivotButton="0" quotePrefix="0" xfId="7">
      <alignment horizontal="center"/>
    </xf>
    <xf numFmtId="166" fontId="11" fillId="0" borderId="0" pivotButton="0" quotePrefix="0" xfId="4"/>
    <xf numFmtId="2" fontId="7" fillId="0" borderId="0" applyAlignment="1" pivotButton="0" quotePrefix="0" xfId="7">
      <alignment horizontal="center" vertical="center"/>
    </xf>
    <xf numFmtId="2" fontId="31" fillId="0" borderId="0" applyAlignment="1" pivotButton="0" quotePrefix="0" xfId="7">
      <alignment horizontal="center" vertical="center"/>
    </xf>
    <xf numFmtId="164" fontId="31" fillId="0" borderId="0" applyAlignment="1" pivotButton="0" quotePrefix="0" xfId="7">
      <alignment horizontal="center"/>
    </xf>
    <xf numFmtId="0" fontId="10" fillId="0" borderId="0" applyAlignment="1" pivotButton="0" quotePrefix="0" xfId="2">
      <alignment horizontal="left"/>
    </xf>
    <xf numFmtId="167" fontId="39" fillId="5" borderId="22" applyAlignment="1" pivotButton="0" quotePrefix="0" xfId="10">
      <alignment vertical="center"/>
    </xf>
    <xf numFmtId="167" fontId="41" fillId="0" borderId="22" applyAlignment="1" pivotButton="0" quotePrefix="0" xfId="9">
      <alignment horizontal="center"/>
    </xf>
    <xf numFmtId="167" fontId="41" fillId="6" borderId="22" applyAlignment="1" pivotButton="0" quotePrefix="0" xfId="9">
      <alignment horizontal="center"/>
    </xf>
    <xf numFmtId="0" fontId="42" fillId="6" borderId="22" applyAlignment="1" pivotButton="0" quotePrefix="0" xfId="11">
      <alignment horizontal="center" vertical="center"/>
    </xf>
    <xf numFmtId="164" fontId="43" fillId="0" borderId="3" applyAlignment="1" pivotButton="0" quotePrefix="0" xfId="2">
      <alignment horizontal="center" vertical="center"/>
    </xf>
    <xf numFmtId="0" fontId="46" fillId="0" borderId="0" applyAlignment="1" pivotButton="0" quotePrefix="0" xfId="2">
      <alignment horizontal="center" vertical="center"/>
    </xf>
    <xf numFmtId="0" fontId="24" fillId="0" borderId="0" applyAlignment="1" pivotButton="0" quotePrefix="0" xfId="2">
      <alignment horizontal="center" vertical="center"/>
    </xf>
    <xf numFmtId="166" fontId="10" fillId="0" borderId="3" pivotButton="0" quotePrefix="0" xfId="4"/>
    <xf numFmtId="0" fontId="11" fillId="15" borderId="20" pivotButton="0" quotePrefix="0" xfId="2"/>
    <xf numFmtId="0" fontId="28" fillId="0" borderId="0" applyAlignment="1" pivotButton="0" quotePrefix="0" xfId="2">
      <alignment horizontal="center"/>
    </xf>
    <xf numFmtId="164" fontId="7" fillId="3" borderId="0" applyAlignment="1" pivotButton="0" quotePrefix="0" xfId="7">
      <alignment horizontal="center" vertical="center"/>
    </xf>
    <xf numFmtId="0" fontId="11" fillId="5" borderId="0" applyAlignment="1" pivotButton="0" quotePrefix="0" xfId="2">
      <alignment horizontal="right"/>
    </xf>
    <xf numFmtId="166" fontId="11" fillId="5" borderId="0" pivotButton="0" quotePrefix="0" xfId="2"/>
    <xf numFmtId="0" fontId="11" fillId="3" borderId="0" pivotButton="0" quotePrefix="0" xfId="2"/>
    <xf numFmtId="167" fontId="10" fillId="0" borderId="0" pivotButton="0" quotePrefix="0" xfId="0"/>
    <xf numFmtId="166" fontId="10" fillId="0" borderId="0" applyAlignment="1" pivotButton="0" quotePrefix="0" xfId="1">
      <alignment horizontal="left"/>
    </xf>
    <xf numFmtId="166" fontId="11" fillId="3" borderId="0" applyAlignment="1" pivotButton="0" quotePrefix="0" xfId="1">
      <alignment horizontal="right"/>
    </xf>
    <xf numFmtId="164" fontId="11" fillId="3" borderId="0" applyAlignment="1" pivotButton="0" quotePrefix="0" xfId="0">
      <alignment horizontal="right"/>
    </xf>
    <xf numFmtId="166" fontId="18" fillId="3" borderId="7" pivotButton="0" quotePrefix="0" xfId="4"/>
    <xf numFmtId="0" fontId="18" fillId="0" borderId="0" applyAlignment="1" pivotButton="0" quotePrefix="0" xfId="2">
      <alignment horizontal="center"/>
    </xf>
    <xf numFmtId="166" fontId="11" fillId="0" borderId="0" applyAlignment="1" pivotButton="0" quotePrefix="0" xfId="4">
      <alignment horizontal="center"/>
    </xf>
    <xf numFmtId="0" fontId="47" fillId="4" borderId="15" pivotButton="0" quotePrefix="0" xfId="2"/>
    <xf numFmtId="0" fontId="7" fillId="0" borderId="4" pivotButton="0" quotePrefix="0" xfId="7"/>
    <xf numFmtId="0" fontId="7" fillId="0" borderId="7" pivotButton="0" quotePrefix="0" xfId="7"/>
    <xf numFmtId="0" fontId="47" fillId="0" borderId="10" pivotButton="0" quotePrefix="0" xfId="2"/>
    <xf numFmtId="0" fontId="47" fillId="0" borderId="0" pivotButton="0" quotePrefix="0" xfId="2"/>
    <xf numFmtId="166" fontId="10" fillId="3" borderId="0" pivotButton="0" quotePrefix="0" xfId="4"/>
    <xf numFmtId="0" fontId="10" fillId="3" borderId="0" applyAlignment="1" pivotButton="0" quotePrefix="0" xfId="2">
      <alignment horizontal="center"/>
    </xf>
    <xf numFmtId="9" fontId="10" fillId="0" borderId="0" applyAlignment="1" pivotButton="0" quotePrefix="0" xfId="8">
      <alignment horizontal="center"/>
    </xf>
    <xf numFmtId="0" fontId="7" fillId="19" borderId="0" pivotButton="0" quotePrefix="0" xfId="7"/>
    <xf numFmtId="164" fontId="7" fillId="19" borderId="0" applyAlignment="1" pivotButton="0" quotePrefix="0" xfId="7">
      <alignment horizontal="center" vertical="center"/>
    </xf>
    <xf numFmtId="164" fontId="7" fillId="19" borderId="0" applyAlignment="1" pivotButton="0" quotePrefix="0" xfId="7">
      <alignment horizontal="center"/>
    </xf>
    <xf numFmtId="169" fontId="10" fillId="0" borderId="0" pivotButton="0" quotePrefix="0" xfId="8"/>
    <xf numFmtId="167" fontId="11" fillId="0" borderId="0" pivotButton="0" quotePrefix="0" xfId="2"/>
    <xf numFmtId="0" fontId="48" fillId="0" borderId="0" applyAlignment="1" pivotButton="0" quotePrefix="0" xfId="0">
      <alignment horizontal="center"/>
    </xf>
    <xf numFmtId="164" fontId="26" fillId="0" borderId="0" applyAlignment="1" pivotButton="0" quotePrefix="0" xfId="0">
      <alignment horizontal="center" vertical="center"/>
    </xf>
    <xf numFmtId="164" fontId="26" fillId="0" borderId="0" pivotButton="0" quotePrefix="0" xfId="1"/>
    <xf numFmtId="0" fontId="10" fillId="0" borderId="0" applyAlignment="1" pivotButton="0" quotePrefix="0" xfId="0">
      <alignment horizontal="center" vertical="center"/>
    </xf>
    <xf numFmtId="164" fontId="10" fillId="0" borderId="0" applyAlignment="1" pivotButton="0" quotePrefix="0" xfId="1">
      <alignment horizontal="center"/>
    </xf>
    <xf numFmtId="166" fontId="42" fillId="12" borderId="22" applyAlignment="1" pivotButton="0" quotePrefix="0" xfId="11">
      <alignment horizontal="center" vertical="center"/>
    </xf>
    <xf numFmtId="2" fontId="28" fillId="3" borderId="0" pivotButton="0" quotePrefix="0" xfId="8"/>
    <xf numFmtId="0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1" fillId="0" borderId="4" applyAlignment="1" pivotButton="0" quotePrefix="0" xfId="2">
      <alignment horizontal="right"/>
    </xf>
    <xf numFmtId="0" fontId="4" fillId="0" borderId="0" applyAlignment="1" pivotButton="0" quotePrefix="0" xfId="13">
      <alignment horizontal="center" vertical="center"/>
    </xf>
    <xf numFmtId="0" fontId="4" fillId="0" borderId="0" pivotButton="0" quotePrefix="0" xfId="13"/>
    <xf numFmtId="166" fontId="11" fillId="3" borderId="0" pivotButton="0" quotePrefix="0" xfId="4"/>
    <xf numFmtId="0" fontId="4" fillId="0" borderId="0" applyAlignment="1" pivotButton="0" quotePrefix="0" xfId="13">
      <alignment horizontal="center"/>
    </xf>
    <xf numFmtId="0" fontId="32" fillId="21" borderId="0" pivotButton="0" quotePrefix="0" xfId="13"/>
    <xf numFmtId="0" fontId="4" fillId="21" borderId="0" applyAlignment="1" pivotButton="0" quotePrefix="0" xfId="13">
      <alignment horizontal="center" vertical="center"/>
    </xf>
    <xf numFmtId="0" fontId="4" fillId="21" borderId="0" applyAlignment="1" pivotButton="0" quotePrefix="0" xfId="13">
      <alignment horizontal="center"/>
    </xf>
    <xf numFmtId="2" fontId="4" fillId="0" borderId="0" applyAlignment="1" pivotButton="0" quotePrefix="0" xfId="13">
      <alignment horizontal="center" vertical="center"/>
    </xf>
    <xf numFmtId="0" fontId="32" fillId="22" borderId="0" pivotButton="0" quotePrefix="0" xfId="13"/>
    <xf numFmtId="0" fontId="31" fillId="22" borderId="0" applyAlignment="1" pivotButton="0" quotePrefix="0" xfId="13">
      <alignment horizontal="center"/>
    </xf>
    <xf numFmtId="164" fontId="31" fillId="22" borderId="0" applyAlignment="1" pivotButton="0" quotePrefix="0" xfId="7">
      <alignment horizontal="center" vertical="center"/>
    </xf>
    <xf numFmtId="0" fontId="31" fillId="22" borderId="0" applyAlignment="1" pivotButton="0" quotePrefix="0" xfId="13">
      <alignment horizontal="center" vertical="center"/>
    </xf>
    <xf numFmtId="2" fontId="4" fillId="0" borderId="0" applyAlignment="1" pivotButton="0" quotePrefix="0" xfId="13">
      <alignment horizontal="center"/>
    </xf>
    <xf numFmtId="0" fontId="30" fillId="0" borderId="0" pivotButton="0" quotePrefix="0" xfId="7"/>
    <xf numFmtId="2" fontId="6" fillId="0" borderId="22" applyAlignment="1" pivotButton="0" quotePrefix="0" xfId="9">
      <alignment horizontal="center"/>
    </xf>
    <xf numFmtId="2" fontId="6" fillId="6" borderId="22" applyAlignment="1" pivotButton="0" quotePrefix="0" xfId="9">
      <alignment horizontal="center"/>
    </xf>
    <xf numFmtId="0" fontId="34" fillId="3" borderId="22" applyAlignment="1" pivotButton="0" quotePrefix="0" xfId="9">
      <alignment horizontal="center" vertical="center" wrapText="1"/>
    </xf>
    <xf numFmtId="164" fontId="23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47" fillId="20" borderId="0" applyAlignment="1" pivotButton="0" quotePrefix="0" xfId="2">
      <alignment horizontal="center"/>
    </xf>
    <xf numFmtId="0" fontId="43" fillId="5" borderId="4" applyAlignment="1" pivotButton="0" quotePrefix="0" xfId="2">
      <alignment horizontal="right"/>
    </xf>
    <xf numFmtId="0" fontId="43" fillId="3" borderId="0" applyAlignment="1" pivotButton="0" quotePrefix="0" xfId="2">
      <alignment horizontal="center" vertical="center"/>
    </xf>
    <xf numFmtId="0" fontId="44" fillId="0" borderId="0" applyAlignment="1" pivotButton="0" quotePrefix="0" xfId="2">
      <alignment horizontal="center" vertical="center"/>
    </xf>
    <xf numFmtId="0" fontId="43" fillId="0" borderId="7" applyAlignment="1" pivotButton="0" quotePrefix="0" xfId="2">
      <alignment horizontal="center" vertical="center"/>
    </xf>
    <xf numFmtId="0" fontId="43" fillId="0" borderId="3" applyAlignment="1" pivotButton="0" quotePrefix="0" xfId="2">
      <alignment horizontal="center" vertical="center"/>
    </xf>
    <xf numFmtId="0" fontId="43" fillId="5" borderId="6" applyAlignment="1" pivotButton="0" quotePrefix="0" xfId="2">
      <alignment horizontal="right"/>
    </xf>
    <xf numFmtId="0" fontId="43" fillId="0" borderId="8" applyAlignment="1" pivotButton="0" quotePrefix="0" xfId="2">
      <alignment horizontal="center" vertical="center"/>
    </xf>
    <xf numFmtId="0" fontId="43" fillId="0" borderId="0" applyAlignment="1" pivotButton="0" quotePrefix="0" xfId="2">
      <alignment horizontal="center" vertical="center"/>
    </xf>
    <xf numFmtId="0" fontId="43" fillId="0" borderId="0" applyAlignment="1" pivotButton="0" quotePrefix="0" xfId="2">
      <alignment horizontal="center"/>
    </xf>
    <xf numFmtId="166" fontId="11" fillId="0" borderId="7" pivotButton="0" quotePrefix="0" xfId="4"/>
    <xf numFmtId="166" fontId="11" fillId="0" borderId="10" pivotButton="0" quotePrefix="0" xfId="4"/>
    <xf numFmtId="0" fontId="36" fillId="0" borderId="0" applyAlignment="1" pivotButton="0" quotePrefix="0" xfId="9">
      <alignment horizontal="center"/>
    </xf>
    <xf numFmtId="167" fontId="50" fillId="17" borderId="22" applyAlignment="1" pivotButton="0" quotePrefix="0" xfId="9">
      <alignment horizontal="center"/>
    </xf>
    <xf numFmtId="0" fontId="36" fillId="5" borderId="23" applyAlignment="1" pivotButton="0" quotePrefix="0" xfId="9">
      <alignment horizontal="center"/>
    </xf>
    <xf numFmtId="0" fontId="36" fillId="24" borderId="23" applyAlignment="1" pivotButton="0" quotePrefix="0" xfId="9">
      <alignment horizontal="center"/>
    </xf>
    <xf numFmtId="0" fontId="36" fillId="24" borderId="0" applyAlignment="1" pivotButton="0" quotePrefix="0" xfId="9">
      <alignment horizontal="center"/>
    </xf>
    <xf numFmtId="164" fontId="7" fillId="23" borderId="0" applyAlignment="1" pivotButton="0" quotePrefix="0" xfId="7">
      <alignment horizontal="center" vertical="center"/>
    </xf>
    <xf numFmtId="0" fontId="11" fillId="25" borderId="0" pivotButton="0" quotePrefix="0" xfId="2"/>
    <xf numFmtId="166" fontId="37" fillId="12" borderId="22" applyAlignment="1" pivotButton="0" quotePrefix="0" xfId="11">
      <alignment horizontal="center" vertical="center"/>
    </xf>
    <xf numFmtId="0" fontId="50" fillId="0" borderId="0" pivotButton="0" quotePrefix="0" xfId="0"/>
    <xf numFmtId="0" fontId="50" fillId="9" borderId="0" pivotButton="0" quotePrefix="0" xfId="0"/>
    <xf numFmtId="0" fontId="36" fillId="0" borderId="0" applyAlignment="1" pivotButton="0" quotePrefix="0" xfId="0">
      <alignment horizontal="center"/>
    </xf>
    <xf numFmtId="0" fontId="36" fillId="0" borderId="19" applyAlignment="1" pivotButton="0" quotePrefix="0" xfId="0">
      <alignment horizontal="center"/>
    </xf>
    <xf numFmtId="0" fontId="36" fillId="0" borderId="26" applyAlignment="1" pivotButton="0" quotePrefix="0" xfId="9">
      <alignment horizontal="center"/>
    </xf>
    <xf numFmtId="0" fontId="6" fillId="16" borderId="0" pivotButton="0" quotePrefix="0" xfId="9"/>
    <xf numFmtId="0" fontId="0" fillId="0" borderId="0" applyAlignment="1" pivotButton="0" quotePrefix="0" xfId="0">
      <alignment horizontal="center" vertical="center"/>
    </xf>
    <xf numFmtId="0" fontId="0" fillId="26" borderId="0" pivotButton="0" quotePrefix="0" xfId="0"/>
    <xf numFmtId="166" fontId="0" fillId="0" borderId="0" applyAlignment="1" pivotButton="0" quotePrefix="0" xfId="1">
      <alignment horizontal="center" vertical="center"/>
    </xf>
    <xf numFmtId="166" fontId="0" fillId="0" borderId="0" applyAlignment="1" pivotButton="0" quotePrefix="0" xfId="1">
      <alignment horizontal="center" vertical="center"/>
    </xf>
    <xf numFmtId="166" fontId="0" fillId="0" borderId="0" applyAlignment="1" pivotButton="0" quotePrefix="0" xfId="1">
      <alignment horizontal="center" vertical="center"/>
    </xf>
    <xf numFmtId="164" fontId="7" fillId="24" borderId="0" applyAlignment="1" pivotButton="0" quotePrefix="0" xfId="7">
      <alignment horizontal="center" vertical="center"/>
    </xf>
    <xf numFmtId="168" fontId="34" fillId="0" borderId="26" applyAlignment="1" pivotButton="0" quotePrefix="0" xfId="10">
      <alignment horizontal="center" vertical="center" wrapText="1"/>
    </xf>
    <xf numFmtId="168" fontId="34" fillId="0" borderId="0" applyAlignment="1" pivotButton="0" quotePrefix="0" xfId="10">
      <alignment horizontal="center" vertical="center" wrapText="1"/>
    </xf>
    <xf numFmtId="0" fontId="52" fillId="0" borderId="0" pivotButton="0" quotePrefix="0" xfId="13"/>
    <xf numFmtId="0" fontId="53" fillId="22" borderId="0" pivotButton="0" quotePrefix="0" xfId="13"/>
    <xf numFmtId="166" fontId="10" fillId="0" borderId="0" applyAlignment="1" pivotButton="0" quotePrefix="0" xfId="4">
      <alignment horizontal="center"/>
    </xf>
    <xf numFmtId="0" fontId="0" fillId="0" borderId="0" applyAlignment="1" pivotButton="0" quotePrefix="0" xfId="0">
      <alignment horizontal="center"/>
    </xf>
    <xf numFmtId="0" fontId="47" fillId="4" borderId="21" pivotButton="0" quotePrefix="0" xfId="2"/>
    <xf numFmtId="166" fontId="11" fillId="0" borderId="0" applyAlignment="1" pivotButton="0" quotePrefix="0" xfId="4">
      <alignment horizontal="center"/>
    </xf>
    <xf numFmtId="166" fontId="11" fillId="0" borderId="0" applyAlignment="1" pivotButton="0" quotePrefix="0" xfId="4">
      <alignment horizontal="right"/>
    </xf>
    <xf numFmtId="166" fontId="10" fillId="0" borderId="0" applyAlignment="1" pivotButton="0" quotePrefix="0" xfId="4">
      <alignment horizontal="right"/>
    </xf>
    <xf numFmtId="10" fontId="10" fillId="0" borderId="0" pivotButton="0" quotePrefix="0" xfId="8"/>
    <xf numFmtId="166" fontId="18" fillId="0" borderId="0" applyAlignment="1" pivotButton="0" quotePrefix="0" xfId="4">
      <alignment horizontal="center"/>
    </xf>
    <xf numFmtId="166" fontId="18" fillId="0" borderId="0" applyAlignment="1" pivotButton="0" quotePrefix="0" xfId="4">
      <alignment horizontal="center"/>
    </xf>
    <xf numFmtId="166" fontId="10" fillId="0" borderId="0" applyAlignment="1" pivotButton="0" quotePrefix="0" xfId="4">
      <alignment horizontal="center"/>
    </xf>
    <xf numFmtId="166" fontId="18" fillId="0" borderId="0" applyAlignment="1" pivotButton="0" quotePrefix="0" xfId="4">
      <alignment horizontal="left"/>
    </xf>
    <xf numFmtId="10" fontId="28" fillId="0" borderId="0" applyAlignment="1" pivotButton="0" quotePrefix="0" xfId="2">
      <alignment horizontal="center"/>
    </xf>
    <xf numFmtId="166" fontId="51" fillId="16" borderId="0" pivotButton="0" quotePrefix="0" xfId="4"/>
    <xf numFmtId="169" fontId="10" fillId="3" borderId="0" pivotButton="0" quotePrefix="0" xfId="8"/>
    <xf numFmtId="169" fontId="10" fillId="3" borderId="0" applyAlignment="1" pivotButton="0" quotePrefix="0" xfId="8">
      <alignment horizontal="right"/>
    </xf>
    <xf numFmtId="2" fontId="10" fillId="0" borderId="0" pivotButton="0" quotePrefix="0" xfId="2"/>
    <xf numFmtId="164" fontId="51" fillId="18" borderId="0" applyAlignment="1" pivotButton="0" quotePrefix="0" xfId="1">
      <alignment horizontal="center" vertical="center"/>
    </xf>
    <xf numFmtId="166" fontId="10" fillId="0" borderId="0" applyAlignment="1" pivotButton="0" quotePrefix="0" xfId="1">
      <alignment horizontal="center"/>
    </xf>
    <xf numFmtId="166" fontId="10" fillId="0" borderId="0" applyAlignment="1" pivotButton="0" quotePrefix="0" xfId="1">
      <alignment horizontal="center"/>
    </xf>
    <xf numFmtId="166" fontId="10" fillId="0" borderId="0" applyAlignment="1" pivotButton="0" quotePrefix="0" xfId="8">
      <alignment horizontal="center"/>
    </xf>
    <xf numFmtId="10" fontId="10" fillId="0" borderId="0" applyAlignment="1" pivotButton="0" quotePrefix="0" xfId="8">
      <alignment horizontal="left" indent="1"/>
    </xf>
    <xf numFmtId="0" fontId="13" fillId="0" borderId="0" applyAlignment="1" pivotButton="0" quotePrefix="0" xfId="0">
      <alignment horizontal="left" vertical="center"/>
    </xf>
    <xf numFmtId="0" fontId="8" fillId="0" borderId="0" pivotButton="0" quotePrefix="0" xfId="6"/>
    <xf numFmtId="0" fontId="32" fillId="3" borderId="0" pivotButton="0" quotePrefix="0" xfId="6"/>
    <xf numFmtId="164" fontId="8" fillId="0" borderId="0" pivotButton="0" quotePrefix="0" xfId="6"/>
    <xf numFmtId="0" fontId="32" fillId="9" borderId="0" pivotButton="0" quotePrefix="0" xfId="6"/>
    <xf numFmtId="0" fontId="8" fillId="0" borderId="0" applyAlignment="1" pivotButton="0" quotePrefix="0" xfId="6">
      <alignment horizontal="center"/>
    </xf>
    <xf numFmtId="166" fontId="14" fillId="0" borderId="0" pivotButton="0" quotePrefix="0" xfId="1"/>
    <xf numFmtId="0" fontId="0" fillId="4" borderId="0" pivotButton="0" quotePrefix="0" xfId="0"/>
    <xf numFmtId="0" fontId="55" fillId="27" borderId="0" applyAlignment="1" pivotButton="0" quotePrefix="0" xfId="0">
      <alignment vertical="center"/>
    </xf>
    <xf numFmtId="0" fontId="53" fillId="3" borderId="0" pivotButton="0" quotePrefix="0" xfId="13"/>
    <xf numFmtId="2" fontId="10" fillId="0" borderId="0" applyAlignment="1" pivotButton="0" quotePrefix="0" xfId="2">
      <alignment horizontal="center"/>
    </xf>
    <xf numFmtId="164" fontId="8" fillId="4" borderId="0" pivotButton="0" quotePrefix="0" xfId="6"/>
    <xf numFmtId="0" fontId="8" fillId="2" borderId="0" pivotButton="0" quotePrefix="0" xfId="6"/>
    <xf numFmtId="0" fontId="7" fillId="0" borderId="0" applyAlignment="1" pivotButton="0" quotePrefix="0" xfId="7">
      <alignment horizontal="right"/>
    </xf>
    <xf numFmtId="2" fontId="7" fillId="30" borderId="0" applyAlignment="1" pivotButton="0" quotePrefix="0" xfId="7">
      <alignment horizontal="center"/>
    </xf>
    <xf numFmtId="0" fontId="7" fillId="30" borderId="0" applyAlignment="1" pivotButton="0" quotePrefix="0" xfId="7">
      <alignment horizontal="center"/>
    </xf>
    <xf numFmtId="0" fontId="7" fillId="3" borderId="0" applyAlignment="1" pivotButton="0" quotePrefix="0" xfId="7">
      <alignment horizontal="center"/>
    </xf>
    <xf numFmtId="0" fontId="7" fillId="0" borderId="0" applyAlignment="1" pivotButton="0" quotePrefix="0" xfId="7">
      <alignment vertical="center"/>
    </xf>
    <xf numFmtId="0" fontId="31" fillId="0" borderId="0" applyAlignment="1" pivotButton="0" quotePrefix="0" xfId="7">
      <alignment horizontal="right" vertical="center"/>
    </xf>
    <xf numFmtId="0" fontId="7" fillId="0" borderId="0" applyAlignment="1" pivotButton="0" quotePrefix="0" xfId="7">
      <alignment horizontal="center" vertical="center"/>
    </xf>
    <xf numFmtId="164" fontId="31" fillId="0" borderId="0" applyAlignment="1" pivotButton="0" quotePrefix="0" xfId="7">
      <alignment horizontal="center" vertical="center" wrapText="1"/>
    </xf>
    <xf numFmtId="0" fontId="31" fillId="0" borderId="0" applyAlignment="1" pivotButton="0" quotePrefix="0" xfId="7">
      <alignment horizontal="center" vertical="center" wrapText="1"/>
    </xf>
    <xf numFmtId="2" fontId="7" fillId="3" borderId="0" applyAlignment="1" pivotButton="0" quotePrefix="0" xfId="7">
      <alignment horizontal="center"/>
    </xf>
    <xf numFmtId="2" fontId="7" fillId="11" borderId="0" applyAlignment="1" pivotButton="0" quotePrefix="0" xfId="7">
      <alignment horizontal="center"/>
    </xf>
    <xf numFmtId="2" fontId="7" fillId="0" borderId="0" pivotButton="0" quotePrefix="0" xfId="7"/>
    <xf numFmtId="2" fontId="7" fillId="0" borderId="0" applyAlignment="1" pivotButton="0" quotePrefix="0" xfId="7">
      <alignment horizontal="center"/>
    </xf>
    <xf numFmtId="2" fontId="56" fillId="11" borderId="0" applyAlignment="1" pivotButton="0" quotePrefix="0" xfId="7">
      <alignment horizontal="center"/>
    </xf>
    <xf numFmtId="0" fontId="31" fillId="0" borderId="0" applyAlignment="1" pivotButton="0" quotePrefix="0" xfId="7">
      <alignment horizontal="center" vertical="center"/>
    </xf>
    <xf numFmtId="2" fontId="32" fillId="0" borderId="15" applyAlignment="1" pivotButton="0" quotePrefix="0" xfId="7">
      <alignment horizontal="center"/>
    </xf>
    <xf numFmtId="2" fontId="57" fillId="0" borderId="15" applyAlignment="1" pivotButton="0" quotePrefix="0" xfId="7">
      <alignment horizontal="center"/>
    </xf>
    <xf numFmtId="164" fontId="7" fillId="3" borderId="0" applyAlignment="1" pivotButton="0" quotePrefix="0" xfId="7">
      <alignment horizontal="center"/>
    </xf>
    <xf numFmtId="164" fontId="31" fillId="0" borderId="0" applyAlignment="1" pivotButton="0" quotePrefix="0" xfId="7">
      <alignment horizontal="right"/>
    </xf>
    <xf numFmtId="0" fontId="7" fillId="19" borderId="0" applyAlignment="1" pivotButton="0" quotePrefix="0" xfId="7">
      <alignment horizontal="right"/>
    </xf>
    <xf numFmtId="0" fontId="8" fillId="0" borderId="0" applyAlignment="1" pivotButton="0" quotePrefix="0" xfId="6">
      <alignment horizontal="center" vertical="center"/>
    </xf>
    <xf numFmtId="0" fontId="32" fillId="9" borderId="0" applyAlignment="1" pivotButton="0" quotePrefix="0" xfId="7">
      <alignment horizontal="center" vertical="center"/>
    </xf>
    <xf numFmtId="0" fontId="31" fillId="0" borderId="15" applyAlignment="1" pivotButton="0" quotePrefix="0" xfId="6">
      <alignment horizontal="center" vertical="center"/>
    </xf>
    <xf numFmtId="0" fontId="7" fillId="3" borderId="0" pivotButton="0" quotePrefix="0" xfId="7"/>
    <xf numFmtId="0" fontId="7" fillId="9" borderId="0" applyAlignment="1" pivotButton="0" quotePrefix="0" xfId="7">
      <alignment horizontal="center"/>
    </xf>
    <xf numFmtId="164" fontId="7" fillId="9" borderId="0" applyAlignment="1" pivotButton="0" quotePrefix="0" xfId="7">
      <alignment horizontal="center" vertical="center"/>
    </xf>
    <xf numFmtId="0" fontId="7" fillId="11" borderId="0" pivotButton="0" quotePrefix="0" xfId="7"/>
    <xf numFmtId="2" fontId="8" fillId="0" borderId="0" pivotButton="0" quotePrefix="0" xfId="6"/>
    <xf numFmtId="164" fontId="31" fillId="0" borderId="15" pivotButton="0" quotePrefix="0" xfId="7"/>
    <xf numFmtId="0" fontId="7" fillId="0" borderId="20" pivotButton="0" quotePrefix="0" xfId="7"/>
    <xf numFmtId="164" fontId="7" fillId="0" borderId="20" pivotButton="0" quotePrefix="0" xfId="7"/>
    <xf numFmtId="164" fontId="7" fillId="0" borderId="27" pivotButton="0" quotePrefix="0" xfId="7"/>
    <xf numFmtId="164" fontId="7" fillId="0" borderId="10" applyAlignment="1" pivotButton="0" quotePrefix="0" xfId="7">
      <alignment horizontal="center" vertical="center"/>
    </xf>
    <xf numFmtId="0" fontId="7" fillId="9" borderId="0" pivotButton="0" quotePrefix="0" xfId="7"/>
    <xf numFmtId="0" fontId="7" fillId="9" borderId="3" pivotButton="0" quotePrefix="0" xfId="7"/>
    <xf numFmtId="164" fontId="7" fillId="9" borderId="20" applyAlignment="1" pivotButton="0" quotePrefix="0" xfId="7">
      <alignment horizontal="center" vertical="center"/>
    </xf>
    <xf numFmtId="164" fontId="7" fillId="9" borderId="21" applyAlignment="1" pivotButton="0" quotePrefix="0" xfId="7">
      <alignment horizontal="center" vertical="center"/>
    </xf>
    <xf numFmtId="0" fontId="32" fillId="9" borderId="10" pivotButton="0" quotePrefix="0" xfId="7"/>
    <xf numFmtId="0" fontId="7" fillId="9" borderId="10" applyAlignment="1" pivotButton="0" quotePrefix="0" xfId="7">
      <alignment horizontal="center"/>
    </xf>
    <xf numFmtId="0" fontId="7" fillId="9" borderId="11" applyAlignment="1" pivotButton="0" quotePrefix="0" xfId="7">
      <alignment horizontal="center"/>
    </xf>
    <xf numFmtId="164" fontId="7" fillId="9" borderId="27" applyAlignment="1" pivotButton="0" quotePrefix="0" xfId="7">
      <alignment horizontal="center" vertical="center"/>
    </xf>
    <xf numFmtId="164" fontId="7" fillId="0" borderId="4" applyAlignment="1" pivotButton="0" quotePrefix="0" xfId="7">
      <alignment horizontal="center"/>
    </xf>
    <xf numFmtId="0" fontId="7" fillId="0" borderId="3" applyAlignment="1" pivotButton="0" quotePrefix="0" xfId="7">
      <alignment horizontal="center"/>
    </xf>
    <xf numFmtId="164" fontId="7" fillId="16" borderId="20" applyAlignment="1" pivotButton="0" quotePrefix="0" xfId="7">
      <alignment horizontal="center" vertical="center"/>
    </xf>
    <xf numFmtId="164" fontId="7" fillId="0" borderId="8" applyAlignment="1" pivotButton="0" quotePrefix="0" xfId="7">
      <alignment horizontal="center" vertical="center"/>
    </xf>
    <xf numFmtId="164" fontId="7" fillId="0" borderId="3" applyAlignment="1" pivotButton="0" quotePrefix="0" xfId="7">
      <alignment horizontal="center" vertical="center"/>
    </xf>
    <xf numFmtId="164" fontId="7" fillId="0" borderId="20" applyAlignment="1" pivotButton="0" quotePrefix="0" xfId="7">
      <alignment horizontal="center" vertical="center"/>
    </xf>
    <xf numFmtId="164" fontId="7" fillId="3" borderId="20" applyAlignment="1" pivotButton="0" quotePrefix="0" xfId="7">
      <alignment horizontal="center" vertical="center"/>
    </xf>
    <xf numFmtId="164" fontId="7" fillId="0" borderId="27" applyAlignment="1" pivotButton="0" quotePrefix="0" xfId="7">
      <alignment horizontal="center" vertical="center"/>
    </xf>
    <xf numFmtId="166" fontId="10" fillId="0" borderId="0" applyAlignment="1" pivotButton="0" quotePrefix="0" xfId="1">
      <alignment horizontal="right"/>
    </xf>
    <xf numFmtId="0" fontId="43" fillId="2" borderId="15" pivotButton="0" quotePrefix="0" xfId="2"/>
    <xf numFmtId="0" fontId="58" fillId="0" borderId="0" applyAlignment="1" pivotButton="0" quotePrefix="0" xfId="2">
      <alignment horizontal="center"/>
    </xf>
    <xf numFmtId="166" fontId="58" fillId="0" borderId="0" pivotButton="0" quotePrefix="0" xfId="4"/>
    <xf numFmtId="0" fontId="43" fillId="25" borderId="0" pivotButton="0" quotePrefix="0" xfId="2"/>
    <xf numFmtId="0" fontId="58" fillId="0" borderId="0" pivotButton="0" quotePrefix="0" xfId="2"/>
    <xf numFmtId="2" fontId="58" fillId="0" borderId="0" applyAlignment="1" pivotButton="0" quotePrefix="0" xfId="2">
      <alignment horizontal="center"/>
    </xf>
    <xf numFmtId="166" fontId="10" fillId="0" borderId="0" applyAlignment="1" pivotButton="0" quotePrefix="0" xfId="4">
      <alignment horizontal="right" indent="1"/>
    </xf>
    <xf numFmtId="2" fontId="10" fillId="0" borderId="0" applyAlignment="1" pivotButton="0" quotePrefix="0" xfId="4">
      <alignment horizontal="center"/>
    </xf>
    <xf numFmtId="166" fontId="10" fillId="16" borderId="0" applyAlignment="1" pivotButton="0" quotePrefix="0" xfId="4">
      <alignment horizontal="center"/>
    </xf>
    <xf numFmtId="0" fontId="10" fillId="0" borderId="7" pivotButton="0" quotePrefix="0" xfId="0"/>
    <xf numFmtId="0" fontId="12" fillId="5" borderId="4" applyAlignment="1" pivotButton="0" quotePrefix="0" xfId="0">
      <alignment horizontal="right"/>
    </xf>
    <xf numFmtId="0" fontId="10" fillId="28" borderId="0" applyAlignment="1" pivotButton="0" quotePrefix="0" xfId="2">
      <alignment horizontal="center"/>
    </xf>
    <xf numFmtId="164" fontId="8" fillId="28" borderId="0" pivotButton="0" quotePrefix="0" xfId="6"/>
    <xf numFmtId="166" fontId="10" fillId="28" borderId="0" pivotButton="0" quotePrefix="0" xfId="4"/>
    <xf numFmtId="2" fontId="10" fillId="3" borderId="3" pivotButton="0" quotePrefix="0" xfId="1"/>
    <xf numFmtId="166" fontId="10" fillId="0" borderId="0" applyAlignment="1" pivotButton="0" quotePrefix="0" xfId="1">
      <alignment horizontal="right"/>
    </xf>
    <xf numFmtId="166" fontId="10" fillId="0" borderId="0" pivotButton="0" quotePrefix="0" xfId="1"/>
    <xf numFmtId="2" fontId="10" fillId="0" borderId="0" pivotButton="0" quotePrefix="0" xfId="1"/>
    <xf numFmtId="0" fontId="0" fillId="0" borderId="0" applyAlignment="1" pivotButton="0" quotePrefix="0" xfId="0">
      <alignment wrapText="1"/>
    </xf>
    <xf numFmtId="0" fontId="8" fillId="28" borderId="0" pivotButton="0" quotePrefix="0" xfId="6"/>
    <xf numFmtId="0" fontId="3" fillId="0" borderId="0" applyAlignment="1" pivotButton="0" quotePrefix="0" xfId="6">
      <alignment horizontal="center"/>
    </xf>
    <xf numFmtId="0" fontId="3" fillId="0" borderId="0" pivotButton="0" quotePrefix="0" xfId="6"/>
    <xf numFmtId="0" fontId="3" fillId="28" borderId="0" pivotButton="0" quotePrefix="0" xfId="6"/>
    <xf numFmtId="0" fontId="10" fillId="28" borderId="0" pivotButton="0" quotePrefix="0" xfId="2"/>
    <xf numFmtId="0" fontId="3" fillId="0" borderId="0" applyAlignment="1" pivotButton="0" quotePrefix="0" xfId="6">
      <alignment wrapText="1"/>
    </xf>
    <xf numFmtId="0" fontId="3" fillId="29" borderId="0" pivotButton="0" quotePrefix="0" xfId="6"/>
    <xf numFmtId="0" fontId="3" fillId="0" borderId="0" applyAlignment="1" pivotButton="0" quotePrefix="0" xfId="7">
      <alignment horizontal="right"/>
    </xf>
    <xf numFmtId="2" fontId="3" fillId="30" borderId="0" applyAlignment="1" pivotButton="0" quotePrefix="0" xfId="7">
      <alignment horizontal="center"/>
    </xf>
    <xf numFmtId="9" fontId="3" fillId="0" borderId="0" applyAlignment="1" pivotButton="0" quotePrefix="0" xfId="5">
      <alignment horizontal="center"/>
    </xf>
    <xf numFmtId="164" fontId="3" fillId="0" borderId="0" applyAlignment="1" pivotButton="0" quotePrefix="0" xfId="7">
      <alignment horizontal="center" vertical="center" wrapText="1"/>
    </xf>
    <xf numFmtId="0" fontId="3" fillId="0" borderId="0" applyAlignment="1" pivotButton="0" quotePrefix="0" xfId="7">
      <alignment horizontal="center" vertical="center" wrapText="1"/>
    </xf>
    <xf numFmtId="2" fontId="3" fillId="3" borderId="0" applyAlignment="1" pivotButton="0" quotePrefix="0" xfId="5">
      <alignment horizontal="center" vertical="center"/>
    </xf>
    <xf numFmtId="2" fontId="3" fillId="0" borderId="0" applyAlignment="1" pivotButton="0" quotePrefix="0" xfId="5">
      <alignment horizontal="center" vertical="center"/>
    </xf>
    <xf numFmtId="0" fontId="3" fillId="0" borderId="0" applyAlignment="1" pivotButton="0" quotePrefix="0" xfId="6">
      <alignment horizontal="center" vertical="center" wrapText="1"/>
    </xf>
    <xf numFmtId="0" fontId="3" fillId="0" borderId="0" applyAlignment="1" pivotButton="0" quotePrefix="0" xfId="6">
      <alignment horizontal="center" vertical="center"/>
    </xf>
    <xf numFmtId="164" fontId="3" fillId="0" borderId="0" applyAlignment="1" pivotButton="0" quotePrefix="0" xfId="7">
      <alignment horizontal="center" vertical="center"/>
    </xf>
    <xf numFmtId="164" fontId="3" fillId="24" borderId="0" applyAlignment="1" pivotButton="0" quotePrefix="0" xfId="7">
      <alignment horizontal="center" vertical="center"/>
    </xf>
    <xf numFmtId="0" fontId="3" fillId="0" borderId="0" applyAlignment="1" pivotButton="0" quotePrefix="0" xfId="7">
      <alignment horizontal="center"/>
    </xf>
    <xf numFmtId="0" fontId="3" fillId="0" borderId="0" applyAlignment="1" pivotButton="0" quotePrefix="0" xfId="13">
      <alignment horizontal="center" vertical="center"/>
    </xf>
    <xf numFmtId="2" fontId="3" fillId="0" borderId="0" applyAlignment="1" pivotButton="0" quotePrefix="0" xfId="8">
      <alignment horizontal="center" vertical="center"/>
    </xf>
    <xf numFmtId="0" fontId="3" fillId="19" borderId="0" applyAlignment="1" pivotButton="0" quotePrefix="0" xfId="7">
      <alignment horizontal="right"/>
    </xf>
    <xf numFmtId="0" fontId="3" fillId="0" borderId="0" pivotButton="0" quotePrefix="0" xfId="7"/>
    <xf numFmtId="0" fontId="3" fillId="3" borderId="0" applyAlignment="1" pivotButton="0" quotePrefix="0" xfId="7">
      <alignment horizontal="center"/>
    </xf>
    <xf numFmtId="166" fontId="3" fillId="0" borderId="0" pivotButton="0" quotePrefix="0" xfId="1"/>
    <xf numFmtId="2" fontId="3" fillId="0" borderId="22" applyAlignment="1" pivotButton="0" quotePrefix="0" xfId="9">
      <alignment horizontal="center"/>
    </xf>
    <xf numFmtId="0" fontId="10" fillId="4" borderId="0" applyAlignment="1" pivotButton="0" quotePrefix="0" xfId="2">
      <alignment horizontal="center"/>
    </xf>
    <xf numFmtId="0" fontId="11" fillId="9" borderId="21" pivotButton="0" quotePrefix="0" xfId="2"/>
    <xf numFmtId="166" fontId="14" fillId="0" borderId="0" applyAlignment="1" pivotButton="0" quotePrefix="0" xfId="1">
      <alignment horizontal="left" vertical="center" indent="1"/>
    </xf>
    <xf numFmtId="166" fontId="13" fillId="0" borderId="0" pivotButton="0" quotePrefix="0" xfId="0"/>
    <xf numFmtId="0" fontId="13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right"/>
    </xf>
    <xf numFmtId="0" fontId="2" fillId="0" borderId="0" pivotButton="0" quotePrefix="0" xfId="6"/>
    <xf numFmtId="0" fontId="2" fillId="0" borderId="0" applyAlignment="1" pivotButton="0" quotePrefix="0" xfId="6">
      <alignment wrapText="1"/>
    </xf>
    <xf numFmtId="0" fontId="2" fillId="0" borderId="0" applyAlignment="1" pivotButton="0" quotePrefix="0" xfId="6">
      <alignment horizontal="center"/>
    </xf>
    <xf numFmtId="0" fontId="2" fillId="28" borderId="0" applyAlignment="1" pivotButton="0" quotePrefix="0" xfId="6">
      <alignment wrapText="1"/>
    </xf>
    <xf numFmtId="0" fontId="2" fillId="28" borderId="0" applyAlignment="1" pivotButton="0" quotePrefix="0" xfId="6">
      <alignment horizontal="center"/>
    </xf>
    <xf numFmtId="0" fontId="14" fillId="0" borderId="0" applyAlignment="1" pivotButton="0" quotePrefix="0" xfId="0">
      <alignment horizontal="center"/>
    </xf>
    <xf numFmtId="0" fontId="2" fillId="28" borderId="0" pivotButton="0" quotePrefix="0" xfId="6"/>
    <xf numFmtId="0" fontId="8" fillId="28" borderId="0" applyAlignment="1" pivotButton="0" quotePrefix="0" xfId="6">
      <alignment horizontal="center"/>
    </xf>
    <xf numFmtId="166" fontId="10" fillId="0" borderId="11" applyAlignment="1" pivotButton="0" quotePrefix="0" xfId="1">
      <alignment horizontal="left"/>
    </xf>
    <xf numFmtId="0" fontId="1" fillId="0" borderId="0" applyAlignment="1" pivotButton="0" quotePrefix="0" xfId="6">
      <alignment horizontal="center"/>
    </xf>
    <xf numFmtId="0" fontId="1" fillId="0" borderId="0" pivotButton="0" quotePrefix="0" xfId="6"/>
    <xf numFmtId="0" fontId="1" fillId="0" borderId="0" applyAlignment="1" pivotButton="0" quotePrefix="0" xfId="6">
      <alignment wrapText="1"/>
    </xf>
    <xf numFmtId="0" fontId="1" fillId="28" borderId="0" pivotButton="0" quotePrefix="0" xfId="6"/>
    <xf numFmtId="0" fontId="11" fillId="28" borderId="0" applyAlignment="1" pivotButton="0" quotePrefix="0" xfId="2">
      <alignment horizontal="center"/>
    </xf>
    <xf numFmtId="166" fontId="10" fillId="28" borderId="0" pivotButton="0" quotePrefix="0" xfId="4"/>
    <xf numFmtId="0" fontId="0" fillId="28" borderId="0" pivotButton="0" quotePrefix="0" xfId="0"/>
    <xf numFmtId="0" fontId="1" fillId="28" borderId="0" applyAlignment="1" pivotButton="0" quotePrefix="0" xfId="6">
      <alignment horizontal="center"/>
    </xf>
    <xf numFmtId="0" fontId="0" fillId="28" borderId="0" applyAlignment="1" pivotButton="0" quotePrefix="0" xfId="0">
      <alignment horizontal="center"/>
    </xf>
    <xf numFmtId="0" fontId="1" fillId="28" borderId="0" applyAlignment="1" pivotButton="0" quotePrefix="0" xfId="6">
      <alignment wrapText="1"/>
    </xf>
    <xf numFmtId="166" fontId="10" fillId="28" borderId="0" applyAlignment="1" pivotButton="0" quotePrefix="0" xfId="4">
      <alignment horizontal="right" indent="1"/>
    </xf>
    <xf numFmtId="166" fontId="10" fillId="0" borderId="0" pivotButton="0" quotePrefix="0" xfId="1"/>
    <xf numFmtId="166" fontId="11" fillId="0" borderId="0" applyAlignment="1" pivotButton="0" quotePrefix="0" xfId="1">
      <alignment horizontal="right"/>
    </xf>
    <xf numFmtId="9" fontId="10" fillId="0" borderId="0" applyAlignment="1" pivotButton="0" quotePrefix="0" xfId="5">
      <alignment horizontal="center"/>
    </xf>
    <xf numFmtId="2" fontId="10" fillId="0" borderId="0" applyAlignment="1" pivotButton="0" quotePrefix="0" xfId="3">
      <alignment horizontal="center"/>
    </xf>
    <xf numFmtId="2" fontId="11" fillId="0" borderId="0" applyAlignment="1" pivotButton="0" quotePrefix="0" xfId="3">
      <alignment horizontal="center"/>
    </xf>
    <xf numFmtId="0" fontId="11" fillId="5" borderId="0" applyAlignment="1" pivotButton="0" quotePrefix="0" xfId="0">
      <alignment horizontal="right"/>
    </xf>
    <xf numFmtId="9" fontId="11" fillId="5" borderId="0" applyAlignment="1" pivotButton="0" quotePrefix="0" xfId="5">
      <alignment horizontal="center"/>
    </xf>
    <xf numFmtId="166" fontId="11" fillId="5" borderId="0" pivotButton="0" quotePrefix="0" xfId="0"/>
    <xf numFmtId="0" fontId="12" fillId="0" borderId="0" pivotButton="0" quotePrefix="0" xfId="0"/>
    <xf numFmtId="9" fontId="12" fillId="0" borderId="0" applyAlignment="1" pivotButton="0" quotePrefix="0" xfId="5">
      <alignment horizontal="center"/>
    </xf>
    <xf numFmtId="0" fontId="12" fillId="31" borderId="0" pivotButton="0" quotePrefix="0" xfId="0"/>
    <xf numFmtId="9" fontId="12" fillId="31" borderId="0" applyAlignment="1" pivotButton="0" quotePrefix="0" xfId="5">
      <alignment horizontal="center"/>
    </xf>
    <xf numFmtId="166" fontId="11" fillId="3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1" fillId="0" borderId="0" applyAlignment="1" pivotButton="0" quotePrefix="0" xfId="2">
      <alignment vertical="top" wrapText="1"/>
    </xf>
    <xf numFmtId="0" fontId="17" fillId="5" borderId="6" applyAlignment="1" pivotButton="0" quotePrefix="0" xfId="0">
      <alignment horizontal="center"/>
    </xf>
    <xf numFmtId="0" fontId="17" fillId="5" borderId="8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0" fillId="17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top"/>
    </xf>
    <xf numFmtId="0" fontId="17" fillId="0" borderId="4" applyAlignment="1" pivotButton="0" quotePrefix="0" xfId="0">
      <alignment horizontal="center"/>
    </xf>
    <xf numFmtId="0" fontId="17" fillId="5" borderId="6" applyAlignment="1" pivotButton="0" quotePrefix="0" xfId="0">
      <alignment horizontal="center" wrapText="1"/>
    </xf>
    <xf numFmtId="0" fontId="59" fillId="16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11" fillId="8" borderId="0" applyAlignment="1" pivotButton="0" quotePrefix="0" xfId="2">
      <alignment horizontal="center"/>
    </xf>
    <xf numFmtId="0" fontId="13" fillId="7" borderId="12" applyAlignment="1" pivotButton="0" quotePrefix="0" xfId="2">
      <alignment horizontal="left"/>
    </xf>
    <xf numFmtId="0" fontId="13" fillId="7" borderId="13" applyAlignment="1" pivotButton="0" quotePrefix="0" xfId="2">
      <alignment horizontal="left"/>
    </xf>
    <xf numFmtId="0" fontId="13" fillId="7" borderId="14" applyAlignment="1" pivotButton="0" quotePrefix="0" xfId="2">
      <alignment horizontal="left"/>
    </xf>
    <xf numFmtId="0" fontId="18" fillId="0" borderId="0" applyAlignment="1" pivotButton="0" quotePrefix="0" xfId="2">
      <alignment horizontal="center"/>
    </xf>
    <xf numFmtId="0" fontId="51" fillId="16" borderId="0" applyAlignment="1" pivotButton="0" quotePrefix="0" xfId="2">
      <alignment horizontal="center"/>
    </xf>
    <xf numFmtId="0" fontId="47" fillId="28" borderId="0" applyAlignment="1" pivotButton="0" quotePrefix="0" xfId="2">
      <alignment horizontal="right" vertical="center" indent="1"/>
    </xf>
    <xf numFmtId="0" fontId="54" fillId="0" borderId="0" applyAlignment="1" pivotButton="0" quotePrefix="0" xfId="2">
      <alignment horizontal="center"/>
    </xf>
    <xf numFmtId="0" fontId="47" fillId="20" borderId="0" applyAlignment="1" pivotButton="0" quotePrefix="0" xfId="2">
      <alignment horizontal="left"/>
    </xf>
    <xf numFmtId="0" fontId="45" fillId="7" borderId="12" applyAlignment="1" pivotButton="0" quotePrefix="0" xfId="2">
      <alignment horizontal="left"/>
    </xf>
    <xf numFmtId="0" fontId="45" fillId="7" borderId="13" applyAlignment="1" pivotButton="0" quotePrefix="0" xfId="2">
      <alignment horizontal="left"/>
    </xf>
    <xf numFmtId="0" fontId="45" fillId="7" borderId="14" applyAlignment="1" pivotButton="0" quotePrefix="0" xfId="2">
      <alignment horizontal="left"/>
    </xf>
    <xf numFmtId="0" fontId="3" fillId="16" borderId="25" applyAlignment="1" pivotButton="0" quotePrefix="0" xfId="9">
      <alignment horizontal="center" vertical="center" wrapText="1"/>
    </xf>
    <xf numFmtId="0" fontId="6" fillId="16" borderId="25" applyAlignment="1" pivotButton="0" quotePrefix="0" xfId="9">
      <alignment horizontal="center" vertical="center" wrapText="1"/>
    </xf>
    <xf numFmtId="167" fontId="39" fillId="5" borderId="23" applyAlignment="1" pivotButton="0" quotePrefix="0" xfId="10">
      <alignment horizontal="center" vertical="center"/>
    </xf>
    <xf numFmtId="167" fontId="39" fillId="5" borderId="19" applyAlignment="1" pivotButton="0" quotePrefix="0" xfId="10">
      <alignment horizontal="center" vertical="center"/>
    </xf>
    <xf numFmtId="167" fontId="39" fillId="5" borderId="24" applyAlignment="1" pivotButton="0" quotePrefix="0" xfId="10">
      <alignment horizontal="center" vertical="center"/>
    </xf>
    <xf numFmtId="0" fontId="49" fillId="17" borderId="0" applyAlignment="1" pivotButton="0" quotePrefix="0" xfId="2">
      <alignment horizontal="center" vertical="center"/>
    </xf>
    <xf numFmtId="0" fontId="11" fillId="0" borderId="4" applyAlignment="1" pivotButton="0" quotePrefix="0" xfId="2">
      <alignment horizontal="right"/>
    </xf>
    <xf numFmtId="0" fontId="11" fillId="0" borderId="0" applyAlignment="1" pivotButton="0" quotePrefix="0" xfId="2">
      <alignment horizontal="right"/>
    </xf>
    <xf numFmtId="0" fontId="12" fillId="3" borderId="0" applyAlignment="1" pivotButton="0" quotePrefix="0" xfId="2">
      <alignment horizontal="center"/>
    </xf>
    <xf numFmtId="0" fontId="11" fillId="9" borderId="12" applyAlignment="1" pivotButton="0" quotePrefix="0" xfId="2">
      <alignment horizontal="right"/>
    </xf>
    <xf numFmtId="0" fontId="11" fillId="9" borderId="13" applyAlignment="1" pivotButton="0" quotePrefix="0" xfId="2">
      <alignment horizontal="right"/>
    </xf>
    <xf numFmtId="0" fontId="11" fillId="9" borderId="14" applyAlignment="1" pivotButton="0" quotePrefix="0" xfId="2">
      <alignment horizontal="right"/>
    </xf>
    <xf numFmtId="0" fontId="11" fillId="9" borderId="12" applyAlignment="1" pivotButton="0" quotePrefix="0" xfId="2">
      <alignment horizontal="center"/>
    </xf>
    <xf numFmtId="0" fontId="11" fillId="9" borderId="13" applyAlignment="1" pivotButton="0" quotePrefix="0" xfId="2">
      <alignment horizontal="center"/>
    </xf>
    <xf numFmtId="0" fontId="11" fillId="9" borderId="14" applyAlignment="1" pivotButton="0" quotePrefix="0" xfId="2">
      <alignment horizontal="center"/>
    </xf>
    <xf numFmtId="0" fontId="40" fillId="0" borderId="4" applyAlignment="1" pivotButton="0" quotePrefix="0" xfId="2">
      <alignment horizontal="center"/>
    </xf>
    <xf numFmtId="0" fontId="40" fillId="0" borderId="0" applyAlignment="1" pivotButton="0" quotePrefix="0" xfId="2">
      <alignment horizontal="center"/>
    </xf>
    <xf numFmtId="0" fontId="40" fillId="0" borderId="3" applyAlignment="1" pivotButton="0" quotePrefix="0" xfId="2">
      <alignment horizontal="center"/>
    </xf>
    <xf numFmtId="0" fontId="43" fillId="0" borderId="4" applyAlignment="1" pivotButton="0" quotePrefix="0" xfId="2">
      <alignment horizontal="right"/>
    </xf>
    <xf numFmtId="0" fontId="43" fillId="0" borderId="0" applyAlignment="1" pivotButton="0" quotePrefix="0" xfId="2">
      <alignment horizontal="right"/>
    </xf>
    <xf numFmtId="164" fontId="10" fillId="0" borderId="0" pivotButton="0" quotePrefix="0" xfId="0"/>
    <xf numFmtId="165" fontId="11" fillId="0" borderId="0" applyAlignment="1" pivotButton="0" quotePrefix="0" xfId="0">
      <alignment horizontal="right" vertical="top"/>
    </xf>
    <xf numFmtId="165" fontId="10" fillId="0" borderId="0" applyAlignment="1" pivotButton="0" quotePrefix="0" xfId="0">
      <alignment horizontal="right" vertical="top"/>
    </xf>
    <xf numFmtId="164" fontId="10" fillId="0" borderId="0" applyAlignment="1" pivotButton="0" quotePrefix="0" xfId="0">
      <alignment horizontal="center" vertical="top"/>
    </xf>
    <xf numFmtId="164" fontId="10" fillId="0" borderId="0" applyAlignment="1" pivotButton="0" quotePrefix="0" xfId="0">
      <alignment horizontal="center"/>
    </xf>
    <xf numFmtId="0" fontId="17" fillId="5" borderId="21" applyAlignment="1" pivotButton="0" quotePrefix="0" xfId="0">
      <alignment horizontal="center" wrapText="1"/>
    </xf>
    <xf numFmtId="0" fontId="17" fillId="5" borderId="21" applyAlignment="1" pivotButton="0" quotePrefix="0" xfId="0">
      <alignment horizontal="center"/>
    </xf>
    <xf numFmtId="164" fontId="10" fillId="2" borderId="0" pivotButton="0" quotePrefix="0" xfId="0"/>
    <xf numFmtId="164" fontId="10" fillId="2" borderId="0" applyAlignment="1" pivotButton="0" quotePrefix="0" xfId="0">
      <alignment horizontal="center"/>
    </xf>
    <xf numFmtId="166" fontId="10" fillId="0" borderId="3" pivotButton="0" quotePrefix="0" xfId="1"/>
    <xf numFmtId="166" fontId="10" fillId="3" borderId="3" pivotButton="0" quotePrefix="0" xfId="1"/>
    <xf numFmtId="164" fontId="10" fillId="0" borderId="0" applyAlignment="1" pivotButton="0" quotePrefix="0" xfId="1">
      <alignment horizontal="right"/>
    </xf>
    <xf numFmtId="166" fontId="10" fillId="0" borderId="0" pivotButton="0" quotePrefix="0" xfId="0"/>
    <xf numFmtId="164" fontId="13" fillId="0" borderId="0" pivotButton="0" quotePrefix="0" xfId="0"/>
    <xf numFmtId="0" fontId="60" fillId="0" borderId="0" applyAlignment="1" pivotButton="0" quotePrefix="0" xfId="0">
      <alignment horizontal="left" vertical="top" wrapText="1"/>
    </xf>
    <xf numFmtId="166" fontId="13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10" fillId="4" borderId="3" applyAlignment="1" pivotButton="0" quotePrefix="0" xfId="1">
      <alignment vertical="center"/>
    </xf>
    <xf numFmtId="166" fontId="10" fillId="0" borderId="0" applyAlignment="1" pivotButton="0" quotePrefix="0" xfId="0">
      <alignment vertical="center"/>
    </xf>
    <xf numFmtId="166" fontId="14" fillId="0" borderId="0" applyAlignment="1" pivotButton="0" quotePrefix="0" xfId="1">
      <alignment horizontal="left" vertical="center" indent="1"/>
    </xf>
    <xf numFmtId="166" fontId="10" fillId="0" borderId="11" applyAlignment="1" pivotButton="0" quotePrefix="0" xfId="1">
      <alignment horizontal="left"/>
    </xf>
    <xf numFmtId="166" fontId="10" fillId="5" borderId="11" applyAlignment="1" pivotButton="0" quotePrefix="0" xfId="1">
      <alignment horizontal="left"/>
    </xf>
    <xf numFmtId="166" fontId="10" fillId="0" borderId="0" applyAlignment="1" pivotButton="0" quotePrefix="0" xfId="1">
      <alignment horizontal="left"/>
    </xf>
    <xf numFmtId="0" fontId="60" fillId="0" borderId="0" pivotButton="0" quotePrefix="0" xfId="0"/>
    <xf numFmtId="166" fontId="10" fillId="0" borderId="0" pivotButton="0" quotePrefix="0" xfId="1"/>
    <xf numFmtId="166" fontId="10" fillId="4" borderId="3" pivotButton="0" quotePrefix="0" xfId="1"/>
    <xf numFmtId="0" fontId="60" fillId="17" borderId="0" applyAlignment="1" pivotButton="0" quotePrefix="0" xfId="0">
      <alignment horizontal="center"/>
    </xf>
    <xf numFmtId="166" fontId="10" fillId="0" borderId="5" pivotButton="0" quotePrefix="0" xfId="1"/>
    <xf numFmtId="166" fontId="10" fillId="0" borderId="1" pivotButton="0" quotePrefix="0" xfId="0"/>
    <xf numFmtId="164" fontId="18" fillId="0" borderId="0" applyAlignment="1" pivotButton="0" quotePrefix="0" xfId="0">
      <alignment horizontal="center"/>
    </xf>
    <xf numFmtId="166" fontId="11" fillId="0" borderId="0" applyAlignment="1" pivotButton="0" quotePrefix="0" xfId="1">
      <alignment horizontal="right"/>
    </xf>
    <xf numFmtId="164" fontId="11" fillId="0" borderId="0" applyAlignment="1" pivotButton="0" quotePrefix="0" xfId="0">
      <alignment horizontal="right"/>
    </xf>
    <xf numFmtId="166" fontId="11" fillId="0" borderId="0" pivotButton="0" quotePrefix="0" xfId="0"/>
    <xf numFmtId="166" fontId="11" fillId="5" borderId="0" pivotButton="0" quotePrefix="0" xfId="0"/>
    <xf numFmtId="166" fontId="19" fillId="0" borderId="0" pivotButton="0" quotePrefix="0" xfId="0"/>
    <xf numFmtId="166" fontId="11" fillId="3" borderId="0" pivotButton="0" quotePrefix="0" xfId="0"/>
    <xf numFmtId="0" fontId="61" fillId="0" borderId="0" applyAlignment="1" pivotButton="0" quotePrefix="0" xfId="0">
      <alignment horizontal="right"/>
    </xf>
    <xf numFmtId="164" fontId="23" fillId="0" borderId="1" applyAlignment="1" pivotButton="0" quotePrefix="0" xfId="0">
      <alignment horizontal="right"/>
    </xf>
    <xf numFmtId="164" fontId="13" fillId="0" borderId="0" applyAlignment="1" pivotButton="0" quotePrefix="0" xfId="0">
      <alignment horizontal="right"/>
    </xf>
    <xf numFmtId="0" fontId="60" fillId="0" borderId="0" applyAlignment="1" pivotButton="0" quotePrefix="0" xfId="0">
      <alignment horizontal="right"/>
    </xf>
    <xf numFmtId="166" fontId="11" fillId="3" borderId="0" applyAlignment="1" pivotButton="0" quotePrefix="0" xfId="1">
      <alignment horizontal="right"/>
    </xf>
    <xf numFmtId="169" fontId="10" fillId="3" borderId="0" pivotButton="0" quotePrefix="0" xfId="8"/>
    <xf numFmtId="164" fontId="21" fillId="0" borderId="2" applyAlignment="1" pivotButton="0" quotePrefix="0" xfId="0">
      <alignment horizontal="right"/>
    </xf>
    <xf numFmtId="164" fontId="11" fillId="3" borderId="0" applyAlignment="1" pivotButton="0" quotePrefix="0" xfId="0">
      <alignment horizontal="right"/>
    </xf>
    <xf numFmtId="169" fontId="10" fillId="3" borderId="0" applyAlignment="1" pivotButton="0" quotePrefix="0" xfId="8">
      <alignment horizontal="right"/>
    </xf>
    <xf numFmtId="167" fontId="10" fillId="0" borderId="0" pivotButton="0" quotePrefix="0" xfId="0"/>
    <xf numFmtId="0" fontId="61" fillId="0" borderId="0" applyAlignment="1" pivotButton="0" quotePrefix="0" xfId="0">
      <alignment horizontal="left" vertical="center"/>
    </xf>
    <xf numFmtId="4" fontId="14" fillId="0" borderId="0" applyAlignment="1" pivotButton="0" quotePrefix="0" xfId="0">
      <alignment vertical="center"/>
    </xf>
    <xf numFmtId="4" fontId="10" fillId="0" borderId="0" pivotButton="0" quotePrefix="0" xfId="0"/>
    <xf numFmtId="166" fontId="14" fillId="0" borderId="0" applyAlignment="1" pivotButton="0" quotePrefix="0" xfId="1">
      <alignment horizontal="right" vertical="center"/>
    </xf>
    <xf numFmtId="4" fontId="14" fillId="0" borderId="0" applyAlignment="1" pivotButton="0" quotePrefix="0" xfId="1">
      <alignment horizontal="right" vertical="center"/>
    </xf>
    <xf numFmtId="169" fontId="10" fillId="0" borderId="0" pivotButton="0" quotePrefix="0" xfId="8"/>
    <xf numFmtId="164" fontId="10" fillId="0" borderId="0" applyAlignment="1" pivotButton="0" quotePrefix="0" xfId="0">
      <alignment horizontal="right"/>
    </xf>
    <xf numFmtId="4" fontId="10" fillId="0" borderId="0" applyAlignment="1" pivotButton="0" quotePrefix="0" xfId="0">
      <alignment horizontal="center"/>
    </xf>
    <xf numFmtId="4" fontId="48" fillId="0" borderId="0" applyAlignment="1" pivotButton="0" quotePrefix="0" xfId="0">
      <alignment horizontal="center"/>
    </xf>
    <xf numFmtId="164" fontId="26" fillId="0" borderId="0" pivotButton="0" quotePrefix="0" xfId="1"/>
    <xf numFmtId="164" fontId="23" fillId="0" borderId="0" applyAlignment="1" pivotButton="0" quotePrefix="0" xfId="0">
      <alignment horizontal="right"/>
    </xf>
    <xf numFmtId="164" fontId="61" fillId="0" borderId="0" applyAlignment="1" pivotButton="0" quotePrefix="0" xfId="0">
      <alignment horizontal="center" vertical="center"/>
    </xf>
    <xf numFmtId="4" fontId="61" fillId="0" borderId="0" pivotButton="0" quotePrefix="0" xfId="0"/>
    <xf numFmtId="164" fontId="12" fillId="0" borderId="0" applyAlignment="1" pivotButton="0" quotePrefix="0" xfId="0">
      <alignment horizontal="right"/>
    </xf>
    <xf numFmtId="4" fontId="13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4" fontId="61" fillId="0" borderId="0" applyAlignment="1" pivotButton="0" quotePrefix="0" xfId="0">
      <alignment horizontal="right"/>
    </xf>
    <xf numFmtId="164" fontId="10" fillId="0" borderId="0" applyAlignment="1" pivotButton="0" quotePrefix="0" xfId="1">
      <alignment horizontal="center"/>
    </xf>
    <xf numFmtId="164" fontId="61" fillId="0" borderId="0" pivotButton="0" quotePrefix="0" xfId="0"/>
    <xf numFmtId="4" fontId="0" fillId="0" borderId="0" pivotButton="0" quotePrefix="0" xfId="0"/>
    <xf numFmtId="166" fontId="10" fillId="0" borderId="0" pivotButton="0" quotePrefix="0" xfId="4"/>
    <xf numFmtId="0" fontId="61" fillId="0" borderId="0" pivotButton="0" quotePrefix="0" xfId="0"/>
    <xf numFmtId="0" fontId="13" fillId="7" borderId="15" applyAlignment="1" pivotButton="0" quotePrefix="0" xfId="2">
      <alignment horizontal="left"/>
    </xf>
    <xf numFmtId="0" fontId="0" fillId="0" borderId="13" pivotButton="0" quotePrefix="0" xfId="0"/>
    <xf numFmtId="0" fontId="0" fillId="0" borderId="14" pivotButton="0" quotePrefix="0" xfId="0"/>
    <xf numFmtId="166" fontId="11" fillId="0" borderId="0" applyAlignment="1" pivotButton="0" quotePrefix="0" xfId="4">
      <alignment horizontal="center"/>
    </xf>
    <xf numFmtId="166" fontId="10" fillId="0" borderId="0" pivotButton="0" quotePrefix="0" xfId="2"/>
    <xf numFmtId="166" fontId="10" fillId="0" borderId="0" applyAlignment="1" pivotButton="0" quotePrefix="0" xfId="4">
      <alignment horizontal="center"/>
    </xf>
    <xf numFmtId="166" fontId="11" fillId="0" borderId="0" applyAlignment="1" pivotButton="0" quotePrefix="0" xfId="4">
      <alignment horizontal="right"/>
    </xf>
    <xf numFmtId="166" fontId="10" fillId="0" borderId="0" applyAlignment="1" pivotButton="0" quotePrefix="0" xfId="4">
      <alignment horizontal="right"/>
    </xf>
    <xf numFmtId="166" fontId="10" fillId="16" borderId="0" applyAlignment="1" pivotButton="0" quotePrefix="0" xfId="4">
      <alignment horizontal="center"/>
    </xf>
    <xf numFmtId="166" fontId="18" fillId="0" borderId="0" applyAlignment="1" pivotButton="0" quotePrefix="0" xfId="4">
      <alignment horizontal="center"/>
    </xf>
    <xf numFmtId="166" fontId="11" fillId="0" borderId="0" pivotButton="0" quotePrefix="0" xfId="4"/>
    <xf numFmtId="167" fontId="10" fillId="0" borderId="0" pivotButton="0" quotePrefix="0" xfId="2"/>
    <xf numFmtId="167" fontId="11" fillId="0" borderId="0" pivotButton="0" quotePrefix="0" xfId="2"/>
    <xf numFmtId="166" fontId="10" fillId="0" borderId="0" applyAlignment="1" pivotButton="0" quotePrefix="0" xfId="1">
      <alignment horizontal="center"/>
    </xf>
    <xf numFmtId="166" fontId="10" fillId="0" borderId="0" applyAlignment="1" pivotButton="0" quotePrefix="0" xfId="8">
      <alignment horizontal="center"/>
    </xf>
    <xf numFmtId="166" fontId="11" fillId="3" borderId="0" pivotButton="0" quotePrefix="0" xfId="4"/>
    <xf numFmtId="166" fontId="10" fillId="3" borderId="0" pivotButton="0" quotePrefix="0" xfId="4"/>
    <xf numFmtId="166" fontId="11" fillId="5" borderId="0" pivotButton="0" quotePrefix="0" xfId="2"/>
    <xf numFmtId="166" fontId="18" fillId="0" borderId="0" applyAlignment="1" pivotButton="0" quotePrefix="0" xfId="4">
      <alignment horizontal="left"/>
    </xf>
    <xf numFmtId="166" fontId="51" fillId="16" borderId="0" pivotButton="0" quotePrefix="0" xfId="4"/>
    <xf numFmtId="164" fontId="8" fillId="0" borderId="0" pivotButton="0" quotePrefix="0" xfId="6"/>
    <xf numFmtId="166" fontId="14" fillId="0" borderId="0" pivotButton="0" quotePrefix="0" xfId="1"/>
    <xf numFmtId="164" fontId="8" fillId="28" borderId="0" pivotButton="0" quotePrefix="0" xfId="6"/>
    <xf numFmtId="166" fontId="10" fillId="28" borderId="0" pivotButton="0" quotePrefix="0" xfId="4"/>
    <xf numFmtId="166" fontId="10" fillId="0" borderId="0" applyAlignment="1" pivotButton="0" quotePrefix="0" xfId="1">
      <alignment horizontal="right"/>
    </xf>
    <xf numFmtId="164" fontId="8" fillId="4" borderId="0" pivotButton="0" quotePrefix="0" xfId="6"/>
    <xf numFmtId="166" fontId="10" fillId="0" borderId="0" applyAlignment="1" pivotButton="0" quotePrefix="0" xfId="4">
      <alignment horizontal="right" indent="1"/>
    </xf>
    <xf numFmtId="164" fontId="7" fillId="0" borderId="0" applyAlignment="1" pivotButton="0" quotePrefix="0" xfId="7">
      <alignment horizontal="center" vertical="center"/>
    </xf>
    <xf numFmtId="164" fontId="7" fillId="0" borderId="0" applyAlignment="1" pivotButton="0" quotePrefix="0" xfId="7">
      <alignment horizontal="center"/>
    </xf>
    <xf numFmtId="164" fontId="31" fillId="0" borderId="0" applyAlignment="1" pivotButton="0" quotePrefix="0" xfId="7">
      <alignment horizontal="center" vertical="center"/>
    </xf>
    <xf numFmtId="164" fontId="3" fillId="0" borderId="0" applyAlignment="1" pivotButton="0" quotePrefix="0" xfId="7">
      <alignment horizontal="center" vertical="center" wrapText="1"/>
    </xf>
    <xf numFmtId="164" fontId="31" fillId="0" borderId="0" applyAlignment="1" pivotButton="0" quotePrefix="0" xfId="7">
      <alignment horizontal="center" vertical="center" wrapText="1"/>
    </xf>
    <xf numFmtId="164" fontId="7" fillId="3" borderId="0" applyAlignment="1" pivotButton="0" quotePrefix="0" xfId="7">
      <alignment horizontal="center"/>
    </xf>
    <xf numFmtId="164" fontId="31" fillId="0" borderId="0" applyAlignment="1" pivotButton="0" quotePrefix="0" xfId="7">
      <alignment horizontal="right"/>
    </xf>
    <xf numFmtId="164" fontId="7" fillId="19" borderId="0" applyAlignment="1" pivotButton="0" quotePrefix="0" xfId="7">
      <alignment horizontal="center" vertical="center"/>
    </xf>
    <xf numFmtId="164" fontId="7" fillId="19" borderId="0" applyAlignment="1" pivotButton="0" quotePrefix="0" xfId="7">
      <alignment horizontal="center"/>
    </xf>
    <xf numFmtId="164" fontId="31" fillId="0" borderId="0" applyAlignment="1" pivotButton="0" quotePrefix="0" xfId="7">
      <alignment horizontal="center"/>
    </xf>
    <xf numFmtId="164" fontId="7" fillId="0" borderId="0" pivotButton="0" quotePrefix="0" xfId="7"/>
    <xf numFmtId="164" fontId="7" fillId="9" borderId="0" applyAlignment="1" pivotButton="0" quotePrefix="0" xfId="7">
      <alignment horizontal="center" vertical="center"/>
    </xf>
    <xf numFmtId="164" fontId="31" fillId="0" borderId="15" pivotButton="0" quotePrefix="0" xfId="7"/>
    <xf numFmtId="164" fontId="7" fillId="0" borderId="20" pivotButton="0" quotePrefix="0" xfId="7"/>
    <xf numFmtId="164" fontId="7" fillId="0" borderId="27" pivotButton="0" quotePrefix="0" xfId="7"/>
    <xf numFmtId="164" fontId="7" fillId="0" borderId="10" applyAlignment="1" pivotButton="0" quotePrefix="0" xfId="7">
      <alignment horizontal="center" vertical="center"/>
    </xf>
    <xf numFmtId="164" fontId="7" fillId="9" borderId="20" applyAlignment="1" pivotButton="0" quotePrefix="0" xfId="7">
      <alignment horizontal="center" vertical="center"/>
    </xf>
    <xf numFmtId="164" fontId="7" fillId="9" borderId="21" applyAlignment="1" pivotButton="0" quotePrefix="0" xfId="7">
      <alignment horizontal="center" vertical="center"/>
    </xf>
    <xf numFmtId="164" fontId="7" fillId="9" borderId="27" applyAlignment="1" pivotButton="0" quotePrefix="0" xfId="7">
      <alignment horizontal="center" vertical="center"/>
    </xf>
    <xf numFmtId="164" fontId="7" fillId="0" borderId="4" applyAlignment="1" pivotButton="0" quotePrefix="0" xfId="7">
      <alignment horizontal="center"/>
    </xf>
    <xf numFmtId="164" fontId="7" fillId="16" borderId="20" applyAlignment="1" pivotButton="0" quotePrefix="0" xfId="7">
      <alignment horizontal="center" vertical="center"/>
    </xf>
    <xf numFmtId="164" fontId="7" fillId="0" borderId="8" applyAlignment="1" pivotButton="0" quotePrefix="0" xfId="7">
      <alignment horizontal="center" vertical="center"/>
    </xf>
    <xf numFmtId="164" fontId="7" fillId="0" borderId="3" applyAlignment="1" pivotButton="0" quotePrefix="0" xfId="7">
      <alignment horizontal="center" vertical="center"/>
    </xf>
    <xf numFmtId="164" fontId="7" fillId="0" borderId="20" applyAlignment="1" pivotButton="0" quotePrefix="0" xfId="7">
      <alignment horizontal="center" vertical="center"/>
    </xf>
    <xf numFmtId="164" fontId="3" fillId="0" borderId="0" applyAlignment="1" pivotButton="0" quotePrefix="0" xfId="7">
      <alignment horizontal="center" vertical="center"/>
    </xf>
    <xf numFmtId="164" fontId="7" fillId="3" borderId="20" applyAlignment="1" pivotButton="0" quotePrefix="0" xfId="7">
      <alignment horizontal="center" vertical="center"/>
    </xf>
    <xf numFmtId="164" fontId="7" fillId="0" borderId="27" applyAlignment="1" pivotButton="0" quotePrefix="0" xfId="7">
      <alignment horizontal="center" vertical="center"/>
    </xf>
    <xf numFmtId="166" fontId="58" fillId="0" borderId="0" pivotButton="0" quotePrefix="0" xfId="4"/>
    <xf numFmtId="166" fontId="10" fillId="28" borderId="0" applyAlignment="1" pivotButton="0" quotePrefix="0" xfId="4">
      <alignment horizontal="right" indent="1"/>
    </xf>
    <xf numFmtId="166" fontId="60" fillId="0" borderId="0" pivotButton="0" quotePrefix="0" xfId="1"/>
    <xf numFmtId="0" fontId="45" fillId="7" borderId="15" applyAlignment="1" pivotButton="0" quotePrefix="0" xfId="2">
      <alignment horizontal="left"/>
    </xf>
    <xf numFmtId="166" fontId="11" fillId="6" borderId="7" pivotButton="0" quotePrefix="0" xfId="4"/>
    <xf numFmtId="166" fontId="10" fillId="6" borderId="8" pivotButton="0" quotePrefix="0" xfId="4"/>
    <xf numFmtId="166" fontId="60" fillId="0" borderId="0" pivotButton="0" quotePrefix="0" xfId="4"/>
    <xf numFmtId="166" fontId="11" fillId="6" borderId="0" pivotButton="0" quotePrefix="0" xfId="4"/>
    <xf numFmtId="166" fontId="10" fillId="6" borderId="3" pivotButton="0" quotePrefix="0" xfId="4"/>
    <xf numFmtId="166" fontId="11" fillId="6" borderId="10" pivotButton="0" quotePrefix="0" xfId="4"/>
    <xf numFmtId="166" fontId="10" fillId="0" borderId="8" pivotButton="0" quotePrefix="0" xfId="4"/>
    <xf numFmtId="166" fontId="10" fillId="0" borderId="10" pivotButton="0" quotePrefix="0" xfId="4"/>
    <xf numFmtId="166" fontId="10" fillId="0" borderId="11" pivotButton="0" quotePrefix="0" xfId="4"/>
    <xf numFmtId="166" fontId="11" fillId="10" borderId="0" pivotButton="0" quotePrefix="0" xfId="4"/>
    <xf numFmtId="166" fontId="10" fillId="10" borderId="0" pivotButton="0" quotePrefix="0" xfId="4"/>
    <xf numFmtId="166" fontId="11" fillId="0" borderId="7" pivotButton="0" quotePrefix="0" xfId="4"/>
    <xf numFmtId="166" fontId="11" fillId="0" borderId="10" pivotButton="0" quotePrefix="0" xfId="4"/>
    <xf numFmtId="166" fontId="18" fillId="3" borderId="7" pivotButton="0" quotePrefix="0" xfId="4"/>
    <xf numFmtId="166" fontId="10" fillId="0" borderId="3" pivotButton="0" quotePrefix="0" xfId="4"/>
    <xf numFmtId="164" fontId="31" fillId="22" borderId="0" applyAlignment="1" pivotButton="0" quotePrefix="0" xfId="7">
      <alignment horizontal="center" vertical="center"/>
    </xf>
    <xf numFmtId="164" fontId="3" fillId="24" borderId="0" applyAlignment="1" pivotButton="0" quotePrefix="0" xfId="7">
      <alignment horizontal="center" vertical="center"/>
    </xf>
    <xf numFmtId="0" fontId="0" fillId="0" borderId="25" pivotButton="0" quotePrefix="0" xfId="0"/>
    <xf numFmtId="164" fontId="7" fillId="24" borderId="0" applyAlignment="1" pivotButton="0" quotePrefix="0" xfId="7">
      <alignment horizontal="center" vertical="center"/>
    </xf>
    <xf numFmtId="164" fontId="7" fillId="3" borderId="0" applyAlignment="1" pivotButton="0" quotePrefix="0" xfId="7">
      <alignment horizontal="center" vertical="center"/>
    </xf>
    <xf numFmtId="164" fontId="7" fillId="23" borderId="0" applyAlignment="1" pivotButton="0" quotePrefix="0" xfId="7">
      <alignment horizontal="center" vertical="center"/>
    </xf>
    <xf numFmtId="167" fontId="39" fillId="5" borderId="22" applyAlignment="1" pivotButton="0" quotePrefix="0" xfId="10">
      <alignment horizontal="center" vertical="center"/>
    </xf>
    <xf numFmtId="0" fontId="0" fillId="0" borderId="19" pivotButton="0" quotePrefix="0" xfId="0"/>
    <xf numFmtId="0" fontId="0" fillId="0" borderId="24" pivotButton="0" quotePrefix="0" xfId="0"/>
    <xf numFmtId="167" fontId="34" fillId="2" borderId="22" applyAlignment="1" pivotButton="0" quotePrefix="0" xfId="10">
      <alignment horizontal="center" vertical="center"/>
    </xf>
    <xf numFmtId="168" fontId="34" fillId="14" borderId="22" applyAlignment="1" pivotButton="0" quotePrefix="0" xfId="10">
      <alignment horizontal="center" vertical="center" wrapText="1"/>
    </xf>
    <xf numFmtId="168" fontId="34" fillId="2" borderId="22" applyAlignment="1" pivotButton="0" quotePrefix="0" xfId="10">
      <alignment horizontal="center" vertical="center" wrapText="1"/>
    </xf>
    <xf numFmtId="168" fontId="34" fillId="0" borderId="26" applyAlignment="1" pivotButton="0" quotePrefix="0" xfId="10">
      <alignment horizontal="center" vertical="center" wrapText="1"/>
    </xf>
    <xf numFmtId="166" fontId="0" fillId="0" borderId="0" applyAlignment="1" pivotButton="0" quotePrefix="0" xfId="1">
      <alignment horizontal="center" vertical="center"/>
    </xf>
    <xf numFmtId="168" fontId="34" fillId="0" borderId="0" applyAlignment="1" pivotButton="0" quotePrefix="0" xfId="10">
      <alignment horizontal="center" vertical="center" wrapText="1"/>
    </xf>
    <xf numFmtId="166" fontId="3" fillId="0" borderId="0" pivotButton="0" quotePrefix="0" xfId="1"/>
    <xf numFmtId="167" fontId="39" fillId="5" borderId="22" applyAlignment="1" pivotButton="0" quotePrefix="0" xfId="10">
      <alignment vertical="center"/>
    </xf>
    <xf numFmtId="167" fontId="50" fillId="17" borderId="22" applyAlignment="1" pivotButton="0" quotePrefix="0" xfId="9">
      <alignment horizontal="center"/>
    </xf>
    <xf numFmtId="166" fontId="42" fillId="12" borderId="22" applyAlignment="1" pivotButton="0" quotePrefix="0" xfId="11">
      <alignment horizontal="center" vertical="center"/>
    </xf>
    <xf numFmtId="168" fontId="38" fillId="2" borderId="22" applyAlignment="1" pivotButton="0" quotePrefix="0" xfId="10">
      <alignment horizontal="center" vertical="center"/>
    </xf>
    <xf numFmtId="168" fontId="38" fillId="2" borderId="22" applyAlignment="1" pivotButton="0" quotePrefix="0" xfId="10">
      <alignment horizontal="left" vertical="center"/>
    </xf>
    <xf numFmtId="167" fontId="41" fillId="0" borderId="22" applyAlignment="1" pivotButton="0" quotePrefix="0" xfId="9">
      <alignment horizontal="center"/>
    </xf>
    <xf numFmtId="167" fontId="41" fillId="6" borderId="22" applyAlignment="1" pivotButton="0" quotePrefix="0" xfId="9">
      <alignment horizontal="center"/>
    </xf>
    <xf numFmtId="166" fontId="37" fillId="12" borderId="22" applyAlignment="1" pivotButton="0" quotePrefix="0" xfId="11">
      <alignment horizontal="center" vertical="center"/>
    </xf>
    <xf numFmtId="164" fontId="10" fillId="0" borderId="0" applyAlignment="1" pivotButton="0" quotePrefix="0" xfId="1">
      <alignment horizontal="center" vertical="center"/>
    </xf>
    <xf numFmtId="164" fontId="10" fillId="0" borderId="3" applyAlignment="1" pivotButton="0" quotePrefix="0" xfId="2">
      <alignment horizontal="center" vertical="center"/>
    </xf>
    <xf numFmtId="164" fontId="10" fillId="3" borderId="0" pivotButton="0" quotePrefix="0" xfId="2"/>
    <xf numFmtId="164" fontId="10" fillId="0" borderId="0" pivotButton="0" quotePrefix="0" xfId="2"/>
    <xf numFmtId="164" fontId="11" fillId="0" borderId="18" applyAlignment="1" pivotButton="0" quotePrefix="0" xfId="2">
      <alignment horizontal="center" vertical="center"/>
    </xf>
    <xf numFmtId="164" fontId="11" fillId="0" borderId="0" applyAlignment="1" pivotButton="0" quotePrefix="0" xfId="2">
      <alignment horizontal="center" vertical="center"/>
    </xf>
    <xf numFmtId="164" fontId="10" fillId="0" borderId="0" applyAlignment="1" pivotButton="0" quotePrefix="0" xfId="2">
      <alignment horizontal="center" vertical="center"/>
    </xf>
    <xf numFmtId="164" fontId="11" fillId="0" borderId="17" applyAlignment="1" pivotButton="0" quotePrefix="0" xfId="1">
      <alignment horizontal="center" vertical="center"/>
    </xf>
    <xf numFmtId="164" fontId="27" fillId="0" borderId="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4" fontId="10" fillId="0" borderId="4" pivotButton="0" quotePrefix="0" xfId="2"/>
    <xf numFmtId="164" fontId="10" fillId="0" borderId="10" applyAlignment="1" pivotButton="0" quotePrefix="0" xfId="1">
      <alignment horizontal="center" vertical="center"/>
    </xf>
    <xf numFmtId="164" fontId="10" fillId="0" borderId="11" applyAlignment="1" pivotButton="0" quotePrefix="0" xfId="2">
      <alignment horizontal="center" vertical="center"/>
    </xf>
    <xf numFmtId="164" fontId="28" fillId="0" borderId="0" applyAlignment="1" pivotButton="0" quotePrefix="0" xfId="1">
      <alignment horizontal="center" vertical="center"/>
    </xf>
    <xf numFmtId="164" fontId="11" fillId="0" borderId="10" applyAlignment="1" pivotButton="0" quotePrefix="0" xfId="1">
      <alignment horizontal="center" vertical="center"/>
    </xf>
    <xf numFmtId="164" fontId="11" fillId="0" borderId="3" applyAlignment="1" pivotButton="0" quotePrefix="0" xfId="2">
      <alignment horizontal="center" vertical="center"/>
    </xf>
    <xf numFmtId="164" fontId="11" fillId="3" borderId="3" applyAlignment="1" pivotButton="0" quotePrefix="0" xfId="2">
      <alignment horizontal="center" vertical="center"/>
    </xf>
    <xf numFmtId="164" fontId="51" fillId="18" borderId="0" applyAlignment="1" pivotButton="0" quotePrefix="0" xfId="1">
      <alignment horizontal="center" vertical="center"/>
    </xf>
    <xf numFmtId="0" fontId="11" fillId="9" borderId="15" applyAlignment="1" pivotButton="0" quotePrefix="0" xfId="2">
      <alignment horizontal="right"/>
    </xf>
    <xf numFmtId="164" fontId="43" fillId="0" borderId="3" applyAlignment="1" pivotButton="0" quotePrefix="0" xfId="2">
      <alignment horizontal="center" vertical="center"/>
    </xf>
    <xf numFmtId="164" fontId="11" fillId="2" borderId="3" applyAlignment="1" pivotButton="0" quotePrefix="0" xfId="2">
      <alignment horizontal="center" vertical="center"/>
    </xf>
    <xf numFmtId="164" fontId="11" fillId="0" borderId="11" applyAlignment="1" pivotButton="0" quotePrefix="0" xfId="2">
      <alignment horizontal="center" vertical="center"/>
    </xf>
    <xf numFmtId="166" fontId="11" fillId="0" borderId="7" applyAlignment="1" pivotButton="0" quotePrefix="0" xfId="4">
      <alignment horizontal="center"/>
    </xf>
    <xf numFmtId="166" fontId="11" fillId="0" borderId="8" applyAlignment="1" pivotButton="0" quotePrefix="0" xfId="4">
      <alignment horizontal="center"/>
    </xf>
    <xf numFmtId="166" fontId="11" fillId="0" borderId="3" applyAlignment="1" pivotButton="0" quotePrefix="0" xfId="4">
      <alignment horizontal="center"/>
    </xf>
    <xf numFmtId="0" fontId="40" fillId="0" borderId="20" applyAlignment="1" pivotButton="0" quotePrefix="0" xfId="2">
      <alignment horizontal="center"/>
    </xf>
    <xf numFmtId="0" fontId="0" fillId="0" borderId="3" pivotButton="0" quotePrefix="0" xfId="0"/>
    <xf numFmtId="166" fontId="11" fillId="0" borderId="10" applyAlignment="1" pivotButton="0" quotePrefix="0" xfId="4">
      <alignment horizontal="center"/>
    </xf>
    <xf numFmtId="166" fontId="11" fillId="0" borderId="11" applyAlignment="1" pivotButton="0" quotePrefix="0" xfId="4">
      <alignment horizontal="center"/>
    </xf>
    <xf numFmtId="0" fontId="11" fillId="9" borderId="15" applyAlignment="1" pivotButton="0" quotePrefix="0" xfId="2">
      <alignment horizontal="center"/>
    </xf>
    <xf numFmtId="0" fontId="60" fillId="0" borderId="0" pivotButton="0" quotePrefix="0" xfId="2"/>
    <xf numFmtId="169" fontId="0" fillId="0" borderId="0" pivotButton="0" quotePrefix="0" xfId="0"/>
    <xf numFmtId="9" fontId="60" fillId="0" borderId="0" applyAlignment="1" pivotButton="0" quotePrefix="0" xfId="8">
      <alignment horizontal="center"/>
    </xf>
    <xf numFmtId="0" fontId="61" fillId="0" borderId="0" pivotButton="0" quotePrefix="0" xfId="2"/>
    <xf numFmtId="0" fontId="62" fillId="0" borderId="0" pivotButton="0" quotePrefix="0" xfId="0"/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</cellXfs>
  <cellStyles count="16">
    <cellStyle name="Normal" xfId="0" builtinId="0"/>
    <cellStyle name="Currency" xfId="1" builtinId="4"/>
    <cellStyle name="Normal 3" xfId="2"/>
    <cellStyle name="Percent 2" xfId="3"/>
    <cellStyle name="Currency 2 2" xfId="4"/>
    <cellStyle name="Percent 3" xfId="5"/>
    <cellStyle name="Normal 2" xfId="6"/>
    <cellStyle name="Normal 4" xfId="7"/>
    <cellStyle name="Percent" xfId="8" builtinId="5"/>
    <cellStyle name="Normal 5" xfId="9"/>
    <cellStyle name="Currency 2" xfId="10"/>
    <cellStyle name="Percent 4" xfId="11"/>
    <cellStyle name="Normal 6" xfId="12"/>
    <cellStyle name="Normal 7" xfId="13"/>
    <cellStyle name="Currency 3" xfId="14"/>
    <cellStyle name="Currency 4" xfId="1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tc={B1913577-F55E-4A64-A6A4-27BBEB5343A0}</author>
    <author>tc={3F9A5217-279F-43A4-B0E9-363378BC82C9}</author>
    <author>tc={3AE4B4E7-4530-4FFE-82A1-AFF517739E21}</author>
    <author>tc={718EBA24-49EA-4D88-88FA-CABE50A9E306}</author>
    <author>tc={5EC86033-2E64-48CF-B997-10E7F05A1C63}</author>
    <author>tc={DEB73EBB-4758-467A-9BCA-415518EBBA14}</author>
    <author>tc={F98834A3-8C63-4CB1-81ED-910B3CEFE2DA}</author>
    <author>tc={768D8D72-9CA2-427C-B91C-CE2280F1DB63}</author>
  </authors>
  <commentList>
    <comment ref="Y10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Grundfos Ups32-80n Dual SS Hwc - Deluxe </t>
      </text>
    </comment>
    <comment ref="W11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6110 for grease trap underground ,2413.28 for heavy grate trap top </t>
      </text>
    </comment>
    <comment ref="W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AC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W30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W4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AC83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AC97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</commentList>
</comments>
</file>

<file path=xl/comments/comment2.xml><?xml version="1.0" encoding="utf-8"?>
<comments xmlns="http://schemas.openxmlformats.org/spreadsheetml/2006/main">
  <authors>
    <author>tc={84CCFA9F-B21F-4CAB-BEA3-14496189C467}</author>
    <author>tc={DF8CF1EE-029F-4C83-B33B-F9E2240E465A}</author>
    <author>tc={8CC9C43C-0603-4C9E-A7A1-5655CBE6EEEE}</author>
    <author>tc={ABC279A9-E8DC-4608-AFA2-CB23AA05FF46}</author>
    <author>tc={E4B22EF9-1EFC-471C-9719-A9183A18EF56}</author>
    <author>tc={3E770428-D59F-4691-872A-B68BF8225B9E}</author>
    <author>tc={E9F3C7EC-C206-4A8D-965A-62DEA2C8C3AE}</author>
    <author>tc={6359DA06-518C-4136-93C8-6EF0203657B1}</author>
    <author>tc={39422956-D6C8-4307-976C-FE420DC5D582}</author>
  </authors>
  <commentList>
    <comment ref="E402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Guess
</t>
      </text>
    </comment>
    <comment ref="E717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BASTEKT TRAP</t>
      </text>
    </comment>
    <comment ref="E73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747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F785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80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GRATEKITSTORMTECH100ARI20AR106W22D PERMTR-MTLALLS/S  (H.DW 02 in fixture list )</t>
      </text>
    </comment>
    <comment ref="E81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821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834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</commentList>
</comments>
</file>

<file path=xl/comments/comment3.xml><?xml version="1.0" encoding="utf-8"?>
<comments xmlns="http://schemas.openxmlformats.org/spreadsheetml/2006/main">
  <authors>
    <author>tc={5DD85004-87C8-4197-9B6B-18C4739F1697}</author>
  </authors>
  <commentList>
    <comment ref="E680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 + flange kit oval + press red valve </t>
      </text>
    </comment>
  </commentList>
</comments>
</file>

<file path=xl/comments/comment4.xml><?xml version="1.0" encoding="utf-8"?>
<comments xmlns="http://schemas.openxmlformats.org/spreadsheetml/2006/main">
  <authors>
    <author>tc={2D8EE11C-58FA-4D15-B216-B31CDCB1AC81}</author>
    <author>tc={25E71B2C-50F0-4B39-81B6-03670B77D7AE}</author>
    <author>tc={A9710DE8-077A-4F25-9568-EB188EEAE92D}</author>
    <author>tc={0C351C87-D6C9-4990-A9B4-E46DAEC0C854}</author>
    <author>tc={40E2649B-9EA2-4B48-B6E9-FF5E8E7097E1}</author>
    <author>tc={5F185687-70A7-43C2-9A54-A3B6A71BC302}</author>
  </authors>
  <commentList>
    <comment ref="D34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authorized main to boundary meters 
</t>
      </text>
    </comment>
    <comment ref="E35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689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 material cost include water meter and valves </t>
      </text>
    </comment>
    <comment ref="E76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766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 allow 1050 MH </t>
      </text>
    </comment>
    <comment ref="F871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11</col>
      <colOff>702945</colOff>
      <row>0</row>
      <rowOff>57150</rowOff>
    </from>
    <to>
      <col>11</col>
      <colOff>1890707</colOff>
      <row>4</row>
      <rowOff>153891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360545" y="57150"/>
          <a:ext cx="1148301" cy="11730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AD140"/>
  <sheetViews>
    <sheetView showGridLines="0" topLeftCell="A10" zoomScale="84" zoomScaleNormal="120" workbookViewId="0">
      <selection activeCell="P36" sqref="P36"/>
    </sheetView>
  </sheetViews>
  <sheetFormatPr baseColWidth="8" defaultColWidth="9.21875" defaultRowHeight="13.2"/>
  <cols>
    <col width="8.77734375" customWidth="1" style="1" min="1" max="1"/>
    <col width="7.77734375" customWidth="1" style="63" min="2" max="2"/>
    <col width="1.44140625" customWidth="1" style="63" min="3" max="3"/>
    <col width="3" bestFit="1" customWidth="1" style="63" min="4" max="4"/>
    <col width="1.21875" customWidth="1" style="1" min="5" max="5"/>
    <col width="2.21875" customWidth="1" style="1" min="6" max="6"/>
    <col width="1.21875" customWidth="1" style="1" min="7" max="7"/>
    <col width="3.21875" customWidth="1" style="1" min="8" max="8"/>
    <col width="6.77734375" customWidth="1" style="1" min="9" max="9"/>
    <col width="9.77734375" customWidth="1" style="1" min="10" max="10"/>
    <col width="9.21875" customWidth="1" style="1" min="11" max="11"/>
    <col width="48.21875" customWidth="1" style="1" min="12" max="12"/>
    <col width="22.21875" customWidth="1" style="517" min="13" max="13"/>
    <col width="21.21875" customWidth="1" style="1" min="14" max="14"/>
    <col width="22" customWidth="1" style="1" min="15" max="15"/>
    <col width="16.21875" customWidth="1" style="1" min="16" max="16"/>
    <col width="11.44140625" customWidth="1" style="1" min="17" max="17"/>
    <col width="15.5546875" customWidth="1" style="1" min="18" max="18"/>
    <col width="12.44140625" customWidth="1" style="1" min="19" max="19"/>
    <col width="9.21875" customWidth="1" style="1" min="20" max="20"/>
    <col width="20.77734375" customWidth="1" style="1" min="21" max="21"/>
    <col width="14.44140625" customWidth="1" style="1" min="22" max="22"/>
    <col width="36.77734375" customWidth="1" style="1" min="23" max="23"/>
    <col width="9.77734375" customWidth="1" style="1" min="24" max="24"/>
    <col width="20.5546875" customWidth="1" style="1" min="25" max="25"/>
    <col width="19" customWidth="1" style="1" min="26" max="26"/>
    <col width="9.21875" customWidth="1" style="1" min="27" max="27"/>
    <col width="15.77734375" customWidth="1" style="1" min="28" max="28"/>
    <col width="39.44140625" customWidth="1" style="1" min="29" max="29"/>
    <col width="9.21875" customWidth="1" style="1" min="30" max="16384"/>
  </cols>
  <sheetData>
    <row r="1" ht="11.25" customHeight="1">
      <c r="N1" s="518" t="inlineStr">
        <is>
          <t xml:space="preserve"> </t>
        </is>
      </c>
    </row>
    <row r="2" ht="24" customHeight="1">
      <c r="N2" s="519" t="inlineStr">
        <is>
          <t xml:space="preserve"> </t>
        </is>
      </c>
    </row>
    <row r="3" ht="38.25" customHeight="1">
      <c r="B3" s="479" t="inlineStr">
        <is>
          <t xml:space="preserve"> </t>
        </is>
      </c>
    </row>
    <row r="4" ht="10.2" customHeight="1"/>
    <row r="5"/>
    <row r="6" ht="10.2" customHeight="1">
      <c r="B6" s="483" t="inlineStr">
        <is>
          <t xml:space="preserve">SUMMARY </t>
        </is>
      </c>
      <c r="O6" s="37" t="n"/>
      <c r="V6" s="482" t="inlineStr">
        <is>
          <t>BIG TICKET ITEMS</t>
        </is>
      </c>
    </row>
    <row r="7">
      <c r="B7" s="64" t="n"/>
      <c r="C7" s="64" t="n"/>
      <c r="D7" s="64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37" t="n"/>
      <c r="P7" s="37" t="n"/>
    </row>
    <row r="8">
      <c r="B8" s="65" t="inlineStr">
        <is>
          <t xml:space="preserve">JOB DESCRIPTION: </t>
        </is>
      </c>
      <c r="C8" s="66" t="n"/>
      <c r="D8" s="66" t="n"/>
      <c r="E8" s="5" t="n"/>
      <c r="F8" s="5" t="n"/>
      <c r="G8" s="5" t="n"/>
      <c r="H8" s="5" t="n"/>
      <c r="I8" s="472" t="inlineStr">
        <is>
          <t>ROK Sports Precinct</t>
        </is>
      </c>
      <c r="N8" s="7" t="inlineStr">
        <is>
          <t xml:space="preserve">DATE: </t>
        </is>
      </c>
      <c r="O8" s="37" t="inlineStr">
        <is>
          <t>26/07/2026</t>
        </is>
      </c>
      <c r="P8" s="37" t="n"/>
      <c r="V8" s="478" t="inlineStr">
        <is>
          <t xml:space="preserve">Club house (NBC ) </t>
        </is>
      </c>
    </row>
    <row r="9" ht="12.6" customHeight="1" thickBot="1">
      <c r="B9" s="65" t="inlineStr">
        <is>
          <t>SITE ADDRESS:</t>
        </is>
      </c>
      <c r="C9" s="66" t="n"/>
      <c r="D9" s="66" t="n"/>
      <c r="E9" s="5" t="n"/>
      <c r="F9" s="5" t="n"/>
      <c r="G9" s="5" t="n"/>
      <c r="H9" s="5" t="n"/>
      <c r="I9" s="474" t="inlineStr">
        <is>
          <t>554-700 Yaamba Rd, Norman Gardens QLD 4701</t>
        </is>
      </c>
      <c r="M9" s="520" t="n"/>
      <c r="N9" s="9" t="inlineStr">
        <is>
          <t>TPS-TEN16699-V2</t>
        </is>
      </c>
      <c r="O9" s="37" t="n"/>
      <c r="P9" s="37" t="n"/>
    </row>
    <row r="10">
      <c r="N10" s="521" t="n"/>
      <c r="R10" s="25" t="inlineStr">
        <is>
          <t>Cost</t>
        </is>
      </c>
      <c r="S10" s="480" t="inlineStr">
        <is>
          <t>(Cost + O/H) + Profit</t>
        </is>
      </c>
      <c r="V10" s="522" t="inlineStr">
        <is>
          <t>1500 Liters Git Viking Panel TIm in Ground ( grease trap )</t>
        </is>
      </c>
      <c r="Y10" s="523" t="inlineStr">
        <is>
          <t>Hot Water Pump set to suit Rheem Hot Water Unit</t>
        </is>
      </c>
      <c r="AB10" s="523" t="inlineStr">
        <is>
          <t>Rheem HWU</t>
        </is>
      </c>
    </row>
    <row r="11">
      <c r="B11" s="67" t="n"/>
      <c r="C11" s="67" t="n"/>
      <c r="D11" s="67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524" t="n"/>
      <c r="N11" s="525" t="inlineStr">
        <is>
          <t>TOTALS</t>
        </is>
      </c>
      <c r="R11" s="526" t="n"/>
      <c r="V11" s="60" t="inlineStr">
        <is>
          <t>Purchase Cost Total</t>
        </is>
      </c>
      <c r="W11" s="527">
        <f>6110+2413.28</f>
        <v/>
      </c>
      <c r="Y11" s="60" t="inlineStr">
        <is>
          <t>Purchase Cost Total</t>
        </is>
      </c>
      <c r="Z11" s="527" t="n">
        <v>6775.83</v>
      </c>
      <c r="AB11" s="60" t="inlineStr">
        <is>
          <t>Purchase Cost Total</t>
        </is>
      </c>
      <c r="AC11" s="527" t="n">
        <v>3438.29</v>
      </c>
    </row>
    <row r="12">
      <c r="B12" s="68" t="n"/>
      <c r="N12" s="528" t="n"/>
      <c r="P12" s="9" t="n"/>
      <c r="Q12" s="9" t="n"/>
      <c r="R12" s="9" t="n"/>
      <c r="S12" s="9" t="n"/>
      <c r="V12" s="60" t="n"/>
      <c r="W12" s="527" t="n"/>
      <c r="Y12" s="60" t="n"/>
      <c r="Z12" s="527" t="n"/>
      <c r="AB12" s="60" t="inlineStr">
        <is>
          <t xml:space="preserve">Safe Tray </t>
        </is>
      </c>
      <c r="AC12" s="527" t="n">
        <v>52.8</v>
      </c>
    </row>
    <row r="13" customFormat="1" s="15">
      <c r="A13" s="1" t="n"/>
      <c r="B13" s="68" t="n"/>
      <c r="C13" s="63" t="n"/>
      <c r="D13" s="63" t="n"/>
      <c r="E13" s="1" t="n"/>
      <c r="F13" s="1" t="n"/>
      <c r="G13" s="1" t="n"/>
      <c r="H13" s="1" t="n"/>
      <c r="I13" s="16" t="n"/>
      <c r="J13" s="1" t="n"/>
      <c r="K13" s="1" t="n"/>
      <c r="L13" s="1" t="n"/>
      <c r="M13" s="517" t="n"/>
      <c r="O13" s="517" t="n"/>
      <c r="P13" s="9" t="n"/>
      <c r="Q13" s="9" t="n"/>
      <c r="R13" s="526" t="n"/>
      <c r="S13" s="529" t="n"/>
      <c r="T13" s="1" t="n"/>
      <c r="U13" s="1" t="n"/>
      <c r="V13" s="60" t="inlineStr">
        <is>
          <t>TPS Markup</t>
        </is>
      </c>
      <c r="W13" s="527" t="n">
        <v>1.15</v>
      </c>
      <c r="Y13" s="60" t="inlineStr">
        <is>
          <t>TPS Markup</t>
        </is>
      </c>
      <c r="Z13" s="527" t="n">
        <v>1.15</v>
      </c>
      <c r="AB13" s="60" t="inlineStr">
        <is>
          <t>TPS Markup</t>
        </is>
      </c>
      <c r="AC13" s="527" t="n">
        <v>1.15</v>
      </c>
    </row>
    <row r="14">
      <c r="B14" s="69" t="n"/>
      <c r="C14" s="70" t="n"/>
      <c r="D14" s="70" t="n"/>
      <c r="E14" s="70" t="n"/>
      <c r="F14" s="70" t="n"/>
      <c r="G14" s="70" t="n"/>
      <c r="H14" s="469" t="n"/>
      <c r="N14" s="530" t="n"/>
      <c r="O14" s="15" t="n"/>
      <c r="P14" s="9" t="n"/>
      <c r="Q14" s="9" t="n"/>
      <c r="R14" s="526" t="n"/>
      <c r="S14" s="529" t="n"/>
      <c r="V14" s="60" t="inlineStr">
        <is>
          <t xml:space="preserve">Qty </t>
        </is>
      </c>
      <c r="W14" s="399" t="n">
        <v>1</v>
      </c>
      <c r="Y14" s="60" t="inlineStr">
        <is>
          <t xml:space="preserve">Qty </t>
        </is>
      </c>
      <c r="Z14" s="399" t="n">
        <v>1</v>
      </c>
      <c r="AB14" s="60" t="inlineStr">
        <is>
          <t xml:space="preserve">Qty </t>
        </is>
      </c>
      <c r="AC14" s="399" t="n">
        <v>2</v>
      </c>
    </row>
    <row r="15">
      <c r="B15" s="71" t="n"/>
      <c r="C15" s="70" t="n"/>
      <c r="D15" s="70" t="n"/>
      <c r="E15" s="70" t="n"/>
      <c r="F15" s="70" t="n"/>
      <c r="G15" s="70" t="n"/>
      <c r="H15" s="243" t="n"/>
      <c r="I15" s="531" t="inlineStr">
        <is>
          <t>N16 rewired = S16+W17+Z17+AC17 - NBC Rheem HWU block was orphaned (never reached summary)</t>
        </is>
      </c>
      <c r="N15" s="530" t="n"/>
      <c r="O15" s="15" t="n"/>
      <c r="P15" s="9" t="n"/>
      <c r="Q15" s="9" t="n"/>
      <c r="R15" s="526" t="n"/>
      <c r="S15" s="529" t="n"/>
      <c r="V15" s="60" t="inlineStr">
        <is>
          <t xml:space="preserve">Freight </t>
        </is>
      </c>
      <c r="W15" s="399" t="n">
        <v>250</v>
      </c>
      <c r="Y15" s="60" t="inlineStr">
        <is>
          <t xml:space="preserve">Freight </t>
        </is>
      </c>
      <c r="Z15" s="527" t="n">
        <v>150</v>
      </c>
      <c r="AB15" s="60" t="inlineStr">
        <is>
          <t xml:space="preserve">Freight </t>
        </is>
      </c>
      <c r="AC15" s="527" t="n">
        <v>300</v>
      </c>
    </row>
    <row r="16">
      <c r="B16" s="71" t="n"/>
      <c r="C16" s="71" t="n"/>
      <c r="D16" s="71" t="n"/>
      <c r="E16" s="76" t="n"/>
      <c r="F16" s="76" t="n"/>
      <c r="G16" s="76" t="n"/>
      <c r="H16" s="76" t="n"/>
      <c r="I16" s="469" t="inlineStr">
        <is>
          <t>CLUBHOUSE</t>
        </is>
      </c>
      <c r="N16" s="532">
        <f>S16+W17+Z17+AC17</f>
        <v/>
      </c>
      <c r="O16" s="533" t="n"/>
      <c r="P16" s="9" t="n"/>
      <c r="Q16" s="9" t="n"/>
      <c r="R16" s="534">
        <f>'ClubHouse (NBC )'!F943</f>
        <v/>
      </c>
      <c r="S16" s="535">
        <f>((R16/$R$39)*($R$49-$R$39))+R16</f>
        <v/>
      </c>
      <c r="V16" s="60" t="inlineStr">
        <is>
          <t>Installation_MH</t>
        </is>
      </c>
      <c r="W16" s="527" t="n">
        <v>250</v>
      </c>
      <c r="Y16" s="60" t="inlineStr">
        <is>
          <t>Installation_MH</t>
        </is>
      </c>
      <c r="Z16" s="527" t="n">
        <v>200</v>
      </c>
      <c r="AB16" s="60" t="inlineStr">
        <is>
          <t>Installation_MH</t>
        </is>
      </c>
      <c r="AC16" s="527" t="n">
        <v>600</v>
      </c>
    </row>
    <row r="17" ht="13.8" customHeight="1" thickBot="1">
      <c r="B17" s="71" t="n"/>
      <c r="C17" s="71" t="n"/>
      <c r="D17" s="71" t="n"/>
      <c r="E17" s="76" t="n"/>
      <c r="F17" s="76" t="n"/>
      <c r="G17" s="76" t="n"/>
      <c r="H17" s="76" t="n"/>
      <c r="I17" s="469" t="n"/>
      <c r="J17" s="244" t="n"/>
      <c r="K17" s="470" t="n"/>
      <c r="L17" s="470" t="n"/>
      <c r="M17" s="536" t="n"/>
      <c r="N17" s="532" t="n"/>
      <c r="O17" s="533" t="n"/>
      <c r="P17" s="9" t="n"/>
      <c r="Q17" s="9" t="n"/>
      <c r="R17" s="534" t="n"/>
      <c r="S17" s="535" t="n"/>
      <c r="V17" s="395" t="inlineStr">
        <is>
          <t>TOTAL</t>
        </is>
      </c>
      <c r="W17" s="537">
        <f>W11*W13*W14+W15+W16</f>
        <v/>
      </c>
      <c r="Y17" s="395" t="inlineStr">
        <is>
          <t>TOTAL</t>
        </is>
      </c>
      <c r="Z17" s="538">
        <f>Z11*Z13*Z14+Z15+Z16</f>
        <v/>
      </c>
      <c r="AB17" s="395" t="inlineStr">
        <is>
          <t>TOTAL</t>
        </is>
      </c>
      <c r="AC17" s="538">
        <f>(AC11+AC12)*AC13*AC14+AC15+AC16</f>
        <v/>
      </c>
    </row>
    <row r="18">
      <c r="B18" s="71" t="n"/>
      <c r="C18" s="71" t="n"/>
      <c r="D18" s="71" t="n"/>
      <c r="E18" s="76" t="n"/>
      <c r="F18" s="76" t="n"/>
      <c r="G18" s="76" t="n"/>
      <c r="H18" s="76" t="n"/>
      <c r="I18" s="469" t="n"/>
      <c r="J18" s="244" t="n"/>
      <c r="K18" s="470" t="n"/>
      <c r="L18" s="470" t="n"/>
      <c r="M18" s="536" t="n"/>
      <c r="N18" s="532" t="n"/>
      <c r="O18" s="533" t="n"/>
      <c r="P18" s="9" t="n"/>
      <c r="Q18" s="9" t="n"/>
      <c r="R18" s="534" t="n"/>
      <c r="S18" s="535" t="n"/>
      <c r="Y18" s="394" t="n"/>
      <c r="Z18" s="539" t="n"/>
      <c r="AB18" s="540" t="inlineStr">
        <is>
          <t>HWU qty 2 adopted (QUANTITY_RECONCILIATION TPS_NBC - take-off double-count removed; 2 drawn H-NBC-200/202)</t>
        </is>
      </c>
    </row>
    <row r="19">
      <c r="B19" s="71" t="n"/>
      <c r="C19" s="71" t="n"/>
      <c r="D19" s="71" t="n"/>
      <c r="E19" s="76" t="n"/>
      <c r="F19" s="76" t="n"/>
      <c r="G19" s="76" t="n"/>
      <c r="H19" s="76" t="n"/>
      <c r="I19" s="469" t="n"/>
      <c r="J19" s="244" t="n"/>
      <c r="K19" s="470" t="n"/>
      <c r="L19" s="470" t="n"/>
      <c r="M19" s="536" t="n"/>
      <c r="N19" s="532" t="n"/>
      <c r="O19" s="533" t="n"/>
      <c r="P19" s="9" t="n"/>
      <c r="Q19" s="9" t="n"/>
      <c r="R19" s="534" t="n"/>
      <c r="S19" s="535" t="n"/>
      <c r="V19" s="477" t="n"/>
      <c r="Z19" s="539" t="n"/>
    </row>
    <row r="20">
      <c r="B20" s="71" t="n"/>
      <c r="C20" s="71" t="n"/>
      <c r="D20" s="71" t="n"/>
      <c r="E20" s="76" t="n"/>
      <c r="F20" s="76" t="n"/>
      <c r="G20" s="76" t="n"/>
      <c r="H20" s="76" t="n"/>
      <c r="I20" s="469" t="n"/>
      <c r="J20" s="470" t="n"/>
      <c r="K20" s="470" t="n"/>
      <c r="L20" s="470" t="n"/>
      <c r="M20" s="470" t="n"/>
      <c r="N20" s="532" t="n"/>
      <c r="O20" s="533" t="n"/>
      <c r="P20" s="9" t="n"/>
      <c r="Q20" s="9" t="n"/>
      <c r="R20" s="534" t="n"/>
      <c r="S20" s="535" t="n"/>
      <c r="W20" s="541" t="n"/>
      <c r="Y20" s="477" t="n"/>
      <c r="AB20" s="477" t="n"/>
    </row>
    <row r="21">
      <c r="B21" s="69" t="n"/>
      <c r="C21" s="70" t="n"/>
      <c r="D21" s="70" t="n"/>
      <c r="E21" s="70" t="n"/>
      <c r="F21" s="70" t="n"/>
      <c r="G21" s="70" t="n"/>
      <c r="H21" s="469" t="n"/>
      <c r="N21" s="530" t="n"/>
      <c r="O21" s="15" t="n"/>
      <c r="P21" s="9" t="n"/>
      <c r="Q21" s="9" t="n"/>
      <c r="R21" s="526" t="n"/>
      <c r="S21" s="529" t="n"/>
      <c r="V21" s="478" t="inlineStr">
        <is>
          <t>Public Amenities Block</t>
        </is>
      </c>
      <c r="Z21" s="541" t="n"/>
      <c r="AC21" s="541" t="n"/>
    </row>
    <row r="22" customFormat="1" s="15">
      <c r="A22" s="1" t="n"/>
      <c r="B22" s="71" t="n"/>
      <c r="C22" s="70" t="n"/>
      <c r="D22" s="70" t="n"/>
      <c r="E22" s="70" t="n"/>
      <c r="F22" s="70" t="n"/>
      <c r="G22" s="70" t="n"/>
      <c r="H22" s="243" t="n"/>
      <c r="I22" s="471" t="n"/>
      <c r="N22" s="530" t="n"/>
      <c r="P22" s="9" t="n"/>
      <c r="Q22" s="9" t="n"/>
      <c r="R22" s="526" t="n"/>
      <c r="S22" s="529" t="n"/>
      <c r="T22" s="1" t="n"/>
      <c r="U22" s="1" t="n"/>
      <c r="V22" s="1" t="n"/>
      <c r="W22" s="541" t="n"/>
      <c r="Y22" s="1" t="n"/>
      <c r="Z22" s="541" t="n"/>
      <c r="AB22" s="1" t="n"/>
      <c r="AC22" s="541" t="n"/>
    </row>
    <row r="23" ht="13.8" customHeight="1" thickBot="1">
      <c r="B23" s="71" t="n"/>
      <c r="C23" s="71" t="n"/>
      <c r="D23" s="71" t="n"/>
      <c r="E23" s="76" t="n"/>
      <c r="F23" s="76" t="n"/>
      <c r="G23" s="76" t="n"/>
      <c r="H23" s="76" t="n"/>
      <c r="I23" s="469" t="inlineStr">
        <is>
          <t>PUBLIC AMENITIES</t>
        </is>
      </c>
      <c r="N23" s="532">
        <f>S23+W31</f>
        <v/>
      </c>
      <c r="O23" s="533" t="n"/>
      <c r="P23" s="9" t="n"/>
      <c r="Q23" s="9" t="n"/>
      <c r="R23" s="534">
        <f>'Public Amenities (PAM)'!F864</f>
        <v/>
      </c>
      <c r="S23" s="535">
        <f>((R23/$R$39)*($R$49-$R$39))+R23</f>
        <v/>
      </c>
      <c r="U23" s="307" t="n"/>
      <c r="W23" s="402" t="n"/>
      <c r="Z23" s="541" t="n"/>
      <c r="AC23" s="541" t="n"/>
    </row>
    <row r="24">
      <c r="B24" s="71" t="n"/>
      <c r="C24" s="71" t="n"/>
      <c r="D24" s="71" t="n"/>
      <c r="E24" s="76" t="n"/>
      <c r="F24" s="76" t="n"/>
      <c r="G24" s="76" t="n"/>
      <c r="H24" s="76" t="n"/>
      <c r="I24" s="469" t="n"/>
      <c r="J24" s="244" t="n"/>
      <c r="K24" s="470" t="n"/>
      <c r="L24" s="470" t="n"/>
      <c r="M24" s="536" t="n"/>
      <c r="N24" s="532" t="n"/>
      <c r="O24" s="533" t="n"/>
      <c r="P24" s="9" t="n"/>
      <c r="Q24" s="9" t="n"/>
      <c r="R24" s="534" t="n"/>
      <c r="S24" s="535" t="n"/>
      <c r="V24" s="523" t="inlineStr">
        <is>
          <t>Rheem HWU</t>
        </is>
      </c>
      <c r="X24" s="540" t="inlineStr">
        <is>
          <t>PAM HWU is Rheem 50L 613/050 (H-PAM-200) - rate corrected from $3,438.29 (315L model) to $2,016.08 (Reece Q-459014431)</t>
        </is>
      </c>
      <c r="Z24" s="402" t="n"/>
      <c r="AC24" s="402" t="n"/>
    </row>
    <row r="25">
      <c r="B25" s="71" t="n"/>
      <c r="C25" s="71" t="n"/>
      <c r="D25" s="71" t="n"/>
      <c r="E25" s="76" t="n"/>
      <c r="F25" s="76" t="n"/>
      <c r="G25" s="76" t="n"/>
      <c r="H25" s="76" t="n"/>
      <c r="I25" s="469" t="n"/>
      <c r="J25" s="244" t="n"/>
      <c r="K25" s="470" t="n"/>
      <c r="L25" s="470" t="n"/>
      <c r="M25" s="536" t="n"/>
      <c r="N25" s="532" t="n"/>
      <c r="O25" s="533" t="n"/>
      <c r="P25" s="9" t="n"/>
      <c r="Q25" s="9" t="n"/>
      <c r="R25" s="534" t="n"/>
      <c r="S25" s="535" t="n"/>
      <c r="V25" s="60" t="inlineStr">
        <is>
          <t>Purchase Cost Total</t>
        </is>
      </c>
      <c r="W25" s="527" t="n">
        <v>2016.08</v>
      </c>
      <c r="Z25" s="402" t="n"/>
      <c r="AC25" s="402" t="n"/>
    </row>
    <row r="26" customFormat="1" s="15">
      <c r="B26" s="71" t="n"/>
      <c r="C26" s="71" t="n"/>
      <c r="D26" s="71" t="n"/>
      <c r="E26" s="70" t="n"/>
      <c r="F26" s="70" t="n"/>
      <c r="G26" s="70" t="n"/>
      <c r="H26" s="70" t="n"/>
      <c r="I26" s="243" t="n"/>
      <c r="J26" s="244" t="n"/>
      <c r="K26" s="244" t="n"/>
      <c r="L26" s="244" t="n"/>
      <c r="M26" s="244" t="n"/>
      <c r="N26" s="434" t="n"/>
      <c r="O26" s="533" t="n"/>
      <c r="P26" s="9" t="n"/>
      <c r="Q26" s="9" t="n"/>
      <c r="R26" s="542" t="n"/>
      <c r="S26" s="529" t="n"/>
      <c r="T26" s="1" t="n"/>
      <c r="U26" s="1" t="n"/>
      <c r="V26" s="60" t="inlineStr">
        <is>
          <t xml:space="preserve">Safe Tray </t>
        </is>
      </c>
      <c r="W26" s="527" t="n">
        <v>52.8</v>
      </c>
      <c r="X26" s="535" t="n"/>
      <c r="Y26" s="1" t="n"/>
      <c r="Z26" s="541" t="n"/>
      <c r="AB26" s="1" t="n"/>
      <c r="AC26" s="541" t="n"/>
    </row>
    <row r="27" ht="13.2" customFormat="1" customHeight="1" s="15">
      <c r="A27" s="1" t="n"/>
      <c r="B27" s="69" t="n"/>
      <c r="C27" s="70" t="n"/>
      <c r="D27" s="70" t="n"/>
      <c r="E27" s="70" t="n"/>
      <c r="F27" s="70" t="n"/>
      <c r="G27" s="70" t="n"/>
      <c r="H27" s="469" t="n"/>
      <c r="N27" s="530" t="n"/>
      <c r="P27" s="9" t="n"/>
      <c r="Q27" s="9" t="n"/>
      <c r="R27" s="526" t="n"/>
      <c r="S27" s="529" t="n"/>
      <c r="T27" s="1" t="n"/>
      <c r="U27" s="1" t="n"/>
      <c r="V27" s="60" t="inlineStr">
        <is>
          <t>TPS Markup</t>
        </is>
      </c>
      <c r="W27" s="527" t="n">
        <v>1.15</v>
      </c>
      <c r="Y27" s="435" t="n"/>
      <c r="Z27" s="539" t="n"/>
      <c r="AB27" s="435" t="n"/>
      <c r="AC27" s="539" t="n"/>
    </row>
    <row r="28" customFormat="1" s="15">
      <c r="A28" s="1" t="n"/>
      <c r="B28" s="71" t="n"/>
      <c r="C28" s="70" t="n"/>
      <c r="D28" s="70" t="n"/>
      <c r="E28" s="70" t="n"/>
      <c r="F28" s="70" t="n"/>
      <c r="G28" s="70" t="n"/>
      <c r="H28" s="243" t="n"/>
      <c r="I28" s="471" t="n"/>
      <c r="N28" s="530" t="n"/>
      <c r="P28" s="9" t="n"/>
      <c r="Q28" s="9" t="n"/>
      <c r="R28" s="526" t="n"/>
      <c r="S28" s="529" t="n"/>
      <c r="T28" s="1" t="n"/>
      <c r="U28" s="1" t="n"/>
      <c r="V28" s="60" t="inlineStr">
        <is>
          <t xml:space="preserve">Qty </t>
        </is>
      </c>
      <c r="W28" s="399" t="n">
        <v>1</v>
      </c>
      <c r="Y28" s="1" t="n"/>
      <c r="Z28" s="1" t="n"/>
    </row>
    <row r="29" customFormat="1" s="15">
      <c r="A29" s="1" t="n"/>
      <c r="B29" s="71" t="n"/>
      <c r="C29" s="71" t="n"/>
      <c r="D29" s="71" t="n"/>
      <c r="E29" s="76" t="n"/>
      <c r="F29" s="76" t="n"/>
      <c r="G29" s="76" t="n"/>
      <c r="H29" s="76" t="n"/>
      <c r="I29" s="469" t="inlineStr">
        <is>
          <t>SITEWORKS</t>
        </is>
      </c>
      <c r="N29" s="532">
        <f>S29</f>
        <v/>
      </c>
      <c r="O29" s="533" t="n"/>
      <c r="P29" s="9" t="n"/>
      <c r="Q29" s="9" t="n"/>
      <c r="R29" s="534">
        <f>'Siteworks '!F874</f>
        <v/>
      </c>
      <c r="S29" s="535">
        <f>((R29/$R$39)*($R$49-$R$39))+R29</f>
        <v/>
      </c>
      <c r="T29" s="1" t="n"/>
      <c r="U29" s="1" t="n"/>
      <c r="V29" s="60" t="inlineStr">
        <is>
          <t xml:space="preserve">Freight </t>
        </is>
      </c>
      <c r="W29" s="527" t="n">
        <v>150</v>
      </c>
      <c r="Y29" s="1" t="n"/>
      <c r="Z29" s="1" t="n"/>
    </row>
    <row r="30" customFormat="1" s="15">
      <c r="A30" s="1" t="n"/>
      <c r="B30" s="71" t="n"/>
      <c r="C30" s="71" t="n"/>
      <c r="D30" s="71" t="n"/>
      <c r="E30" s="76" t="n"/>
      <c r="F30" s="76" t="n"/>
      <c r="G30" s="76" t="n"/>
      <c r="H30" s="76" t="n"/>
      <c r="I30" s="469" t="n"/>
      <c r="J30" s="244" t="n"/>
      <c r="K30" s="470" t="n"/>
      <c r="L30" s="470" t="n"/>
      <c r="M30" s="536" t="n"/>
      <c r="N30" s="532" t="n"/>
      <c r="O30" s="533" t="n"/>
      <c r="P30" s="9" t="n"/>
      <c r="Q30" s="9" t="n"/>
      <c r="R30" s="534" t="n"/>
      <c r="S30" s="535" t="n"/>
      <c r="T30" s="1" t="n"/>
      <c r="U30" s="1" t="n"/>
      <c r="V30" s="60" t="inlineStr">
        <is>
          <t>Installation_MH</t>
        </is>
      </c>
      <c r="W30" s="527" t="n">
        <v>200</v>
      </c>
      <c r="Y30" s="477" t="n"/>
      <c r="AB30" s="477" t="n"/>
    </row>
    <row r="31" ht="13.8" customFormat="1" customHeight="1" s="15" thickBot="1">
      <c r="A31" s="1" t="n"/>
      <c r="B31" s="71" t="n"/>
      <c r="C31" s="71" t="n"/>
      <c r="D31" s="71" t="n"/>
      <c r="E31" s="76" t="n"/>
      <c r="F31" s="76" t="n"/>
      <c r="G31" s="76" t="n"/>
      <c r="H31" s="76" t="n"/>
      <c r="I31" s="469" t="n"/>
      <c r="J31" s="244" t="n"/>
      <c r="K31" s="470" t="n"/>
      <c r="L31" s="470" t="n"/>
      <c r="M31" s="536" t="n"/>
      <c r="N31" s="532" t="n"/>
      <c r="O31" s="533" t="n"/>
      <c r="P31" s="9" t="n"/>
      <c r="Q31" s="9" t="n"/>
      <c r="R31" s="534" t="n"/>
      <c r="S31" s="535" t="n"/>
      <c r="T31" s="1" t="n"/>
      <c r="U31" s="1" t="n"/>
      <c r="V31" s="395" t="inlineStr">
        <is>
          <t>TOTAL</t>
        </is>
      </c>
      <c r="W31" s="538">
        <f>(W25+W26)*W27*W28+W29+W30</f>
        <v/>
      </c>
      <c r="Y31" s="1" t="n"/>
      <c r="Z31" s="541" t="n"/>
      <c r="AB31" s="1" t="n"/>
      <c r="AC31" s="541" t="n"/>
    </row>
    <row r="32" customFormat="1" s="15">
      <c r="B32" s="71" t="n"/>
      <c r="C32" s="71" t="n"/>
      <c r="D32" s="71" t="n"/>
      <c r="E32" s="70" t="n"/>
      <c r="F32" s="70" t="n"/>
      <c r="G32" s="70" t="n"/>
      <c r="H32" s="70" t="n"/>
      <c r="I32" s="243" t="inlineStr">
        <is>
          <t>ACCOMMODATION - FIFO Option A (apartments + LH nightly)</t>
        </is>
      </c>
      <c r="J32" s="244" t="n"/>
      <c r="K32" s="244" t="n"/>
      <c r="L32" s="244" t="n"/>
      <c r="M32" s="244" t="n"/>
      <c r="N32" s="434">
        <f>S32</f>
        <v/>
      </c>
      <c r="O32" s="533" t="n"/>
      <c r="P32" s="9" t="n"/>
      <c r="Q32" s="9" t="n"/>
      <c r="R32" s="534">
        <f>14*'LabourProject Rates_Master'!E103+225*'LabourProject Rates_Master'!E109</f>
        <v/>
      </c>
      <c r="S32" s="535">
        <f>((R32/$R$39)*($R$49-$R$39))+R32</f>
        <v/>
      </c>
      <c r="T32" s="540" t="inlineStr">
        <is>
          <t>Phase 7 Accommodation TPS: 14 apt-months x $4,606.06 (crew of 3/apt) + LH 225 nights x $103.2468 = $87,715 (Option A recommended). Option B all-individual = 1,275 nights x $103.2468 = $131,640 - premium $43,925 not taken. No sharing with TCS (SS5.2).</t>
        </is>
      </c>
      <c r="U32" s="1" t="n"/>
      <c r="V32" s="1" t="n"/>
      <c r="W32" s="541" t="n"/>
      <c r="Y32" s="1" t="n"/>
      <c r="Z32" s="541" t="n"/>
      <c r="AB32" s="1" t="n"/>
      <c r="AC32" s="541" t="n"/>
    </row>
    <row r="33" customFormat="1" s="15">
      <c r="A33" s="1" t="n"/>
      <c r="B33" s="69" t="n"/>
      <c r="C33" s="70" t="n"/>
      <c r="D33" s="70" t="n"/>
      <c r="E33" s="70" t="n"/>
      <c r="F33" s="70" t="n"/>
      <c r="G33" s="70" t="n"/>
      <c r="H33" s="469" t="n"/>
      <c r="I33" t="inlineStr">
        <is>
          <t>FLIGHTS - FIFO roster (return every 2nd w/e)</t>
        </is>
      </c>
      <c r="N33" s="530">
        <f>S33</f>
        <v/>
      </c>
      <c r="P33" s="9" t="n"/>
      <c r="Q33" s="9" t="n"/>
      <c r="R33" s="526">
        <f>51*2*2*220</f>
        <v/>
      </c>
      <c r="S33" s="529">
        <f>((R33/$R$39)*($R$49-$R$39))+R33</f>
        <v/>
      </c>
      <c r="T33" s="540" t="inlineStr">
        <is>
          <t>51 person-months (Phase 7) x 2 returns/person-month x 2 legs x $220/leg = $44,880 - assumption stated (Misc Rates flight basis)</t>
        </is>
      </c>
      <c r="U33" s="1" t="n"/>
      <c r="V33" s="1" t="n"/>
      <c r="W33" s="541" t="n"/>
      <c r="Y33" s="1" t="n"/>
      <c r="Z33" s="541" t="n"/>
      <c r="AB33" s="1" t="n"/>
      <c r="AC33" s="541" t="n"/>
    </row>
    <row r="34" customFormat="1" s="15">
      <c r="A34" s="1" t="n"/>
      <c r="B34" s="71" t="n"/>
      <c r="C34" s="70" t="n"/>
      <c r="D34" s="70" t="n"/>
      <c r="E34" s="70" t="n"/>
      <c r="F34" s="70" t="n"/>
      <c r="G34" s="70" t="n"/>
      <c r="H34" s="243" t="n"/>
      <c r="I34" s="471" t="n"/>
      <c r="N34" s="530" t="n"/>
      <c r="P34" s="9" t="n"/>
      <c r="Q34" s="9" t="n"/>
      <c r="R34" s="526" t="n"/>
      <c r="S34" s="529" t="n"/>
      <c r="T34" s="1" t="n"/>
      <c r="U34" s="1" t="n"/>
      <c r="V34" s="543" t="inlineStr">
        <is>
          <t>Sewer pump station EXCLUDED - installed by Council per Addendum 2 (10 Jul 2026); interfaces per interface ledger L6; add-price held in EBC register (APS 14065 basis) - see EBC_Alternates. Prior orphaned block W37 $468,000 -&gt; W43 $545,700 removed (fed no roll-up; never in N64).</t>
        </is>
      </c>
      <c r="Y34" s="1" t="n"/>
      <c r="Z34" s="402" t="n"/>
      <c r="AB34" s="1" t="n"/>
      <c r="AC34" s="402" t="n"/>
    </row>
    <row r="35" ht="13.8" customFormat="1" customHeight="1" s="15" thickBot="1">
      <c r="A35" s="1" t="n"/>
      <c r="B35" s="71" t="n"/>
      <c r="C35" s="71" t="n"/>
      <c r="D35" s="71" t="n"/>
      <c r="E35" s="76" t="n"/>
      <c r="F35" s="76" t="n"/>
      <c r="G35" s="76" t="n"/>
      <c r="H35" s="76" t="n"/>
      <c r="I35" s="469" t="n"/>
      <c r="N35" s="532" t="n"/>
      <c r="O35" s="533" t="n"/>
      <c r="P35" s="9" t="n"/>
      <c r="Q35" s="9" t="n"/>
      <c r="R35" s="526" t="n"/>
      <c r="S35" s="529" t="n"/>
      <c r="T35" s="1" t="n"/>
      <c r="U35" s="1" t="n"/>
      <c r="V35" s="1" t="n"/>
      <c r="W35" s="541" t="n"/>
      <c r="Y35" s="1" t="n"/>
      <c r="Z35" s="541" t="n"/>
      <c r="AB35" s="1" t="n"/>
      <c r="AC35" s="541" t="n"/>
    </row>
    <row r="36" ht="18" customFormat="1" customHeight="1" s="15">
      <c r="A36" s="1" t="n"/>
      <c r="B36" s="71" t="n"/>
      <c r="C36" s="71" t="n"/>
      <c r="D36" s="71" t="n"/>
      <c r="E36" s="76" t="n"/>
      <c r="F36" s="76" t="n"/>
      <c r="G36" s="76" t="n"/>
      <c r="H36" s="76" t="n"/>
      <c r="I36" s="469" t="n"/>
      <c r="J36" s="244" t="n"/>
      <c r="K36" s="470" t="n"/>
      <c r="L36" s="470" t="n"/>
      <c r="M36" s="536" t="n"/>
      <c r="N36" s="532" t="n"/>
      <c r="O36" s="533" t="n"/>
      <c r="P36" s="9" t="n"/>
      <c r="Q36" s="9" t="n"/>
      <c r="R36" s="526" t="n"/>
      <c r="S36" s="529" t="n"/>
      <c r="T36" s="1" t="n"/>
      <c r="U36" s="1" t="n"/>
      <c r="V36" s="522" t="n"/>
      <c r="Y36" s="435" t="n"/>
      <c r="Z36" s="539" t="n"/>
      <c r="AB36" s="435" t="n"/>
      <c r="AC36" s="539" t="n"/>
    </row>
    <row r="37" ht="19.5" customFormat="1" customHeight="1" s="15">
      <c r="A37" s="1" t="n"/>
      <c r="B37" s="71" t="n"/>
      <c r="C37" s="71" t="n"/>
      <c r="D37" s="71" t="n"/>
      <c r="E37" s="76" t="n"/>
      <c r="F37" s="76" t="n"/>
      <c r="G37" s="76" t="n"/>
      <c r="H37" s="76" t="n"/>
      <c r="I37" s="469" t="n"/>
      <c r="J37" s="244" t="n"/>
      <c r="K37" s="470" t="n"/>
      <c r="L37" s="470" t="n"/>
      <c r="M37" s="536" t="n"/>
      <c r="N37" s="532" t="n"/>
      <c r="O37" s="533" t="n"/>
      <c r="P37" s="9" t="n"/>
      <c r="Q37" s="9" t="n"/>
      <c r="R37" s="526" t="n"/>
      <c r="S37" s="529" t="n"/>
      <c r="T37" s="1" t="n"/>
      <c r="U37" s="1" t="n"/>
      <c r="V37" s="60" t="n"/>
      <c r="W37" s="527" t="n"/>
    </row>
    <row r="38" customFormat="1" s="15">
      <c r="B38" s="71" t="n"/>
      <c r="C38" s="71" t="n"/>
      <c r="D38" s="71" t="n"/>
      <c r="E38" s="70" t="n"/>
      <c r="F38" s="70" t="n"/>
      <c r="G38" s="70" t="n"/>
      <c r="H38" s="70" t="n"/>
      <c r="I38" s="243" t="n"/>
      <c r="J38" s="244" t="n"/>
      <c r="K38" s="244" t="n"/>
      <c r="L38" s="244" t="n"/>
      <c r="M38" s="244" t="n"/>
      <c r="N38" s="434" t="n"/>
      <c r="O38" s="533" t="n"/>
      <c r="P38" s="9" t="n"/>
      <c r="Q38" s="9" t="n"/>
      <c r="R38" s="526" t="n"/>
      <c r="S38" s="529" t="n"/>
      <c r="T38" s="1" t="n"/>
      <c r="U38" s="1" t="n"/>
      <c r="V38" s="60" t="n"/>
      <c r="W38" s="527" t="n"/>
      <c r="Y38" s="477" t="n"/>
      <c r="AB38" s="477" t="n"/>
    </row>
    <row r="39" ht="13.8" customFormat="1" customHeight="1" s="15" thickBot="1">
      <c r="A39" s="1" t="n"/>
      <c r="B39" s="69" t="n"/>
      <c r="C39" s="70" t="n"/>
      <c r="D39" s="70" t="n"/>
      <c r="E39" s="70" t="n"/>
      <c r="F39" s="70" t="n"/>
      <c r="G39" s="70" t="n"/>
      <c r="H39" s="469" t="n"/>
      <c r="N39" s="530" t="n"/>
      <c r="P39" s="9" t="n"/>
      <c r="Q39" s="9" t="n"/>
      <c r="R39" s="544">
        <f>SUM(R13:R38)</f>
        <v/>
      </c>
      <c r="S39" s="545" t="n"/>
      <c r="T39" s="1" t="n"/>
      <c r="U39" s="1" t="n"/>
      <c r="V39" s="60" t="n"/>
      <c r="W39" s="527" t="n"/>
      <c r="Y39" s="1" t="n"/>
      <c r="Z39" s="541" t="n"/>
      <c r="AB39" s="1" t="n"/>
      <c r="AC39" s="541" t="n"/>
    </row>
    <row r="40" ht="13.8" customFormat="1" customHeight="1" s="15" thickTop="1">
      <c r="A40" s="1" t="n"/>
      <c r="B40" s="71" t="n"/>
      <c r="C40" s="70" t="n"/>
      <c r="D40" s="70" t="n"/>
      <c r="E40" s="70" t="n"/>
      <c r="F40" s="70" t="n"/>
      <c r="G40" s="70" t="n"/>
      <c r="H40" s="243" t="n"/>
      <c r="I40" s="471" t="n"/>
      <c r="N40" s="530" t="n"/>
      <c r="P40" s="9" t="n"/>
      <c r="Q40" s="9" t="n"/>
      <c r="R40" s="541" t="n"/>
      <c r="S40" s="1" t="n"/>
      <c r="T40" s="1" t="n"/>
      <c r="U40" s="1" t="n"/>
      <c r="V40" s="60" t="n"/>
      <c r="W40" s="399" t="n"/>
      <c r="Y40" s="1" t="n"/>
      <c r="Z40" s="541" t="n"/>
      <c r="AB40" s="1" t="n"/>
      <c r="AC40" s="541" t="n"/>
    </row>
    <row r="41" customFormat="1" s="15">
      <c r="A41" s="1" t="n"/>
      <c r="B41" s="71" t="n"/>
      <c r="C41" s="71" t="n"/>
      <c r="D41" s="71" t="n"/>
      <c r="E41" s="76" t="n"/>
      <c r="F41" s="76" t="n"/>
      <c r="G41" s="76" t="n"/>
      <c r="H41" s="76" t="n"/>
      <c r="I41" s="469" t="n"/>
      <c r="N41" s="532" t="n"/>
      <c r="O41" s="533" t="n"/>
      <c r="P41" s="9" t="n"/>
      <c r="Q41" s="9" t="n"/>
      <c r="R41" s="546" t="n"/>
      <c r="S41" s="546" t="n"/>
      <c r="T41" s="1" t="n"/>
      <c r="U41" s="1" t="n"/>
      <c r="V41" s="60" t="n"/>
      <c r="W41" s="399" t="n"/>
      <c r="Y41" s="1" t="n"/>
      <c r="Z41" s="541" t="n"/>
      <c r="AB41" s="1" t="n"/>
      <c r="AC41" s="541" t="n"/>
    </row>
    <row r="42" customFormat="1" s="15">
      <c r="A42" s="1" t="n"/>
      <c r="B42" s="71" t="n"/>
      <c r="C42" s="71" t="n"/>
      <c r="D42" s="71" t="n"/>
      <c r="E42" s="76" t="n"/>
      <c r="F42" s="76" t="n"/>
      <c r="G42" s="76" t="n"/>
      <c r="H42" s="76" t="n"/>
      <c r="I42" s="469" t="n"/>
      <c r="J42" s="244" t="n"/>
      <c r="K42" s="470" t="n"/>
      <c r="L42" s="470" t="n"/>
      <c r="M42" s="536" t="n"/>
      <c r="N42" s="532" t="n"/>
      <c r="O42" s="533" t="n"/>
      <c r="P42" s="547" t="inlineStr">
        <is>
          <t>Prelim</t>
        </is>
      </c>
      <c r="Q42" s="458" t="n">
        <v>0.055</v>
      </c>
      <c r="R42" s="529">
        <f>R39*Q42</f>
        <v/>
      </c>
      <c r="S42" s="529" t="inlineStr">
        <is>
          <t>of total cost</t>
        </is>
      </c>
      <c r="T42" s="1" t="n"/>
      <c r="U42" s="1" t="n"/>
      <c r="V42" s="60" t="n"/>
      <c r="W42" s="527" t="n"/>
      <c r="Y42" s="1" t="n"/>
      <c r="Z42" s="402" t="n"/>
      <c r="AB42" s="1" t="n"/>
      <c r="AC42" s="402" t="n"/>
    </row>
    <row r="43" ht="13.8" customFormat="1" customHeight="1" s="15" thickBot="1">
      <c r="A43" s="1" t="n"/>
      <c r="B43" s="71" t="n"/>
      <c r="C43" s="71" t="n"/>
      <c r="D43" s="71" t="n"/>
      <c r="E43" s="76" t="n"/>
      <c r="F43" s="76" t="n"/>
      <c r="G43" s="76" t="n"/>
      <c r="H43" s="76" t="n"/>
      <c r="I43" s="469" t="n"/>
      <c r="J43" s="244" t="n"/>
      <c r="K43" s="470" t="n"/>
      <c r="L43" s="470" t="n"/>
      <c r="M43" s="536" t="n"/>
      <c r="N43" s="532" t="n"/>
      <c r="O43" s="533" t="n"/>
      <c r="P43" s="548" t="inlineStr">
        <is>
          <t>O/H</t>
        </is>
      </c>
      <c r="Q43" s="458" t="n">
        <v>0.18</v>
      </c>
      <c r="R43" s="529">
        <f>R39*Q43</f>
        <v/>
      </c>
      <c r="S43" s="529" t="inlineStr">
        <is>
          <t>of total cost</t>
        </is>
      </c>
      <c r="T43" s="1" t="n"/>
      <c r="U43" s="1" t="n"/>
      <c r="V43" s="395" t="n"/>
      <c r="W43" s="537" t="n"/>
      <c r="Y43" s="1" t="n"/>
      <c r="Z43" s="541" t="n"/>
      <c r="AB43" s="1" t="n"/>
      <c r="AC43" s="541" t="n"/>
    </row>
    <row r="44" customFormat="1" s="15">
      <c r="B44" s="71" t="n"/>
      <c r="C44" s="71" t="n"/>
      <c r="D44" s="71" t="n"/>
      <c r="E44" s="70" t="n"/>
      <c r="F44" s="70" t="n"/>
      <c r="G44" s="70" t="n"/>
      <c r="H44" s="70" t="n"/>
      <c r="I44" s="243" t="n"/>
      <c r="J44" s="244" t="n"/>
      <c r="K44" s="244" t="n"/>
      <c r="L44" s="244" t="n"/>
      <c r="M44" s="244" t="n"/>
      <c r="N44" s="434" t="n"/>
      <c r="O44" s="533" t="n"/>
      <c r="P44" s="23" t="n"/>
      <c r="Q44" s="459" t="n"/>
      <c r="R44" s="529" t="n"/>
      <c r="S44" s="529" t="n"/>
      <c r="T44" s="1" t="n"/>
      <c r="U44" s="1" t="n"/>
      <c r="V44" s="435" t="n"/>
      <c r="W44" s="539" t="n"/>
      <c r="Y44" s="435" t="n"/>
      <c r="Z44" s="539" t="n"/>
      <c r="AB44" s="435" t="n"/>
      <c r="AC44" s="539" t="n"/>
    </row>
    <row r="45" customFormat="1" s="15">
      <c r="B45" s="69" t="n"/>
      <c r="C45" s="70" t="n"/>
      <c r="D45" s="70" t="n"/>
      <c r="E45" s="70" t="n"/>
      <c r="F45" s="70" t="n"/>
      <c r="G45" s="70" t="n"/>
      <c r="H45" s="469" t="n"/>
      <c r="N45" s="530" t="n"/>
      <c r="P45" s="30" t="inlineStr">
        <is>
          <t>Sub Total</t>
        </is>
      </c>
      <c r="Q45" s="460" t="n"/>
      <c r="R45" s="549">
        <f>SUM(R39:R44)</f>
        <v/>
      </c>
      <c r="S45" s="529" t="inlineStr">
        <is>
          <t>total cost + Prelim + O/H</t>
        </is>
      </c>
      <c r="T45" s="1" t="n"/>
      <c r="U45" s="1" t="n"/>
    </row>
    <row r="46" customFormat="1" s="15">
      <c r="B46" s="71" t="n"/>
      <c r="C46" s="70" t="n"/>
      <c r="D46" s="70" t="n"/>
      <c r="E46" s="70" t="n"/>
      <c r="F46" s="70" t="n"/>
      <c r="G46" s="70" t="n"/>
      <c r="H46" s="243" t="n"/>
      <c r="I46" s="471" t="n"/>
      <c r="N46" s="530" t="n"/>
      <c r="P46" s="9" t="n"/>
      <c r="Q46" s="9" t="n"/>
      <c r="R46" s="549" t="n"/>
      <c r="S46" s="529" t="n"/>
      <c r="T46" s="1" t="n"/>
      <c r="U46" s="1" t="n"/>
    </row>
    <row r="47" customFormat="1" s="15">
      <c r="B47" s="71" t="n"/>
      <c r="C47" s="71" t="n"/>
      <c r="D47" s="71" t="n"/>
      <c r="E47" s="76" t="n"/>
      <c r="F47" s="76" t="n"/>
      <c r="G47" s="76" t="n"/>
      <c r="H47" s="76" t="n"/>
      <c r="I47" s="469" t="n"/>
      <c r="N47" s="532" t="n"/>
      <c r="O47" s="533" t="n"/>
      <c r="P47" s="461" t="inlineStr">
        <is>
          <t>Gross Profit</t>
        </is>
      </c>
      <c r="Q47" s="462" t="n">
        <v>0.18</v>
      </c>
      <c r="R47" s="550">
        <f>R39*Q47</f>
        <v/>
      </c>
      <c r="S47" s="529" t="inlineStr">
        <is>
          <t>of total cost (SS5.4 re-base 26/07/26; was =R45*Q47 -&gt; effective 45.73%)</t>
        </is>
      </c>
      <c r="T47" s="1" t="n"/>
      <c r="U47" s="1" t="n"/>
    </row>
    <row r="48" customFormat="1" s="15">
      <c r="A48" s="1" t="n"/>
      <c r="B48" s="71" t="n"/>
      <c r="C48" s="71" t="n"/>
      <c r="D48" s="71" t="n"/>
      <c r="E48" s="76" t="n"/>
      <c r="F48" s="76" t="n"/>
      <c r="G48" s="76" t="n"/>
      <c r="H48" s="76" t="n"/>
      <c r="I48" s="469" t="n"/>
      <c r="J48" s="244" t="n"/>
      <c r="K48" s="470" t="n"/>
      <c r="L48" s="470" t="n"/>
      <c r="M48" s="536" t="n"/>
      <c r="N48" s="532" t="n"/>
      <c r="O48" s="533" t="n"/>
      <c r="P48" s="9" t="n"/>
      <c r="Q48" s="9" t="n"/>
      <c r="R48" s="1" t="n"/>
      <c r="S48" s="1" t="n"/>
      <c r="T48" s="1" t="n"/>
      <c r="U48" s="1" t="n"/>
      <c r="V48" s="477" t="n"/>
    </row>
    <row r="49" ht="14.4" customFormat="1" customHeight="1" s="15">
      <c r="A49" s="1" t="n"/>
      <c r="B49" s="71" t="n"/>
      <c r="C49" s="71" t="n"/>
      <c r="D49" s="71" t="n"/>
      <c r="E49" s="76" t="n"/>
      <c r="F49" s="76" t="n"/>
      <c r="G49" s="76" t="n"/>
      <c r="H49" s="76" t="n"/>
      <c r="I49" s="469" t="n"/>
      <c r="J49" s="244" t="n"/>
      <c r="K49" s="470" t="n"/>
      <c r="L49" s="470" t="n"/>
      <c r="M49" s="536" t="n"/>
      <c r="N49" s="532" t="n"/>
      <c r="O49" s="533" t="n"/>
      <c r="P49" s="9" t="n"/>
      <c r="Q49" s="9" t="n"/>
      <c r="R49" s="551">
        <f>SUM(R45:R47)</f>
        <v/>
      </c>
      <c r="S49" s="1" t="n"/>
      <c r="T49" s="1" t="n"/>
      <c r="U49" s="1" t="n"/>
      <c r="V49" s="1" t="n"/>
      <c r="W49" s="541" t="n"/>
    </row>
    <row r="50" customFormat="1" s="15">
      <c r="B50" s="71" t="n"/>
      <c r="C50" s="71" t="n"/>
      <c r="D50" s="71" t="n"/>
      <c r="E50" s="70" t="n"/>
      <c r="F50" s="70" t="n"/>
      <c r="G50" s="70" t="n"/>
      <c r="H50" s="70" t="n"/>
      <c r="I50" s="243" t="n"/>
      <c r="J50" s="244" t="n"/>
      <c r="K50" s="244" t="n"/>
      <c r="L50" s="244" t="n"/>
      <c r="M50" s="244" t="n"/>
      <c r="N50" s="434" t="n"/>
      <c r="O50" s="533" t="n"/>
      <c r="P50" s="9" t="n"/>
      <c r="Q50" s="9" t="n"/>
      <c r="R50" s="1" t="n"/>
      <c r="S50" s="1" t="n"/>
      <c r="T50" s="1" t="n"/>
      <c r="U50" s="1" t="n"/>
      <c r="V50" s="1" t="n"/>
      <c r="W50" s="541" t="n"/>
    </row>
    <row r="51" customFormat="1" s="15">
      <c r="B51" s="69" t="n"/>
      <c r="C51" s="70" t="n"/>
      <c r="D51" s="70" t="n"/>
      <c r="E51" s="70" t="n"/>
      <c r="F51" s="70" t="n"/>
      <c r="G51" s="70" t="n"/>
      <c r="H51" s="469" t="n"/>
      <c r="N51" s="530" t="n"/>
      <c r="P51" s="464" t="inlineStr">
        <is>
          <t>Total Markup</t>
        </is>
      </c>
      <c r="Q51" s="465">
        <f>SUM(Q42:Q50)</f>
        <v/>
      </c>
      <c r="R51" s="1" t="n"/>
      <c r="S51" s="1" t="n"/>
      <c r="T51" s="1" t="n"/>
      <c r="U51" s="1" t="n"/>
      <c r="V51" s="1" t="n"/>
      <c r="W51" s="541" t="n"/>
    </row>
    <row r="52" customFormat="1" s="15">
      <c r="B52" s="71" t="n"/>
      <c r="C52" s="70" t="n"/>
      <c r="D52" s="70" t="n"/>
      <c r="E52" s="70" t="n"/>
      <c r="F52" s="70" t="n"/>
      <c r="G52" s="70" t="n"/>
      <c r="H52" s="243" t="n"/>
      <c r="I52" s="471" t="n"/>
      <c r="N52" s="530" t="n"/>
      <c r="P52" s="464" t="n"/>
      <c r="Q52" s="465" t="n"/>
      <c r="R52" s="1" t="n"/>
      <c r="S52" s="1" t="n"/>
      <c r="T52" s="1" t="n"/>
      <c r="U52" s="1" t="n"/>
      <c r="V52" s="1" t="n"/>
      <c r="W52" s="402" t="n"/>
    </row>
    <row r="53" customFormat="1" s="15">
      <c r="B53" s="71" t="n"/>
      <c r="C53" s="71" t="n"/>
      <c r="D53" s="71" t="n"/>
      <c r="E53" s="76" t="n"/>
      <c r="F53" s="76" t="n"/>
      <c r="G53" s="76" t="n"/>
      <c r="H53" s="76" t="n"/>
      <c r="I53" s="469" t="n"/>
      <c r="N53" s="532" t="n"/>
      <c r="O53" s="533" t="n"/>
      <c r="P53" s="466" t="inlineStr">
        <is>
          <t>Net Profit Incl Equip</t>
        </is>
      </c>
      <c r="Q53" s="467" t="n"/>
      <c r="R53" s="552">
        <f>R48</f>
        <v/>
      </c>
      <c r="S53" s="1" t="n"/>
      <c r="T53" s="1" t="n"/>
      <c r="U53" s="1" t="n"/>
      <c r="V53" s="1" t="n"/>
      <c r="W53" s="541" t="n"/>
    </row>
    <row r="54" customFormat="1" s="15">
      <c r="A54" s="1" t="n"/>
      <c r="B54" s="71" t="n"/>
      <c r="C54" s="71" t="n"/>
      <c r="D54" s="71" t="n"/>
      <c r="E54" s="76" t="n"/>
      <c r="F54" s="76" t="n"/>
      <c r="G54" s="76" t="n"/>
      <c r="H54" s="76" t="n"/>
      <c r="I54" s="469" t="n"/>
      <c r="J54" s="244" t="n"/>
      <c r="K54" s="470" t="n"/>
      <c r="L54" s="470" t="n"/>
      <c r="M54" s="536" t="n"/>
      <c r="N54" s="532" t="n"/>
      <c r="O54" s="533" t="n"/>
      <c r="P54" s="9" t="n"/>
      <c r="Q54" s="9" t="n"/>
      <c r="R54" s="1" t="n"/>
      <c r="S54" s="1" t="n"/>
      <c r="T54" s="1" t="n"/>
      <c r="U54" s="1" t="n"/>
      <c r="V54" s="435" t="n"/>
      <c r="W54" s="539" t="n"/>
    </row>
    <row r="55" customFormat="1" s="15">
      <c r="A55" s="1" t="n"/>
      <c r="B55" s="71" t="n"/>
      <c r="C55" s="71" t="n"/>
      <c r="D55" s="71" t="n"/>
      <c r="E55" s="76" t="n"/>
      <c r="F55" s="76" t="n"/>
      <c r="G55" s="76" t="n"/>
      <c r="H55" s="76" t="n"/>
      <c r="I55" s="469" t="n"/>
      <c r="J55" s="244" t="n"/>
      <c r="K55" s="470" t="n"/>
      <c r="L55" s="470" t="n"/>
      <c r="M55" s="536" t="n"/>
      <c r="N55" s="532" t="n"/>
      <c r="O55" s="533" t="n"/>
      <c r="P55" s="9" t="n"/>
      <c r="Q55" s="9" t="n"/>
      <c r="R55" s="1" t="n"/>
      <c r="S55" s="1" t="n"/>
      <c r="T55" s="1" t="n"/>
      <c r="U55" s="1" t="n"/>
    </row>
    <row r="56" customFormat="1" s="15">
      <c r="B56" s="71" t="n"/>
      <c r="C56" s="71" t="n"/>
      <c r="D56" s="71" t="n"/>
      <c r="E56" s="70" t="n"/>
      <c r="F56" s="70" t="n"/>
      <c r="G56" s="70" t="n"/>
      <c r="H56" s="70" t="n"/>
      <c r="I56" s="243" t="n"/>
      <c r="J56" s="244" t="n"/>
      <c r="K56" s="244" t="n"/>
      <c r="L56" s="244" t="n"/>
      <c r="M56" s="244" t="n"/>
      <c r="N56" s="434" t="n"/>
      <c r="O56" s="533" t="n"/>
      <c r="P56" s="9" t="n"/>
      <c r="Q56" s="9" t="n"/>
      <c r="R56" s="1" t="n"/>
      <c r="S56" s="1" t="n"/>
      <c r="T56" s="1" t="n"/>
      <c r="U56" s="1" t="n"/>
    </row>
    <row r="57" customFormat="1" s="15">
      <c r="B57" s="69" t="n"/>
      <c r="C57" s="70" t="n"/>
      <c r="D57" s="70" t="n"/>
      <c r="E57" s="70" t="n"/>
      <c r="F57" s="70" t="n"/>
      <c r="G57" s="70" t="n"/>
      <c r="H57" s="469" t="n"/>
      <c r="N57" s="530" t="n"/>
      <c r="P57" s="9" t="n"/>
      <c r="Q57" s="9" t="n"/>
      <c r="R57" s="1" t="n"/>
      <c r="S57" s="1" t="n"/>
      <c r="T57" s="1" t="n"/>
      <c r="U57" s="1" t="n"/>
      <c r="V57" s="484" t="n"/>
    </row>
    <row r="58" customFormat="1" s="15">
      <c r="B58" s="71" t="n"/>
      <c r="C58" s="70" t="n"/>
      <c r="D58" s="70" t="n"/>
      <c r="E58" s="70" t="n"/>
      <c r="F58" s="70" t="n"/>
      <c r="G58" s="70" t="n"/>
      <c r="H58" s="243" t="n"/>
      <c r="I58" s="471" t="n"/>
      <c r="N58" s="530" t="n"/>
      <c r="P58" s="9" t="n"/>
      <c r="Q58" s="9" t="n"/>
      <c r="R58" s="1" t="n"/>
      <c r="S58" s="1" t="n"/>
      <c r="T58" s="1" t="n"/>
      <c r="U58" s="1" t="n"/>
    </row>
    <row r="59" customFormat="1" s="15">
      <c r="B59" s="71" t="n"/>
      <c r="C59" s="71" t="n"/>
      <c r="D59" s="71" t="n"/>
      <c r="E59" s="76" t="n"/>
      <c r="F59" s="76" t="n"/>
      <c r="G59" s="76" t="n"/>
      <c r="H59" s="76" t="n"/>
      <c r="I59" s="469" t="n"/>
      <c r="N59" s="532" t="n"/>
      <c r="O59" s="533" t="n"/>
      <c r="P59" s="9" t="n"/>
      <c r="Q59" s="9" t="n"/>
      <c r="R59" s="1" t="n"/>
      <c r="S59" s="1" t="n"/>
      <c r="T59" s="1" t="n"/>
      <c r="U59" s="1" t="n"/>
      <c r="V59" s="477" t="n"/>
    </row>
    <row r="60" customFormat="1" s="15">
      <c r="A60" s="1" t="n"/>
      <c r="B60" s="71" t="n"/>
      <c r="C60" s="71" t="n"/>
      <c r="D60" s="71" t="n"/>
      <c r="E60" s="76" t="n"/>
      <c r="F60" s="76" t="n"/>
      <c r="G60" s="76" t="n"/>
      <c r="H60" s="76" t="n"/>
      <c r="I60" s="469" t="n"/>
      <c r="J60" s="244" t="n"/>
      <c r="K60" s="470" t="n"/>
      <c r="L60" s="470" t="n"/>
      <c r="M60" s="536" t="n"/>
      <c r="N60" s="532" t="n"/>
      <c r="O60" s="533" t="n"/>
      <c r="P60" s="9" t="n"/>
      <c r="Q60" s="9" t="n"/>
      <c r="R60" s="1" t="n"/>
      <c r="S60" s="1" t="n"/>
      <c r="T60" s="1" t="n"/>
      <c r="U60" s="1" t="n"/>
      <c r="V60" s="1" t="n"/>
      <c r="W60" s="541" t="n"/>
    </row>
    <row r="61" customFormat="1" s="15">
      <c r="A61" s="1" t="n"/>
      <c r="B61" s="71" t="n"/>
      <c r="C61" s="71" t="n"/>
      <c r="D61" s="71" t="n"/>
      <c r="E61" s="76" t="n"/>
      <c r="F61" s="76" t="n"/>
      <c r="G61" s="76" t="n"/>
      <c r="H61" s="76" t="n"/>
      <c r="I61" s="469" t="n"/>
      <c r="J61" s="244" t="n"/>
      <c r="K61" s="470" t="n"/>
      <c r="L61" s="470" t="n"/>
      <c r="M61" s="536" t="n"/>
      <c r="N61" s="532" t="n"/>
      <c r="O61" s="533" t="n"/>
      <c r="P61" s="9" t="n"/>
      <c r="Q61" s="9" t="n"/>
      <c r="R61" s="1" t="n"/>
      <c r="S61" s="1" t="n"/>
      <c r="T61" s="1" t="n"/>
      <c r="U61" s="1" t="n"/>
      <c r="V61" s="1" t="n"/>
      <c r="W61" s="541" t="n"/>
    </row>
    <row r="62" customFormat="1" s="15">
      <c r="B62" s="71" t="n"/>
      <c r="C62" s="71" t="n"/>
      <c r="D62" s="71" t="n"/>
      <c r="E62" s="70" t="n"/>
      <c r="F62" s="70" t="n"/>
      <c r="G62" s="70" t="n"/>
      <c r="H62" s="70" t="n"/>
      <c r="I62" s="243" t="n"/>
      <c r="J62" s="244" t="n"/>
      <c r="K62" s="244" t="n"/>
      <c r="L62" s="244" t="n"/>
      <c r="M62" s="244" t="n"/>
      <c r="N62" s="70" t="n"/>
      <c r="O62" s="533" t="n"/>
      <c r="P62" s="9" t="n"/>
      <c r="Q62" s="9" t="n"/>
      <c r="R62" s="1" t="n"/>
      <c r="S62" s="1" t="n"/>
      <c r="T62" s="1" t="n"/>
      <c r="U62" s="1" t="n"/>
      <c r="V62" s="1" t="n"/>
      <c r="W62" s="541" t="n"/>
    </row>
    <row r="63" customFormat="1" s="15">
      <c r="B63" s="71" t="n"/>
      <c r="C63" s="71" t="n"/>
      <c r="D63" s="71" t="n"/>
      <c r="E63" s="70" t="n"/>
      <c r="F63" s="70" t="n"/>
      <c r="G63" s="70" t="n"/>
      <c r="H63" s="70" t="n"/>
      <c r="I63" s="243" t="n"/>
      <c r="J63" s="244" t="n"/>
      <c r="K63" s="244" t="n"/>
      <c r="L63" s="244" t="n"/>
      <c r="M63" s="244" t="n"/>
      <c r="N63" s="70" t="n"/>
      <c r="O63" s="533" t="n"/>
      <c r="P63" s="9" t="n"/>
      <c r="Q63" s="9" t="n"/>
      <c r="R63" s="1" t="n"/>
      <c r="S63" s="1" t="n"/>
      <c r="T63" s="1" t="n"/>
      <c r="U63" s="1" t="n"/>
      <c r="V63" s="1" t="n"/>
      <c r="W63" s="402" t="n"/>
    </row>
    <row r="64" ht="13.8" customFormat="1" customHeight="1" s="15" thickBot="1">
      <c r="B64" s="71" t="n"/>
      <c r="C64" s="70" t="n"/>
      <c r="D64" s="71" t="n"/>
      <c r="E64" s="70" t="n"/>
      <c r="F64" s="70" t="n"/>
      <c r="G64" s="70" t="n"/>
      <c r="H64" s="70" t="n"/>
      <c r="I64" s="469" t="n"/>
      <c r="J64" s="244" t="n"/>
      <c r="K64" s="244" t="n"/>
      <c r="L64" s="244" t="n"/>
      <c r="M64" s="553" t="inlineStr">
        <is>
          <t>TOTAL - TPS BASE SELL ex GST (excl PC Sums)</t>
        </is>
      </c>
      <c r="N64" s="554">
        <f>SUM(N16:N63)</f>
        <v/>
      </c>
      <c r="O64" s="533" t="n"/>
      <c r="P64" s="9" t="n"/>
      <c r="Q64" s="9" t="n"/>
      <c r="R64" s="1" t="n"/>
      <c r="S64" s="1" t="n"/>
      <c r="T64" s="1" t="n"/>
      <c r="U64" s="307" t="n"/>
      <c r="V64" s="1" t="n"/>
      <c r="W64" s="541" t="n"/>
    </row>
    <row r="65" ht="13.8" customFormat="1" customHeight="1" s="15" thickTop="1">
      <c r="B65" s="71" t="n"/>
      <c r="C65" s="70" t="n"/>
      <c r="D65" s="71" t="n"/>
      <c r="E65" s="70" t="n"/>
      <c r="F65" s="70" t="n"/>
      <c r="G65" s="70" t="n"/>
      <c r="H65" s="70" t="n"/>
      <c r="I65" s="469" t="n"/>
      <c r="J65" s="244" t="n"/>
      <c r="K65" s="244" t="n"/>
      <c r="L65" s="244" t="n"/>
      <c r="M65" s="68" t="n"/>
      <c r="N65" s="555" t="n"/>
      <c r="O65" s="533" t="n"/>
      <c r="P65" s="9" t="n"/>
      <c r="Q65" s="9" t="n"/>
      <c r="R65" s="1" t="n"/>
      <c r="S65" s="1" t="n"/>
      <c r="T65" s="1" t="n"/>
      <c r="U65" s="1" t="n"/>
      <c r="V65" s="435" t="n"/>
      <c r="W65" s="539" t="n"/>
    </row>
    <row r="66" customFormat="1" s="15">
      <c r="B66" s="71" t="n"/>
      <c r="C66" s="70" t="n"/>
      <c r="D66" s="71" t="n"/>
      <c r="E66" s="70" t="n"/>
      <c r="F66" s="70" t="n"/>
      <c r="G66" s="70" t="n"/>
      <c r="H66" s="70" t="n"/>
      <c r="I66" s="469" t="n"/>
      <c r="J66" s="244" t="n"/>
      <c r="K66" s="244" t="n"/>
      <c r="L66" s="244" t="n"/>
      <c r="M66" s="556" t="inlineStr">
        <is>
          <t>GST rows removed - ALL PRICING EX GST per SS5.4</t>
        </is>
      </c>
      <c r="N66" s="555" t="n"/>
      <c r="O66" s="533" t="n"/>
      <c r="P66" s="9" t="n"/>
      <c r="Q66" s="9" t="n"/>
      <c r="R66" s="1" t="n"/>
      <c r="S66" s="1" t="n"/>
      <c r="T66" s="1" t="n"/>
      <c r="U66" s="1" t="n"/>
    </row>
    <row r="67" customFormat="1" s="15">
      <c r="B67" s="71" t="n"/>
      <c r="C67" s="70" t="n"/>
      <c r="D67" s="71" t="n"/>
      <c r="E67" s="70" t="n"/>
      <c r="F67" s="70" t="n"/>
      <c r="G67" s="70" t="n"/>
      <c r="H67" s="70" t="n"/>
      <c r="I67" s="469" t="n"/>
      <c r="J67" s="244" t="n"/>
      <c r="K67" s="244" t="n"/>
      <c r="L67" s="244" t="n"/>
      <c r="M67" s="68" t="n"/>
      <c r="N67" s="555" t="n"/>
      <c r="O67" s="533" t="n"/>
      <c r="P67" s="557" t="inlineStr">
        <is>
          <t>Prelim</t>
        </is>
      </c>
      <c r="Q67" s="558">
        <f>R42/R39</f>
        <v/>
      </c>
      <c r="R67" s="1" t="n"/>
      <c r="S67" s="1" t="n"/>
      <c r="T67" s="1" t="n"/>
      <c r="U67" s="1" t="n"/>
    </row>
    <row r="68" ht="13.8" customFormat="1" customHeight="1" s="15" thickBot="1">
      <c r="B68" s="71" t="n"/>
      <c r="C68" s="70" t="n"/>
      <c r="D68" s="71" t="n"/>
      <c r="E68" s="70" t="n"/>
      <c r="F68" s="70" t="n"/>
      <c r="G68" s="70" t="n"/>
      <c r="H68" s="70" t="n"/>
      <c r="I68" s="469" t="n"/>
      <c r="J68" s="244" t="n"/>
      <c r="K68" s="244" t="n"/>
      <c r="L68" s="244" t="n"/>
      <c r="M68" s="82" t="n"/>
      <c r="N68" s="559" t="n"/>
      <c r="O68" s="533" t="n"/>
      <c r="P68" s="560" t="inlineStr">
        <is>
          <t>O/H</t>
        </is>
      </c>
      <c r="Q68" s="561">
        <f>R43/R39</f>
        <v/>
      </c>
      <c r="R68" s="1" t="n"/>
      <c r="S68" s="1" t="n"/>
      <c r="T68" s="1" t="n"/>
      <c r="U68" s="562" t="n"/>
      <c r="V68" s="484" t="n"/>
    </row>
    <row r="69" ht="13.8" customFormat="1" customHeight="1" s="15" thickTop="1">
      <c r="B69" s="71" t="n"/>
      <c r="C69" s="70" t="n"/>
      <c r="D69" s="71" t="n"/>
      <c r="E69" s="70" t="n"/>
      <c r="F69" s="70" t="n"/>
      <c r="G69" s="70" t="n"/>
      <c r="H69" s="70" t="n"/>
      <c r="I69" s="469" t="n"/>
      <c r="J69" s="244" t="n"/>
      <c r="K69" s="244" t="n"/>
      <c r="L69" s="244" t="n"/>
      <c r="M69" s="244" t="n"/>
      <c r="N69" s="70" t="n"/>
      <c r="O69" s="533" t="n"/>
      <c r="P69" s="23" t="n"/>
      <c r="Q69" s="29" t="inlineStr">
        <is>
          <t>.</t>
        </is>
      </c>
      <c r="R69" s="1" t="n"/>
      <c r="S69" s="1" t="n"/>
      <c r="T69" s="1" t="n"/>
      <c r="U69" s="1" t="n"/>
    </row>
    <row r="70" customFormat="1" s="15">
      <c r="B70" s="71" t="n"/>
      <c r="C70" s="70" t="n"/>
      <c r="D70" s="71" t="n"/>
      <c r="E70" s="70" t="n"/>
      <c r="F70" s="70" t="n"/>
      <c r="G70" s="70" t="n"/>
      <c r="H70" s="70" t="n"/>
      <c r="I70" s="469" t="n"/>
      <c r="J70" s="244" t="n"/>
      <c r="K70" s="244" t="n"/>
      <c r="L70" s="244" t="n"/>
      <c r="M70" s="563" t="inlineStr">
        <is>
          <t>PC SUMS - separate identified lines (ex GST)</t>
        </is>
      </c>
      <c r="N70" s="70" t="n"/>
      <c r="O70" s="533" t="n"/>
      <c r="P70" s="30" t="inlineStr">
        <is>
          <t>Sub Total</t>
        </is>
      </c>
      <c r="Q70" s="30" t="n"/>
      <c r="R70" s="1" t="inlineStr">
        <is>
          <t>Fixtures PC build (ex GST)</t>
        </is>
      </c>
      <c r="S70" s="1" t="n"/>
      <c r="T70" s="1" t="n"/>
      <c r="U70" s="1" t="n"/>
    </row>
    <row r="71" customFormat="1" s="15">
      <c r="B71" s="71" t="n"/>
      <c r="C71" s="70" t="n"/>
      <c r="D71" s="71" t="n"/>
      <c r="E71" s="70" t="n"/>
      <c r="F71" s="70" t="n"/>
      <c r="G71" s="70" t="n"/>
      <c r="H71" s="70" t="n"/>
      <c r="I71" s="469" t="n"/>
      <c r="J71" s="244" t="n"/>
      <c r="K71" s="244" t="n"/>
      <c r="L71" s="244" t="n"/>
      <c r="M71" s="244" t="inlineStr">
        <is>
          <t>PC-1A Fixtures supply - Tradelink 1066143 adjusted + 15%</t>
        </is>
      </c>
      <c r="N71" s="564">
        <f>(S71+S72+S73+S74)*1.15</f>
        <v/>
      </c>
      <c r="O71" s="540" t="inlineStr">
        <is>
          <t>Quote validity 13/08/26 vs 2027 start - escalation/validity qualification carried; Phase 4 line-by-line reconciliation mandatory</t>
        </is>
      </c>
      <c r="P71" s="23" t="n"/>
      <c r="Q71" s="30" t="n"/>
      <c r="R71" s="1" t="inlineStr">
        <is>
          <t>Tradelink 1066143 quote total</t>
        </is>
      </c>
      <c r="S71" s="565" t="n">
        <v>252694.77</v>
      </c>
      <c r="T71" s="1" t="n"/>
      <c r="U71" s="1" t="n"/>
      <c r="V71" s="477" t="n"/>
      <c r="Y71" s="477" t="n"/>
      <c r="AB71" s="477" t="n"/>
    </row>
    <row r="72" customFormat="1" s="15">
      <c r="A72" s="1" t="n"/>
      <c r="B72" s="71" t="n"/>
      <c r="C72" s="71" t="n"/>
      <c r="D72" s="71" t="n"/>
      <c r="E72" s="76" t="n"/>
      <c r="F72" s="76" t="n"/>
      <c r="G72" s="76" t="n"/>
      <c r="H72" s="76" t="n"/>
      <c r="I72" s="243" t="n"/>
      <c r="J72" s="244" t="n"/>
      <c r="K72" s="244" t="n"/>
      <c r="L72" s="244" t="n"/>
      <c r="M72" s="566" t="inlineStr">
        <is>
          <t>PC-1A Drinking fountains - 2x CF400 chilled (NBC) + 15%</t>
        </is>
      </c>
      <c r="N72" s="567">
        <f>2*11050*1.15</f>
        <v/>
      </c>
      <c r="O72" s="1" t="n"/>
      <c r="P72" s="23" t="inlineStr">
        <is>
          <t>Profit</t>
        </is>
      </c>
      <c r="Q72" s="568" t="n">
        <v>0.18</v>
      </c>
      <c r="R72" s="1" t="inlineStr">
        <is>
          <t>less 4x CF400 chilled fountains (moved to DF PC lines)</t>
        </is>
      </c>
      <c r="S72" s="565" t="n">
        <v>-44200</v>
      </c>
      <c r="T72" s="1" t="n"/>
      <c r="U72" s="1" t="n"/>
      <c r="V72" s="1" t="n"/>
      <c r="W72" s="541" t="n"/>
      <c r="Y72" s="1" t="n"/>
      <c r="Z72" s="541" t="n"/>
      <c r="AB72" s="1" t="n"/>
      <c r="AC72" s="541" t="n"/>
    </row>
    <row r="73" customFormat="1" s="15">
      <c r="A73" s="1" t="n"/>
      <c r="B73" s="71" t="n"/>
      <c r="C73" s="71" t="n"/>
      <c r="D73" s="71" t="n"/>
      <c r="E73" s="76" t="n"/>
      <c r="F73" s="76" t="n"/>
      <c r="G73" s="76" t="n"/>
      <c r="H73" s="76" t="n"/>
      <c r="I73" s="243" t="n"/>
      <c r="J73" s="244" t="n"/>
      <c r="K73" s="244" t="n"/>
      <c r="L73" s="244" t="n"/>
      <c r="M73" s="566" t="inlineStr">
        <is>
          <t>PC-1A Provisional connection fees - as directed, NO markup</t>
        </is>
      </c>
      <c r="N73" s="565" t="n">
        <v>20000</v>
      </c>
      <c r="O73" s="540" t="inlineStr">
        <is>
          <t>1A 5.0 / 1B 4.6: $20,000 actual-cost reimbursement carried in BOTH stages exactly as directed (SS5.4) - no markup</t>
        </is>
      </c>
      <c r="P73" s="22" t="inlineStr">
        <is>
          <t>Total Markup</t>
        </is>
      </c>
      <c r="Q73" s="321">
        <f>SUM(Q67:Q72)</f>
        <v/>
      </c>
      <c r="R73" s="1" t="inlineStr">
        <is>
          <t>less 5x Billi Quadra 4180 - SUPPLIED BY RCC per FF&amp;E VOL25 (install labour retained in base)</t>
        </is>
      </c>
      <c r="S73" s="565" t="n">
        <v>-38261</v>
      </c>
      <c r="T73" s="1" t="n"/>
      <c r="U73" s="1" t="n"/>
      <c r="V73" s="1" t="n"/>
      <c r="W73" s="541" t="n"/>
      <c r="Y73" s="1" t="n"/>
      <c r="Z73" s="541" t="n"/>
      <c r="AB73" s="1" t="n"/>
      <c r="AC73" s="541" t="n"/>
    </row>
    <row r="74" customFormat="1" s="15">
      <c r="A74" s="1" t="n"/>
      <c r="B74" s="68" t="n"/>
      <c r="C74" s="63" t="n"/>
      <c r="D74" s="63" t="n"/>
      <c r="E74" s="1" t="n"/>
      <c r="F74" s="1" t="n"/>
      <c r="G74" s="1" t="n"/>
      <c r="H74" s="1" t="n"/>
      <c r="I74" s="1" t="n"/>
      <c r="J74" s="1" t="n"/>
      <c r="K74" s="1" t="n"/>
      <c r="L74" s="1" t="n"/>
      <c r="M74" s="569" t="inlineStr">
        <is>
          <t>PC-1B Fixtures supply - PAM adopted-count extension + 15%</t>
        </is>
      </c>
      <c r="N74" s="567">
        <f>S75*1.15</f>
        <v/>
      </c>
      <c r="O74" s="548" t="n"/>
      <c r="P74" s="23" t="inlineStr">
        <is>
          <t>Grand Total</t>
        </is>
      </c>
      <c r="Q74" s="32" t="n"/>
      <c r="R74" s="1" t="inlineStr">
        <is>
          <t>plus NBC adopted-count extension allowance</t>
        </is>
      </c>
      <c r="S74" s="565" t="n">
        <v>10000</v>
      </c>
      <c r="T74" s="1" t="n"/>
      <c r="U74" s="1" t="n"/>
      <c r="V74" s="1" t="n"/>
      <c r="W74" s="541" t="n"/>
      <c r="Y74" s="1" t="n"/>
      <c r="Z74" s="541" t="n"/>
      <c r="AB74" s="1" t="n"/>
      <c r="AC74" s="541" t="n"/>
    </row>
    <row r="75" customFormat="1" s="15">
      <c r="A75" s="1" t="n"/>
      <c r="B75" s="63" t="n"/>
      <c r="C75" s="72" t="n"/>
      <c r="D75" s="72" t="n"/>
      <c r="E75" s="18" t="n"/>
      <c r="F75" s="18" t="n"/>
      <c r="G75" s="18" t="n"/>
      <c r="H75" s="18" t="n"/>
      <c r="I75" s="18" t="n"/>
      <c r="J75" s="18" t="n"/>
      <c r="K75" s="18" t="n"/>
      <c r="L75" s="1" t="n"/>
      <c r="M75" s="1" t="inlineStr">
        <is>
          <t>PC-1B Drinking fountains - 2x CF400 non-chilled (PAM, benchmark) + 15%</t>
        </is>
      </c>
      <c r="N75" s="570">
        <f>2*S78*1.15</f>
        <v/>
      </c>
      <c r="O75" s="541" t="n"/>
      <c r="P75" s="1" t="n"/>
      <c r="Q75" s="1" t="n"/>
      <c r="R75" s="1" t="inlineStr">
        <is>
          <t>plus PAM adopted-count extension allowance (PAM set never counted: 8 s/s WC + cisterns, trough, CSK, taps, 2 TR)</t>
        </is>
      </c>
      <c r="S75" s="565" t="n">
        <v>15000</v>
      </c>
      <c r="T75" s="1" t="n"/>
      <c r="U75" s="1" t="n"/>
      <c r="V75" s="1" t="n"/>
      <c r="W75" s="402" t="n"/>
      <c r="Y75" s="1" t="n"/>
      <c r="Z75" s="402" t="n"/>
      <c r="AB75" s="1" t="n"/>
      <c r="AC75" s="402" t="n"/>
    </row>
    <row r="76" customFormat="1" s="15">
      <c r="A76" s="1" t="n"/>
      <c r="B76" s="63" t="n"/>
      <c r="C76" s="63" t="n"/>
      <c r="D76" s="63" t="n"/>
      <c r="E76" s="1" t="n"/>
      <c r="F76" s="1" t="n"/>
      <c r="G76" s="1" t="n"/>
      <c r="H76" s="1" t="n"/>
      <c r="I76" s="484" t="n"/>
      <c r="J76" s="1" t="n"/>
      <c r="K76" s="1" t="n"/>
      <c r="L76" s="236" t="n"/>
      <c r="M76" s="1" t="inlineStr">
        <is>
          <t>PC-1B Water bubbler stations - 4x site DF (H003, benchmark) + 15%</t>
        </is>
      </c>
      <c r="N76" s="565">
        <f>4*S78*1.15</f>
        <v/>
      </c>
      <c r="O76" s="548" t="n"/>
      <c r="P76" s="9" t="n"/>
      <c r="Q76" s="9" t="n"/>
      <c r="R76" s="1" t="inlineStr">
        <is>
          <t>Adjusted PC base (1A+1B)</t>
        </is>
      </c>
      <c r="S76" s="565">
        <f>SUM(S71:S75)</f>
        <v/>
      </c>
      <c r="T76" s="1" t="n"/>
      <c r="U76" s="1" t="n"/>
      <c r="V76" s="1" t="n"/>
      <c r="W76" s="541" t="n"/>
      <c r="Y76" s="1" t="n"/>
      <c r="Z76" s="541" t="n"/>
      <c r="AB76" s="1" t="n"/>
      <c r="AC76" s="541" t="n"/>
    </row>
    <row r="77" customFormat="1" s="15">
      <c r="A77" s="1" t="n"/>
      <c r="B77" s="63" t="n"/>
      <c r="C77" s="63" t="n"/>
      <c r="D77" s="63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inlineStr">
        <is>
          <t>PC-1B Provisional connection fees - as directed, NO markup</t>
        </is>
      </c>
      <c r="N77" s="571" t="n">
        <v>20000</v>
      </c>
      <c r="O77" s="541" t="n"/>
      <c r="P77" s="9" t="n"/>
      <c r="Q77" s="9" t="n"/>
      <c r="R77" s="540" t="inlineStr">
        <is>
          <t>Extension deltas are stated allowances: quote quantities unfinalised; only 25 of ~108 adopted fixtures were counted when quote was assembled (Fixtures sheet). Where adopted counts exceed known quote lines they extend at quote-rate family; delta = +$25,000 total. Phase 4 reconciliation governs before award.</t>
        </is>
      </c>
      <c r="S77" s="1" t="n"/>
      <c r="T77" s="1" t="n"/>
      <c r="U77" s="1" t="n"/>
      <c r="V77" s="435" t="n"/>
      <c r="W77" s="539" t="n"/>
      <c r="Y77" s="435" t="n"/>
      <c r="Z77" s="539" t="n"/>
      <c r="AB77" s="435" t="n"/>
      <c r="AC77" s="539" t="n"/>
    </row>
    <row r="78" customFormat="1" s="15">
      <c r="A78" s="1" t="n"/>
      <c r="B78" s="63" t="n"/>
      <c r="C78" s="63" t="n"/>
      <c r="D78" s="63" t="n"/>
      <c r="E78" s="1" t="n"/>
      <c r="F78" s="1" t="n"/>
      <c r="G78" s="1" t="n"/>
      <c r="H78" s="1" t="n"/>
      <c r="I78" s="572" t="n"/>
      <c r="J78" s="517" t="n"/>
      <c r="K78" s="1" t="n"/>
      <c r="L78" s="573" t="n"/>
      <c r="M78" s="574" t="inlineStr">
        <is>
          <t>PC SUMS TOTAL ex GST</t>
        </is>
      </c>
      <c r="N78" s="575">
        <f>SUM(N71:N77)</f>
        <v/>
      </c>
      <c r="O78" s="576" t="n"/>
      <c r="P78" s="9" t="n"/>
      <c r="Q78" s="9" t="n"/>
      <c r="R78" s="1" t="inlineStr">
        <is>
          <t>Non-chilled CF400 benchmark rate (chilled $11,050 less ~35% chiller premium; Gap #6 pending re-quote)</t>
        </is>
      </c>
      <c r="S78" s="565" t="n">
        <v>7200</v>
      </c>
      <c r="T78" s="1" t="n"/>
      <c r="U78" s="1" t="n"/>
    </row>
    <row r="79" customFormat="1" s="15">
      <c r="A79" s="1" t="n"/>
      <c r="B79" s="63" t="n"/>
      <c r="C79" s="73" t="n"/>
      <c r="D79" s="73" t="n"/>
      <c r="E79" s="22" t="n"/>
      <c r="F79" s="22" t="n"/>
      <c r="G79" s="22" t="n"/>
      <c r="H79" s="22" t="n"/>
      <c r="I79" s="22" t="n"/>
      <c r="J79" s="22" t="n"/>
      <c r="K79" s="22" t="n"/>
      <c r="L79" s="555" t="n"/>
      <c r="M79" s="68" t="n"/>
      <c r="N79" s="573" t="n"/>
      <c r="O79" s="1" t="n"/>
      <c r="P79" s="9" t="n"/>
      <c r="Q79" s="9" t="n"/>
      <c r="R79" s="1" t="n"/>
      <c r="S79" s="1" t="n"/>
      <c r="T79" s="1" t="n"/>
      <c r="U79" s="1" t="n"/>
    </row>
    <row r="80" customFormat="1" s="15">
      <c r="A80" s="1" t="n"/>
      <c r="B80" s="63" t="n"/>
      <c r="C80" s="63" t="n"/>
      <c r="D80" s="63" t="n"/>
      <c r="E80" s="1" t="n"/>
      <c r="F80" s="1" t="n"/>
      <c r="G80" s="1" t="n"/>
      <c r="H80" s="1" t="n"/>
      <c r="I80" s="1" t="n"/>
      <c r="J80" s="1" t="n"/>
      <c r="K80" s="1" t="n"/>
      <c r="L80" s="555" t="n"/>
      <c r="M80" s="553" t="inlineStr">
        <is>
          <t>STAGE SPLIT (SCOPE_MATRIX: mains-through-1B in 1A; PAM/bubblers/1B connections in 1B)</t>
        </is>
      </c>
      <c r="N80" s="555" t="n"/>
      <c r="O80" s="1" t="n"/>
      <c r="P80" s="1" t="n"/>
      <c r="Q80" s="1" t="n"/>
      <c r="R80" s="1" t="n"/>
      <c r="S80" s="1" t="n"/>
      <c r="T80" s="1" t="n"/>
      <c r="U80" s="1" t="n"/>
      <c r="V80" s="484" t="n"/>
      <c r="X80" s="1" t="n"/>
      <c r="Y80" s="1" t="n"/>
      <c r="Z80" s="1" t="n"/>
      <c r="AA80" s="1" t="n"/>
      <c r="AB80" s="1" t="n"/>
      <c r="AC80" s="1" t="n"/>
    </row>
    <row r="81" customFormat="1" s="15">
      <c r="A81" s="1" t="n"/>
      <c r="B81" s="63" t="n"/>
      <c r="C81" s="63" t="n"/>
      <c r="D81" s="63" t="n"/>
      <c r="E81" s="1" t="n"/>
      <c r="F81" s="1" t="n"/>
      <c r="G81" s="1" t="n"/>
      <c r="H81" s="1" t="n"/>
      <c r="I81" s="1" t="n"/>
      <c r="J81" s="1" t="n"/>
      <c r="K81" s="1" t="n"/>
      <c r="L81" s="555" t="n"/>
      <c r="M81" s="68" t="inlineStr">
        <is>
          <t>1A base sell: NBC + Siteworks + accom/flights share (146/166 crew-days)</t>
        </is>
      </c>
      <c r="N81" s="577">
        <f>N16+N29+(N32+N33)*146/166</f>
        <v/>
      </c>
      <c r="O81" s="1" t="n"/>
      <c r="P81" s="548" t="n"/>
      <c r="Q81" s="548" t="n"/>
      <c r="R81" s="1" t="n"/>
      <c r="S81" s="1" t="n"/>
      <c r="T81" s="1" t="n"/>
      <c r="U81" s="1" t="n"/>
      <c r="V81" s="1" t="n"/>
      <c r="W81" s="541" t="n"/>
      <c r="X81" s="1" t="n"/>
      <c r="Y81" s="1" t="n"/>
      <c r="Z81" s="1" t="n"/>
      <c r="AA81" s="1" t="n"/>
      <c r="AB81" s="1" t="n"/>
      <c r="AC81" s="1" t="n"/>
    </row>
    <row r="82" customFormat="1" s="15">
      <c r="A82" s="1" t="n"/>
      <c r="B82" s="63" t="n"/>
      <c r="C82" s="63" t="n"/>
      <c r="D82" s="63" t="n"/>
      <c r="E82" s="1" t="n"/>
      <c r="F82" s="1" t="n"/>
      <c r="G82" s="1" t="n"/>
      <c r="H82" s="1" t="n"/>
      <c r="I82" s="1" t="n"/>
      <c r="J82" s="1" t="n"/>
      <c r="K82" s="1" t="n"/>
      <c r="L82" s="578" t="n"/>
      <c r="M82" s="82" t="inlineStr">
        <is>
          <t>1A PC sums</t>
        </is>
      </c>
      <c r="N82" s="577">
        <f>N71+N72+N73</f>
        <v/>
      </c>
      <c r="O82" s="1" t="n"/>
      <c r="P82" s="541" t="n"/>
      <c r="Q82" s="541" t="n"/>
      <c r="R82" s="1" t="n"/>
      <c r="S82" s="1" t="n"/>
      <c r="T82" s="1" t="n"/>
      <c r="U82" s="1" t="n"/>
      <c r="V82" s="477" t="n"/>
      <c r="X82" s="1" t="n"/>
      <c r="Y82" s="477" t="n"/>
      <c r="AA82" s="1" t="n"/>
      <c r="AB82" s="477" t="n"/>
    </row>
    <row r="83" ht="10.2" customFormat="1" customHeight="1" s="15">
      <c r="A83" s="1" t="n"/>
      <c r="B83" s="63" t="n"/>
      <c r="C83" s="63" t="n"/>
      <c r="D83" s="63" t="n"/>
      <c r="E83" s="1" t="n"/>
      <c r="F83" s="1" t="n"/>
      <c r="G83" s="1" t="n"/>
      <c r="H83" s="1" t="n"/>
      <c r="I83" s="1" t="n"/>
      <c r="J83" s="1" t="n"/>
      <c r="K83" s="1" t="n"/>
      <c r="L83" s="1" t="n"/>
      <c r="M83" s="563" t="inlineStr">
        <is>
          <t>STAGE 1A TOTAL ex GST</t>
        </is>
      </c>
      <c r="N83" s="579">
        <f>N81+N82</f>
        <v/>
      </c>
      <c r="O83" s="1" t="n"/>
      <c r="P83" s="546" t="n"/>
      <c r="Q83" s="546" t="n"/>
      <c r="R83" s="1" t="n"/>
      <c r="S83" s="1" t="n"/>
      <c r="T83" s="1" t="n"/>
      <c r="U83" s="1" t="n"/>
      <c r="V83" s="1" t="n"/>
      <c r="W83" s="541" t="n"/>
      <c r="X83" s="1" t="n"/>
      <c r="Y83" s="1" t="n"/>
      <c r="Z83" s="541" t="n"/>
      <c r="AA83" s="1" t="n"/>
      <c r="AB83" s="1" t="n"/>
      <c r="AC83" s="541" t="n"/>
    </row>
    <row r="84" ht="10.2" customFormat="1" customHeight="1" s="15">
      <c r="A84" s="1" t="n"/>
      <c r="B84" s="63" t="n"/>
      <c r="C84" s="63" t="n"/>
      <c r="D84" s="63" t="n"/>
      <c r="E84" s="1" t="n"/>
      <c r="F84" s="1" t="n"/>
      <c r="G84" s="1" t="n"/>
      <c r="H84" s="1" t="n"/>
      <c r="I84" s="1" t="n"/>
      <c r="J84" s="1" t="n"/>
      <c r="K84" s="1" t="n"/>
      <c r="L84" s="1" t="n"/>
      <c r="M84" s="517" t="inlineStr">
        <is>
          <t>1B base sell: PAM sheet (incl 1B site branches T2-09) + accom/flights share (20/166)</t>
        </is>
      </c>
      <c r="N84" s="565">
        <f>N23+(N32+N33)*20/166</f>
        <v/>
      </c>
      <c r="O84" s="1" t="n"/>
      <c r="P84" s="1" t="n"/>
      <c r="Q84" s="1" t="n"/>
      <c r="R84" s="1" t="n"/>
      <c r="S84" s="1" t="n"/>
      <c r="T84" s="1" t="n"/>
      <c r="U84" s="1" t="n"/>
      <c r="V84" s="1" t="n"/>
      <c r="W84" s="541" t="n"/>
      <c r="X84" s="1" t="n"/>
      <c r="Y84" s="1" t="n"/>
      <c r="Z84" s="541" t="n"/>
      <c r="AA84" s="1" t="n"/>
      <c r="AB84" s="1" t="n"/>
      <c r="AC84" s="541" t="n"/>
    </row>
    <row r="85" customFormat="1" s="15">
      <c r="A85" s="1" t="n"/>
      <c r="B85" s="63" t="n"/>
      <c r="C85" s="63" t="n"/>
      <c r="D85" s="63" t="n"/>
      <c r="E85" s="1" t="n"/>
      <c r="F85" s="1" t="n"/>
      <c r="G85" s="1" t="n"/>
      <c r="H85" s="1" t="n"/>
      <c r="I85" s="1" t="n"/>
      <c r="J85" s="1" t="n"/>
      <c r="K85" s="1" t="n"/>
      <c r="L85" s="1" t="n"/>
      <c r="M85" s="580" t="inlineStr">
        <is>
          <t>1B PC sums</t>
        </is>
      </c>
      <c r="N85" s="565">
        <f>SUM(N74:N77)</f>
        <v/>
      </c>
      <c r="O85" s="1" t="n"/>
      <c r="P85" s="1" t="n"/>
      <c r="Q85" s="1" t="n"/>
      <c r="R85" s="1" t="n"/>
      <c r="S85" s="1" t="n"/>
      <c r="T85" s="1" t="n"/>
      <c r="U85" s="1" t="n"/>
      <c r="V85" s="1" t="n"/>
      <c r="W85" s="541" t="n"/>
      <c r="X85" s="1" t="n"/>
      <c r="Y85" s="1" t="n"/>
      <c r="Z85" s="541" t="n"/>
      <c r="AA85" s="1" t="n"/>
      <c r="AB85" s="1" t="n"/>
      <c r="AC85" s="541" t="n"/>
    </row>
    <row r="86" customFormat="1" s="15">
      <c r="A86" s="1" t="n"/>
      <c r="B86" s="63" t="n"/>
      <c r="C86" s="63" t="n"/>
      <c r="D86" s="63" t="n"/>
      <c r="E86" s="1" t="n"/>
      <c r="F86" s="1" t="n"/>
      <c r="G86" s="1" t="n"/>
      <c r="H86" s="1" t="n"/>
      <c r="I86" s="1" t="n"/>
      <c r="J86" s="1" t="n"/>
      <c r="K86" s="1" t="n"/>
      <c r="L86" s="1" t="n"/>
      <c r="M86" s="581" t="inlineStr">
        <is>
          <t>STAGE 1B TOTAL ex GST</t>
        </is>
      </c>
      <c r="N86" s="575">
        <f>N84+N85</f>
        <v/>
      </c>
      <c r="O86" s="1" t="n"/>
      <c r="P86" s="1" t="n"/>
      <c r="Q86" s="1" t="n"/>
      <c r="R86" s="1" t="n"/>
      <c r="S86" s="1" t="n"/>
      <c r="T86" s="1" t="n"/>
      <c r="U86" s="1" t="n"/>
      <c r="V86" s="1" t="n"/>
      <c r="W86" s="402" t="n"/>
      <c r="X86" s="1" t="n"/>
      <c r="Y86" s="1" t="n"/>
      <c r="Z86" s="402" t="n"/>
      <c r="AA86" s="1" t="n"/>
      <c r="AB86" s="1" t="n"/>
      <c r="AC86" s="402" t="n"/>
    </row>
    <row r="87" customFormat="1" s="15">
      <c r="A87" s="1" t="n"/>
      <c r="B87" s="63" t="n"/>
      <c r="C87" s="63" t="n"/>
      <c r="D87" s="63" t="n"/>
      <c r="E87" s="1" t="n"/>
      <c r="F87" s="1" t="n"/>
      <c r="G87" s="1" t="n"/>
      <c r="H87" s="1" t="n"/>
      <c r="I87" s="1" t="n"/>
      <c r="J87" s="1" t="n"/>
      <c r="K87" s="1" t="n"/>
      <c r="L87" s="1" t="n"/>
      <c r="M87" s="581" t="inlineStr">
        <is>
          <t>GRAND TOTAL ex GST (1A + 1B incl PC sums)</t>
        </is>
      </c>
      <c r="N87" s="575">
        <f>N83+N86</f>
        <v/>
      </c>
      <c r="O87" s="1" t="n"/>
      <c r="P87" s="1" t="n"/>
      <c r="Q87" s="1" t="n"/>
      <c r="R87" s="1" t="n"/>
      <c r="S87" s="1" t="n"/>
      <c r="T87" s="1" t="n"/>
      <c r="U87" s="1" t="n"/>
      <c r="V87" s="1" t="n"/>
      <c r="W87" s="541" t="n"/>
      <c r="X87" s="1" t="n"/>
      <c r="Y87" s="1" t="n"/>
      <c r="Z87" s="541" t="n"/>
      <c r="AA87" s="1" t="n"/>
      <c r="AB87" s="1" t="n"/>
      <c r="AC87" s="541" t="n"/>
    </row>
    <row r="88">
      <c r="M88" t="inlineStr">
        <is>
          <t>Tie check (N64 + N78 - N87) = 0</t>
        </is>
      </c>
      <c r="N88" s="582">
        <f>N64+N78-N87</f>
        <v/>
      </c>
      <c r="V88" s="435" t="n"/>
      <c r="W88" s="539" t="n"/>
      <c r="Y88" s="435" t="n"/>
      <c r="Z88" s="539" t="n"/>
      <c r="AB88" s="435" t="n"/>
      <c r="AC88" s="539" t="n"/>
    </row>
    <row r="89">
      <c r="Y89" s="15" t="n"/>
      <c r="Z89" s="15" t="n"/>
    </row>
    <row r="90">
      <c r="V90" s="15" t="n"/>
      <c r="W90" s="15" t="n"/>
      <c r="Y90" s="15" t="n"/>
      <c r="Z90" s="15" t="n"/>
    </row>
    <row r="91" customFormat="1" s="15">
      <c r="A91" s="1" t="n"/>
      <c r="B91" s="63" t="n"/>
      <c r="C91" s="63" t="n"/>
      <c r="D91" s="63" t="n"/>
      <c r="E91" s="1" t="n"/>
      <c r="F91" s="1" t="n"/>
      <c r="G91" s="1" t="n"/>
      <c r="H91" s="1" t="n"/>
      <c r="I91" s="1" t="n"/>
      <c r="J91" s="1" t="n"/>
      <c r="K91" s="1" t="n"/>
      <c r="L91" s="1" t="n"/>
      <c r="M91" s="517" t="n"/>
      <c r="N91" s="1" t="n"/>
      <c r="O91" s="1" t="n"/>
      <c r="P91" s="1" t="n"/>
      <c r="Q91" s="1" t="n"/>
      <c r="R91" s="1" t="n"/>
      <c r="S91" s="1" t="n"/>
      <c r="T91" s="1" t="n"/>
      <c r="U91" s="1" t="n"/>
      <c r="V91" s="484" t="n"/>
      <c r="AB91" s="1" t="n"/>
      <c r="AC91" s="1" t="n"/>
    </row>
    <row r="92" ht="13.2" customFormat="1" customHeight="1" s="15">
      <c r="A92" s="1" t="n"/>
      <c r="B92" s="63" t="n"/>
      <c r="C92" s="63" t="n"/>
      <c r="D92" s="63" t="n"/>
      <c r="E92" s="1" t="n"/>
      <c r="F92" s="1" t="n"/>
      <c r="G92" s="1" t="n"/>
      <c r="H92" s="1" t="n"/>
      <c r="I92" s="1" t="n"/>
      <c r="J92" s="1" t="n"/>
      <c r="K92" s="1" t="n"/>
      <c r="L92" s="1" t="n"/>
      <c r="M92" s="517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</row>
    <row r="93">
      <c r="V93" s="477" t="n"/>
      <c r="AB93" s="15" t="n"/>
      <c r="AC93" s="15" t="n"/>
    </row>
    <row r="94">
      <c r="W94" s="541" t="n"/>
    </row>
    <row r="95">
      <c r="W95" s="541" t="n"/>
    </row>
    <row r="96">
      <c r="W96" s="541" t="n"/>
      <c r="Y96" s="477" t="n"/>
      <c r="AB96" s="477" t="n"/>
    </row>
    <row r="97">
      <c r="W97" s="402" t="n"/>
      <c r="Z97" s="541" t="n"/>
      <c r="AC97" s="541" t="n"/>
    </row>
    <row r="98">
      <c r="W98" s="541" t="n"/>
      <c r="Z98" s="541" t="n"/>
      <c r="AC98" s="541" t="n"/>
    </row>
    <row r="99">
      <c r="V99" s="435" t="n"/>
      <c r="W99" s="539" t="n"/>
      <c r="Z99" s="541" t="n"/>
      <c r="AC99" s="541" t="n"/>
    </row>
    <row r="100">
      <c r="W100" s="402" t="n"/>
      <c r="Z100" s="402" t="n"/>
      <c r="AC100" s="402" t="n"/>
    </row>
    <row r="101">
      <c r="W101" s="541" t="n"/>
      <c r="Z101" s="541" t="n"/>
      <c r="AC101" s="541" t="n"/>
    </row>
    <row r="102">
      <c r="V102" s="484" t="n"/>
      <c r="Y102" s="435" t="n"/>
      <c r="Z102" s="539" t="n"/>
      <c r="AB102" s="435" t="n"/>
      <c r="AC102" s="539" t="n"/>
    </row>
    <row r="103"/>
    <row r="104">
      <c r="V104" s="477" t="n"/>
      <c r="Y104" s="477" t="n"/>
      <c r="AB104" s="477" t="n"/>
    </row>
    <row r="105">
      <c r="W105" s="541" t="n"/>
      <c r="Z105" s="541" t="n"/>
      <c r="AC105" s="541" t="n"/>
    </row>
    <row r="106">
      <c r="W106" s="541" t="n"/>
      <c r="Z106" s="541" t="n"/>
      <c r="AC106" s="541" t="n"/>
    </row>
    <row r="107">
      <c r="W107" s="541" t="n"/>
      <c r="Z107" s="541" t="n"/>
      <c r="AC107" s="541" t="n"/>
    </row>
    <row r="108">
      <c r="W108" s="402" t="n"/>
      <c r="Z108" s="402" t="n"/>
      <c r="AC108" s="402" t="n"/>
    </row>
    <row r="109">
      <c r="W109" s="541" t="n"/>
      <c r="Z109" s="541" t="n"/>
      <c r="AC109" s="541" t="n"/>
    </row>
    <row r="110">
      <c r="V110" s="435" t="n"/>
      <c r="W110" s="539" t="n"/>
      <c r="Y110" s="435" t="n"/>
      <c r="Z110" s="539" t="n"/>
      <c r="AB110" s="435" t="n"/>
      <c r="AC110" s="539" t="n"/>
    </row>
    <row r="111"/>
    <row r="112"/>
    <row r="113"/>
    <row r="114">
      <c r="V114" s="477" t="n"/>
      <c r="Y114" s="477" t="n"/>
    </row>
    <row r="115">
      <c r="W115" s="541" t="n"/>
      <c r="Z115" s="541" t="n"/>
    </row>
    <row r="116">
      <c r="W116" s="541" t="n"/>
      <c r="Z116" s="541" t="n"/>
    </row>
    <row r="117">
      <c r="W117" s="541" t="n"/>
      <c r="Z117" s="541" t="n"/>
    </row>
    <row r="118">
      <c r="W118" s="402" t="n"/>
      <c r="Z118" s="402" t="n"/>
    </row>
    <row r="119">
      <c r="W119" s="541" t="n"/>
      <c r="Z119" s="541" t="n"/>
    </row>
    <row r="120">
      <c r="V120" s="435" t="n"/>
      <c r="W120" s="539" t="n"/>
      <c r="Y120" s="435" t="n"/>
      <c r="Z120" s="539" t="n"/>
    </row>
    <row r="121"/>
    <row r="122"/>
    <row r="123">
      <c r="V123" s="484" t="n"/>
    </row>
    <row r="124"/>
    <row r="125">
      <c r="V125" s="477" t="n"/>
      <c r="Y125" s="477" t="n"/>
      <c r="AB125" s="477" t="n"/>
    </row>
    <row r="126">
      <c r="W126" s="541" t="n"/>
      <c r="Z126" s="541" t="n"/>
      <c r="AC126" s="541" t="n"/>
    </row>
    <row r="127">
      <c r="W127" s="541" t="n"/>
      <c r="Z127" s="541" t="n"/>
      <c r="AC127" s="541" t="n"/>
    </row>
    <row r="128">
      <c r="W128" s="541" t="n"/>
      <c r="Z128" s="541" t="n"/>
      <c r="AC128" s="541" t="n"/>
    </row>
    <row r="129">
      <c r="W129" s="402" t="n"/>
      <c r="Z129" s="402" t="n"/>
      <c r="AC129" s="402" t="n"/>
    </row>
    <row r="130">
      <c r="W130" s="541" t="n"/>
      <c r="Z130" s="541" t="n"/>
      <c r="AC130" s="541" t="n"/>
    </row>
    <row r="131">
      <c r="V131" s="435" t="n"/>
      <c r="W131" s="539" t="n"/>
      <c r="Y131" s="435" t="n"/>
      <c r="Z131" s="539" t="n"/>
      <c r="AB131" s="435" t="n"/>
      <c r="AC131" s="539" t="n"/>
    </row>
    <row r="132"/>
    <row r="133"/>
    <row r="134">
      <c r="V134" s="477" t="n"/>
      <c r="X134" s="15" t="n"/>
      <c r="Y134" s="477" t="n"/>
    </row>
    <row r="135">
      <c r="W135" s="541" t="n"/>
      <c r="X135" s="15" t="n"/>
      <c r="Z135" s="541" t="n"/>
    </row>
    <row r="136">
      <c r="W136" s="541" t="n"/>
      <c r="X136" s="15" t="n"/>
      <c r="Z136" s="541" t="n"/>
    </row>
    <row r="137">
      <c r="W137" s="541" t="n"/>
      <c r="X137" s="15" t="n"/>
      <c r="Z137" s="541" t="n"/>
    </row>
    <row r="138">
      <c r="W138" s="402" t="n"/>
      <c r="X138" s="15" t="n"/>
      <c r="Z138" s="402" t="n"/>
    </row>
    <row r="139">
      <c r="W139" s="541" t="n"/>
      <c r="X139" s="15" t="n"/>
      <c r="Z139" s="541" t="n"/>
    </row>
    <row r="140">
      <c r="V140" s="435" t="n"/>
      <c r="W140" s="539" t="n"/>
      <c r="X140" s="15" t="n"/>
      <c r="Y140" s="435" t="n"/>
      <c r="Z140" s="539" t="n"/>
    </row>
  </sheetData>
  <mergeCells count="18">
    <mergeCell ref="Y114:Z114"/>
    <mergeCell ref="V123:W123"/>
    <mergeCell ref="Y125:Z125"/>
    <mergeCell ref="V125:W125"/>
    <mergeCell ref="AB125:AC125"/>
    <mergeCell ref="Y104:Z104"/>
    <mergeCell ref="Y134:Z134"/>
    <mergeCell ref="V134:W134"/>
    <mergeCell ref="V6:AD7"/>
    <mergeCell ref="AB104:AC104"/>
    <mergeCell ref="V93:W93"/>
    <mergeCell ref="B3:N4"/>
    <mergeCell ref="B6:N6"/>
    <mergeCell ref="V114:W114"/>
    <mergeCell ref="V104:W104"/>
    <mergeCell ref="Y96:Z96"/>
    <mergeCell ref="V102:W102"/>
    <mergeCell ref="AB96:AC96"/>
  </mergeCells>
  <pageMargins left="0.7" right="0.7" top="0.75" bottom="0.75" header="0.3" footer="0.3"/>
  <pageSetup orientation="portrait" paperSize="9" scale="81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L102"/>
  <sheetViews>
    <sheetView topLeftCell="A82" zoomScale="110" zoomScaleNormal="110" workbookViewId="0">
      <selection activeCell="H79" sqref="H79"/>
    </sheetView>
  </sheetViews>
  <sheetFormatPr baseColWidth="8" defaultColWidth="9.21875" defaultRowHeight="10.2"/>
  <cols>
    <col width="8.21875" customWidth="1" style="38" min="1" max="1"/>
    <col width="79" customWidth="1" style="38" min="2" max="2"/>
    <col width="11.44140625" customWidth="1" style="40" min="3" max="3"/>
    <col width="10.44140625" customWidth="1" style="40" min="4" max="4"/>
    <col width="13.21875" customWidth="1" style="583" min="5" max="5"/>
    <col width="14.21875" customWidth="1" style="583" min="6" max="6"/>
    <col width="15.21875" customWidth="1" style="38" min="7" max="7"/>
    <col width="18.21875" customWidth="1" style="40" min="8" max="8"/>
    <col width="20.5546875" customWidth="1" style="38" min="9" max="9"/>
    <col width="14.77734375" customWidth="1" style="38" min="10" max="10"/>
    <col width="12.77734375" customWidth="1" style="38" min="11" max="11"/>
    <col width="9.21875" customWidth="1" style="38" min="12" max="256"/>
    <col width="8.21875" customWidth="1" style="38" min="257" max="257"/>
    <col width="70.44140625" bestFit="1" customWidth="1" style="38" min="258" max="258"/>
    <col width="11.44140625" customWidth="1" style="38" min="259" max="259"/>
    <col width="10.44140625" customWidth="1" style="38" min="260" max="260"/>
    <col width="13.21875" customWidth="1" style="38" min="261" max="261"/>
    <col width="14.21875" customWidth="1" style="38" min="262" max="262"/>
    <col width="12.21875" customWidth="1" style="38" min="263" max="263"/>
    <col width="9.21875" customWidth="1" style="38" min="264" max="512"/>
    <col width="8.21875" customWidth="1" style="38" min="513" max="513"/>
    <col width="70.44140625" bestFit="1" customWidth="1" style="38" min="514" max="514"/>
    <col width="11.44140625" customWidth="1" style="38" min="515" max="515"/>
    <col width="10.44140625" customWidth="1" style="38" min="516" max="516"/>
    <col width="13.21875" customWidth="1" style="38" min="517" max="517"/>
    <col width="14.21875" customWidth="1" style="38" min="518" max="518"/>
    <col width="12.21875" customWidth="1" style="38" min="519" max="519"/>
    <col width="9.21875" customWidth="1" style="38" min="520" max="768"/>
    <col width="8.21875" customWidth="1" style="38" min="769" max="769"/>
    <col width="70.44140625" bestFit="1" customWidth="1" style="38" min="770" max="770"/>
    <col width="11.44140625" customWidth="1" style="38" min="771" max="771"/>
    <col width="10.44140625" customWidth="1" style="38" min="772" max="772"/>
    <col width="13.21875" customWidth="1" style="38" min="773" max="773"/>
    <col width="14.21875" customWidth="1" style="38" min="774" max="774"/>
    <col width="12.21875" customWidth="1" style="38" min="775" max="775"/>
    <col width="9.21875" customWidth="1" style="38" min="776" max="1024"/>
    <col width="8.21875" customWidth="1" style="38" min="1025" max="1025"/>
    <col width="70.44140625" bestFit="1" customWidth="1" style="38" min="1026" max="1026"/>
    <col width="11.44140625" customWidth="1" style="38" min="1027" max="1027"/>
    <col width="10.44140625" customWidth="1" style="38" min="1028" max="1028"/>
    <col width="13.21875" customWidth="1" style="38" min="1029" max="1029"/>
    <col width="14.21875" customWidth="1" style="38" min="1030" max="1030"/>
    <col width="12.21875" customWidth="1" style="38" min="1031" max="1031"/>
    <col width="9.21875" customWidth="1" style="38" min="1032" max="1280"/>
    <col width="8.21875" customWidth="1" style="38" min="1281" max="1281"/>
    <col width="70.44140625" bestFit="1" customWidth="1" style="38" min="1282" max="1282"/>
    <col width="11.44140625" customWidth="1" style="38" min="1283" max="1283"/>
    <col width="10.44140625" customWidth="1" style="38" min="1284" max="1284"/>
    <col width="13.21875" customWidth="1" style="38" min="1285" max="1285"/>
    <col width="14.21875" customWidth="1" style="38" min="1286" max="1286"/>
    <col width="12.21875" customWidth="1" style="38" min="1287" max="1287"/>
    <col width="9.21875" customWidth="1" style="38" min="1288" max="1536"/>
    <col width="8.21875" customWidth="1" style="38" min="1537" max="1537"/>
    <col width="70.44140625" bestFit="1" customWidth="1" style="38" min="1538" max="1538"/>
    <col width="11.44140625" customWidth="1" style="38" min="1539" max="1539"/>
    <col width="10.44140625" customWidth="1" style="38" min="1540" max="1540"/>
    <col width="13.21875" customWidth="1" style="38" min="1541" max="1541"/>
    <col width="14.21875" customWidth="1" style="38" min="1542" max="1542"/>
    <col width="12.21875" customWidth="1" style="38" min="1543" max="1543"/>
    <col width="9.21875" customWidth="1" style="38" min="1544" max="1792"/>
    <col width="8.21875" customWidth="1" style="38" min="1793" max="1793"/>
    <col width="70.44140625" bestFit="1" customWidth="1" style="38" min="1794" max="1794"/>
    <col width="11.44140625" customWidth="1" style="38" min="1795" max="1795"/>
    <col width="10.44140625" customWidth="1" style="38" min="1796" max="1796"/>
    <col width="13.21875" customWidth="1" style="38" min="1797" max="1797"/>
    <col width="14.21875" customWidth="1" style="38" min="1798" max="1798"/>
    <col width="12.21875" customWidth="1" style="38" min="1799" max="1799"/>
    <col width="9.21875" customWidth="1" style="38" min="1800" max="2048"/>
    <col width="8.21875" customWidth="1" style="38" min="2049" max="2049"/>
    <col width="70.44140625" bestFit="1" customWidth="1" style="38" min="2050" max="2050"/>
    <col width="11.44140625" customWidth="1" style="38" min="2051" max="2051"/>
    <col width="10.44140625" customWidth="1" style="38" min="2052" max="2052"/>
    <col width="13.21875" customWidth="1" style="38" min="2053" max="2053"/>
    <col width="14.21875" customWidth="1" style="38" min="2054" max="2054"/>
    <col width="12.21875" customWidth="1" style="38" min="2055" max="2055"/>
    <col width="9.21875" customWidth="1" style="38" min="2056" max="2304"/>
    <col width="8.21875" customWidth="1" style="38" min="2305" max="2305"/>
    <col width="70.44140625" bestFit="1" customWidth="1" style="38" min="2306" max="2306"/>
    <col width="11.44140625" customWidth="1" style="38" min="2307" max="2307"/>
    <col width="10.44140625" customWidth="1" style="38" min="2308" max="2308"/>
    <col width="13.21875" customWidth="1" style="38" min="2309" max="2309"/>
    <col width="14.21875" customWidth="1" style="38" min="2310" max="2310"/>
    <col width="12.21875" customWidth="1" style="38" min="2311" max="2311"/>
    <col width="9.21875" customWidth="1" style="38" min="2312" max="2560"/>
    <col width="8.21875" customWidth="1" style="38" min="2561" max="2561"/>
    <col width="70.44140625" bestFit="1" customWidth="1" style="38" min="2562" max="2562"/>
    <col width="11.44140625" customWidth="1" style="38" min="2563" max="2563"/>
    <col width="10.44140625" customWidth="1" style="38" min="2564" max="2564"/>
    <col width="13.21875" customWidth="1" style="38" min="2565" max="2565"/>
    <col width="14.21875" customWidth="1" style="38" min="2566" max="2566"/>
    <col width="12.21875" customWidth="1" style="38" min="2567" max="2567"/>
    <col width="9.21875" customWidth="1" style="38" min="2568" max="2816"/>
    <col width="8.21875" customWidth="1" style="38" min="2817" max="2817"/>
    <col width="70.44140625" bestFit="1" customWidth="1" style="38" min="2818" max="2818"/>
    <col width="11.44140625" customWidth="1" style="38" min="2819" max="2819"/>
    <col width="10.44140625" customWidth="1" style="38" min="2820" max="2820"/>
    <col width="13.21875" customWidth="1" style="38" min="2821" max="2821"/>
    <col width="14.21875" customWidth="1" style="38" min="2822" max="2822"/>
    <col width="12.21875" customWidth="1" style="38" min="2823" max="2823"/>
    <col width="9.21875" customWidth="1" style="38" min="2824" max="3072"/>
    <col width="8.21875" customWidth="1" style="38" min="3073" max="3073"/>
    <col width="70.44140625" bestFit="1" customWidth="1" style="38" min="3074" max="3074"/>
    <col width="11.44140625" customWidth="1" style="38" min="3075" max="3075"/>
    <col width="10.44140625" customWidth="1" style="38" min="3076" max="3076"/>
    <col width="13.21875" customWidth="1" style="38" min="3077" max="3077"/>
    <col width="14.21875" customWidth="1" style="38" min="3078" max="3078"/>
    <col width="12.21875" customWidth="1" style="38" min="3079" max="3079"/>
    <col width="9.21875" customWidth="1" style="38" min="3080" max="3328"/>
    <col width="8.21875" customWidth="1" style="38" min="3329" max="3329"/>
    <col width="70.44140625" bestFit="1" customWidth="1" style="38" min="3330" max="3330"/>
    <col width="11.44140625" customWidth="1" style="38" min="3331" max="3331"/>
    <col width="10.44140625" customWidth="1" style="38" min="3332" max="3332"/>
    <col width="13.21875" customWidth="1" style="38" min="3333" max="3333"/>
    <col width="14.21875" customWidth="1" style="38" min="3334" max="3334"/>
    <col width="12.21875" customWidth="1" style="38" min="3335" max="3335"/>
    <col width="9.21875" customWidth="1" style="38" min="3336" max="3584"/>
    <col width="8.21875" customWidth="1" style="38" min="3585" max="3585"/>
    <col width="70.44140625" bestFit="1" customWidth="1" style="38" min="3586" max="3586"/>
    <col width="11.44140625" customWidth="1" style="38" min="3587" max="3587"/>
    <col width="10.44140625" customWidth="1" style="38" min="3588" max="3588"/>
    <col width="13.21875" customWidth="1" style="38" min="3589" max="3589"/>
    <col width="14.21875" customWidth="1" style="38" min="3590" max="3590"/>
    <col width="12.21875" customWidth="1" style="38" min="3591" max="3591"/>
    <col width="9.21875" customWidth="1" style="38" min="3592" max="3840"/>
    <col width="8.21875" customWidth="1" style="38" min="3841" max="3841"/>
    <col width="70.44140625" bestFit="1" customWidth="1" style="38" min="3842" max="3842"/>
    <col width="11.44140625" customWidth="1" style="38" min="3843" max="3843"/>
    <col width="10.44140625" customWidth="1" style="38" min="3844" max="3844"/>
    <col width="13.21875" customWidth="1" style="38" min="3845" max="3845"/>
    <col width="14.21875" customWidth="1" style="38" min="3846" max="3846"/>
    <col width="12.21875" customWidth="1" style="38" min="3847" max="3847"/>
    <col width="9.21875" customWidth="1" style="38" min="3848" max="4096"/>
    <col width="8.21875" customWidth="1" style="38" min="4097" max="4097"/>
    <col width="70.44140625" bestFit="1" customWidth="1" style="38" min="4098" max="4098"/>
    <col width="11.44140625" customWidth="1" style="38" min="4099" max="4099"/>
    <col width="10.44140625" customWidth="1" style="38" min="4100" max="4100"/>
    <col width="13.21875" customWidth="1" style="38" min="4101" max="4101"/>
    <col width="14.21875" customWidth="1" style="38" min="4102" max="4102"/>
    <col width="12.21875" customWidth="1" style="38" min="4103" max="4103"/>
    <col width="9.21875" customWidth="1" style="38" min="4104" max="4352"/>
    <col width="8.21875" customWidth="1" style="38" min="4353" max="4353"/>
    <col width="70.44140625" bestFit="1" customWidth="1" style="38" min="4354" max="4354"/>
    <col width="11.44140625" customWidth="1" style="38" min="4355" max="4355"/>
    <col width="10.44140625" customWidth="1" style="38" min="4356" max="4356"/>
    <col width="13.21875" customWidth="1" style="38" min="4357" max="4357"/>
    <col width="14.21875" customWidth="1" style="38" min="4358" max="4358"/>
    <col width="12.21875" customWidth="1" style="38" min="4359" max="4359"/>
    <col width="9.21875" customWidth="1" style="38" min="4360" max="4608"/>
    <col width="8.21875" customWidth="1" style="38" min="4609" max="4609"/>
    <col width="70.44140625" bestFit="1" customWidth="1" style="38" min="4610" max="4610"/>
    <col width="11.44140625" customWidth="1" style="38" min="4611" max="4611"/>
    <col width="10.44140625" customWidth="1" style="38" min="4612" max="4612"/>
    <col width="13.21875" customWidth="1" style="38" min="4613" max="4613"/>
    <col width="14.21875" customWidth="1" style="38" min="4614" max="4614"/>
    <col width="12.21875" customWidth="1" style="38" min="4615" max="4615"/>
    <col width="9.21875" customWidth="1" style="38" min="4616" max="4864"/>
    <col width="8.21875" customWidth="1" style="38" min="4865" max="4865"/>
    <col width="70.44140625" bestFit="1" customWidth="1" style="38" min="4866" max="4866"/>
    <col width="11.44140625" customWidth="1" style="38" min="4867" max="4867"/>
    <col width="10.44140625" customWidth="1" style="38" min="4868" max="4868"/>
    <col width="13.21875" customWidth="1" style="38" min="4869" max="4869"/>
    <col width="14.21875" customWidth="1" style="38" min="4870" max="4870"/>
    <col width="12.21875" customWidth="1" style="38" min="4871" max="4871"/>
    <col width="9.21875" customWidth="1" style="38" min="4872" max="5120"/>
    <col width="8.21875" customWidth="1" style="38" min="5121" max="5121"/>
    <col width="70.44140625" bestFit="1" customWidth="1" style="38" min="5122" max="5122"/>
    <col width="11.44140625" customWidth="1" style="38" min="5123" max="5123"/>
    <col width="10.44140625" customWidth="1" style="38" min="5124" max="5124"/>
    <col width="13.21875" customWidth="1" style="38" min="5125" max="5125"/>
    <col width="14.21875" customWidth="1" style="38" min="5126" max="5126"/>
    <col width="12.21875" customWidth="1" style="38" min="5127" max="5127"/>
    <col width="9.21875" customWidth="1" style="38" min="5128" max="5376"/>
    <col width="8.21875" customWidth="1" style="38" min="5377" max="5377"/>
    <col width="70.44140625" bestFit="1" customWidth="1" style="38" min="5378" max="5378"/>
    <col width="11.44140625" customWidth="1" style="38" min="5379" max="5379"/>
    <col width="10.44140625" customWidth="1" style="38" min="5380" max="5380"/>
    <col width="13.21875" customWidth="1" style="38" min="5381" max="5381"/>
    <col width="14.21875" customWidth="1" style="38" min="5382" max="5382"/>
    <col width="12.21875" customWidth="1" style="38" min="5383" max="5383"/>
    <col width="9.21875" customWidth="1" style="38" min="5384" max="5632"/>
    <col width="8.21875" customWidth="1" style="38" min="5633" max="5633"/>
    <col width="70.44140625" bestFit="1" customWidth="1" style="38" min="5634" max="5634"/>
    <col width="11.44140625" customWidth="1" style="38" min="5635" max="5635"/>
    <col width="10.44140625" customWidth="1" style="38" min="5636" max="5636"/>
    <col width="13.21875" customWidth="1" style="38" min="5637" max="5637"/>
    <col width="14.21875" customWidth="1" style="38" min="5638" max="5638"/>
    <col width="12.21875" customWidth="1" style="38" min="5639" max="5639"/>
    <col width="9.21875" customWidth="1" style="38" min="5640" max="5888"/>
    <col width="8.21875" customWidth="1" style="38" min="5889" max="5889"/>
    <col width="70.44140625" bestFit="1" customWidth="1" style="38" min="5890" max="5890"/>
    <col width="11.44140625" customWidth="1" style="38" min="5891" max="5891"/>
    <col width="10.44140625" customWidth="1" style="38" min="5892" max="5892"/>
    <col width="13.21875" customWidth="1" style="38" min="5893" max="5893"/>
    <col width="14.21875" customWidth="1" style="38" min="5894" max="5894"/>
    <col width="12.21875" customWidth="1" style="38" min="5895" max="5895"/>
    <col width="9.21875" customWidth="1" style="38" min="5896" max="6144"/>
    <col width="8.21875" customWidth="1" style="38" min="6145" max="6145"/>
    <col width="70.44140625" bestFit="1" customWidth="1" style="38" min="6146" max="6146"/>
    <col width="11.44140625" customWidth="1" style="38" min="6147" max="6147"/>
    <col width="10.44140625" customWidth="1" style="38" min="6148" max="6148"/>
    <col width="13.21875" customWidth="1" style="38" min="6149" max="6149"/>
    <col width="14.21875" customWidth="1" style="38" min="6150" max="6150"/>
    <col width="12.21875" customWidth="1" style="38" min="6151" max="6151"/>
    <col width="9.21875" customWidth="1" style="38" min="6152" max="6400"/>
    <col width="8.21875" customWidth="1" style="38" min="6401" max="6401"/>
    <col width="70.44140625" bestFit="1" customWidth="1" style="38" min="6402" max="6402"/>
    <col width="11.44140625" customWidth="1" style="38" min="6403" max="6403"/>
    <col width="10.44140625" customWidth="1" style="38" min="6404" max="6404"/>
    <col width="13.21875" customWidth="1" style="38" min="6405" max="6405"/>
    <col width="14.21875" customWidth="1" style="38" min="6406" max="6406"/>
    <col width="12.21875" customWidth="1" style="38" min="6407" max="6407"/>
    <col width="9.21875" customWidth="1" style="38" min="6408" max="6656"/>
    <col width="8.21875" customWidth="1" style="38" min="6657" max="6657"/>
    <col width="70.44140625" bestFit="1" customWidth="1" style="38" min="6658" max="6658"/>
    <col width="11.44140625" customWidth="1" style="38" min="6659" max="6659"/>
    <col width="10.44140625" customWidth="1" style="38" min="6660" max="6660"/>
    <col width="13.21875" customWidth="1" style="38" min="6661" max="6661"/>
    <col width="14.21875" customWidth="1" style="38" min="6662" max="6662"/>
    <col width="12.21875" customWidth="1" style="38" min="6663" max="6663"/>
    <col width="9.21875" customWidth="1" style="38" min="6664" max="6912"/>
    <col width="8.21875" customWidth="1" style="38" min="6913" max="6913"/>
    <col width="70.44140625" bestFit="1" customWidth="1" style="38" min="6914" max="6914"/>
    <col width="11.44140625" customWidth="1" style="38" min="6915" max="6915"/>
    <col width="10.44140625" customWidth="1" style="38" min="6916" max="6916"/>
    <col width="13.21875" customWidth="1" style="38" min="6917" max="6917"/>
    <col width="14.21875" customWidth="1" style="38" min="6918" max="6918"/>
    <col width="12.21875" customWidth="1" style="38" min="6919" max="6919"/>
    <col width="9.21875" customWidth="1" style="38" min="6920" max="7168"/>
    <col width="8.21875" customWidth="1" style="38" min="7169" max="7169"/>
    <col width="70.44140625" bestFit="1" customWidth="1" style="38" min="7170" max="7170"/>
    <col width="11.44140625" customWidth="1" style="38" min="7171" max="7171"/>
    <col width="10.44140625" customWidth="1" style="38" min="7172" max="7172"/>
    <col width="13.21875" customWidth="1" style="38" min="7173" max="7173"/>
    <col width="14.21875" customWidth="1" style="38" min="7174" max="7174"/>
    <col width="12.21875" customWidth="1" style="38" min="7175" max="7175"/>
    <col width="9.21875" customWidth="1" style="38" min="7176" max="7424"/>
    <col width="8.21875" customWidth="1" style="38" min="7425" max="7425"/>
    <col width="70.44140625" bestFit="1" customWidth="1" style="38" min="7426" max="7426"/>
    <col width="11.44140625" customWidth="1" style="38" min="7427" max="7427"/>
    <col width="10.44140625" customWidth="1" style="38" min="7428" max="7428"/>
    <col width="13.21875" customWidth="1" style="38" min="7429" max="7429"/>
    <col width="14.21875" customWidth="1" style="38" min="7430" max="7430"/>
    <col width="12.21875" customWidth="1" style="38" min="7431" max="7431"/>
    <col width="9.21875" customWidth="1" style="38" min="7432" max="7680"/>
    <col width="8.21875" customWidth="1" style="38" min="7681" max="7681"/>
    <col width="70.44140625" bestFit="1" customWidth="1" style="38" min="7682" max="7682"/>
    <col width="11.44140625" customWidth="1" style="38" min="7683" max="7683"/>
    <col width="10.44140625" customWidth="1" style="38" min="7684" max="7684"/>
    <col width="13.21875" customWidth="1" style="38" min="7685" max="7685"/>
    <col width="14.21875" customWidth="1" style="38" min="7686" max="7686"/>
    <col width="12.21875" customWidth="1" style="38" min="7687" max="7687"/>
    <col width="9.21875" customWidth="1" style="38" min="7688" max="7936"/>
    <col width="8.21875" customWidth="1" style="38" min="7937" max="7937"/>
    <col width="70.44140625" bestFit="1" customWidth="1" style="38" min="7938" max="7938"/>
    <col width="11.44140625" customWidth="1" style="38" min="7939" max="7939"/>
    <col width="10.44140625" customWidth="1" style="38" min="7940" max="7940"/>
    <col width="13.21875" customWidth="1" style="38" min="7941" max="7941"/>
    <col width="14.21875" customWidth="1" style="38" min="7942" max="7942"/>
    <col width="12.21875" customWidth="1" style="38" min="7943" max="7943"/>
    <col width="9.21875" customWidth="1" style="38" min="7944" max="8192"/>
    <col width="8.21875" customWidth="1" style="38" min="8193" max="8193"/>
    <col width="70.44140625" bestFit="1" customWidth="1" style="38" min="8194" max="8194"/>
    <col width="11.44140625" customWidth="1" style="38" min="8195" max="8195"/>
    <col width="10.44140625" customWidth="1" style="38" min="8196" max="8196"/>
    <col width="13.21875" customWidth="1" style="38" min="8197" max="8197"/>
    <col width="14.21875" customWidth="1" style="38" min="8198" max="8198"/>
    <col width="12.21875" customWidth="1" style="38" min="8199" max="8199"/>
    <col width="9.21875" customWidth="1" style="38" min="8200" max="8448"/>
    <col width="8.21875" customWidth="1" style="38" min="8449" max="8449"/>
    <col width="70.44140625" bestFit="1" customWidth="1" style="38" min="8450" max="8450"/>
    <col width="11.44140625" customWidth="1" style="38" min="8451" max="8451"/>
    <col width="10.44140625" customWidth="1" style="38" min="8452" max="8452"/>
    <col width="13.21875" customWidth="1" style="38" min="8453" max="8453"/>
    <col width="14.21875" customWidth="1" style="38" min="8454" max="8454"/>
    <col width="12.21875" customWidth="1" style="38" min="8455" max="8455"/>
    <col width="9.21875" customWidth="1" style="38" min="8456" max="8704"/>
    <col width="8.21875" customWidth="1" style="38" min="8705" max="8705"/>
    <col width="70.44140625" bestFit="1" customWidth="1" style="38" min="8706" max="8706"/>
    <col width="11.44140625" customWidth="1" style="38" min="8707" max="8707"/>
    <col width="10.44140625" customWidth="1" style="38" min="8708" max="8708"/>
    <col width="13.21875" customWidth="1" style="38" min="8709" max="8709"/>
    <col width="14.21875" customWidth="1" style="38" min="8710" max="8710"/>
    <col width="12.21875" customWidth="1" style="38" min="8711" max="8711"/>
    <col width="9.21875" customWidth="1" style="38" min="8712" max="8960"/>
    <col width="8.21875" customWidth="1" style="38" min="8961" max="8961"/>
    <col width="70.44140625" bestFit="1" customWidth="1" style="38" min="8962" max="8962"/>
    <col width="11.44140625" customWidth="1" style="38" min="8963" max="8963"/>
    <col width="10.44140625" customWidth="1" style="38" min="8964" max="8964"/>
    <col width="13.21875" customWidth="1" style="38" min="8965" max="8965"/>
    <col width="14.21875" customWidth="1" style="38" min="8966" max="8966"/>
    <col width="12.21875" customWidth="1" style="38" min="8967" max="8967"/>
    <col width="9.21875" customWidth="1" style="38" min="8968" max="9216"/>
    <col width="8.21875" customWidth="1" style="38" min="9217" max="9217"/>
    <col width="70.44140625" bestFit="1" customWidth="1" style="38" min="9218" max="9218"/>
    <col width="11.44140625" customWidth="1" style="38" min="9219" max="9219"/>
    <col width="10.44140625" customWidth="1" style="38" min="9220" max="9220"/>
    <col width="13.21875" customWidth="1" style="38" min="9221" max="9221"/>
    <col width="14.21875" customWidth="1" style="38" min="9222" max="9222"/>
    <col width="12.21875" customWidth="1" style="38" min="9223" max="9223"/>
    <col width="9.21875" customWidth="1" style="38" min="9224" max="9472"/>
    <col width="8.21875" customWidth="1" style="38" min="9473" max="9473"/>
    <col width="70.44140625" bestFit="1" customWidth="1" style="38" min="9474" max="9474"/>
    <col width="11.44140625" customWidth="1" style="38" min="9475" max="9475"/>
    <col width="10.44140625" customWidth="1" style="38" min="9476" max="9476"/>
    <col width="13.21875" customWidth="1" style="38" min="9477" max="9477"/>
    <col width="14.21875" customWidth="1" style="38" min="9478" max="9478"/>
    <col width="12.21875" customWidth="1" style="38" min="9479" max="9479"/>
    <col width="9.21875" customWidth="1" style="38" min="9480" max="9728"/>
    <col width="8.21875" customWidth="1" style="38" min="9729" max="9729"/>
    <col width="70.44140625" bestFit="1" customWidth="1" style="38" min="9730" max="9730"/>
    <col width="11.44140625" customWidth="1" style="38" min="9731" max="9731"/>
    <col width="10.44140625" customWidth="1" style="38" min="9732" max="9732"/>
    <col width="13.21875" customWidth="1" style="38" min="9733" max="9733"/>
    <col width="14.21875" customWidth="1" style="38" min="9734" max="9734"/>
    <col width="12.21875" customWidth="1" style="38" min="9735" max="9735"/>
    <col width="9.21875" customWidth="1" style="38" min="9736" max="9984"/>
    <col width="8.21875" customWidth="1" style="38" min="9985" max="9985"/>
    <col width="70.44140625" bestFit="1" customWidth="1" style="38" min="9986" max="9986"/>
    <col width="11.44140625" customWidth="1" style="38" min="9987" max="9987"/>
    <col width="10.44140625" customWidth="1" style="38" min="9988" max="9988"/>
    <col width="13.21875" customWidth="1" style="38" min="9989" max="9989"/>
    <col width="14.21875" customWidth="1" style="38" min="9990" max="9990"/>
    <col width="12.21875" customWidth="1" style="38" min="9991" max="9991"/>
    <col width="9.21875" customWidth="1" style="38" min="9992" max="10240"/>
    <col width="8.21875" customWidth="1" style="38" min="10241" max="10241"/>
    <col width="70.44140625" bestFit="1" customWidth="1" style="38" min="10242" max="10242"/>
    <col width="11.44140625" customWidth="1" style="38" min="10243" max="10243"/>
    <col width="10.44140625" customWidth="1" style="38" min="10244" max="10244"/>
    <col width="13.21875" customWidth="1" style="38" min="10245" max="10245"/>
    <col width="14.21875" customWidth="1" style="38" min="10246" max="10246"/>
    <col width="12.21875" customWidth="1" style="38" min="10247" max="10247"/>
    <col width="9.21875" customWidth="1" style="38" min="10248" max="10496"/>
    <col width="8.21875" customWidth="1" style="38" min="10497" max="10497"/>
    <col width="70.44140625" bestFit="1" customWidth="1" style="38" min="10498" max="10498"/>
    <col width="11.44140625" customWidth="1" style="38" min="10499" max="10499"/>
    <col width="10.44140625" customWidth="1" style="38" min="10500" max="10500"/>
    <col width="13.21875" customWidth="1" style="38" min="10501" max="10501"/>
    <col width="14.21875" customWidth="1" style="38" min="10502" max="10502"/>
    <col width="12.21875" customWidth="1" style="38" min="10503" max="10503"/>
    <col width="9.21875" customWidth="1" style="38" min="10504" max="10752"/>
    <col width="8.21875" customWidth="1" style="38" min="10753" max="10753"/>
    <col width="70.44140625" bestFit="1" customWidth="1" style="38" min="10754" max="10754"/>
    <col width="11.44140625" customWidth="1" style="38" min="10755" max="10755"/>
    <col width="10.44140625" customWidth="1" style="38" min="10756" max="10756"/>
    <col width="13.21875" customWidth="1" style="38" min="10757" max="10757"/>
    <col width="14.21875" customWidth="1" style="38" min="10758" max="10758"/>
    <col width="12.21875" customWidth="1" style="38" min="10759" max="10759"/>
    <col width="9.21875" customWidth="1" style="38" min="10760" max="11008"/>
    <col width="8.21875" customWidth="1" style="38" min="11009" max="11009"/>
    <col width="70.44140625" bestFit="1" customWidth="1" style="38" min="11010" max="11010"/>
    <col width="11.44140625" customWidth="1" style="38" min="11011" max="11011"/>
    <col width="10.44140625" customWidth="1" style="38" min="11012" max="11012"/>
    <col width="13.21875" customWidth="1" style="38" min="11013" max="11013"/>
    <col width="14.21875" customWidth="1" style="38" min="11014" max="11014"/>
    <col width="12.21875" customWidth="1" style="38" min="11015" max="11015"/>
    <col width="9.21875" customWidth="1" style="38" min="11016" max="11264"/>
    <col width="8.21875" customWidth="1" style="38" min="11265" max="11265"/>
    <col width="70.44140625" bestFit="1" customWidth="1" style="38" min="11266" max="11266"/>
    <col width="11.44140625" customWidth="1" style="38" min="11267" max="11267"/>
    <col width="10.44140625" customWidth="1" style="38" min="11268" max="11268"/>
    <col width="13.21875" customWidth="1" style="38" min="11269" max="11269"/>
    <col width="14.21875" customWidth="1" style="38" min="11270" max="11270"/>
    <col width="12.21875" customWidth="1" style="38" min="11271" max="11271"/>
    <col width="9.21875" customWidth="1" style="38" min="11272" max="11520"/>
    <col width="8.21875" customWidth="1" style="38" min="11521" max="11521"/>
    <col width="70.44140625" bestFit="1" customWidth="1" style="38" min="11522" max="11522"/>
    <col width="11.44140625" customWidth="1" style="38" min="11523" max="11523"/>
    <col width="10.44140625" customWidth="1" style="38" min="11524" max="11524"/>
    <col width="13.21875" customWidth="1" style="38" min="11525" max="11525"/>
    <col width="14.21875" customWidth="1" style="38" min="11526" max="11526"/>
    <col width="12.21875" customWidth="1" style="38" min="11527" max="11527"/>
    <col width="9.21875" customWidth="1" style="38" min="11528" max="11776"/>
    <col width="8.21875" customWidth="1" style="38" min="11777" max="11777"/>
    <col width="70.44140625" bestFit="1" customWidth="1" style="38" min="11778" max="11778"/>
    <col width="11.44140625" customWidth="1" style="38" min="11779" max="11779"/>
    <col width="10.44140625" customWidth="1" style="38" min="11780" max="11780"/>
    <col width="13.21875" customWidth="1" style="38" min="11781" max="11781"/>
    <col width="14.21875" customWidth="1" style="38" min="11782" max="11782"/>
    <col width="12.21875" customWidth="1" style="38" min="11783" max="11783"/>
    <col width="9.21875" customWidth="1" style="38" min="11784" max="12032"/>
    <col width="8.21875" customWidth="1" style="38" min="12033" max="12033"/>
    <col width="70.44140625" bestFit="1" customWidth="1" style="38" min="12034" max="12034"/>
    <col width="11.44140625" customWidth="1" style="38" min="12035" max="12035"/>
    <col width="10.44140625" customWidth="1" style="38" min="12036" max="12036"/>
    <col width="13.21875" customWidth="1" style="38" min="12037" max="12037"/>
    <col width="14.21875" customWidth="1" style="38" min="12038" max="12038"/>
    <col width="12.21875" customWidth="1" style="38" min="12039" max="12039"/>
    <col width="9.21875" customWidth="1" style="38" min="12040" max="12288"/>
    <col width="8.21875" customWidth="1" style="38" min="12289" max="12289"/>
    <col width="70.44140625" bestFit="1" customWidth="1" style="38" min="12290" max="12290"/>
    <col width="11.44140625" customWidth="1" style="38" min="12291" max="12291"/>
    <col width="10.44140625" customWidth="1" style="38" min="12292" max="12292"/>
    <col width="13.21875" customWidth="1" style="38" min="12293" max="12293"/>
    <col width="14.21875" customWidth="1" style="38" min="12294" max="12294"/>
    <col width="12.21875" customWidth="1" style="38" min="12295" max="12295"/>
    <col width="9.21875" customWidth="1" style="38" min="12296" max="12544"/>
    <col width="8.21875" customWidth="1" style="38" min="12545" max="12545"/>
    <col width="70.44140625" bestFit="1" customWidth="1" style="38" min="12546" max="12546"/>
    <col width="11.44140625" customWidth="1" style="38" min="12547" max="12547"/>
    <col width="10.44140625" customWidth="1" style="38" min="12548" max="12548"/>
    <col width="13.21875" customWidth="1" style="38" min="12549" max="12549"/>
    <col width="14.21875" customWidth="1" style="38" min="12550" max="12550"/>
    <col width="12.21875" customWidth="1" style="38" min="12551" max="12551"/>
    <col width="9.21875" customWidth="1" style="38" min="12552" max="12800"/>
    <col width="8.21875" customWidth="1" style="38" min="12801" max="12801"/>
    <col width="70.44140625" bestFit="1" customWidth="1" style="38" min="12802" max="12802"/>
    <col width="11.44140625" customWidth="1" style="38" min="12803" max="12803"/>
    <col width="10.44140625" customWidth="1" style="38" min="12804" max="12804"/>
    <col width="13.21875" customWidth="1" style="38" min="12805" max="12805"/>
    <col width="14.21875" customWidth="1" style="38" min="12806" max="12806"/>
    <col width="12.21875" customWidth="1" style="38" min="12807" max="12807"/>
    <col width="9.21875" customWidth="1" style="38" min="12808" max="13056"/>
    <col width="8.21875" customWidth="1" style="38" min="13057" max="13057"/>
    <col width="70.44140625" bestFit="1" customWidth="1" style="38" min="13058" max="13058"/>
    <col width="11.44140625" customWidth="1" style="38" min="13059" max="13059"/>
    <col width="10.44140625" customWidth="1" style="38" min="13060" max="13060"/>
    <col width="13.21875" customWidth="1" style="38" min="13061" max="13061"/>
    <col width="14.21875" customWidth="1" style="38" min="13062" max="13062"/>
    <col width="12.21875" customWidth="1" style="38" min="13063" max="13063"/>
    <col width="9.21875" customWidth="1" style="38" min="13064" max="13312"/>
    <col width="8.21875" customWidth="1" style="38" min="13313" max="13313"/>
    <col width="70.44140625" bestFit="1" customWidth="1" style="38" min="13314" max="13314"/>
    <col width="11.44140625" customWidth="1" style="38" min="13315" max="13315"/>
    <col width="10.44140625" customWidth="1" style="38" min="13316" max="13316"/>
    <col width="13.21875" customWidth="1" style="38" min="13317" max="13317"/>
    <col width="14.21875" customWidth="1" style="38" min="13318" max="13318"/>
    <col width="12.21875" customWidth="1" style="38" min="13319" max="13319"/>
    <col width="9.21875" customWidth="1" style="38" min="13320" max="13568"/>
    <col width="8.21875" customWidth="1" style="38" min="13569" max="13569"/>
    <col width="70.44140625" bestFit="1" customWidth="1" style="38" min="13570" max="13570"/>
    <col width="11.44140625" customWidth="1" style="38" min="13571" max="13571"/>
    <col width="10.44140625" customWidth="1" style="38" min="13572" max="13572"/>
    <col width="13.21875" customWidth="1" style="38" min="13573" max="13573"/>
    <col width="14.21875" customWidth="1" style="38" min="13574" max="13574"/>
    <col width="12.21875" customWidth="1" style="38" min="13575" max="13575"/>
    <col width="9.21875" customWidth="1" style="38" min="13576" max="13824"/>
    <col width="8.21875" customWidth="1" style="38" min="13825" max="13825"/>
    <col width="70.44140625" bestFit="1" customWidth="1" style="38" min="13826" max="13826"/>
    <col width="11.44140625" customWidth="1" style="38" min="13827" max="13827"/>
    <col width="10.44140625" customWidth="1" style="38" min="13828" max="13828"/>
    <col width="13.21875" customWidth="1" style="38" min="13829" max="13829"/>
    <col width="14.21875" customWidth="1" style="38" min="13830" max="13830"/>
    <col width="12.21875" customWidth="1" style="38" min="13831" max="13831"/>
    <col width="9.21875" customWidth="1" style="38" min="13832" max="14080"/>
    <col width="8.21875" customWidth="1" style="38" min="14081" max="14081"/>
    <col width="70.44140625" bestFit="1" customWidth="1" style="38" min="14082" max="14082"/>
    <col width="11.44140625" customWidth="1" style="38" min="14083" max="14083"/>
    <col width="10.44140625" customWidth="1" style="38" min="14084" max="14084"/>
    <col width="13.21875" customWidth="1" style="38" min="14085" max="14085"/>
    <col width="14.21875" customWidth="1" style="38" min="14086" max="14086"/>
    <col width="12.21875" customWidth="1" style="38" min="14087" max="14087"/>
    <col width="9.21875" customWidth="1" style="38" min="14088" max="14336"/>
    <col width="8.21875" customWidth="1" style="38" min="14337" max="14337"/>
    <col width="70.44140625" bestFit="1" customWidth="1" style="38" min="14338" max="14338"/>
    <col width="11.44140625" customWidth="1" style="38" min="14339" max="14339"/>
    <col width="10.44140625" customWidth="1" style="38" min="14340" max="14340"/>
    <col width="13.21875" customWidth="1" style="38" min="14341" max="14341"/>
    <col width="14.21875" customWidth="1" style="38" min="14342" max="14342"/>
    <col width="12.21875" customWidth="1" style="38" min="14343" max="14343"/>
    <col width="9.21875" customWidth="1" style="38" min="14344" max="14592"/>
    <col width="8.21875" customWidth="1" style="38" min="14593" max="14593"/>
    <col width="70.44140625" bestFit="1" customWidth="1" style="38" min="14594" max="14594"/>
    <col width="11.44140625" customWidth="1" style="38" min="14595" max="14595"/>
    <col width="10.44140625" customWidth="1" style="38" min="14596" max="14596"/>
    <col width="13.21875" customWidth="1" style="38" min="14597" max="14597"/>
    <col width="14.21875" customWidth="1" style="38" min="14598" max="14598"/>
    <col width="12.21875" customWidth="1" style="38" min="14599" max="14599"/>
    <col width="9.21875" customWidth="1" style="38" min="14600" max="14848"/>
    <col width="8.21875" customWidth="1" style="38" min="14849" max="14849"/>
    <col width="70.44140625" bestFit="1" customWidth="1" style="38" min="14850" max="14850"/>
    <col width="11.44140625" customWidth="1" style="38" min="14851" max="14851"/>
    <col width="10.44140625" customWidth="1" style="38" min="14852" max="14852"/>
    <col width="13.21875" customWidth="1" style="38" min="14853" max="14853"/>
    <col width="14.21875" customWidth="1" style="38" min="14854" max="14854"/>
    <col width="12.21875" customWidth="1" style="38" min="14855" max="14855"/>
    <col width="9.21875" customWidth="1" style="38" min="14856" max="15104"/>
    <col width="8.21875" customWidth="1" style="38" min="15105" max="15105"/>
    <col width="70.44140625" bestFit="1" customWidth="1" style="38" min="15106" max="15106"/>
    <col width="11.44140625" customWidth="1" style="38" min="15107" max="15107"/>
    <col width="10.44140625" customWidth="1" style="38" min="15108" max="15108"/>
    <col width="13.21875" customWidth="1" style="38" min="15109" max="15109"/>
    <col width="14.21875" customWidth="1" style="38" min="15110" max="15110"/>
    <col width="12.21875" customWidth="1" style="38" min="15111" max="15111"/>
    <col width="9.21875" customWidth="1" style="38" min="15112" max="15360"/>
    <col width="8.21875" customWidth="1" style="38" min="15361" max="15361"/>
    <col width="70.44140625" bestFit="1" customWidth="1" style="38" min="15362" max="15362"/>
    <col width="11.44140625" customWidth="1" style="38" min="15363" max="15363"/>
    <col width="10.44140625" customWidth="1" style="38" min="15364" max="15364"/>
    <col width="13.21875" customWidth="1" style="38" min="15365" max="15365"/>
    <col width="14.21875" customWidth="1" style="38" min="15366" max="15366"/>
    <col width="12.21875" customWidth="1" style="38" min="15367" max="15367"/>
    <col width="9.21875" customWidth="1" style="38" min="15368" max="15616"/>
    <col width="8.21875" customWidth="1" style="38" min="15617" max="15617"/>
    <col width="70.44140625" bestFit="1" customWidth="1" style="38" min="15618" max="15618"/>
    <col width="11.44140625" customWidth="1" style="38" min="15619" max="15619"/>
    <col width="10.44140625" customWidth="1" style="38" min="15620" max="15620"/>
    <col width="13.21875" customWidth="1" style="38" min="15621" max="15621"/>
    <col width="14.21875" customWidth="1" style="38" min="15622" max="15622"/>
    <col width="12.21875" customWidth="1" style="38" min="15623" max="15623"/>
    <col width="9.21875" customWidth="1" style="38" min="15624" max="15872"/>
    <col width="8.21875" customWidth="1" style="38" min="15873" max="15873"/>
    <col width="70.44140625" bestFit="1" customWidth="1" style="38" min="15874" max="15874"/>
    <col width="11.44140625" customWidth="1" style="38" min="15875" max="15875"/>
    <col width="10.44140625" customWidth="1" style="38" min="15876" max="15876"/>
    <col width="13.21875" customWidth="1" style="38" min="15877" max="15877"/>
    <col width="14.21875" customWidth="1" style="38" min="15878" max="15878"/>
    <col width="12.21875" customWidth="1" style="38" min="15879" max="15879"/>
    <col width="9.21875" customWidth="1" style="38" min="15880" max="16128"/>
    <col width="8.21875" customWidth="1" style="38" min="16129" max="16129"/>
    <col width="70.44140625" bestFit="1" customWidth="1" style="38" min="16130" max="16130"/>
    <col width="11.44140625" customWidth="1" style="38" min="16131" max="16131"/>
    <col width="10.44140625" customWidth="1" style="38" min="16132" max="16132"/>
    <col width="13.21875" customWidth="1" style="38" min="16133" max="16133"/>
    <col width="14.21875" customWidth="1" style="38" min="16134" max="16134"/>
    <col width="12.21875" customWidth="1" style="38" min="16135" max="16135"/>
    <col width="9.21875" customWidth="1" style="38" min="16136" max="16384"/>
  </cols>
  <sheetData>
    <row r="1">
      <c r="B1" s="39" t="inlineStr">
        <is>
          <t xml:space="preserve">Project: </t>
        </is>
      </c>
    </row>
    <row r="2">
      <c r="B2" s="39" t="inlineStr">
        <is>
          <t>Tricore   -</t>
        </is>
      </c>
    </row>
    <row r="3">
      <c r="B3" s="38" t="inlineStr">
        <is>
          <t>Stage 1 Version 1</t>
        </is>
      </c>
    </row>
    <row r="4" ht="13.8" customHeight="1">
      <c r="A4" s="42" t="inlineStr">
        <is>
          <t xml:space="preserve">Item  </t>
        </is>
      </c>
      <c r="B4" s="43" t="n"/>
      <c r="K4" s="584" t="inlineStr">
        <is>
          <t>Source</t>
        </is>
      </c>
    </row>
    <row r="5" ht="10.8" customHeight="1" thickBot="1">
      <c r="A5" s="42" t="n"/>
      <c r="B5" s="132" t="n"/>
      <c r="E5" s="583" t="n"/>
      <c r="F5" s="583" t="n"/>
      <c r="I5" s="583" t="n"/>
    </row>
    <row r="6" ht="6" customHeight="1" thickBot="1">
      <c r="A6" s="485" t="n"/>
    </row>
    <row r="7" ht="16.2" customHeight="1" thickBot="1">
      <c r="A7" s="42" t="inlineStr">
        <is>
          <t>A</t>
        </is>
      </c>
      <c r="B7" s="303" t="inlineStr">
        <is>
          <t>PRELIMINARIES</t>
        </is>
      </c>
    </row>
    <row r="8" ht="13.8" customHeight="1" thickBot="1">
      <c r="A8" s="42" t="n"/>
      <c r="B8" s="585" t="inlineStr">
        <is>
          <t>SUMMARY (Not added in prelim$)</t>
        </is>
      </c>
      <c r="C8" s="586" t="n"/>
      <c r="D8" s="586" t="n"/>
      <c r="E8" s="586" t="n"/>
      <c r="F8" s="587" t="n"/>
      <c r="H8" s="39" t="n"/>
    </row>
    <row r="9" ht="15.6" customHeight="1">
      <c r="A9" s="42" t="n"/>
      <c r="B9" s="227" t="n"/>
      <c r="C9" s="149" t="inlineStr">
        <is>
          <t>TOTAL Days Mobilized On Site</t>
        </is>
      </c>
      <c r="D9" s="42" t="n">
        <v>285</v>
      </c>
      <c r="E9" s="38" t="n"/>
      <c r="F9" s="38" t="n"/>
      <c r="G9" s="540" t="inlineStr">
        <is>
          <t>Re-based from Phase 7 TPS_Programme (link [1] severed): 197 work days across 3 discrete site windows; 10 months elapsed less inter-window demob = 285 calendar days on site</t>
        </is>
      </c>
      <c r="I9" s="316" t="n"/>
      <c r="J9" s="541" t="n"/>
      <c r="K9" s="540" t="inlineStr">
        <is>
          <t>frozen from [1] CQU ROK_PROGRAM - MASTER.V1 (SharePoint) - link severed 26/07/26; re-based from Phase 7 TPS_Programme</t>
        </is>
      </c>
    </row>
    <row r="10" ht="15.6" customHeight="1">
      <c r="A10" s="42" t="n"/>
      <c r="B10" s="227" t="n"/>
      <c r="C10" s="149" t="inlineStr">
        <is>
          <t>Months Mobilized</t>
        </is>
      </c>
      <c r="D10" s="42" t="n">
        <v>9.4</v>
      </c>
      <c r="E10" s="38" t="n"/>
      <c r="F10" s="38" t="n"/>
      <c r="K10" s="540" t="inlineStr">
        <is>
          <t>frozen from [1] CQU ROK_PROGRAM - MASTER.V1 (SharePoint) - link severed 26/07/26; re-based from Phase 7 TPS_Programme</t>
        </is>
      </c>
    </row>
    <row r="11" ht="15.6" customHeight="1">
      <c r="A11" s="42" t="n"/>
      <c r="B11" s="227" t="n"/>
      <c r="C11" s="149" t="inlineStr">
        <is>
          <t>Work Weeks' Mobilized On Site</t>
        </is>
      </c>
      <c r="D11" s="42" t="n">
        <v>40</v>
      </c>
      <c r="E11" s="38" t="n"/>
      <c r="F11" s="38" t="n"/>
      <c r="H11" s="42" t="n"/>
      <c r="K11" s="540" t="inlineStr">
        <is>
          <t>frozen from [1] CQU ROK_PROGRAM - MASTER.V1 (SharePoint) - link severed 26/07/26; re-based from Phase 7 TPS_Programme</t>
        </is>
      </c>
    </row>
    <row r="12" ht="15.6" customHeight="1">
      <c r="A12" s="42" t="n"/>
      <c r="B12" s="227" t="n"/>
      <c r="C12" s="149" t="inlineStr">
        <is>
          <t>Work Days</t>
        </is>
      </c>
      <c r="D12" s="42" t="n">
        <v>197</v>
      </c>
      <c r="E12" s="588" t="n"/>
      <c r="F12" s="588" t="n"/>
      <c r="G12" s="540" t="inlineStr">
        <is>
          <t>197 work days = Phase 7 programme finish (T5-07 as-cons)</t>
        </is>
      </c>
      <c r="I12" s="589" t="n"/>
      <c r="J12" s="316" t="n"/>
      <c r="K12" s="540" t="inlineStr">
        <is>
          <t>frozen from [1] CQU ROK_PROGRAM - MASTER.V1 (SharePoint) - link severed 26/07/26; re-based from Phase 7 TPS_Programme</t>
        </is>
      </c>
    </row>
    <row r="13" ht="15.6" customHeight="1">
      <c r="A13" s="42" t="n"/>
      <c r="B13" s="227" t="n"/>
      <c r="C13" s="489" t="inlineStr">
        <is>
          <t>Breakdown as per program</t>
        </is>
      </c>
      <c r="I13" s="589" t="n"/>
    </row>
    <row r="14">
      <c r="A14" s="42" t="n"/>
      <c r="B14" s="149">
        <f>'LabourProject Rates_Master'!$B$14</f>
        <v/>
      </c>
      <c r="C14" s="40" t="inlineStr">
        <is>
          <t>Day</t>
        </is>
      </c>
      <c r="D14" s="42" t="n"/>
      <c r="E14" s="590">
        <f>E36</f>
        <v/>
      </c>
      <c r="F14" s="590">
        <f>D14*E14</f>
        <v/>
      </c>
    </row>
    <row r="15">
      <c r="A15" s="42" t="n"/>
      <c r="B15" s="149">
        <f>'LabourProject Rates_Master'!$B$23</f>
        <v/>
      </c>
      <c r="C15" s="40" t="inlineStr">
        <is>
          <t>Day</t>
        </is>
      </c>
      <c r="D15" s="42" t="n"/>
      <c r="E15" s="590">
        <f>E37</f>
        <v/>
      </c>
      <c r="F15" s="590">
        <f>D15*E15</f>
        <v/>
      </c>
      <c r="H15" s="39" t="n"/>
    </row>
    <row r="16">
      <c r="A16" s="42" t="n"/>
      <c r="B16" s="149">
        <f>'LabourProject Rates_Master'!$B$30</f>
        <v/>
      </c>
      <c r="C16" s="40" t="inlineStr">
        <is>
          <t>Day</t>
        </is>
      </c>
      <c r="D16" s="42" t="n"/>
      <c r="E16" s="590">
        <f>E38</f>
        <v/>
      </c>
      <c r="F16" s="590">
        <f>D16*E16</f>
        <v/>
      </c>
      <c r="I16" s="589" t="n"/>
    </row>
    <row r="17">
      <c r="A17" s="42" t="n"/>
      <c r="B17" s="149">
        <f>'LabourProject Rates_Master'!$B$36</f>
        <v/>
      </c>
      <c r="C17" s="40" t="inlineStr">
        <is>
          <t>Day</t>
        </is>
      </c>
      <c r="D17" s="42" t="n"/>
      <c r="E17" s="590">
        <f>E39</f>
        <v/>
      </c>
      <c r="F17" s="590">
        <f>D17*E17</f>
        <v/>
      </c>
    </row>
    <row r="18">
      <c r="A18" s="42" t="n"/>
      <c r="B18" s="149">
        <f>'LabourProject Rates_Master'!$B$43</f>
        <v/>
      </c>
      <c r="C18" s="40" t="inlineStr">
        <is>
          <t>Day</t>
        </is>
      </c>
      <c r="D18" s="42" t="n"/>
      <c r="E18" s="590">
        <f>E40</f>
        <v/>
      </c>
      <c r="F18" s="590">
        <f>D18*E18</f>
        <v/>
      </c>
    </row>
    <row r="19" ht="15.6" customHeight="1">
      <c r="A19" s="42" t="n"/>
      <c r="B19" s="227" t="n"/>
      <c r="C19" s="149" t="n"/>
      <c r="D19" s="42" t="n"/>
      <c r="E19" s="591" t="inlineStr">
        <is>
          <t>Total Labour</t>
        </is>
      </c>
      <c r="F19" s="588">
        <f>SUM(F14:F18)</f>
        <v/>
      </c>
    </row>
    <row r="20" ht="15.6" customHeight="1">
      <c r="A20" s="42" t="n"/>
      <c r="B20" s="227" t="n"/>
      <c r="C20" s="489" t="inlineStr">
        <is>
          <t>Total as per stage boq</t>
        </is>
      </c>
    </row>
    <row r="21" ht="15.6" customHeight="1">
      <c r="A21" s="42" t="n"/>
      <c r="B21" s="227" t="n"/>
      <c r="C21" s="149" t="n"/>
      <c r="D21" s="42" t="n"/>
      <c r="E21" s="592" t="inlineStr">
        <is>
          <t>Total Part A Labour</t>
        </is>
      </c>
      <c r="F21" s="593" t="n">
        <v>0</v>
      </c>
    </row>
    <row r="22" ht="15.6" customHeight="1">
      <c r="A22" s="42" t="n"/>
      <c r="B22" s="227" t="n"/>
      <c r="C22" s="149" t="n"/>
      <c r="D22" s="42" t="n"/>
      <c r="E22" s="592" t="inlineStr">
        <is>
          <t>Total Stage 1 Labour</t>
        </is>
      </c>
      <c r="F22" s="593" t="n">
        <v>0</v>
      </c>
    </row>
    <row r="23" ht="15.6" customHeight="1">
      <c r="A23" s="42" t="n"/>
      <c r="B23" s="227" t="n"/>
      <c r="C23" s="149" t="n"/>
      <c r="D23" s="42" t="n"/>
      <c r="E23" s="592" t="inlineStr">
        <is>
          <t>Total Stage 2 Labour</t>
        </is>
      </c>
      <c r="F23" s="593" t="n">
        <v>0</v>
      </c>
    </row>
    <row r="24" ht="15.6" customHeight="1">
      <c r="A24" s="42" t="n"/>
      <c r="B24" s="227" t="n"/>
      <c r="C24" s="149" t="n"/>
      <c r="D24" s="42" t="n"/>
      <c r="E24" s="592" t="inlineStr">
        <is>
          <t>Total Stage 3 Labour</t>
        </is>
      </c>
      <c r="F24" s="593" t="n">
        <v>0</v>
      </c>
    </row>
    <row r="25" ht="15.6" customHeight="1">
      <c r="A25" s="42" t="n"/>
      <c r="B25" s="227" t="n"/>
      <c r="C25" s="149" t="n"/>
      <c r="D25" s="42" t="n"/>
      <c r="E25" s="592" t="inlineStr">
        <is>
          <t>Total Stage 4 Labour</t>
        </is>
      </c>
      <c r="F25" s="593" t="n">
        <v>0</v>
      </c>
    </row>
    <row r="26" ht="15.6" customHeight="1">
      <c r="A26" s="42" t="n"/>
      <c r="B26" s="227" t="n"/>
      <c r="C26" s="149" t="n"/>
      <c r="D26" s="42" t="n"/>
      <c r="E26" s="588" t="n"/>
      <c r="F26" s="588">
        <f>SUM(F21:F25)</f>
        <v/>
      </c>
    </row>
    <row r="27" ht="15.6" customHeight="1">
      <c r="A27" s="42" t="n"/>
      <c r="B27" s="227" t="n"/>
      <c r="C27" s="149" t="n"/>
      <c r="D27" s="42" t="n"/>
      <c r="E27" s="594" t="inlineStr">
        <is>
          <t>Difference</t>
        </is>
      </c>
      <c r="F27" s="594">
        <f>F26-F19</f>
        <v/>
      </c>
    </row>
    <row r="28" ht="15.6" customHeight="1">
      <c r="A28" s="42" t="n"/>
      <c r="B28" s="227" t="n"/>
      <c r="C28" s="42" t="n"/>
      <c r="D28" s="42" t="n"/>
      <c r="E28" s="588" t="n"/>
      <c r="F28" s="588" t="n"/>
    </row>
    <row r="29" ht="16.2" customHeight="1" thickBot="1">
      <c r="A29" s="42" t="n"/>
      <c r="B29" s="227" t="n"/>
      <c r="C29" s="42" t="inlineStr">
        <is>
          <t>Unit</t>
        </is>
      </c>
      <c r="D29" s="42" t="inlineStr">
        <is>
          <t>REQ</t>
        </is>
      </c>
      <c r="E29" s="588" t="inlineStr">
        <is>
          <t>Cost ex GST</t>
        </is>
      </c>
      <c r="F29" s="588" t="inlineStr">
        <is>
          <t>Total ex GST</t>
        </is>
      </c>
    </row>
    <row r="30" ht="13.95" customHeight="1" thickBot="1">
      <c r="A30" s="42" t="n"/>
      <c r="B30" s="585" t="inlineStr">
        <is>
          <t>Labour</t>
        </is>
      </c>
      <c r="C30" s="586" t="n"/>
      <c r="D30" s="586" t="n"/>
      <c r="E30" s="586" t="n"/>
      <c r="F30" s="587" t="n"/>
      <c r="H30" s="38" t="n"/>
    </row>
    <row r="31" ht="15.6" customHeight="1">
      <c r="A31" s="42" t="n"/>
      <c r="B31" s="227" t="n"/>
    </row>
    <row r="32" ht="15.6" customHeight="1">
      <c r="A32" s="42" t="n"/>
      <c r="B32" s="227" t="n"/>
    </row>
    <row r="33">
      <c r="A33" s="42" t="n"/>
      <c r="B33" s="215" t="inlineStr">
        <is>
          <t>Contingencies; Wet Weather ?</t>
        </is>
      </c>
    </row>
    <row r="34" ht="7.2" customHeight="1">
      <c r="A34" s="42" t="n"/>
      <c r="B34" s="227" t="n"/>
    </row>
    <row r="35">
      <c r="A35" s="42" t="n"/>
      <c r="B35" s="38" t="inlineStr">
        <is>
          <t>Superviser; Return Trip, 2 day stay - Inclusive</t>
        </is>
      </c>
      <c r="C35" s="40" t="inlineStr">
        <is>
          <t>item</t>
        </is>
      </c>
      <c r="E35" s="595" t="n">
        <v>2423.830995670995</v>
      </c>
      <c r="F35" s="583">
        <f>D35*E35</f>
        <v/>
      </c>
      <c r="H35" s="230" t="n"/>
      <c r="I35" s="596" t="n"/>
    </row>
    <row r="36" customFormat="1" s="40">
      <c r="A36" s="38" t="n"/>
      <c r="B36" s="38">
        <f>'LabourProject Rates_Master'!$B$14</f>
        <v/>
      </c>
      <c r="C36" s="40" t="inlineStr">
        <is>
          <t>Day</t>
        </is>
      </c>
      <c r="D36" t="n">
        <v>0</v>
      </c>
      <c r="E36" s="583">
        <f>'LabourProject Rates_Master'!$E$15</f>
        <v/>
      </c>
      <c r="F36" s="583">
        <f>E36*D36</f>
        <v/>
      </c>
      <c r="G36" s="712" t="inlineStr">
        <is>
          <t>MEMO ONLY - 140 LH supervision days (1,400 hr) are priced IN the three work-area labour blocks per Phase 7 (Siteworks 489.2 + NBC 742.1 + PAM 168.5 = 1,399.8 hr). Not repeated here - double-count control.</t>
        </is>
      </c>
      <c r="I36" s="38" t="n"/>
      <c r="J36" s="38" t="n"/>
      <c r="K36" s="38" t="n"/>
      <c r="L36" s="38" t="n"/>
    </row>
    <row r="37" ht="11.55" customFormat="1" customHeight="1" s="40">
      <c r="A37" s="38" t="n"/>
      <c r="B37" s="38">
        <f>'LabourProject Rates_Master'!$B$23</f>
        <v/>
      </c>
      <c r="C37" s="40" t="inlineStr">
        <is>
          <t>Day</t>
        </is>
      </c>
      <c r="E37" s="583">
        <f>'LabourProject Rates_Master'!$E$22</f>
        <v/>
      </c>
      <c r="F37" s="583">
        <f>E37*D37</f>
        <v/>
      </c>
      <c r="G37" s="589" t="n"/>
      <c r="I37" s="38" t="n"/>
      <c r="J37" s="38" t="n"/>
      <c r="K37" s="38" t="n"/>
      <c r="L37" s="38" t="n"/>
    </row>
    <row r="38" ht="11.55" customFormat="1" customHeight="1" s="40">
      <c r="A38" s="42" t="n"/>
      <c r="B38" s="38">
        <f>'LabourProject Rates_Master'!$B$30</f>
        <v/>
      </c>
      <c r="C38" s="40" t="inlineStr">
        <is>
          <t>Day</t>
        </is>
      </c>
      <c r="E38" s="583">
        <f>'LabourProject Rates_Master'!$E$29</f>
        <v/>
      </c>
      <c r="F38" s="583">
        <f>E38*D38</f>
        <v/>
      </c>
      <c r="G38" s="38" t="n"/>
      <c r="I38" s="38" t="n"/>
      <c r="J38" s="38" t="n"/>
      <c r="K38" s="38" t="n"/>
      <c r="L38" s="38" t="n"/>
    </row>
    <row r="39" ht="11.55" customFormat="1" customHeight="1" s="40">
      <c r="A39" s="42" t="n"/>
      <c r="B39" s="38">
        <f>'LabourProject Rates_Master'!$B$36</f>
        <v/>
      </c>
      <c r="C39" s="40" t="inlineStr">
        <is>
          <t>Day</t>
        </is>
      </c>
      <c r="E39" s="583">
        <f>'LabourProject Rates_Master'!$E$37</f>
        <v/>
      </c>
      <c r="F39" s="583">
        <f>E39*D39</f>
        <v/>
      </c>
      <c r="G39" s="38" t="n"/>
      <c r="I39" s="38" t="n"/>
      <c r="J39" s="38" t="n"/>
      <c r="K39" s="38" t="n"/>
      <c r="L39" s="38" t="n"/>
    </row>
    <row r="40" customFormat="1" s="40">
      <c r="A40" s="42" t="n"/>
      <c r="B40" s="38">
        <f>'LabourProject Rates_Master'!$B$43</f>
        <v/>
      </c>
      <c r="C40" s="40" t="inlineStr">
        <is>
          <t>Day</t>
        </is>
      </c>
      <c r="E40" s="583">
        <f>'LabourProject Rates_Master'!$E$44</f>
        <v/>
      </c>
      <c r="F40" s="583">
        <f>E40*D40</f>
        <v/>
      </c>
      <c r="G40" s="38" t="n"/>
      <c r="I40" s="38" t="n"/>
      <c r="J40" s="38" t="n"/>
      <c r="K40" s="38" t="n"/>
      <c r="L40" s="38" t="n"/>
    </row>
    <row r="41" customFormat="1" s="40">
      <c r="A41" s="42" t="n"/>
      <c r="B41" s="38" t="n"/>
      <c r="D41" s="583" t="n"/>
      <c r="E41" s="583" t="n"/>
      <c r="F41" s="583" t="n"/>
      <c r="G41" s="38" t="n"/>
      <c r="I41" s="38" t="n"/>
      <c r="J41" s="38" t="n"/>
      <c r="K41" s="38" t="n"/>
      <c r="L41" s="38" t="n"/>
    </row>
    <row r="42" customFormat="1" s="40">
      <c r="A42" s="42" t="n"/>
      <c r="B42" s="215" t="inlineStr">
        <is>
          <t>Management Labour</t>
        </is>
      </c>
      <c r="D42" s="583" t="n"/>
      <c r="E42" s="583" t="n"/>
      <c r="F42" s="583" t="n"/>
      <c r="G42" s="38" t="n"/>
      <c r="I42" s="38" t="n"/>
      <c r="J42" s="38" t="n"/>
      <c r="K42" s="38" t="n"/>
      <c r="L42" s="38" t="n"/>
    </row>
    <row r="43" customFormat="1" s="40">
      <c r="A43" s="42" t="n"/>
      <c r="B43" s="38" t="n"/>
      <c r="D43" s="583" t="n"/>
      <c r="E43" s="583" t="n"/>
      <c r="F43" s="583" t="n"/>
      <c r="G43" s="38" t="n"/>
      <c r="I43" s="38" t="n"/>
      <c r="J43" s="38" t="n"/>
      <c r="K43" s="38" t="n"/>
      <c r="L43" s="38" t="n"/>
    </row>
    <row r="44" customFormat="1" s="40">
      <c r="A44" s="42" t="n"/>
      <c r="B44" s="38">
        <f>'LabourProject Rates_Master'!$B$14</f>
        <v/>
      </c>
      <c r="C44" s="40" t="inlineStr">
        <is>
          <t>Day</t>
        </is>
      </c>
      <c r="D44" s="229" t="n"/>
      <c r="E44" s="583">
        <f>'LabourProject Rates_Master'!$E$15</f>
        <v/>
      </c>
      <c r="F44" s="583">
        <f>E44*D44</f>
        <v/>
      </c>
      <c r="G44" s="38" t="inlineStr">
        <is>
          <t>Included within stages?</t>
        </is>
      </c>
      <c r="I44" s="38" t="n"/>
      <c r="J44" s="38" t="n"/>
      <c r="K44" s="38" t="n"/>
      <c r="L44" s="38" t="n"/>
    </row>
    <row r="45" customFormat="1" s="40">
      <c r="A45" s="42" t="n"/>
      <c r="B45" s="38" t="inlineStr">
        <is>
          <t>MH / DQ</t>
        </is>
      </c>
      <c r="C45" s="40" t="inlineStr">
        <is>
          <t>Day</t>
        </is>
      </c>
      <c r="D45" s="229" t="n"/>
      <c r="E45" s="583" t="n">
        <v>120</v>
      </c>
      <c r="F45" s="583">
        <f>E45*D45</f>
        <v/>
      </c>
      <c r="G45" s="201" t="inlineStr">
        <is>
          <t>Refer Program for approx attendance on site. Technically covered in overheads. E/O for meals etc?</t>
        </is>
      </c>
      <c r="I45" s="38" t="n"/>
      <c r="J45" s="38" t="n"/>
      <c r="K45" s="38" t="n"/>
      <c r="L45" s="38" t="n"/>
    </row>
    <row r="46" customFormat="1" s="40">
      <c r="A46" s="42" t="n"/>
      <c r="B46" s="38" t="inlineStr">
        <is>
          <t>MH / DQ - FLIGHTS</t>
        </is>
      </c>
      <c r="C46" s="40" t="inlineStr">
        <is>
          <t>ea</t>
        </is>
      </c>
      <c r="D46" s="229" t="n"/>
      <c r="E46" s="583" t="n">
        <v>200</v>
      </c>
      <c r="F46" s="583">
        <f>E46*D46</f>
        <v/>
      </c>
      <c r="G46" s="38" t="n"/>
      <c r="I46" s="38" t="n"/>
      <c r="J46" s="38" t="n"/>
      <c r="K46" s="38" t="n"/>
      <c r="L46" s="38" t="n"/>
    </row>
    <row r="47" customFormat="1" s="40">
      <c r="A47" s="42" t="n"/>
      <c r="B47" s="38" t="n"/>
      <c r="D47" s="583" t="n"/>
      <c r="E47" s="583" t="n"/>
      <c r="F47" s="583" t="n"/>
      <c r="G47" s="38" t="n"/>
      <c r="I47" s="38" t="n"/>
      <c r="J47" s="38" t="n"/>
      <c r="K47" s="38" t="n"/>
      <c r="L47" s="38" t="n"/>
    </row>
    <row r="48" customFormat="1" s="40">
      <c r="A48" s="42" t="n"/>
      <c r="B48" s="38" t="n"/>
      <c r="D48" s="583" t="n"/>
      <c r="E48" s="583" t="n"/>
      <c r="F48" s="583" t="n"/>
      <c r="G48" s="38" t="n"/>
      <c r="I48" s="38" t="n"/>
      <c r="J48" s="38" t="n"/>
      <c r="K48" s="38" t="n"/>
      <c r="L48" s="38" t="n"/>
    </row>
    <row r="49" customFormat="1" s="40">
      <c r="A49" s="42" t="n"/>
      <c r="B49" s="38" t="n"/>
      <c r="D49" s="583" t="n"/>
      <c r="E49" s="583" t="n"/>
      <c r="F49" s="583" t="n"/>
      <c r="G49" s="38" t="n"/>
      <c r="I49" s="38" t="n"/>
      <c r="J49" s="38" t="n"/>
      <c r="K49" s="38" t="n"/>
      <c r="L49" s="38" t="n"/>
    </row>
    <row r="50" ht="16.2" customHeight="1" thickBot="1">
      <c r="A50" s="42" t="n"/>
      <c r="B50" s="226" t="n"/>
    </row>
    <row r="51" ht="13.95" customHeight="1" thickBot="1">
      <c r="A51" s="42" t="n"/>
      <c r="B51" s="585" t="inlineStr">
        <is>
          <t>ACCOMODATION (Refer Program)</t>
        </is>
      </c>
      <c r="C51" s="586" t="n"/>
      <c r="D51" s="586" t="n"/>
      <c r="E51" s="586" t="n"/>
      <c r="F51" s="587" t="n"/>
      <c r="H51" s="38" t="n"/>
    </row>
    <row r="52">
      <c r="A52" s="42" t="n"/>
      <c r="B52" s="211" t="inlineStr">
        <is>
          <t>Per Month - Full Project (6 Persons)</t>
        </is>
      </c>
      <c r="C52" s="42" t="n"/>
      <c r="D52" s="42" t="n"/>
      <c r="E52" s="588" t="n"/>
      <c r="F52" s="588" t="n"/>
      <c r="G52" s="588" t="n"/>
      <c r="H52" s="588" t="n"/>
      <c r="I52" s="588" t="n"/>
      <c r="J52" s="588" t="n"/>
      <c r="K52" s="588" t="n"/>
    </row>
    <row r="53">
      <c r="A53" s="42" t="n"/>
      <c r="B53" s="38">
        <f>'LabourProject Rates_Master'!B100</f>
        <v/>
      </c>
      <c r="C53" s="40" t="inlineStr">
        <is>
          <t>Month</t>
        </is>
      </c>
      <c r="D53" s="229" t="n">
        <v>0</v>
      </c>
      <c r="E53" s="595">
        <f>'LabourProject Rates_Master'!E103</f>
        <v/>
      </c>
      <c r="F53" s="583">
        <f>D53*E53</f>
        <v/>
      </c>
      <c r="G53" s="589" t="inlineStr">
        <is>
          <t>** 1 x 4Bed House (@650/Wk) fully kitted, +Consumable, +Cleaner etc</t>
        </is>
      </c>
      <c r="H53" s="540" t="inlineStr">
        <is>
          <t>MEMO - accommodation Option A (14 apt-months + LH 225 nights = $87,715) carried as a cost row on 'TCS $ Sched' R32; not repeated here</t>
        </is>
      </c>
      <c r="I53" s="230" t="n"/>
      <c r="J53" s="597" t="n"/>
      <c r="K53" s="596" t="n"/>
    </row>
    <row r="54">
      <c r="A54" s="42" t="n"/>
      <c r="B54" s="38">
        <f>'LabourProject Rates_Master'!B100</f>
        <v/>
      </c>
      <c r="C54" s="40" t="inlineStr">
        <is>
          <t>Month</t>
        </is>
      </c>
      <c r="D54" s="229" t="n">
        <v>0</v>
      </c>
      <c r="E54" s="595">
        <f>'LabourProject Rates_Master'!E103</f>
        <v/>
      </c>
      <c r="F54" s="583">
        <f>D54*E54</f>
        <v/>
      </c>
      <c r="G54" s="589" t="inlineStr">
        <is>
          <t>** 1 x 4Bed House (@650/Wk) fully kitted, +Consumable, +Cleaner etc</t>
        </is>
      </c>
      <c r="I54" s="230" t="n"/>
      <c r="J54" s="597" t="n"/>
      <c r="K54" s="596" t="n"/>
    </row>
    <row r="55">
      <c r="A55" s="42" t="n"/>
      <c r="E55" s="595" t="n"/>
      <c r="F55" s="583" t="n"/>
      <c r="G55" s="589" t="n"/>
      <c r="I55" s="230" t="n"/>
      <c r="J55" s="597" t="n"/>
      <c r="K55" s="596" t="n"/>
    </row>
    <row r="56">
      <c r="A56" s="42" t="n"/>
      <c r="B56" s="38" t="inlineStr">
        <is>
          <t>Individual Night Stay - Private Room/Suite</t>
        </is>
      </c>
      <c r="E56" s="595" t="n"/>
      <c r="F56" s="583" t="n"/>
      <c r="G56" s="589" t="n"/>
      <c r="H56" s="40" t="inlineStr">
        <is>
          <t>Avrg Nightly Book (LONG STAY)</t>
        </is>
      </c>
      <c r="I56" s="230" t="n"/>
      <c r="J56" s="597" t="n"/>
      <c r="K56" s="596" t="n"/>
    </row>
    <row r="57">
      <c r="A57" s="42" t="n"/>
      <c r="B57" s="149">
        <f>'LabourProject Rates_Master'!$B$14</f>
        <v/>
      </c>
      <c r="E57" s="595" t="n"/>
      <c r="F57" s="583" t="n"/>
      <c r="G57" s="316">
        <f>D14</f>
        <v/>
      </c>
      <c r="H57" s="598">
        <f>'LabourProject Rates_Master'!$E$109</f>
        <v/>
      </c>
      <c r="I57" s="598">
        <f>H57*G57</f>
        <v/>
      </c>
      <c r="J57" s="597" t="n"/>
      <c r="K57" s="596" t="n"/>
    </row>
    <row r="58">
      <c r="A58" s="42" t="n"/>
      <c r="B58" s="149">
        <f>'LabourProject Rates_Master'!$B$23</f>
        <v/>
      </c>
      <c r="E58" s="595" t="n"/>
      <c r="F58" s="583" t="n"/>
      <c r="G58" s="316">
        <f>D15</f>
        <v/>
      </c>
      <c r="H58" s="598">
        <f>'LabourProject Rates_Master'!$E$109</f>
        <v/>
      </c>
      <c r="I58" s="598">
        <f>H58*G58</f>
        <v/>
      </c>
      <c r="J58" s="597" t="n"/>
      <c r="K58" s="596" t="n"/>
    </row>
    <row r="59">
      <c r="A59" s="42" t="n"/>
      <c r="B59" s="149">
        <f>'LabourProject Rates_Master'!$B$30</f>
        <v/>
      </c>
      <c r="E59" s="595" t="n"/>
      <c r="F59" s="583" t="n"/>
      <c r="G59" s="316">
        <f>D16</f>
        <v/>
      </c>
      <c r="H59" s="598">
        <f>'LabourProject Rates_Master'!$E$109</f>
        <v/>
      </c>
      <c r="I59" s="598">
        <f>H59*G59</f>
        <v/>
      </c>
      <c r="J59" s="597" t="n"/>
      <c r="K59" s="596" t="n"/>
    </row>
    <row r="60">
      <c r="A60" s="42" t="n"/>
      <c r="B60" s="149">
        <f>'LabourProject Rates_Master'!$B$36</f>
        <v/>
      </c>
      <c r="E60" s="595" t="n"/>
      <c r="F60" s="583" t="n"/>
      <c r="G60" s="316">
        <f>D17*3</f>
        <v/>
      </c>
      <c r="H60" s="598">
        <f>'LabourProject Rates_Master'!$E$109</f>
        <v/>
      </c>
      <c r="I60" s="598">
        <f>H60*G60</f>
        <v/>
      </c>
      <c r="J60" s="597" t="n"/>
      <c r="K60" s="596" t="n"/>
    </row>
    <row r="61">
      <c r="A61" s="42" t="n"/>
      <c r="E61" s="595" t="n"/>
      <c r="F61" s="583" t="n"/>
      <c r="G61" s="589" t="n"/>
      <c r="I61" s="230" t="n"/>
      <c r="J61" s="597" t="n"/>
      <c r="K61" s="596" t="n"/>
    </row>
    <row r="62">
      <c r="A62" s="42" t="n"/>
      <c r="B62" s="211" t="inlineStr">
        <is>
          <t>Per Night - Extra-Over, Per Person.</t>
        </is>
      </c>
      <c r="E62" s="595" t="n"/>
      <c r="F62" s="583" t="n"/>
      <c r="I62" s="230" t="n"/>
      <c r="J62" s="597" t="n"/>
      <c r="K62" s="596" t="n"/>
    </row>
    <row r="63">
      <c r="A63" s="42" t="n"/>
      <c r="B63" s="38">
        <f>'LabourProject Rates_Master'!B110</f>
        <v/>
      </c>
      <c r="C63" s="40" t="inlineStr">
        <is>
          <t>item</t>
        </is>
      </c>
      <c r="D63" s="229" t="n"/>
      <c r="E63" s="595">
        <f>Accomodation_Master!$F$343</f>
        <v/>
      </c>
      <c r="F63" s="583">
        <f>D63*E63</f>
        <v/>
      </c>
      <c r="I63" s="230" t="n"/>
      <c r="J63" s="597" t="n"/>
      <c r="K63" s="596" t="n"/>
    </row>
    <row r="64">
      <c r="A64" s="42" t="n"/>
      <c r="E64" s="595" t="n"/>
      <c r="F64" s="583" t="n"/>
      <c r="I64" s="230" t="n"/>
      <c r="J64" s="597" t="n"/>
      <c r="K64" s="596" t="n"/>
    </row>
    <row r="65">
      <c r="A65" s="42" t="n"/>
      <c r="B65" s="38" t="inlineStr">
        <is>
          <t>MH / DQ</t>
        </is>
      </c>
      <c r="C65" s="40" t="inlineStr">
        <is>
          <t>item</t>
        </is>
      </c>
      <c r="D65" s="229" t="n"/>
      <c r="E65" s="595" t="n">
        <v>140</v>
      </c>
      <c r="F65" s="583">
        <f>D65*E65</f>
        <v/>
      </c>
      <c r="G65" s="38" t="inlineStr">
        <is>
          <t>TOTAL ACCOM ALLOWANCE</t>
        </is>
      </c>
      <c r="I65" s="230" t="n"/>
      <c r="J65" s="597" t="n"/>
      <c r="K65" s="596" t="n"/>
    </row>
    <row r="66">
      <c r="A66" s="42" t="n"/>
      <c r="E66" s="595" t="n"/>
      <c r="F66" s="583" t="n"/>
      <c r="G66" s="589">
        <f>SUM(F53:F66)</f>
        <v/>
      </c>
      <c r="I66" s="599">
        <f>SUM(I57:I65)</f>
        <v/>
      </c>
      <c r="J66" s="597" t="n"/>
      <c r="K66" s="596" t="n"/>
    </row>
    <row r="67" ht="10.8" customHeight="1" thickBot="1">
      <c r="A67" s="42" t="n"/>
      <c r="C67" s="42" t="n"/>
      <c r="D67" s="42" t="n"/>
      <c r="E67" s="588" t="n"/>
      <c r="F67" s="588" t="n"/>
    </row>
    <row r="68" ht="13.95" customHeight="1" thickBot="1">
      <c r="A68" s="42" t="n"/>
      <c r="B68" s="585" t="inlineStr">
        <is>
          <t>Equipment, Hire, Subbies</t>
        </is>
      </c>
      <c r="C68" s="586" t="n"/>
      <c r="D68" s="586" t="n"/>
      <c r="E68" s="586" t="n"/>
      <c r="F68" s="587" t="n"/>
      <c r="H68" s="38" t="n"/>
    </row>
    <row r="69">
      <c r="A69" s="42" t="n"/>
      <c r="C69" s="42" t="n"/>
      <c r="D69" s="42" t="n"/>
      <c r="E69" s="588" t="n"/>
      <c r="F69" s="38" t="n"/>
    </row>
    <row r="70" customFormat="1" s="40">
      <c r="A70" s="38" t="n"/>
      <c r="B70" s="57" t="inlineStr">
        <is>
          <t>Vehicle - UTE - SUPERVISER</t>
        </is>
      </c>
      <c r="C70" s="229" t="inlineStr">
        <is>
          <t>Day</t>
        </is>
      </c>
      <c r="D70" s="229" t="n">
        <v>140</v>
      </c>
      <c r="E70" s="600" t="n">
        <v>90</v>
      </c>
      <c r="F70" s="601">
        <f>D70*E70</f>
        <v/>
      </c>
      <c r="G70" s="540" t="inlineStr">
        <is>
          <t>Supervisor ute - 140 LH days on site @ $90/d</t>
        </is>
      </c>
      <c r="I70" s="38" t="n"/>
      <c r="J70" s="38" t="n"/>
      <c r="K70" s="38" t="n"/>
      <c r="L70" s="38" t="n"/>
    </row>
    <row r="71" customFormat="1" s="40">
      <c r="A71" s="38" t="n"/>
      <c r="B71" s="57" t="inlineStr">
        <is>
          <t>Vehicle - UTE - TRADESMAN</t>
        </is>
      </c>
      <c r="C71" s="229" t="inlineStr">
        <is>
          <t>Day</t>
        </is>
      </c>
      <c r="D71" s="229" t="n">
        <v>166</v>
      </c>
      <c r="E71" s="600" t="n">
        <v>60</v>
      </c>
      <c r="F71" s="601">
        <f>D71*E71</f>
        <v/>
      </c>
      <c r="G71" s="540" t="inlineStr">
        <is>
          <t>One crew ute per crew-day - 166 base crew-days @ $60/d (Phase 7 roll-up)</t>
        </is>
      </c>
      <c r="I71" s="38" t="n"/>
      <c r="J71" s="38" t="n"/>
      <c r="K71" s="38" t="n"/>
      <c r="L71" s="38" t="n"/>
    </row>
    <row r="72" customFormat="1" s="40">
      <c r="A72" s="38" t="n"/>
      <c r="B72" s="57" t="inlineStr">
        <is>
          <t>Vehicle - UTE - TRADESMAN / TA</t>
        </is>
      </c>
      <c r="C72" s="229" t="inlineStr">
        <is>
          <t>Day</t>
        </is>
      </c>
      <c r="D72" s="229" t="n">
        <v>0</v>
      </c>
      <c r="E72" s="600" t="n">
        <v>40</v>
      </c>
      <c r="F72" s="601">
        <f>D72*E72</f>
        <v/>
      </c>
      <c r="G72" s="540" t="inlineStr">
        <is>
          <t>nil - second crew ute is inside the $60/d crew allowance above</t>
        </is>
      </c>
      <c r="I72" s="38" t="n"/>
      <c r="J72" s="38" t="n"/>
      <c r="K72" s="38" t="n"/>
      <c r="L72" s="38" t="n"/>
    </row>
    <row r="73" customFormat="1" s="40">
      <c r="A73" s="38" t="n"/>
      <c r="B73" s="38" t="n"/>
      <c r="E73" s="595" t="n"/>
      <c r="F73" s="583" t="n"/>
      <c r="I73" s="38" t="n"/>
      <c r="J73" s="38" t="n"/>
      <c r="K73" s="38" t="n"/>
      <c r="L73" s="38" t="n"/>
    </row>
    <row r="74" customFormat="1" s="40">
      <c r="A74" s="38" t="n"/>
      <c r="B74" s="57" t="inlineStr">
        <is>
          <t>Site Vehicle - Ute/Buggy</t>
        </is>
      </c>
      <c r="C74" s="229" t="inlineStr">
        <is>
          <t>Day</t>
        </is>
      </c>
      <c r="D74" s="229" t="n"/>
      <c r="E74" s="600" t="n">
        <v>90</v>
      </c>
      <c r="F74" s="601">
        <f>D74*E74</f>
        <v/>
      </c>
      <c r="I74" s="38" t="n"/>
      <c r="J74" s="38" t="n"/>
      <c r="K74" s="38" t="n"/>
      <c r="L74" s="38" t="n"/>
    </row>
    <row r="75" customFormat="1" s="40">
      <c r="A75" s="38" t="n"/>
      <c r="B75" s="38" t="inlineStr">
        <is>
          <t>Genset hire + fuel - TPS compound (no site power, ITT S17.3)</t>
        </is>
      </c>
      <c r="C75" t="inlineStr">
        <is>
          <t>Day</t>
        </is>
      </c>
      <c r="D75">
        <f>$D$9</f>
        <v/>
      </c>
      <c r="E75" s="595" t="n">
        <v>45</v>
      </c>
      <c r="F75" s="583">
        <f>D75*E75</f>
        <v/>
      </c>
      <c r="G75" s="540" t="inlineStr">
        <is>
          <t>Allowance $45/d single-phase genset + fuel, full 285-day site duration</t>
        </is>
      </c>
      <c r="I75" s="38" t="n"/>
      <c r="J75" s="38" t="n"/>
      <c r="K75" s="38" t="n"/>
      <c r="L75" s="38" t="n"/>
    </row>
    <row r="76" customFormat="1" s="40">
      <c r="A76" s="38" t="n"/>
      <c r="B76" s="38" t="inlineStr">
        <is>
          <t>Temporary potable water storage pods + site distribution (no site water, ITT S17.3)</t>
        </is>
      </c>
      <c r="C76" t="inlineStr">
        <is>
          <t>item</t>
        </is>
      </c>
      <c r="D76" t="n">
        <v>1</v>
      </c>
      <c r="E76" s="595" t="n">
        <v>5000</v>
      </c>
      <c r="F76" s="583">
        <f>D76*E76</f>
        <v/>
      </c>
      <c r="G76" s="540" t="inlineStr">
        <is>
          <t>2 pods over ~10 months + fittings/stands. Test/flush water PURCHASE is priced separately on Siteworks r148 - no overlap</t>
        </is>
      </c>
      <c r="I76" s="38" t="n"/>
      <c r="J76" s="38" t="n"/>
      <c r="K76" s="38" t="n"/>
      <c r="L76" s="38" t="n"/>
    </row>
    <row r="77" customFormat="1" s="40">
      <c r="A77" s="38" t="n"/>
      <c r="B77" s="38">
        <f>'Equip&amp;HIRE_Master'!A40</f>
        <v/>
      </c>
      <c r="C77" s="40" t="inlineStr">
        <is>
          <t>Day</t>
        </is>
      </c>
      <c r="D77">
        <f>$D$9</f>
        <v/>
      </c>
      <c r="E77" s="595">
        <f>'Equip&amp;HIRE_Master'!D40</f>
        <v/>
      </c>
      <c r="F77" s="583">
        <f>D77*E77</f>
        <v/>
      </c>
      <c r="G77" s="540" t="inlineStr">
        <is>
          <t>Portable toilet - full site duration (TPS own; no shared compound - interface L5)</t>
        </is>
      </c>
      <c r="I77" s="38" t="n"/>
      <c r="J77" s="38" t="n"/>
      <c r="K77" s="38" t="n"/>
      <c r="L77" s="38" t="n"/>
    </row>
    <row r="78" customFormat="1" s="40">
      <c r="A78" s="38" t="n"/>
      <c r="B78" s="38">
        <f>'Equip&amp;HIRE_Master'!A41</f>
        <v/>
      </c>
      <c r="C78" s="40" t="inlineStr">
        <is>
          <t>Day</t>
        </is>
      </c>
      <c r="D78" s="40">
        <f>$D$9</f>
        <v/>
      </c>
      <c r="E78" s="595">
        <f>'Equip&amp;HIRE_Master'!D41</f>
        <v/>
      </c>
      <c r="F78" s="583">
        <f>D78*E78</f>
        <v/>
      </c>
      <c r="I78" s="38" t="n"/>
      <c r="J78" s="38" t="n"/>
      <c r="K78" s="38" t="n"/>
      <c r="L78" s="38" t="n"/>
    </row>
    <row r="79" customFormat="1" s="40">
      <c r="A79" s="38" t="n"/>
      <c r="B79" s="38">
        <f>'Equip&amp;HIRE_Master'!A42</f>
        <v/>
      </c>
      <c r="C79" s="40" t="inlineStr">
        <is>
          <t>Day</t>
        </is>
      </c>
      <c r="D79" s="40">
        <f>$D$9</f>
        <v/>
      </c>
      <c r="E79" s="595">
        <f>'Equip&amp;HIRE_Master'!D42</f>
        <v/>
      </c>
      <c r="F79" s="583">
        <f>D79*E79</f>
        <v/>
      </c>
      <c r="I79" s="38" t="n"/>
      <c r="J79" s="38" t="n"/>
      <c r="K79" s="38" t="n"/>
      <c r="L79" s="38" t="n"/>
    </row>
    <row r="80" customFormat="1" s="40">
      <c r="A80" s="38" t="n"/>
      <c r="B80" s="38">
        <f>'Equip&amp;HIRE_Master'!A43</f>
        <v/>
      </c>
      <c r="C80" s="40" t="inlineStr">
        <is>
          <t>BUY</t>
        </is>
      </c>
      <c r="D80" t="n">
        <v>1</v>
      </c>
      <c r="E80" s="595" t="n">
        <v>1800</v>
      </c>
      <c r="F80" s="583">
        <f>D80*E80</f>
        <v/>
      </c>
      <c r="G80" s="540" t="inlineStr">
        <is>
          <t>20 ft container - purchase, TPS site store</t>
        </is>
      </c>
      <c r="I80" s="38" t="n"/>
      <c r="J80" s="38" t="n"/>
      <c r="K80" s="38" t="n"/>
      <c r="L80" s="38" t="n"/>
    </row>
    <row r="81" customFormat="1" s="40">
      <c r="A81" s="38" t="n"/>
      <c r="B81" s="38" t="inlineStr">
        <is>
          <t>Skip Bin</t>
        </is>
      </c>
      <c r="C81" s="40" t="inlineStr">
        <is>
          <t>Changeover</t>
        </is>
      </c>
      <c r="D81" s="40">
        <f>$D$10</f>
        <v/>
      </c>
      <c r="E81" s="595">
        <f>'Equip&amp;HIRE_Master'!D59</f>
        <v/>
      </c>
      <c r="F81" s="583">
        <f>D81*E81</f>
        <v/>
      </c>
      <c r="G81" s="540" t="inlineStr">
        <is>
          <t>Skip changeovers = months mobilised</t>
        </is>
      </c>
      <c r="I81" s="38" t="n"/>
      <c r="J81" s="38" t="n"/>
      <c r="K81" s="38" t="n"/>
      <c r="L81" s="38" t="n"/>
    </row>
    <row r="82" customFormat="1" s="40">
      <c r="A82" s="38" t="n"/>
      <c r="B82" s="38" t="n"/>
      <c r="E82" s="595" t="n"/>
      <c r="F82" s="583" t="n"/>
      <c r="I82" s="38" t="n"/>
      <c r="J82" s="38" t="n"/>
      <c r="K82" s="38" t="n"/>
      <c r="L82" s="38" t="n"/>
    </row>
    <row r="83" customFormat="1" s="40">
      <c r="A83" s="38" t="n"/>
      <c r="B83" s="38" t="inlineStr">
        <is>
          <t>Three-mobilisation allowance - plant float (3 discrete site windows per Phase 7 programme)</t>
        </is>
      </c>
      <c r="C83" t="inlineStr">
        <is>
          <t>mob</t>
        </is>
      </c>
      <c r="D83" t="n">
        <v>3</v>
      </c>
      <c r="E83" s="595" t="n">
        <v>1440</v>
      </c>
      <c r="F83" s="583">
        <f>D83*E83</f>
        <v/>
      </c>
      <c r="G83" s="540" t="inlineStr">
        <is>
          <t>3 mob x 2 loads x 4 hr x $180/hr ex-ROK transport (Equip&amp;HIRE D66). Crew remobilisation LABOUR is Phase 7 T1-12, priced in Siteworks - no overlap</t>
        </is>
      </c>
      <c r="I83" s="38" t="n"/>
      <c r="J83" s="38" t="n"/>
      <c r="K83" s="38" t="n"/>
      <c r="L83" s="38" t="n"/>
    </row>
    <row r="84" ht="10.8" customFormat="1" customHeight="1" s="40" thickBot="1">
      <c r="A84" s="38" t="n"/>
      <c r="B84" s="504" t="n"/>
      <c r="E84" s="583" t="n"/>
      <c r="F84" s="589" t="n"/>
      <c r="I84" s="38" t="n"/>
      <c r="J84" s="38" t="n"/>
      <c r="K84" s="38" t="n"/>
      <c r="L84" s="38" t="n"/>
    </row>
    <row r="85" ht="13.95" customHeight="1" thickBot="1">
      <c r="A85" s="42" t="n"/>
      <c r="B85" s="585" t="inlineStr">
        <is>
          <t>Misc.</t>
        </is>
      </c>
      <c r="C85" s="586" t="n"/>
      <c r="D85" s="586" t="n"/>
      <c r="E85" s="586" t="n"/>
      <c r="F85" s="587" t="n"/>
      <c r="H85" s="38" t="n"/>
    </row>
    <row r="86">
      <c r="A86" s="42" t="n"/>
      <c r="C86" s="42" t="n"/>
      <c r="D86" s="42" t="n"/>
      <c r="E86" s="588" t="n"/>
      <c r="F86" s="38" t="n"/>
    </row>
    <row r="87">
      <c r="B87" s="38" t="inlineStr">
        <is>
          <t>INSURANCE</t>
        </is>
      </c>
      <c r="C87" s="40" t="inlineStr">
        <is>
          <t>item</t>
        </is>
      </c>
      <c r="D87" s="229" t="n">
        <v>1</v>
      </c>
      <c r="E87" s="595" t="n">
        <v>20000</v>
      </c>
      <c r="F87" s="583">
        <f>D87*E87</f>
        <v/>
      </c>
      <c r="G87" s="540" t="inlineStr">
        <is>
          <t>Project-specific insurances (contract works + project PL/PI excess) - allowance; review against corporate cover before close</t>
        </is>
      </c>
    </row>
    <row r="88" customFormat="1" s="40">
      <c r="A88" s="38" t="n"/>
      <c r="B88" s="504" t="n"/>
      <c r="E88" s="583" t="n"/>
      <c r="F88" s="589" t="n"/>
      <c r="I88" s="38" t="n"/>
      <c r="J88" s="38" t="n"/>
      <c r="K88" s="38" t="n"/>
      <c r="L88" s="38" t="n"/>
    </row>
    <row r="89" customFormat="1" s="40">
      <c r="A89" s="42" t="n"/>
      <c r="B89" s="38" t="n"/>
      <c r="E89" s="213" t="inlineStr">
        <is>
          <t xml:space="preserve">Total TCS Prelims </t>
        </is>
      </c>
      <c r="F89" s="602">
        <f>SUM(F32:F88)</f>
        <v/>
      </c>
      <c r="G89" s="584" t="inlineStr">
        <is>
          <t>CROSS-CHECK: 5.5% prelims markup allowance ('TCS $ Sched' R42)</t>
        </is>
      </c>
      <c r="H89" s="582">
        <f>'TCS $ Sched'!R42</f>
        <v/>
      </c>
      <c r="I89" s="38" t="n"/>
      <c r="J89" s="38" t="n"/>
      <c r="K89" s="38" t="n"/>
      <c r="L89" s="38" t="n"/>
    </row>
    <row r="90" customFormat="1" s="40">
      <c r="A90" s="42" t="n"/>
      <c r="B90" s="38" t="n"/>
      <c r="E90" s="583" t="n"/>
      <c r="F90" s="54" t="n"/>
      <c r="G90" s="38" t="inlineStr">
        <is>
          <t>Variance $ (bottom-up F89 less 5.5% allowance)</t>
        </is>
      </c>
      <c r="H90" s="582">
        <f>F89-H89</f>
        <v/>
      </c>
      <c r="I90" s="38" t="n"/>
      <c r="J90" s="38" t="n"/>
      <c r="K90" s="38" t="n"/>
      <c r="L90" s="38" t="n"/>
    </row>
    <row r="91" ht="10.8" customFormat="1" customHeight="1" s="40" thickBot="1">
      <c r="B91" s="38" t="n"/>
      <c r="E91" s="583" t="n"/>
      <c r="F91" s="55" t="n"/>
      <c r="G91" s="38" t="inlineStr">
        <is>
          <t>Variance % of the 5.5% allowance</t>
        </is>
      </c>
      <c r="H91" s="713">
        <f>IF(H89=0,0,H90/H89)</f>
        <v/>
      </c>
      <c r="I91" s="38" t="n"/>
      <c r="J91" s="38" t="n"/>
      <c r="K91" s="38" t="n"/>
      <c r="L91" s="38" t="n"/>
    </row>
    <row r="92" ht="16.2" customHeight="1" thickBot="1">
      <c r="A92" s="42" t="inlineStr">
        <is>
          <t>A</t>
        </is>
      </c>
      <c r="B92" s="223" t="inlineStr">
        <is>
          <t>OverHeads</t>
        </is>
      </c>
      <c r="G92" s="540" t="inlineStr">
        <is>
          <t>Bottom-up prelims are the DIRECT establishment / temp-services / vehicle / mobilisation costs TPS must carry standalone (SS5.2 - no shared compound). Where bottom-up exceeds the 5.5% margin allowance the difference is a real exposure: lift the prelims % or carry the delta as a priced line before close.</t>
        </is>
      </c>
    </row>
    <row r="93">
      <c r="A93" s="42" t="n"/>
      <c r="C93" s="42" t="inlineStr">
        <is>
          <t>Unit</t>
        </is>
      </c>
      <c r="D93" s="42" t="inlineStr">
        <is>
          <t>REQ</t>
        </is>
      </c>
      <c r="E93" s="588" t="inlineStr">
        <is>
          <t>Cost ex GST</t>
        </is>
      </c>
      <c r="F93" s="588" t="inlineStr">
        <is>
          <t>Total ex GST</t>
        </is>
      </c>
      <c r="G93" s="603" t="inlineStr">
        <is>
          <t>Percentage across Project COST</t>
        </is>
      </c>
      <c r="H93" s="588" t="n"/>
      <c r="I93" s="588" t="n"/>
    </row>
    <row r="94">
      <c r="A94" s="42" t="n"/>
      <c r="B94" s="215" t="inlineStr">
        <is>
          <t>TriCore Overheads - COMPLETE…PER MONTH</t>
        </is>
      </c>
      <c r="C94" s="40" t="inlineStr">
        <is>
          <t>item</t>
        </is>
      </c>
      <c r="D94" t="n">
        <v>9.4</v>
      </c>
      <c r="E94" s="604" t="n">
        <v>40000</v>
      </c>
      <c r="F94" s="583">
        <f>D94*E94</f>
        <v/>
      </c>
      <c r="G94" s="312">
        <f>'TCS $ Sched'!$Q$68</f>
        <v/>
      </c>
      <c r="H94" s="714" t="inlineStr">
        <is>
          <t>9.4 months mobilised x $40,000/month TriCore corporate overhead (full corporate rate)</t>
        </is>
      </c>
      <c r="I94" s="596" t="n"/>
    </row>
    <row r="95" customFormat="1" s="40">
      <c r="A95" s="38" t="n"/>
      <c r="B95" s="504" t="inlineStr">
        <is>
          <t>less share attributable to concurrent TriCore projects (TPS carries 45% of corporate O/H over this window)</t>
        </is>
      </c>
      <c r="C95" t="inlineStr">
        <is>
          <t>item</t>
        </is>
      </c>
      <c r="D95" t="n">
        <v>1</v>
      </c>
      <c r="E95" s="583">
        <f>-F94*0.55</f>
        <v/>
      </c>
      <c r="F95" s="589">
        <f>D95*E95</f>
        <v/>
      </c>
      <c r="H95" s="540" t="inlineStr">
        <is>
          <t>STATED ASSUMPTION: charging 100% of corporate overhead to one project would over-recover. A 45% allocation is adopted for a project of this duration and value against expected concurrent workload - Director to confirm before close.</t>
        </is>
      </c>
      <c r="I95" s="38" t="n"/>
      <c r="J95" s="38" t="n"/>
      <c r="K95" s="38" t="n"/>
      <c r="L95" s="38" t="n"/>
    </row>
    <row r="96" customFormat="1" s="40">
      <c r="A96" s="42" t="n"/>
      <c r="B96" s="38" t="n"/>
      <c r="E96" s="213" t="inlineStr">
        <is>
          <t>Total TCS O/H</t>
        </is>
      </c>
      <c r="F96" s="602">
        <f>SUM(F94:F95)</f>
        <v/>
      </c>
      <c r="G96" s="584" t="inlineStr">
        <is>
          <t>CROSS-CHECK: 18% O/H markup allowance ('TCS $ Sched' R43)</t>
        </is>
      </c>
      <c r="H96" s="582">
        <f>'TCS $ Sched'!R43</f>
        <v/>
      </c>
      <c r="I96" s="38" t="n"/>
      <c r="J96" s="38" t="n"/>
      <c r="K96" s="38" t="n"/>
      <c r="L96" s="38" t="n"/>
    </row>
    <row r="97" customFormat="1" s="40">
      <c r="A97" s="38" t="n"/>
      <c r="B97" s="38" t="n"/>
      <c r="E97" s="583" t="n"/>
      <c r="F97" s="589" t="n"/>
      <c r="G97" s="38" t="inlineStr">
        <is>
          <t>Variance $ (bottom-up F96 less 18% allowance)</t>
        </is>
      </c>
      <c r="H97" s="582">
        <f>F96-H96</f>
        <v/>
      </c>
      <c r="I97" s="38" t="n"/>
      <c r="J97" s="38" t="n"/>
      <c r="K97" s="38" t="n"/>
      <c r="L97" s="38" t="n"/>
    </row>
    <row r="98" customFormat="1" s="40">
      <c r="A98" s="38" t="n"/>
      <c r="B98" s="56" t="n"/>
      <c r="C98" s="38" t="n"/>
      <c r="E98" s="583" t="n"/>
      <c r="F98" s="38" t="n"/>
      <c r="G98" s="38" t="inlineStr">
        <is>
          <t>Variance % of the 18% allowance</t>
        </is>
      </c>
      <c r="H98" s="713">
        <f>IF(H96=0,0,H97/H96)</f>
        <v/>
      </c>
      <c r="I98" s="38" t="n"/>
      <c r="J98" s="38" t="n"/>
      <c r="K98" s="38" t="n"/>
      <c r="L98" s="38" t="n"/>
    </row>
    <row r="99" customFormat="1" s="40">
      <c r="A99" s="38" t="n"/>
      <c r="B99" s="38" t="n"/>
      <c r="E99" s="583" t="n"/>
      <c r="F99" s="583" t="n"/>
      <c r="G99" s="38" t="n"/>
      <c r="I99" s="38" t="n"/>
      <c r="J99" s="38" t="n"/>
      <c r="K99" s="38" t="n"/>
      <c r="L99" s="38" t="n"/>
    </row>
    <row r="100" customFormat="1" s="40">
      <c r="A100" s="38" t="n"/>
      <c r="B100" s="38" t="n"/>
      <c r="E100" s="583" t="n"/>
      <c r="F100" s="583" t="n"/>
      <c r="G100" s="715" t="inlineStr">
        <is>
          <t>COMBINED bottom-up prelims + O/H</t>
        </is>
      </c>
      <c r="H100" s="582">
        <f>F89+F96</f>
        <v/>
      </c>
      <c r="I100" s="38" t="n"/>
      <c r="J100" s="38" t="n"/>
      <c r="K100" s="38" t="n"/>
      <c r="L100" s="38" t="n"/>
    </row>
    <row r="101" customFormat="1" s="40">
      <c r="A101" s="38" t="n"/>
      <c r="B101" s="38" t="n"/>
      <c r="E101" s="583" t="n"/>
      <c r="F101" s="583" t="n"/>
      <c r="G101" s="38" t="inlineStr">
        <is>
          <t>COMBINED 5.5% + 18% margin allowance</t>
        </is>
      </c>
      <c r="H101" s="582">
        <f>H89+H96</f>
        <v/>
      </c>
      <c r="I101" s="38" t="n"/>
      <c r="J101" s="38" t="n"/>
      <c r="K101" s="38" t="n"/>
      <c r="L101" s="38" t="n"/>
    </row>
    <row r="102">
      <c r="G102" t="inlineStr">
        <is>
          <t>Combined variance $ / %</t>
        </is>
      </c>
      <c r="H102" s="582">
        <f>H100-H101</f>
        <v/>
      </c>
      <c r="I102" s="713">
        <f>IF(H101=0,0,H102/H101)</f>
        <v/>
      </c>
    </row>
  </sheetData>
  <mergeCells count="8">
    <mergeCell ref="B68:F68"/>
    <mergeCell ref="C13:F13"/>
    <mergeCell ref="B30:F30"/>
    <mergeCell ref="C20:F20"/>
    <mergeCell ref="B51:F51"/>
    <mergeCell ref="A6:F6"/>
    <mergeCell ref="B85:F85"/>
    <mergeCell ref="B8:F8"/>
  </mergeCells>
  <printOptions gridLines="1"/>
  <pageMargins left="0.46" right="0.42" top="0.37" bottom="0.4" header="0.39" footer="0.38"/>
  <pageSetup orientation="portrait" paperSize="8" scale="80" horizontalDpi="1200" verticalDpi="1200"/>
</worksheet>
</file>

<file path=xl/worksheets/sheet3.xml><?xml version="1.0" encoding="utf-8"?>
<worksheet xmlns="http://schemas.openxmlformats.org/spreadsheetml/2006/main">
  <sheetPr>
    <tabColor theme="7"/>
    <outlinePr summaryBelow="1" summaryRight="1"/>
    <pageSetUpPr/>
  </sheetPr>
  <dimension ref="A1:R1003"/>
  <sheetViews>
    <sheetView topLeftCell="A341" zoomScaleNormal="100" workbookViewId="0">
      <selection activeCell="B352" sqref="B352"/>
    </sheetView>
  </sheetViews>
  <sheetFormatPr baseColWidth="8" defaultColWidth="9.21875" defaultRowHeight="10.2"/>
  <cols>
    <col width="8.21875" customWidth="1" style="38" min="1" max="1"/>
    <col width="69.77734375" customWidth="1" style="38" min="2" max="2"/>
    <col width="23.5546875" customWidth="1" style="40" min="3" max="3"/>
    <col width="14.21875" customWidth="1" style="40" min="4" max="4"/>
    <col width="17.21875" customWidth="1" style="583" min="5" max="5"/>
    <col width="14.21875" customWidth="1" style="583" min="6" max="6"/>
    <col width="9.21875" customWidth="1" style="38" min="7" max="9"/>
    <col width="16" customWidth="1" style="38" min="10" max="10"/>
    <col width="9.21875" customWidth="1" style="38" min="11" max="11"/>
    <col width="10" bestFit="1" customWidth="1" style="38" min="12" max="12"/>
    <col width="13.77734375" customWidth="1" style="38" min="13" max="13"/>
    <col width="10.21875" bestFit="1" customWidth="1" style="38" min="14" max="14"/>
    <col width="9.21875" customWidth="1" style="38" min="15" max="237"/>
    <col width="8.21875" customWidth="1" style="38" min="238" max="238"/>
    <col width="70.44140625" bestFit="1" customWidth="1" style="38" min="239" max="239"/>
    <col width="11.44140625" customWidth="1" style="38" min="240" max="240"/>
    <col width="10.44140625" customWidth="1" style="38" min="241" max="241"/>
    <col width="13.21875" customWidth="1" style="38" min="242" max="242"/>
    <col width="14.21875" customWidth="1" style="38" min="243" max="243"/>
    <col width="12.21875" customWidth="1" style="38" min="244" max="244"/>
    <col width="9.21875" customWidth="1" style="38" min="245" max="493"/>
    <col width="8.21875" customWidth="1" style="38" min="494" max="494"/>
    <col width="70.44140625" bestFit="1" customWidth="1" style="38" min="495" max="495"/>
    <col width="11.44140625" customWidth="1" style="38" min="496" max="496"/>
    <col width="10.44140625" customWidth="1" style="38" min="497" max="497"/>
    <col width="13.21875" customWidth="1" style="38" min="498" max="498"/>
    <col width="14.21875" customWidth="1" style="38" min="499" max="499"/>
    <col width="12.21875" customWidth="1" style="38" min="500" max="500"/>
    <col width="9.21875" customWidth="1" style="38" min="501" max="749"/>
    <col width="8.21875" customWidth="1" style="38" min="750" max="750"/>
    <col width="70.44140625" bestFit="1" customWidth="1" style="38" min="751" max="751"/>
    <col width="11.44140625" customWidth="1" style="38" min="752" max="752"/>
    <col width="10.44140625" customWidth="1" style="38" min="753" max="753"/>
    <col width="13.21875" customWidth="1" style="38" min="754" max="754"/>
    <col width="14.21875" customWidth="1" style="38" min="755" max="755"/>
    <col width="12.21875" customWidth="1" style="38" min="756" max="756"/>
    <col width="9.21875" customWidth="1" style="38" min="757" max="1005"/>
    <col width="8.21875" customWidth="1" style="38" min="1006" max="1006"/>
    <col width="70.44140625" bestFit="1" customWidth="1" style="38" min="1007" max="1007"/>
    <col width="11.44140625" customWidth="1" style="38" min="1008" max="1008"/>
    <col width="10.44140625" customWidth="1" style="38" min="1009" max="1009"/>
    <col width="13.21875" customWidth="1" style="38" min="1010" max="1010"/>
    <col width="14.21875" customWidth="1" style="38" min="1011" max="1011"/>
    <col width="12.21875" customWidth="1" style="38" min="1012" max="1012"/>
    <col width="9.21875" customWidth="1" style="38" min="1013" max="1261"/>
    <col width="8.21875" customWidth="1" style="38" min="1262" max="1262"/>
    <col width="70.44140625" bestFit="1" customWidth="1" style="38" min="1263" max="1263"/>
    <col width="11.44140625" customWidth="1" style="38" min="1264" max="1264"/>
    <col width="10.44140625" customWidth="1" style="38" min="1265" max="1265"/>
    <col width="13.21875" customWidth="1" style="38" min="1266" max="1266"/>
    <col width="14.21875" customWidth="1" style="38" min="1267" max="1267"/>
    <col width="12.21875" customWidth="1" style="38" min="1268" max="1268"/>
    <col width="9.21875" customWidth="1" style="38" min="1269" max="1517"/>
    <col width="8.21875" customWidth="1" style="38" min="1518" max="1518"/>
    <col width="70.44140625" bestFit="1" customWidth="1" style="38" min="1519" max="1519"/>
    <col width="11.44140625" customWidth="1" style="38" min="1520" max="1520"/>
    <col width="10.44140625" customWidth="1" style="38" min="1521" max="1521"/>
    <col width="13.21875" customWidth="1" style="38" min="1522" max="1522"/>
    <col width="14.21875" customWidth="1" style="38" min="1523" max="1523"/>
    <col width="12.21875" customWidth="1" style="38" min="1524" max="1524"/>
    <col width="9.21875" customWidth="1" style="38" min="1525" max="1773"/>
    <col width="8.21875" customWidth="1" style="38" min="1774" max="1774"/>
    <col width="70.44140625" bestFit="1" customWidth="1" style="38" min="1775" max="1775"/>
    <col width="11.44140625" customWidth="1" style="38" min="1776" max="1776"/>
    <col width="10.44140625" customWidth="1" style="38" min="1777" max="1777"/>
    <col width="13.21875" customWidth="1" style="38" min="1778" max="1778"/>
    <col width="14.21875" customWidth="1" style="38" min="1779" max="1779"/>
    <col width="12.21875" customWidth="1" style="38" min="1780" max="1780"/>
    <col width="9.21875" customWidth="1" style="38" min="1781" max="2029"/>
    <col width="8.21875" customWidth="1" style="38" min="2030" max="2030"/>
    <col width="70.44140625" bestFit="1" customWidth="1" style="38" min="2031" max="2031"/>
    <col width="11.44140625" customWidth="1" style="38" min="2032" max="2032"/>
    <col width="10.44140625" customWidth="1" style="38" min="2033" max="2033"/>
    <col width="13.21875" customWidth="1" style="38" min="2034" max="2034"/>
    <col width="14.21875" customWidth="1" style="38" min="2035" max="2035"/>
    <col width="12.21875" customWidth="1" style="38" min="2036" max="2036"/>
    <col width="9.21875" customWidth="1" style="38" min="2037" max="2285"/>
    <col width="8.21875" customWidth="1" style="38" min="2286" max="2286"/>
    <col width="70.44140625" bestFit="1" customWidth="1" style="38" min="2287" max="2287"/>
    <col width="11.44140625" customWidth="1" style="38" min="2288" max="2288"/>
    <col width="10.44140625" customWidth="1" style="38" min="2289" max="2289"/>
    <col width="13.21875" customWidth="1" style="38" min="2290" max="2290"/>
    <col width="14.21875" customWidth="1" style="38" min="2291" max="2291"/>
    <col width="12.21875" customWidth="1" style="38" min="2292" max="2292"/>
    <col width="9.21875" customWidth="1" style="38" min="2293" max="2541"/>
    <col width="8.21875" customWidth="1" style="38" min="2542" max="2542"/>
    <col width="70.44140625" bestFit="1" customWidth="1" style="38" min="2543" max="2543"/>
    <col width="11.44140625" customWidth="1" style="38" min="2544" max="2544"/>
    <col width="10.44140625" customWidth="1" style="38" min="2545" max="2545"/>
    <col width="13.21875" customWidth="1" style="38" min="2546" max="2546"/>
    <col width="14.21875" customWidth="1" style="38" min="2547" max="2547"/>
    <col width="12.21875" customWidth="1" style="38" min="2548" max="2548"/>
    <col width="9.21875" customWidth="1" style="38" min="2549" max="2797"/>
    <col width="8.21875" customWidth="1" style="38" min="2798" max="2798"/>
    <col width="70.44140625" bestFit="1" customWidth="1" style="38" min="2799" max="2799"/>
    <col width="11.44140625" customWidth="1" style="38" min="2800" max="2800"/>
    <col width="10.44140625" customWidth="1" style="38" min="2801" max="2801"/>
    <col width="13.21875" customWidth="1" style="38" min="2802" max="2802"/>
    <col width="14.21875" customWidth="1" style="38" min="2803" max="2803"/>
    <col width="12.21875" customWidth="1" style="38" min="2804" max="2804"/>
    <col width="9.21875" customWidth="1" style="38" min="2805" max="3053"/>
    <col width="8.21875" customWidth="1" style="38" min="3054" max="3054"/>
    <col width="70.44140625" bestFit="1" customWidth="1" style="38" min="3055" max="3055"/>
    <col width="11.44140625" customWidth="1" style="38" min="3056" max="3056"/>
    <col width="10.44140625" customWidth="1" style="38" min="3057" max="3057"/>
    <col width="13.21875" customWidth="1" style="38" min="3058" max="3058"/>
    <col width="14.21875" customWidth="1" style="38" min="3059" max="3059"/>
    <col width="12.21875" customWidth="1" style="38" min="3060" max="3060"/>
    <col width="9.21875" customWidth="1" style="38" min="3061" max="3309"/>
    <col width="8.21875" customWidth="1" style="38" min="3310" max="3310"/>
    <col width="70.44140625" bestFit="1" customWidth="1" style="38" min="3311" max="3311"/>
    <col width="11.44140625" customWidth="1" style="38" min="3312" max="3312"/>
    <col width="10.44140625" customWidth="1" style="38" min="3313" max="3313"/>
    <col width="13.21875" customWidth="1" style="38" min="3314" max="3314"/>
    <col width="14.21875" customWidth="1" style="38" min="3315" max="3315"/>
    <col width="12.21875" customWidth="1" style="38" min="3316" max="3316"/>
    <col width="9.21875" customWidth="1" style="38" min="3317" max="3565"/>
    <col width="8.21875" customWidth="1" style="38" min="3566" max="3566"/>
    <col width="70.44140625" bestFit="1" customWidth="1" style="38" min="3567" max="3567"/>
    <col width="11.44140625" customWidth="1" style="38" min="3568" max="3568"/>
    <col width="10.44140625" customWidth="1" style="38" min="3569" max="3569"/>
    <col width="13.21875" customWidth="1" style="38" min="3570" max="3570"/>
    <col width="14.21875" customWidth="1" style="38" min="3571" max="3571"/>
    <col width="12.21875" customWidth="1" style="38" min="3572" max="3572"/>
    <col width="9.21875" customWidth="1" style="38" min="3573" max="3821"/>
    <col width="8.21875" customWidth="1" style="38" min="3822" max="3822"/>
    <col width="70.44140625" bestFit="1" customWidth="1" style="38" min="3823" max="3823"/>
    <col width="11.44140625" customWidth="1" style="38" min="3824" max="3824"/>
    <col width="10.44140625" customWidth="1" style="38" min="3825" max="3825"/>
    <col width="13.21875" customWidth="1" style="38" min="3826" max="3826"/>
    <col width="14.21875" customWidth="1" style="38" min="3827" max="3827"/>
    <col width="12.21875" customWidth="1" style="38" min="3828" max="3828"/>
    <col width="9.21875" customWidth="1" style="38" min="3829" max="4077"/>
    <col width="8.21875" customWidth="1" style="38" min="4078" max="4078"/>
    <col width="70.44140625" bestFit="1" customWidth="1" style="38" min="4079" max="4079"/>
    <col width="11.44140625" customWidth="1" style="38" min="4080" max="4080"/>
    <col width="10.44140625" customWidth="1" style="38" min="4081" max="4081"/>
    <col width="13.21875" customWidth="1" style="38" min="4082" max="4082"/>
    <col width="14.21875" customWidth="1" style="38" min="4083" max="4083"/>
    <col width="12.21875" customWidth="1" style="38" min="4084" max="4084"/>
    <col width="9.21875" customWidth="1" style="38" min="4085" max="4333"/>
    <col width="8.21875" customWidth="1" style="38" min="4334" max="4334"/>
    <col width="70.44140625" bestFit="1" customWidth="1" style="38" min="4335" max="4335"/>
    <col width="11.44140625" customWidth="1" style="38" min="4336" max="4336"/>
    <col width="10.44140625" customWidth="1" style="38" min="4337" max="4337"/>
    <col width="13.21875" customWidth="1" style="38" min="4338" max="4338"/>
    <col width="14.21875" customWidth="1" style="38" min="4339" max="4339"/>
    <col width="12.21875" customWidth="1" style="38" min="4340" max="4340"/>
    <col width="9.21875" customWidth="1" style="38" min="4341" max="4589"/>
    <col width="8.21875" customWidth="1" style="38" min="4590" max="4590"/>
    <col width="70.44140625" bestFit="1" customWidth="1" style="38" min="4591" max="4591"/>
    <col width="11.44140625" customWidth="1" style="38" min="4592" max="4592"/>
    <col width="10.44140625" customWidth="1" style="38" min="4593" max="4593"/>
    <col width="13.21875" customWidth="1" style="38" min="4594" max="4594"/>
    <col width="14.21875" customWidth="1" style="38" min="4595" max="4595"/>
    <col width="12.21875" customWidth="1" style="38" min="4596" max="4596"/>
    <col width="9.21875" customWidth="1" style="38" min="4597" max="4845"/>
    <col width="8.21875" customWidth="1" style="38" min="4846" max="4846"/>
    <col width="70.44140625" bestFit="1" customWidth="1" style="38" min="4847" max="4847"/>
    <col width="11.44140625" customWidth="1" style="38" min="4848" max="4848"/>
    <col width="10.44140625" customWidth="1" style="38" min="4849" max="4849"/>
    <col width="13.21875" customWidth="1" style="38" min="4850" max="4850"/>
    <col width="14.21875" customWidth="1" style="38" min="4851" max="4851"/>
    <col width="12.21875" customWidth="1" style="38" min="4852" max="4852"/>
    <col width="9.21875" customWidth="1" style="38" min="4853" max="5101"/>
    <col width="8.21875" customWidth="1" style="38" min="5102" max="5102"/>
    <col width="70.44140625" bestFit="1" customWidth="1" style="38" min="5103" max="5103"/>
    <col width="11.44140625" customWidth="1" style="38" min="5104" max="5104"/>
    <col width="10.44140625" customWidth="1" style="38" min="5105" max="5105"/>
    <col width="13.21875" customWidth="1" style="38" min="5106" max="5106"/>
    <col width="14.21875" customWidth="1" style="38" min="5107" max="5107"/>
    <col width="12.21875" customWidth="1" style="38" min="5108" max="5108"/>
    <col width="9.21875" customWidth="1" style="38" min="5109" max="5357"/>
    <col width="8.21875" customWidth="1" style="38" min="5358" max="5358"/>
    <col width="70.44140625" bestFit="1" customWidth="1" style="38" min="5359" max="5359"/>
    <col width="11.44140625" customWidth="1" style="38" min="5360" max="5360"/>
    <col width="10.44140625" customWidth="1" style="38" min="5361" max="5361"/>
    <col width="13.21875" customWidth="1" style="38" min="5362" max="5362"/>
    <col width="14.21875" customWidth="1" style="38" min="5363" max="5363"/>
    <col width="12.21875" customWidth="1" style="38" min="5364" max="5364"/>
    <col width="9.21875" customWidth="1" style="38" min="5365" max="5613"/>
    <col width="8.21875" customWidth="1" style="38" min="5614" max="5614"/>
    <col width="70.44140625" bestFit="1" customWidth="1" style="38" min="5615" max="5615"/>
    <col width="11.44140625" customWidth="1" style="38" min="5616" max="5616"/>
    <col width="10.44140625" customWidth="1" style="38" min="5617" max="5617"/>
    <col width="13.21875" customWidth="1" style="38" min="5618" max="5618"/>
    <col width="14.21875" customWidth="1" style="38" min="5619" max="5619"/>
    <col width="12.21875" customWidth="1" style="38" min="5620" max="5620"/>
    <col width="9.21875" customWidth="1" style="38" min="5621" max="5869"/>
    <col width="8.21875" customWidth="1" style="38" min="5870" max="5870"/>
    <col width="70.44140625" bestFit="1" customWidth="1" style="38" min="5871" max="5871"/>
    <col width="11.44140625" customWidth="1" style="38" min="5872" max="5872"/>
    <col width="10.44140625" customWidth="1" style="38" min="5873" max="5873"/>
    <col width="13.21875" customWidth="1" style="38" min="5874" max="5874"/>
    <col width="14.21875" customWidth="1" style="38" min="5875" max="5875"/>
    <col width="12.21875" customWidth="1" style="38" min="5876" max="5876"/>
    <col width="9.21875" customWidth="1" style="38" min="5877" max="6125"/>
    <col width="8.21875" customWidth="1" style="38" min="6126" max="6126"/>
    <col width="70.44140625" bestFit="1" customWidth="1" style="38" min="6127" max="6127"/>
    <col width="11.44140625" customWidth="1" style="38" min="6128" max="6128"/>
    <col width="10.44140625" customWidth="1" style="38" min="6129" max="6129"/>
    <col width="13.21875" customWidth="1" style="38" min="6130" max="6130"/>
    <col width="14.21875" customWidth="1" style="38" min="6131" max="6131"/>
    <col width="12.21875" customWidth="1" style="38" min="6132" max="6132"/>
    <col width="9.21875" customWidth="1" style="38" min="6133" max="6381"/>
    <col width="8.21875" customWidth="1" style="38" min="6382" max="6382"/>
    <col width="70.44140625" bestFit="1" customWidth="1" style="38" min="6383" max="6383"/>
    <col width="11.44140625" customWidth="1" style="38" min="6384" max="6384"/>
    <col width="10.44140625" customWidth="1" style="38" min="6385" max="6385"/>
    <col width="13.21875" customWidth="1" style="38" min="6386" max="6386"/>
    <col width="14.21875" customWidth="1" style="38" min="6387" max="6387"/>
    <col width="12.21875" customWidth="1" style="38" min="6388" max="6388"/>
    <col width="9.21875" customWidth="1" style="38" min="6389" max="6637"/>
    <col width="8.21875" customWidth="1" style="38" min="6638" max="6638"/>
    <col width="70.44140625" bestFit="1" customWidth="1" style="38" min="6639" max="6639"/>
    <col width="11.44140625" customWidth="1" style="38" min="6640" max="6640"/>
    <col width="10.44140625" customWidth="1" style="38" min="6641" max="6641"/>
    <col width="13.21875" customWidth="1" style="38" min="6642" max="6642"/>
    <col width="14.21875" customWidth="1" style="38" min="6643" max="6643"/>
    <col width="12.21875" customWidth="1" style="38" min="6644" max="6644"/>
    <col width="9.21875" customWidth="1" style="38" min="6645" max="6893"/>
    <col width="8.21875" customWidth="1" style="38" min="6894" max="6894"/>
    <col width="70.44140625" bestFit="1" customWidth="1" style="38" min="6895" max="6895"/>
    <col width="11.44140625" customWidth="1" style="38" min="6896" max="6896"/>
    <col width="10.44140625" customWidth="1" style="38" min="6897" max="6897"/>
    <col width="13.21875" customWidth="1" style="38" min="6898" max="6898"/>
    <col width="14.21875" customWidth="1" style="38" min="6899" max="6899"/>
    <col width="12.21875" customWidth="1" style="38" min="6900" max="6900"/>
    <col width="9.21875" customWidth="1" style="38" min="6901" max="7149"/>
    <col width="8.21875" customWidth="1" style="38" min="7150" max="7150"/>
    <col width="70.44140625" bestFit="1" customWidth="1" style="38" min="7151" max="7151"/>
    <col width="11.44140625" customWidth="1" style="38" min="7152" max="7152"/>
    <col width="10.44140625" customWidth="1" style="38" min="7153" max="7153"/>
    <col width="13.21875" customWidth="1" style="38" min="7154" max="7154"/>
    <col width="14.21875" customWidth="1" style="38" min="7155" max="7155"/>
    <col width="12.21875" customWidth="1" style="38" min="7156" max="7156"/>
    <col width="9.21875" customWidth="1" style="38" min="7157" max="7405"/>
    <col width="8.21875" customWidth="1" style="38" min="7406" max="7406"/>
    <col width="70.44140625" bestFit="1" customWidth="1" style="38" min="7407" max="7407"/>
    <col width="11.44140625" customWidth="1" style="38" min="7408" max="7408"/>
    <col width="10.44140625" customWidth="1" style="38" min="7409" max="7409"/>
    <col width="13.21875" customWidth="1" style="38" min="7410" max="7410"/>
    <col width="14.21875" customWidth="1" style="38" min="7411" max="7411"/>
    <col width="12.21875" customWidth="1" style="38" min="7412" max="7412"/>
    <col width="9.21875" customWidth="1" style="38" min="7413" max="7661"/>
    <col width="8.21875" customWidth="1" style="38" min="7662" max="7662"/>
    <col width="70.44140625" bestFit="1" customWidth="1" style="38" min="7663" max="7663"/>
    <col width="11.44140625" customWidth="1" style="38" min="7664" max="7664"/>
    <col width="10.44140625" customWidth="1" style="38" min="7665" max="7665"/>
    <col width="13.21875" customWidth="1" style="38" min="7666" max="7666"/>
    <col width="14.21875" customWidth="1" style="38" min="7667" max="7667"/>
    <col width="12.21875" customWidth="1" style="38" min="7668" max="7668"/>
    <col width="9.21875" customWidth="1" style="38" min="7669" max="7917"/>
    <col width="8.21875" customWidth="1" style="38" min="7918" max="7918"/>
    <col width="70.44140625" bestFit="1" customWidth="1" style="38" min="7919" max="7919"/>
    <col width="11.44140625" customWidth="1" style="38" min="7920" max="7920"/>
    <col width="10.44140625" customWidth="1" style="38" min="7921" max="7921"/>
    <col width="13.21875" customWidth="1" style="38" min="7922" max="7922"/>
    <col width="14.21875" customWidth="1" style="38" min="7923" max="7923"/>
    <col width="12.21875" customWidth="1" style="38" min="7924" max="7924"/>
    <col width="9.21875" customWidth="1" style="38" min="7925" max="8173"/>
    <col width="8.21875" customWidth="1" style="38" min="8174" max="8174"/>
    <col width="70.44140625" bestFit="1" customWidth="1" style="38" min="8175" max="8175"/>
    <col width="11.44140625" customWidth="1" style="38" min="8176" max="8176"/>
    <col width="10.44140625" customWidth="1" style="38" min="8177" max="8177"/>
    <col width="13.21875" customWidth="1" style="38" min="8178" max="8178"/>
    <col width="14.21875" customWidth="1" style="38" min="8179" max="8179"/>
    <col width="12.21875" customWidth="1" style="38" min="8180" max="8180"/>
    <col width="9.21875" customWidth="1" style="38" min="8181" max="8429"/>
    <col width="8.21875" customWidth="1" style="38" min="8430" max="8430"/>
    <col width="70.44140625" bestFit="1" customWidth="1" style="38" min="8431" max="8431"/>
    <col width="11.44140625" customWidth="1" style="38" min="8432" max="8432"/>
    <col width="10.44140625" customWidth="1" style="38" min="8433" max="8433"/>
    <col width="13.21875" customWidth="1" style="38" min="8434" max="8434"/>
    <col width="14.21875" customWidth="1" style="38" min="8435" max="8435"/>
    <col width="12.21875" customWidth="1" style="38" min="8436" max="8436"/>
    <col width="9.21875" customWidth="1" style="38" min="8437" max="8685"/>
    <col width="8.21875" customWidth="1" style="38" min="8686" max="8686"/>
    <col width="70.44140625" bestFit="1" customWidth="1" style="38" min="8687" max="8687"/>
    <col width="11.44140625" customWidth="1" style="38" min="8688" max="8688"/>
    <col width="10.44140625" customWidth="1" style="38" min="8689" max="8689"/>
    <col width="13.21875" customWidth="1" style="38" min="8690" max="8690"/>
    <col width="14.21875" customWidth="1" style="38" min="8691" max="8691"/>
    <col width="12.21875" customWidth="1" style="38" min="8692" max="8692"/>
    <col width="9.21875" customWidth="1" style="38" min="8693" max="8941"/>
    <col width="8.21875" customWidth="1" style="38" min="8942" max="8942"/>
    <col width="70.44140625" bestFit="1" customWidth="1" style="38" min="8943" max="8943"/>
    <col width="11.44140625" customWidth="1" style="38" min="8944" max="8944"/>
    <col width="10.44140625" customWidth="1" style="38" min="8945" max="8945"/>
    <col width="13.21875" customWidth="1" style="38" min="8946" max="8946"/>
    <col width="14.21875" customWidth="1" style="38" min="8947" max="8947"/>
    <col width="12.21875" customWidth="1" style="38" min="8948" max="8948"/>
    <col width="9.21875" customWidth="1" style="38" min="8949" max="9197"/>
    <col width="8.21875" customWidth="1" style="38" min="9198" max="9198"/>
    <col width="70.44140625" bestFit="1" customWidth="1" style="38" min="9199" max="9199"/>
    <col width="11.44140625" customWidth="1" style="38" min="9200" max="9200"/>
    <col width="10.44140625" customWidth="1" style="38" min="9201" max="9201"/>
    <col width="13.21875" customWidth="1" style="38" min="9202" max="9202"/>
    <col width="14.21875" customWidth="1" style="38" min="9203" max="9203"/>
    <col width="12.21875" customWidth="1" style="38" min="9204" max="9204"/>
    <col width="9.21875" customWidth="1" style="38" min="9205" max="9453"/>
    <col width="8.21875" customWidth="1" style="38" min="9454" max="9454"/>
    <col width="70.44140625" bestFit="1" customWidth="1" style="38" min="9455" max="9455"/>
    <col width="11.44140625" customWidth="1" style="38" min="9456" max="9456"/>
    <col width="10.44140625" customWidth="1" style="38" min="9457" max="9457"/>
    <col width="13.21875" customWidth="1" style="38" min="9458" max="9458"/>
    <col width="14.21875" customWidth="1" style="38" min="9459" max="9459"/>
    <col width="12.21875" customWidth="1" style="38" min="9460" max="9460"/>
    <col width="9.21875" customWidth="1" style="38" min="9461" max="9709"/>
    <col width="8.21875" customWidth="1" style="38" min="9710" max="9710"/>
    <col width="70.44140625" bestFit="1" customWidth="1" style="38" min="9711" max="9711"/>
    <col width="11.44140625" customWidth="1" style="38" min="9712" max="9712"/>
    <col width="10.44140625" customWidth="1" style="38" min="9713" max="9713"/>
    <col width="13.21875" customWidth="1" style="38" min="9714" max="9714"/>
    <col width="14.21875" customWidth="1" style="38" min="9715" max="9715"/>
    <col width="12.21875" customWidth="1" style="38" min="9716" max="9716"/>
    <col width="9.21875" customWidth="1" style="38" min="9717" max="9965"/>
    <col width="8.21875" customWidth="1" style="38" min="9966" max="9966"/>
    <col width="70.44140625" bestFit="1" customWidth="1" style="38" min="9967" max="9967"/>
    <col width="11.44140625" customWidth="1" style="38" min="9968" max="9968"/>
    <col width="10.44140625" customWidth="1" style="38" min="9969" max="9969"/>
    <col width="13.21875" customWidth="1" style="38" min="9970" max="9970"/>
    <col width="14.21875" customWidth="1" style="38" min="9971" max="9971"/>
    <col width="12.21875" customWidth="1" style="38" min="9972" max="9972"/>
    <col width="9.21875" customWidth="1" style="38" min="9973" max="10221"/>
    <col width="8.21875" customWidth="1" style="38" min="10222" max="10222"/>
    <col width="70.44140625" bestFit="1" customWidth="1" style="38" min="10223" max="10223"/>
    <col width="11.44140625" customWidth="1" style="38" min="10224" max="10224"/>
    <col width="10.44140625" customWidth="1" style="38" min="10225" max="10225"/>
    <col width="13.21875" customWidth="1" style="38" min="10226" max="10226"/>
    <col width="14.21875" customWidth="1" style="38" min="10227" max="10227"/>
    <col width="12.21875" customWidth="1" style="38" min="10228" max="10228"/>
    <col width="9.21875" customWidth="1" style="38" min="10229" max="10477"/>
    <col width="8.21875" customWidth="1" style="38" min="10478" max="10478"/>
    <col width="70.44140625" bestFit="1" customWidth="1" style="38" min="10479" max="10479"/>
    <col width="11.44140625" customWidth="1" style="38" min="10480" max="10480"/>
    <col width="10.44140625" customWidth="1" style="38" min="10481" max="10481"/>
    <col width="13.21875" customWidth="1" style="38" min="10482" max="10482"/>
    <col width="14.21875" customWidth="1" style="38" min="10483" max="10483"/>
    <col width="12.21875" customWidth="1" style="38" min="10484" max="10484"/>
    <col width="9.21875" customWidth="1" style="38" min="10485" max="10733"/>
    <col width="8.21875" customWidth="1" style="38" min="10734" max="10734"/>
    <col width="70.44140625" bestFit="1" customWidth="1" style="38" min="10735" max="10735"/>
    <col width="11.44140625" customWidth="1" style="38" min="10736" max="10736"/>
    <col width="10.44140625" customWidth="1" style="38" min="10737" max="10737"/>
    <col width="13.21875" customWidth="1" style="38" min="10738" max="10738"/>
    <col width="14.21875" customWidth="1" style="38" min="10739" max="10739"/>
    <col width="12.21875" customWidth="1" style="38" min="10740" max="10740"/>
    <col width="9.21875" customWidth="1" style="38" min="10741" max="10989"/>
    <col width="8.21875" customWidth="1" style="38" min="10990" max="10990"/>
    <col width="70.44140625" bestFit="1" customWidth="1" style="38" min="10991" max="10991"/>
    <col width="11.44140625" customWidth="1" style="38" min="10992" max="10992"/>
    <col width="10.44140625" customWidth="1" style="38" min="10993" max="10993"/>
    <col width="13.21875" customWidth="1" style="38" min="10994" max="10994"/>
    <col width="14.21875" customWidth="1" style="38" min="10995" max="10995"/>
    <col width="12.21875" customWidth="1" style="38" min="10996" max="10996"/>
    <col width="9.21875" customWidth="1" style="38" min="10997" max="11245"/>
    <col width="8.21875" customWidth="1" style="38" min="11246" max="11246"/>
    <col width="70.44140625" bestFit="1" customWidth="1" style="38" min="11247" max="11247"/>
    <col width="11.44140625" customWidth="1" style="38" min="11248" max="11248"/>
    <col width="10.44140625" customWidth="1" style="38" min="11249" max="11249"/>
    <col width="13.21875" customWidth="1" style="38" min="11250" max="11250"/>
    <col width="14.21875" customWidth="1" style="38" min="11251" max="11251"/>
    <col width="12.21875" customWidth="1" style="38" min="11252" max="11252"/>
    <col width="9.21875" customWidth="1" style="38" min="11253" max="11501"/>
    <col width="8.21875" customWidth="1" style="38" min="11502" max="11502"/>
    <col width="70.44140625" bestFit="1" customWidth="1" style="38" min="11503" max="11503"/>
    <col width="11.44140625" customWidth="1" style="38" min="11504" max="11504"/>
    <col width="10.44140625" customWidth="1" style="38" min="11505" max="11505"/>
    <col width="13.21875" customWidth="1" style="38" min="11506" max="11506"/>
    <col width="14.21875" customWidth="1" style="38" min="11507" max="11507"/>
    <col width="12.21875" customWidth="1" style="38" min="11508" max="11508"/>
    <col width="9.21875" customWidth="1" style="38" min="11509" max="11757"/>
    <col width="8.21875" customWidth="1" style="38" min="11758" max="11758"/>
    <col width="70.44140625" bestFit="1" customWidth="1" style="38" min="11759" max="11759"/>
    <col width="11.44140625" customWidth="1" style="38" min="11760" max="11760"/>
    <col width="10.44140625" customWidth="1" style="38" min="11761" max="11761"/>
    <col width="13.21875" customWidth="1" style="38" min="11762" max="11762"/>
    <col width="14.21875" customWidth="1" style="38" min="11763" max="11763"/>
    <col width="12.21875" customWidth="1" style="38" min="11764" max="11764"/>
    <col width="9.21875" customWidth="1" style="38" min="11765" max="12013"/>
    <col width="8.21875" customWidth="1" style="38" min="12014" max="12014"/>
    <col width="70.44140625" bestFit="1" customWidth="1" style="38" min="12015" max="12015"/>
    <col width="11.44140625" customWidth="1" style="38" min="12016" max="12016"/>
    <col width="10.44140625" customWidth="1" style="38" min="12017" max="12017"/>
    <col width="13.21875" customWidth="1" style="38" min="12018" max="12018"/>
    <col width="14.21875" customWidth="1" style="38" min="12019" max="12019"/>
    <col width="12.21875" customWidth="1" style="38" min="12020" max="12020"/>
    <col width="9.21875" customWidth="1" style="38" min="12021" max="12269"/>
    <col width="8.21875" customWidth="1" style="38" min="12270" max="12270"/>
    <col width="70.44140625" bestFit="1" customWidth="1" style="38" min="12271" max="12271"/>
    <col width="11.44140625" customWidth="1" style="38" min="12272" max="12272"/>
    <col width="10.44140625" customWidth="1" style="38" min="12273" max="12273"/>
    <col width="13.21875" customWidth="1" style="38" min="12274" max="12274"/>
    <col width="14.21875" customWidth="1" style="38" min="12275" max="12275"/>
    <col width="12.21875" customWidth="1" style="38" min="12276" max="12276"/>
    <col width="9.21875" customWidth="1" style="38" min="12277" max="12525"/>
    <col width="8.21875" customWidth="1" style="38" min="12526" max="12526"/>
    <col width="70.44140625" bestFit="1" customWidth="1" style="38" min="12527" max="12527"/>
    <col width="11.44140625" customWidth="1" style="38" min="12528" max="12528"/>
    <col width="10.44140625" customWidth="1" style="38" min="12529" max="12529"/>
    <col width="13.21875" customWidth="1" style="38" min="12530" max="12530"/>
    <col width="14.21875" customWidth="1" style="38" min="12531" max="12531"/>
    <col width="12.21875" customWidth="1" style="38" min="12532" max="12532"/>
    <col width="9.21875" customWidth="1" style="38" min="12533" max="12781"/>
    <col width="8.21875" customWidth="1" style="38" min="12782" max="12782"/>
    <col width="70.44140625" bestFit="1" customWidth="1" style="38" min="12783" max="12783"/>
    <col width="11.44140625" customWidth="1" style="38" min="12784" max="12784"/>
    <col width="10.44140625" customWidth="1" style="38" min="12785" max="12785"/>
    <col width="13.21875" customWidth="1" style="38" min="12786" max="12786"/>
    <col width="14.21875" customWidth="1" style="38" min="12787" max="12787"/>
    <col width="12.21875" customWidth="1" style="38" min="12788" max="12788"/>
    <col width="9.21875" customWidth="1" style="38" min="12789" max="13037"/>
    <col width="8.21875" customWidth="1" style="38" min="13038" max="13038"/>
    <col width="70.44140625" bestFit="1" customWidth="1" style="38" min="13039" max="13039"/>
    <col width="11.44140625" customWidth="1" style="38" min="13040" max="13040"/>
    <col width="10.44140625" customWidth="1" style="38" min="13041" max="13041"/>
    <col width="13.21875" customWidth="1" style="38" min="13042" max="13042"/>
    <col width="14.21875" customWidth="1" style="38" min="13043" max="13043"/>
    <col width="12.21875" customWidth="1" style="38" min="13044" max="13044"/>
    <col width="9.21875" customWidth="1" style="38" min="13045" max="13293"/>
    <col width="8.21875" customWidth="1" style="38" min="13294" max="13294"/>
    <col width="70.44140625" bestFit="1" customWidth="1" style="38" min="13295" max="13295"/>
    <col width="11.44140625" customWidth="1" style="38" min="13296" max="13296"/>
    <col width="10.44140625" customWidth="1" style="38" min="13297" max="13297"/>
    <col width="13.21875" customWidth="1" style="38" min="13298" max="13298"/>
    <col width="14.21875" customWidth="1" style="38" min="13299" max="13299"/>
    <col width="12.21875" customWidth="1" style="38" min="13300" max="13300"/>
    <col width="9.21875" customWidth="1" style="38" min="13301" max="13549"/>
    <col width="8.21875" customWidth="1" style="38" min="13550" max="13550"/>
    <col width="70.44140625" bestFit="1" customWidth="1" style="38" min="13551" max="13551"/>
    <col width="11.44140625" customWidth="1" style="38" min="13552" max="13552"/>
    <col width="10.44140625" customWidth="1" style="38" min="13553" max="13553"/>
    <col width="13.21875" customWidth="1" style="38" min="13554" max="13554"/>
    <col width="14.21875" customWidth="1" style="38" min="13555" max="13555"/>
    <col width="12.21875" customWidth="1" style="38" min="13556" max="13556"/>
    <col width="9.21875" customWidth="1" style="38" min="13557" max="13805"/>
    <col width="8.21875" customWidth="1" style="38" min="13806" max="13806"/>
    <col width="70.44140625" bestFit="1" customWidth="1" style="38" min="13807" max="13807"/>
    <col width="11.44140625" customWidth="1" style="38" min="13808" max="13808"/>
    <col width="10.44140625" customWidth="1" style="38" min="13809" max="13809"/>
    <col width="13.21875" customWidth="1" style="38" min="13810" max="13810"/>
    <col width="14.21875" customWidth="1" style="38" min="13811" max="13811"/>
    <col width="12.21875" customWidth="1" style="38" min="13812" max="13812"/>
    <col width="9.21875" customWidth="1" style="38" min="13813" max="14061"/>
    <col width="8.21875" customWidth="1" style="38" min="14062" max="14062"/>
    <col width="70.44140625" bestFit="1" customWidth="1" style="38" min="14063" max="14063"/>
    <col width="11.44140625" customWidth="1" style="38" min="14064" max="14064"/>
    <col width="10.44140625" customWidth="1" style="38" min="14065" max="14065"/>
    <col width="13.21875" customWidth="1" style="38" min="14066" max="14066"/>
    <col width="14.21875" customWidth="1" style="38" min="14067" max="14067"/>
    <col width="12.21875" customWidth="1" style="38" min="14068" max="14068"/>
    <col width="9.21875" customWidth="1" style="38" min="14069" max="14317"/>
    <col width="8.21875" customWidth="1" style="38" min="14318" max="14318"/>
    <col width="70.44140625" bestFit="1" customWidth="1" style="38" min="14319" max="14319"/>
    <col width="11.44140625" customWidth="1" style="38" min="14320" max="14320"/>
    <col width="10.44140625" customWidth="1" style="38" min="14321" max="14321"/>
    <col width="13.21875" customWidth="1" style="38" min="14322" max="14322"/>
    <col width="14.21875" customWidth="1" style="38" min="14323" max="14323"/>
    <col width="12.21875" customWidth="1" style="38" min="14324" max="14324"/>
    <col width="9.21875" customWidth="1" style="38" min="14325" max="14573"/>
    <col width="8.21875" customWidth="1" style="38" min="14574" max="14574"/>
    <col width="70.44140625" bestFit="1" customWidth="1" style="38" min="14575" max="14575"/>
    <col width="11.44140625" customWidth="1" style="38" min="14576" max="14576"/>
    <col width="10.44140625" customWidth="1" style="38" min="14577" max="14577"/>
    <col width="13.21875" customWidth="1" style="38" min="14578" max="14578"/>
    <col width="14.21875" customWidth="1" style="38" min="14579" max="14579"/>
    <col width="12.21875" customWidth="1" style="38" min="14580" max="14580"/>
    <col width="9.21875" customWidth="1" style="38" min="14581" max="14829"/>
    <col width="8.21875" customWidth="1" style="38" min="14830" max="14830"/>
    <col width="70.44140625" bestFit="1" customWidth="1" style="38" min="14831" max="14831"/>
    <col width="11.44140625" customWidth="1" style="38" min="14832" max="14832"/>
    <col width="10.44140625" customWidth="1" style="38" min="14833" max="14833"/>
    <col width="13.21875" customWidth="1" style="38" min="14834" max="14834"/>
    <col width="14.21875" customWidth="1" style="38" min="14835" max="14835"/>
    <col width="12.21875" customWidth="1" style="38" min="14836" max="14836"/>
    <col width="9.21875" customWidth="1" style="38" min="14837" max="15085"/>
    <col width="8.21875" customWidth="1" style="38" min="15086" max="15086"/>
    <col width="70.44140625" bestFit="1" customWidth="1" style="38" min="15087" max="15087"/>
    <col width="11.44140625" customWidth="1" style="38" min="15088" max="15088"/>
    <col width="10.44140625" customWidth="1" style="38" min="15089" max="15089"/>
    <col width="13.21875" customWidth="1" style="38" min="15090" max="15090"/>
    <col width="14.21875" customWidth="1" style="38" min="15091" max="15091"/>
    <col width="12.21875" customWidth="1" style="38" min="15092" max="15092"/>
    <col width="9.21875" customWidth="1" style="38" min="15093" max="15341"/>
    <col width="8.21875" customWidth="1" style="38" min="15342" max="15342"/>
    <col width="70.44140625" bestFit="1" customWidth="1" style="38" min="15343" max="15343"/>
    <col width="11.44140625" customWidth="1" style="38" min="15344" max="15344"/>
    <col width="10.44140625" customWidth="1" style="38" min="15345" max="15345"/>
    <col width="13.21875" customWidth="1" style="38" min="15346" max="15346"/>
    <col width="14.21875" customWidth="1" style="38" min="15347" max="15347"/>
    <col width="12.21875" customWidth="1" style="38" min="15348" max="15348"/>
    <col width="9.21875" customWidth="1" style="38" min="15349" max="15597"/>
    <col width="8.21875" customWidth="1" style="38" min="15598" max="15598"/>
    <col width="70.44140625" bestFit="1" customWidth="1" style="38" min="15599" max="15599"/>
    <col width="11.44140625" customWidth="1" style="38" min="15600" max="15600"/>
    <col width="10.44140625" customWidth="1" style="38" min="15601" max="15601"/>
    <col width="13.21875" customWidth="1" style="38" min="15602" max="15602"/>
    <col width="14.21875" customWidth="1" style="38" min="15603" max="15603"/>
    <col width="12.21875" customWidth="1" style="38" min="15604" max="15604"/>
    <col width="9.21875" customWidth="1" style="38" min="15605" max="15853"/>
    <col width="8.21875" customWidth="1" style="38" min="15854" max="15854"/>
    <col width="70.44140625" bestFit="1" customWidth="1" style="38" min="15855" max="15855"/>
    <col width="11.44140625" customWidth="1" style="38" min="15856" max="15856"/>
    <col width="10.44140625" customWidth="1" style="38" min="15857" max="15857"/>
    <col width="13.21875" customWidth="1" style="38" min="15858" max="15858"/>
    <col width="14.21875" customWidth="1" style="38" min="15859" max="15859"/>
    <col width="12.21875" customWidth="1" style="38" min="15860" max="15860"/>
    <col width="9.21875" customWidth="1" style="38" min="15861" max="16109"/>
    <col width="8.21875" customWidth="1" style="38" min="16110" max="16110"/>
    <col width="70.44140625" bestFit="1" customWidth="1" style="38" min="16111" max="16111"/>
    <col width="11.44140625" customWidth="1" style="38" min="16112" max="16112"/>
    <col width="10.44140625" customWidth="1" style="38" min="16113" max="16113"/>
    <col width="13.21875" customWidth="1" style="38" min="16114" max="16114"/>
    <col width="14.21875" customWidth="1" style="38" min="16115" max="16115"/>
    <col width="12.21875" customWidth="1" style="38" min="16116" max="16116"/>
    <col width="9.21875" customWidth="1" style="38" min="16117" max="16384"/>
  </cols>
  <sheetData>
    <row r="1">
      <c r="B1" s="39" t="inlineStr">
        <is>
          <t xml:space="preserve">Project: </t>
        </is>
      </c>
    </row>
    <row r="2">
      <c r="B2" s="39" t="inlineStr">
        <is>
          <t>Tricore   -</t>
        </is>
      </c>
    </row>
    <row r="3">
      <c r="B3" s="38" t="inlineStr">
        <is>
          <t>Stage 1 Version 1</t>
        </is>
      </c>
    </row>
    <row r="4" ht="13.8" customHeight="1">
      <c r="A4" s="42" t="inlineStr">
        <is>
          <t xml:space="preserve">Item  </t>
        </is>
      </c>
      <c r="B4" s="43" t="n"/>
    </row>
    <row r="5" ht="10.8" customHeight="1" thickBot="1">
      <c r="A5" s="42" t="n"/>
      <c r="B5" s="132" t="n"/>
      <c r="E5" s="583" t="n"/>
      <c r="F5" s="583" t="n"/>
    </row>
    <row r="6" ht="6" customHeight="1">
      <c r="A6" s="485" t="n"/>
    </row>
    <row r="7" customFormat="1" s="40">
      <c r="A7" s="38" t="n"/>
      <c r="B7" s="504" t="n"/>
      <c r="E7" s="583" t="n"/>
      <c r="F7" s="583" t="n"/>
    </row>
    <row r="8" customFormat="1" s="40">
      <c r="A8" s="42" t="n"/>
      <c r="B8" s="39" t="n"/>
      <c r="C8" s="42" t="n"/>
      <c r="D8" s="42" t="n"/>
      <c r="E8" s="583" t="n"/>
      <c r="F8" s="583" t="n"/>
    </row>
    <row r="9" ht="15.6" customFormat="1" customHeight="1" s="40">
      <c r="A9" s="265" t="n">
        <v>1</v>
      </c>
      <c r="B9" s="493" t="inlineStr">
        <is>
          <t xml:space="preserve">Complete - </t>
        </is>
      </c>
    </row>
    <row r="10" customFormat="1" s="40">
      <c r="A10" s="42" t="n"/>
      <c r="B10" s="39" t="n"/>
      <c r="C10" s="42" t="n"/>
      <c r="D10" s="42" t="n"/>
      <c r="E10" s="583" t="n"/>
      <c r="F10" s="583" t="n"/>
    </row>
    <row r="11" ht="10.8" customFormat="1" customHeight="1" s="40" thickBot="1">
      <c r="A11" s="42" t="n"/>
      <c r="B11" s="39" t="n"/>
      <c r="C11" s="42" t="n"/>
      <c r="D11" s="42" t="n"/>
      <c r="E11" s="583" t="n"/>
      <c r="F11" s="583" t="n"/>
    </row>
    <row r="12" ht="10.8" customFormat="1" customHeight="1" s="40" thickBot="1">
      <c r="A12" s="42" t="n"/>
      <c r="B12" s="49" t="inlineStr">
        <is>
          <t>Labour</t>
        </is>
      </c>
      <c r="C12" s="42" t="n"/>
      <c r="D12" s="42" t="n"/>
      <c r="E12" s="583" t="n"/>
      <c r="F12" s="583" t="n"/>
    </row>
    <row r="13" ht="5.25" customFormat="1" customHeight="1" s="40">
      <c r="A13" s="42" t="n"/>
      <c r="B13" s="39" t="n"/>
      <c r="C13" s="42" t="n"/>
      <c r="D13" s="42" t="n"/>
      <c r="E13" s="583" t="n"/>
      <c r="F13" s="583" t="n"/>
      <c r="G13" s="584" t="inlineStr">
        <is>
          <t>Denis qty</t>
        </is>
      </c>
      <c r="H13" s="584" t="inlineStr">
        <is>
          <t>Qty / rate source note</t>
        </is>
      </c>
    </row>
    <row r="14" ht="12.75" customFormat="1" customHeight="1" s="40">
      <c r="A14" s="38" t="n"/>
      <c r="B14" s="191" t="inlineStr">
        <is>
          <t>DAY</t>
        </is>
      </c>
      <c r="C14" s="42" t="n"/>
      <c r="D14" s="492" t="n"/>
      <c r="F14" s="583" t="n"/>
      <c r="J14" s="490" t="inlineStr">
        <is>
          <t>april 2026 direct impact Increase % (not contigency)</t>
        </is>
      </c>
    </row>
    <row r="15" customFormat="1" s="40">
      <c r="A15" s="38" t="n"/>
      <c r="B15" s="38">
        <f>'LabourProject Rates_Master'!$B$14</f>
        <v/>
      </c>
      <c r="C15" s="40" t="inlineStr">
        <is>
          <t>Day</t>
        </is>
      </c>
      <c r="D15" s="332" t="n"/>
      <c r="E15" s="583">
        <f>'LabourProject Rates_Master'!$E$15</f>
        <v/>
      </c>
      <c r="F15" s="583">
        <f>E15*D15</f>
        <v/>
      </c>
    </row>
    <row r="16" ht="11.55" customFormat="1" customHeight="1" s="40">
      <c r="A16" s="38" t="n"/>
      <c r="B16" s="38">
        <f>'LabourProject Rates_Master'!$B$23</f>
        <v/>
      </c>
      <c r="C16" s="40" t="inlineStr">
        <is>
          <t>Day</t>
        </is>
      </c>
      <c r="D16" s="332" t="n"/>
      <c r="E16" s="583">
        <f>'LabourProject Rates_Master'!$E$22</f>
        <v/>
      </c>
      <c r="F16" s="583">
        <f>E16*D16</f>
        <v/>
      </c>
      <c r="K16" s="149" t="inlineStr">
        <is>
          <t>PE Pipe &amp; Fitting</t>
        </is>
      </c>
      <c r="L16" s="230" t="n">
        <v>0.38</v>
      </c>
      <c r="M16" s="40" t="n">
        <v>1.38</v>
      </c>
    </row>
    <row r="17" ht="11.55" customFormat="1" customHeight="1" s="40">
      <c r="A17" s="42" t="n"/>
      <c r="B17" s="38">
        <f>'LabourProject Rates_Master'!$B$30</f>
        <v/>
      </c>
      <c r="C17" s="40" t="inlineStr">
        <is>
          <t>Day</t>
        </is>
      </c>
      <c r="D17" s="332" t="n"/>
      <c r="E17" s="583">
        <f>'LabourProject Rates_Master'!$E$29</f>
        <v/>
      </c>
      <c r="F17" s="583">
        <f>E17*D17</f>
        <v/>
      </c>
      <c r="K17" s="149" t="inlineStr">
        <is>
          <t>PVC Pipe &amp; Fittings</t>
        </is>
      </c>
      <c r="L17" s="230" t="n">
        <v>0.38</v>
      </c>
      <c r="M17" s="40" t="n">
        <v>1.38</v>
      </c>
    </row>
    <row r="18" ht="11.55" customFormat="1" customHeight="1" s="40">
      <c r="A18" s="42" t="n"/>
      <c r="B18" s="38">
        <f>'LabourProject Rates_Master'!$B$36</f>
        <v/>
      </c>
      <c r="C18" s="40" t="inlineStr">
        <is>
          <t>Day</t>
        </is>
      </c>
      <c r="D18" s="332" t="n">
        <v>26</v>
      </c>
      <c r="E18" s="583">
        <f>'LabourProject Rates_Master'!$E$37</f>
        <v/>
      </c>
      <c r="F18" s="583">
        <f>E18*D18</f>
        <v/>
      </c>
      <c r="H18" s="540" t="inlineStr">
        <is>
          <t>Phase 7 crew-days: T1-07 14 + T1-08 8 + T1-10 4 (DP stubs NBC+PAM)</t>
        </is>
      </c>
      <c r="K18" s="149" t="inlineStr">
        <is>
          <t>Subby Rates</t>
        </is>
      </c>
      <c r="L18" s="230" t="n">
        <v>0.15</v>
      </c>
      <c r="M18" s="40" t="n">
        <v>1.15</v>
      </c>
    </row>
    <row r="19" customFormat="1" s="40">
      <c r="A19" s="42" t="n"/>
      <c r="B19" s="38">
        <f>'LabourProject Rates_Master'!$B$43</f>
        <v/>
      </c>
      <c r="C19" s="40" t="inlineStr">
        <is>
          <t>Day</t>
        </is>
      </c>
      <c r="D19" s="332" t="n"/>
      <c r="E19" s="583">
        <f>'LabourProject Rates_Master'!$E$44</f>
        <v/>
      </c>
      <c r="F19" s="583">
        <f>E19*D19</f>
        <v/>
      </c>
      <c r="K19" s="149" t="inlineStr">
        <is>
          <t>Delivey Rate</t>
        </is>
      </c>
      <c r="L19" s="230" t="n">
        <v>0.2</v>
      </c>
      <c r="M19" s="40" t="n">
        <v>1.2</v>
      </c>
    </row>
    <row r="20" customFormat="1" s="40">
      <c r="A20" s="42" t="n"/>
      <c r="B20" s="38">
        <f>'LabourProject Rates_Master'!B51</f>
        <v/>
      </c>
      <c r="C20" s="40" t="inlineStr">
        <is>
          <t>Day</t>
        </is>
      </c>
      <c r="D20" s="332" t="n">
        <v>14</v>
      </c>
      <c r="E20" s="583">
        <f>'LabourProject Rates_Master'!E52</f>
        <v/>
      </c>
      <c r="F20" s="583">
        <f>E20*D20</f>
        <v/>
      </c>
      <c r="H20" s="540" t="inlineStr">
        <is>
          <t>Phase 7 crew-days: T3-01 6 + T3-02 5 + T3-04 3</t>
        </is>
      </c>
      <c r="K20" s="149" t="n"/>
      <c r="L20" s="230" t="n"/>
    </row>
    <row r="21" customFormat="1" s="40">
      <c r="A21" s="42" t="n"/>
      <c r="B21" s="38">
        <f>'LabourProject Rates_Master'!B59</f>
        <v/>
      </c>
      <c r="C21" s="40" t="inlineStr">
        <is>
          <t>Day</t>
        </is>
      </c>
      <c r="D21" s="332" t="n">
        <v>21</v>
      </c>
      <c r="E21" s="583">
        <f>'LabourProject Rates_Master'!E60</f>
        <v/>
      </c>
      <c r="F21" s="583">
        <f>E21*D21</f>
        <v/>
      </c>
      <c r="H21" s="540" t="inlineStr">
        <is>
          <t>Phase 7 crew-days: T4-01 12 + T4-02 3 + T4-03 3 + T4-04 1 + T4-07 2</t>
        </is>
      </c>
      <c r="K21" s="149" t="n"/>
      <c r="L21" s="230" t="n"/>
    </row>
    <row r="22" customFormat="1" s="40">
      <c r="A22" s="42" t="n"/>
      <c r="B22" s="38">
        <f>'LabourProject Rates_Master'!B67</f>
        <v/>
      </c>
      <c r="C22" s="40" t="inlineStr">
        <is>
          <t>Day</t>
        </is>
      </c>
      <c r="D22" s="332" t="n">
        <v>27</v>
      </c>
      <c r="E22" s="583">
        <f>'LabourProject Rates_Master'!E68</f>
        <v/>
      </c>
      <c r="F22" s="583">
        <f>E22*D22</f>
        <v/>
      </c>
      <c r="H22" s="540" t="inlineStr">
        <is>
          <t>Phase 7 crew-days: T5-01 13 + T5-02 3 + T5-04a 1 + T5-05 3 + T5-06 4 + T5-07 3</t>
        </is>
      </c>
      <c r="K22" s="149" t="n"/>
      <c r="L22" s="230" t="n"/>
    </row>
    <row r="23" customFormat="1" s="40">
      <c r="A23" s="42" t="n"/>
      <c r="B23" s="38">
        <f>'LabourProject Rates_Master'!B75</f>
        <v/>
      </c>
      <c r="C23" s="40" t="inlineStr">
        <is>
          <t>Day</t>
        </is>
      </c>
      <c r="D23" s="332" t="n"/>
      <c r="E23" s="583">
        <f>'LabourProject Rates_Master'!E76</f>
        <v/>
      </c>
      <c r="F23" s="583">
        <f>E23*D23</f>
        <v/>
      </c>
      <c r="K23" s="149" t="n"/>
      <c r="L23" s="230" t="n"/>
    </row>
    <row r="24" customFormat="1" s="40">
      <c r="A24" s="42" t="n"/>
      <c r="B24" s="38" t="n"/>
      <c r="D24" s="332" t="n"/>
      <c r="E24" s="583" t="n"/>
      <c r="F24" s="583" t="n"/>
      <c r="K24" s="149" t="n"/>
      <c r="L24" s="230" t="n"/>
    </row>
    <row r="25" customFormat="1" s="40">
      <c r="A25" s="42" t="n"/>
      <c r="B25" s="38" t="n"/>
      <c r="D25" s="332" t="n"/>
      <c r="E25" s="583" t="n"/>
      <c r="F25" s="583" t="n"/>
      <c r="K25" s="149" t="n"/>
      <c r="L25" s="230" t="n"/>
    </row>
    <row r="26" ht="6.6" customFormat="1" customHeight="1" s="40">
      <c r="A26" s="42" t="n"/>
      <c r="B26" s="38" t="n"/>
      <c r="E26" s="590" t="n"/>
      <c r="F26" s="583" t="n"/>
    </row>
    <row r="27" customFormat="1" s="40">
      <c r="A27" s="38" t="n"/>
      <c r="B27" s="191" t="inlineStr">
        <is>
          <t>HOUR</t>
        </is>
      </c>
      <c r="C27" s="42" t="n"/>
      <c r="D27" s="42" t="n"/>
      <c r="E27" s="583" t="n"/>
      <c r="F27" s="583" t="n"/>
    </row>
    <row r="28" customFormat="1" s="40">
      <c r="A28" s="38" t="n"/>
      <c r="B28" s="38">
        <f>'LabourProject Rates_Master'!$B$14</f>
        <v/>
      </c>
      <c r="C28" s="40" t="inlineStr">
        <is>
          <t>HR</t>
        </is>
      </c>
      <c r="D28" s="40" t="n">
        <v>742.1</v>
      </c>
      <c r="E28" s="583">
        <f>'LabourProject Rates_Master'!$E$14</f>
        <v/>
      </c>
      <c r="F28" s="583">
        <f>E28*D28</f>
        <v/>
      </c>
      <c r="H28" s="540" t="inlineStr">
        <is>
          <t>Phase 7 LH supervision - NBC activities 742.1 hr</t>
        </is>
      </c>
    </row>
    <row r="29" ht="11.55" customFormat="1" customHeight="1" s="40">
      <c r="A29" s="38" t="n"/>
      <c r="B29" s="38">
        <f>'LabourProject Rates_Master'!$B$23</f>
        <v/>
      </c>
      <c r="C29" s="40" t="inlineStr">
        <is>
          <t>HR</t>
        </is>
      </c>
      <c r="D29" s="40" t="n">
        <v>0</v>
      </c>
      <c r="E29" s="583">
        <f>'LabourProject Rates_Master'!$E$21</f>
        <v/>
      </c>
      <c r="F29" s="583">
        <f>E29*D29</f>
        <v/>
      </c>
    </row>
    <row r="30" ht="11.55" customFormat="1" customHeight="1" s="40">
      <c r="A30" s="42" t="n"/>
      <c r="B30" s="38">
        <f>'LabourProject Rates_Master'!$B$30</f>
        <v/>
      </c>
      <c r="C30" s="40" t="inlineStr">
        <is>
          <t>HR</t>
        </is>
      </c>
      <c r="D30" s="40" t="n">
        <v>0</v>
      </c>
      <c r="E30" s="583">
        <f>'LabourProject Rates_Master'!$E$28</f>
        <v/>
      </c>
      <c r="F30" s="583">
        <f>E30*D30</f>
        <v/>
      </c>
    </row>
    <row r="31" ht="11.55" customFormat="1" customHeight="1" s="40">
      <c r="A31" s="42" t="n"/>
      <c r="B31" s="38">
        <f>'LabourProject Rates_Master'!$B$36</f>
        <v/>
      </c>
      <c r="C31" s="40" t="inlineStr">
        <is>
          <t>HR</t>
        </is>
      </c>
      <c r="D31" s="40" t="n">
        <v>0</v>
      </c>
      <c r="E31" s="583">
        <f>'LabourProject Rates_Master'!$E$36</f>
        <v/>
      </c>
      <c r="F31" s="583">
        <f>E31*D31</f>
        <v/>
      </c>
    </row>
    <row r="32" customFormat="1" s="40">
      <c r="A32" s="42" t="n"/>
      <c r="B32" s="38">
        <f>'LabourProject Rates_Master'!$B$43</f>
        <v/>
      </c>
      <c r="C32" s="40" t="inlineStr">
        <is>
          <t>HR</t>
        </is>
      </c>
      <c r="D32" s="40" t="n">
        <v>0</v>
      </c>
      <c r="E32" s="583">
        <f>'LabourProject Rates_Master'!$E$43</f>
        <v/>
      </c>
      <c r="F32" s="583">
        <f>E32*D32</f>
        <v/>
      </c>
    </row>
    <row r="33" ht="7.5" customHeight="1">
      <c r="E33" s="583" t="n"/>
    </row>
    <row r="34" ht="10.8" customHeight="1" thickBot="1">
      <c r="A34" s="40" t="n"/>
      <c r="E34" s="583" t="n"/>
      <c r="F34" s="583" t="n"/>
    </row>
    <row r="35" ht="10.8" customHeight="1" thickBot="1">
      <c r="A35" s="42" t="n"/>
      <c r="B35" s="49" t="inlineStr">
        <is>
          <t>Demolition &amp; Reinstatement</t>
        </is>
      </c>
      <c r="E35" s="583" t="n"/>
      <c r="F35" s="583" t="n"/>
    </row>
    <row r="36">
      <c r="A36" s="40" t="n"/>
      <c r="B36" s="283" t="inlineStr">
        <is>
          <t>DEMO</t>
        </is>
      </c>
      <c r="E36" s="583" t="n"/>
      <c r="F36" s="583" t="n"/>
    </row>
    <row r="37">
      <c r="A37" s="40" t="n"/>
      <c r="B37" s="38">
        <f>'Misc Subbie Rates_Master'!A49</f>
        <v/>
      </c>
      <c r="C37" s="40" t="inlineStr">
        <is>
          <t>m</t>
        </is>
      </c>
      <c r="D37" s="332" t="n"/>
      <c r="E37" s="583">
        <f>'Misc Subbie Rates_Master'!D49+('Misc Subbie Rates_Master'!D49*$L$18)</f>
        <v/>
      </c>
      <c r="F37" s="583">
        <f>E37*D37</f>
        <v/>
      </c>
    </row>
    <row r="38">
      <c r="A38" s="40" t="n"/>
      <c r="B38" s="38">
        <f>'Misc Subbie Rates_Master'!A50</f>
        <v/>
      </c>
      <c r="C38" s="40" t="inlineStr">
        <is>
          <t>m</t>
        </is>
      </c>
      <c r="E38" s="583">
        <f>'Misc Subbie Rates_Master'!D50+('Misc Subbie Rates_Master'!D50*$L$18)</f>
        <v/>
      </c>
      <c r="F38" s="583">
        <f>E38*D38</f>
        <v/>
      </c>
    </row>
    <row r="39">
      <c r="A39" s="40" t="n"/>
      <c r="B39" s="38" t="inlineStr">
        <is>
          <t>Con Cut Establishemnt Fee</t>
        </is>
      </c>
      <c r="C39" s="40" t="inlineStr">
        <is>
          <t>ea</t>
        </is>
      </c>
      <c r="E39" s="583">
        <f>'Misc Subbie Rates_Master'!D51+('Misc Subbie Rates_Master'!D51*$L$18)</f>
        <v/>
      </c>
      <c r="F39" s="583">
        <f>E39*D39</f>
        <v/>
      </c>
    </row>
    <row r="40">
      <c r="A40" s="40" t="n"/>
      <c r="B40" s="283" t="inlineStr">
        <is>
          <t>REINSTATE - CONCRETE</t>
        </is>
      </c>
      <c r="E40" s="583" t="n"/>
      <c r="F40" s="583" t="n"/>
    </row>
    <row r="41">
      <c r="A41" s="40" t="n"/>
      <c r="B41" s="38">
        <f>'Misc Subbie Rates_Master'!A56</f>
        <v/>
      </c>
      <c r="C41" s="40" t="inlineStr">
        <is>
          <t>m</t>
        </is>
      </c>
      <c r="E41" s="583">
        <f>'Misc Subbie Rates_Master'!D56</f>
        <v/>
      </c>
      <c r="F41" s="583">
        <f>E41*D41</f>
        <v/>
      </c>
    </row>
    <row r="42">
      <c r="A42" s="40" t="n"/>
      <c r="B42" s="38">
        <f>'Misc Subbie Rates_Master'!A57</f>
        <v/>
      </c>
      <c r="C42" s="40" t="inlineStr">
        <is>
          <t>ea</t>
        </is>
      </c>
      <c r="E42" s="583">
        <f>'Misc Subbie Rates_Master'!D57</f>
        <v/>
      </c>
      <c r="F42" s="583">
        <f>E42*D42</f>
        <v/>
      </c>
    </row>
    <row r="43">
      <c r="A43" s="40" t="n"/>
      <c r="B43" s="38">
        <f>'Misc Subbie Rates_Master'!A58</f>
        <v/>
      </c>
      <c r="C43" s="40" t="inlineStr">
        <is>
          <t>lm</t>
        </is>
      </c>
      <c r="E43" s="583">
        <f>'Misc Subbie Rates_Master'!D58</f>
        <v/>
      </c>
      <c r="F43" s="583">
        <f>E43*D43</f>
        <v/>
      </c>
    </row>
    <row r="44">
      <c r="A44" s="40" t="n"/>
      <c r="B44" s="38">
        <f>'Misc Subbie Rates_Master'!A59</f>
        <v/>
      </c>
      <c r="C44" s="40" t="inlineStr">
        <is>
          <t>lm</t>
        </is>
      </c>
      <c r="E44" s="583">
        <f>'Misc Subbie Rates_Master'!D59</f>
        <v/>
      </c>
      <c r="F44" s="583">
        <f>E44*D44</f>
        <v/>
      </c>
    </row>
    <row r="45">
      <c r="A45" s="40" t="n"/>
      <c r="B45" s="283" t="inlineStr">
        <is>
          <t>REINSTATE - ASPHALT</t>
        </is>
      </c>
      <c r="E45" s="583" t="n"/>
      <c r="F45" s="583" t="n"/>
    </row>
    <row r="46">
      <c r="A46" s="40" t="n"/>
      <c r="B46" s="38">
        <f>'Misc Subbie Rates_Master'!A64</f>
        <v/>
      </c>
      <c r="C46" s="40" t="inlineStr">
        <is>
          <t>m2</t>
        </is>
      </c>
      <c r="E46" s="583">
        <f>'Misc Subbie Rates_Master'!D64</f>
        <v/>
      </c>
      <c r="F46" s="583">
        <f>E46*D46</f>
        <v/>
      </c>
    </row>
    <row r="47">
      <c r="A47" s="40" t="n"/>
      <c r="B47" s="38">
        <f>'Misc Subbie Rates_Master'!A65</f>
        <v/>
      </c>
      <c r="C47" s="40" t="inlineStr">
        <is>
          <t>m2</t>
        </is>
      </c>
      <c r="E47" s="583">
        <f>'Misc Subbie Rates_Master'!D65</f>
        <v/>
      </c>
      <c r="F47" s="583">
        <f>E47*D47</f>
        <v/>
      </c>
    </row>
    <row r="48">
      <c r="A48" s="40" t="n"/>
      <c r="B48" s="38">
        <f>'Misc Subbie Rates_Master'!A66</f>
        <v/>
      </c>
      <c r="C48" s="40" t="inlineStr">
        <is>
          <t>Ea</t>
        </is>
      </c>
      <c r="E48" s="583">
        <f>'Misc Subbie Rates_Master'!D66</f>
        <v/>
      </c>
      <c r="F48" s="583">
        <f>E48*D48</f>
        <v/>
      </c>
    </row>
    <row r="49" ht="10.8" customHeight="1" thickBot="1">
      <c r="A49" s="40" t="n"/>
      <c r="E49" s="583" t="n"/>
      <c r="F49" s="583" t="n"/>
    </row>
    <row r="50" ht="10.8" customHeight="1" thickBot="1">
      <c r="A50" s="42" t="n"/>
      <c r="B50" s="49" t="inlineStr">
        <is>
          <t>Equipment &amp; Hire - INCL WET PLANT HIRE</t>
        </is>
      </c>
      <c r="E50" s="583" t="n"/>
      <c r="F50" s="583" t="n"/>
    </row>
    <row r="51">
      <c r="A51" s="40" t="n"/>
      <c r="E51" s="583" t="n"/>
      <c r="F51" s="583" t="n"/>
    </row>
    <row r="52">
      <c r="A52" s="38" t="inlineStr">
        <is>
          <t>HIDDEN</t>
        </is>
      </c>
      <c r="B52" s="283" t="inlineStr">
        <is>
          <t>PLANT HIRE - WET</t>
        </is>
      </c>
      <c r="E52" s="583" t="n"/>
      <c r="F52" s="583" t="n"/>
    </row>
    <row r="53" hidden="1">
      <c r="B53" s="38" t="inlineStr">
        <is>
          <t>1.8T Excavator</t>
        </is>
      </c>
      <c r="C53" s="40" t="inlineStr">
        <is>
          <t>Hr</t>
        </is>
      </c>
      <c r="E53" s="583">
        <f>'Misc Subbie Rates_Master'!D10</f>
        <v/>
      </c>
      <c r="F53" s="583">
        <f>E53*D53</f>
        <v/>
      </c>
    </row>
    <row r="54" hidden="1">
      <c r="B54" s="38" t="inlineStr">
        <is>
          <t xml:space="preserve"> 3-5 ton Excavator</t>
        </is>
      </c>
      <c r="C54" s="40" t="inlineStr">
        <is>
          <t>Hr</t>
        </is>
      </c>
      <c r="E54" s="583">
        <f>'Misc Subbie Rates_Master'!D11</f>
        <v/>
      </c>
      <c r="F54" s="583">
        <f>E54*D54</f>
        <v/>
      </c>
    </row>
    <row r="55" hidden="1">
      <c r="B55" s="38" t="inlineStr">
        <is>
          <t>3-5T Combo</t>
        </is>
      </c>
      <c r="C55" s="40" t="inlineStr">
        <is>
          <t>Hr</t>
        </is>
      </c>
      <c r="E55" s="583">
        <f>'Misc Subbie Rates_Master'!D12</f>
        <v/>
      </c>
      <c r="F55" s="583">
        <f>E55*D55</f>
        <v/>
      </c>
    </row>
    <row r="56" hidden="1">
      <c r="B56" s="38" t="inlineStr">
        <is>
          <t>Hammer attachment 3.5-4T</t>
        </is>
      </c>
      <c r="C56" s="40" t="inlineStr">
        <is>
          <t>Hr</t>
        </is>
      </c>
      <c r="E56" s="583">
        <f>'Misc Subbie Rates_Master'!D13</f>
        <v/>
      </c>
      <c r="F56" s="583">
        <f>E56*D56</f>
        <v/>
      </c>
    </row>
    <row r="57" hidden="1">
      <c r="B57" s="38" t="inlineStr">
        <is>
          <t>Ripper 3.5-4T</t>
        </is>
      </c>
      <c r="C57" s="40" t="inlineStr">
        <is>
          <t>Hr</t>
        </is>
      </c>
      <c r="E57" s="583">
        <f>'Misc Subbie Rates_Master'!D14</f>
        <v/>
      </c>
      <c r="F57" s="583">
        <f>E57*D57</f>
        <v/>
      </c>
    </row>
    <row r="58" hidden="1">
      <c r="B58" s="38" t="inlineStr">
        <is>
          <t>5t Excavator</t>
        </is>
      </c>
      <c r="C58" s="40" t="inlineStr">
        <is>
          <t>Hr</t>
        </is>
      </c>
      <c r="E58" s="583">
        <f>'Misc Subbie Rates_Master'!D15</f>
        <v/>
      </c>
      <c r="F58" s="583">
        <f>E58*D58</f>
        <v/>
      </c>
    </row>
    <row r="59" hidden="1">
      <c r="B59" s="38" t="inlineStr">
        <is>
          <t>Hammer attachment 5T</t>
        </is>
      </c>
      <c r="C59" s="40" t="inlineStr">
        <is>
          <t>Hr</t>
        </is>
      </c>
      <c r="E59" s="583">
        <f>'Misc Subbie Rates_Master'!D16</f>
        <v/>
      </c>
      <c r="F59" s="583">
        <f>E59*D59</f>
        <v/>
      </c>
    </row>
    <row r="60" hidden="1">
      <c r="B60" s="38" t="inlineStr">
        <is>
          <t>Skid steer</t>
        </is>
      </c>
      <c r="C60" s="40" t="inlineStr">
        <is>
          <t>Hr</t>
        </is>
      </c>
      <c r="E60" s="583">
        <f>'Misc Subbie Rates_Master'!D17</f>
        <v/>
      </c>
      <c r="F60" s="583">
        <f>E60*D60</f>
        <v/>
      </c>
    </row>
    <row r="61" hidden="1">
      <c r="B61" s="38" t="inlineStr">
        <is>
          <t>8T Excavator</t>
        </is>
      </c>
      <c r="C61" s="40" t="inlineStr">
        <is>
          <t>Hr</t>
        </is>
      </c>
      <c r="E61" s="583">
        <f>'Misc Subbie Rates_Master'!D18</f>
        <v/>
      </c>
      <c r="F61" s="583">
        <f>E61*D61</f>
        <v/>
      </c>
    </row>
    <row r="62" hidden="1">
      <c r="B62" s="38" t="inlineStr">
        <is>
          <t>Hammer attachment 8T</t>
        </is>
      </c>
      <c r="C62" s="40" t="inlineStr">
        <is>
          <t>Hr</t>
        </is>
      </c>
      <c r="E62" s="583">
        <f>'Misc Subbie Rates_Master'!D19</f>
        <v/>
      </c>
      <c r="F62" s="583">
        <f>E62*D62</f>
        <v/>
      </c>
    </row>
    <row r="63" hidden="1">
      <c r="B63" s="38" t="inlineStr">
        <is>
          <t>Ripper 8T</t>
        </is>
      </c>
      <c r="C63" s="40" t="inlineStr">
        <is>
          <t>Hr</t>
        </is>
      </c>
      <c r="E63" s="583">
        <f>'Misc Subbie Rates_Master'!D20</f>
        <v/>
      </c>
      <c r="F63" s="583">
        <f>E63*D63</f>
        <v/>
      </c>
    </row>
    <row r="64" hidden="1">
      <c r="B64" s="38" t="inlineStr">
        <is>
          <t>13-15T Excavator</t>
        </is>
      </c>
      <c r="C64" s="40" t="inlineStr">
        <is>
          <t>Hr</t>
        </is>
      </c>
      <c r="E64" s="583">
        <f>'Misc Subbie Rates_Master'!D21</f>
        <v/>
      </c>
      <c r="F64" s="583">
        <f>E64*D64</f>
        <v/>
      </c>
    </row>
    <row r="65" hidden="1">
      <c r="B65" s="38" t="inlineStr">
        <is>
          <t>Hammer attachment 14T</t>
        </is>
      </c>
      <c r="C65" s="40" t="inlineStr">
        <is>
          <t>Hr</t>
        </is>
      </c>
      <c r="E65" s="583">
        <f>'Misc Subbie Rates_Master'!D22</f>
        <v/>
      </c>
      <c r="F65" s="583">
        <f>E65*D65</f>
        <v/>
      </c>
    </row>
    <row r="66" hidden="1">
      <c r="B66" s="38" t="inlineStr">
        <is>
          <t>Ripper 14T</t>
        </is>
      </c>
      <c r="C66" s="40" t="inlineStr">
        <is>
          <t>Hr</t>
        </is>
      </c>
      <c r="E66" s="583">
        <f>'Misc Subbie Rates_Master'!D23</f>
        <v/>
      </c>
      <c r="F66" s="583">
        <f>E66*D66</f>
        <v/>
      </c>
    </row>
    <row r="67" hidden="1">
      <c r="B67" s="38" t="inlineStr">
        <is>
          <t>3000L Hydro Excavation Truck</t>
        </is>
      </c>
      <c r="C67" s="40" t="inlineStr">
        <is>
          <t>Hr</t>
        </is>
      </c>
      <c r="E67" s="583">
        <f>'Misc Subbie Rates_Master'!D24</f>
        <v/>
      </c>
      <c r="F67" s="583">
        <f>E67*D67</f>
        <v/>
      </c>
    </row>
    <row r="68" hidden="1">
      <c r="B68" s="38" t="inlineStr">
        <is>
          <t xml:space="preserve">4500L Hydro Excavation Truck </t>
        </is>
      </c>
      <c r="C68" s="40" t="inlineStr">
        <is>
          <t>Hr</t>
        </is>
      </c>
      <c r="E68" s="583">
        <f>'Misc Subbie Rates_Master'!D25</f>
        <v/>
      </c>
      <c r="F68" s="583">
        <f>E68*D68</f>
        <v/>
      </c>
    </row>
    <row r="69" hidden="1">
      <c r="B69" s="38" t="inlineStr">
        <is>
          <t>6300L Hydro Excavation Truck</t>
        </is>
      </c>
      <c r="C69" s="40" t="inlineStr">
        <is>
          <t>Hr</t>
        </is>
      </c>
      <c r="E69" s="583">
        <f>'Misc Subbie Rates_Master'!D26</f>
        <v/>
      </c>
      <c r="F69" s="583">
        <f>E69*D69</f>
        <v/>
      </c>
    </row>
    <row r="70" hidden="1">
      <c r="B70" s="38" t="inlineStr">
        <is>
          <t xml:space="preserve">Water Truck allow for water at cost </t>
        </is>
      </c>
      <c r="C70" s="40" t="inlineStr">
        <is>
          <t>Hr</t>
        </is>
      </c>
      <c r="E70" s="583">
        <f>'Misc Subbie Rates_Master'!D27</f>
        <v/>
      </c>
      <c r="F70" s="583">
        <f>E70*D70</f>
        <v/>
      </c>
    </row>
    <row r="71" hidden="1">
      <c r="B71" s="38" t="inlineStr">
        <is>
          <t>12t Body Truck Tipper</t>
        </is>
      </c>
      <c r="C71" s="40" t="inlineStr">
        <is>
          <t>Hr</t>
        </is>
      </c>
      <c r="E71" s="583">
        <f>'Misc Subbie Rates_Master'!D28</f>
        <v/>
      </c>
      <c r="F71" s="583">
        <f>E71*D71</f>
        <v/>
      </c>
    </row>
    <row r="72">
      <c r="E72" s="583" t="n"/>
      <c r="F72" s="583" t="n"/>
    </row>
    <row r="73">
      <c r="B73" s="283" t="inlineStr">
        <is>
          <t>HIRE - DRY</t>
        </is>
      </c>
      <c r="E73" s="583" t="n"/>
      <c r="F73" s="583" t="n"/>
    </row>
    <row r="74">
      <c r="A74" s="40" t="n"/>
      <c r="B74" s="201" t="inlineStr">
        <is>
          <t>Skid Steer Loader_Tracked (CAT249+)</t>
        </is>
      </c>
      <c r="C74" s="40" t="inlineStr">
        <is>
          <t>Day</t>
        </is>
      </c>
      <c r="E74" s="583">
        <f>'Equip&amp;HIRE_Master'!D4</f>
        <v/>
      </c>
      <c r="F74" s="583">
        <f>E74*D74</f>
        <v/>
      </c>
    </row>
    <row r="75">
      <c r="A75" s="40" t="n"/>
      <c r="B75" s="201" t="inlineStr">
        <is>
          <t>Skid Steer Loader_Wheeled (CAT226+)</t>
        </is>
      </c>
      <c r="C75" s="40" t="inlineStr">
        <is>
          <t>Day</t>
        </is>
      </c>
      <c r="E75" s="583">
        <f>'Equip&amp;HIRE_Master'!D5</f>
        <v/>
      </c>
      <c r="F75" s="583">
        <f>E75*D75</f>
        <v/>
      </c>
    </row>
    <row r="76">
      <c r="A76" s="40" t="n"/>
      <c r="B76" s="201" t="inlineStr">
        <is>
          <t>Mini Loader, Stand-on Type</t>
        </is>
      </c>
      <c r="C76" s="40" t="inlineStr">
        <is>
          <t>Day</t>
        </is>
      </c>
      <c r="E76" s="583">
        <f>'Equip&amp;HIRE_Master'!D6</f>
        <v/>
      </c>
      <c r="F76" s="583">
        <f>E76*D76</f>
        <v/>
      </c>
    </row>
    <row r="77" ht="6" customHeight="1">
      <c r="A77" s="40" t="n"/>
      <c r="B77" s="201" t="n"/>
      <c r="E77" s="583">
        <f>'Equip&amp;HIRE_Master'!D7</f>
        <v/>
      </c>
      <c r="F77" s="583">
        <f>E77*D77</f>
        <v/>
      </c>
    </row>
    <row r="78">
      <c r="A78" s="40" t="n"/>
      <c r="B78" s="201" t="inlineStr">
        <is>
          <t>1.5-1.8 Ton_Excavator</t>
        </is>
      </c>
      <c r="C78" s="40" t="inlineStr">
        <is>
          <t>Day</t>
        </is>
      </c>
      <c r="D78" t="n">
        <v>14</v>
      </c>
      <c r="E78" s="583">
        <f>'Equip&amp;HIRE_Master'!D8</f>
        <v/>
      </c>
      <c r="F78" s="583">
        <f>E78*D78</f>
        <v/>
      </c>
      <c r="H78" s="540" t="inlineStr">
        <is>
          <t>Phase 7 plant: T1-07 10 + T1-10 4</t>
        </is>
      </c>
    </row>
    <row r="79">
      <c r="A79" s="40" t="n"/>
      <c r="B79" s="201" t="inlineStr">
        <is>
          <t>1.7-2Ton_Excavator</t>
        </is>
      </c>
      <c r="C79" s="40" t="inlineStr">
        <is>
          <t>Day</t>
        </is>
      </c>
      <c r="E79" s="583">
        <f>'Equip&amp;HIRE_Master'!D9</f>
        <v/>
      </c>
      <c r="F79" s="583">
        <f>E79*D79</f>
        <v/>
      </c>
    </row>
    <row r="80">
      <c r="A80" s="40" t="n"/>
      <c r="B80" s="201" t="inlineStr">
        <is>
          <t>3-5Ton_Excavator</t>
        </is>
      </c>
      <c r="C80" s="40" t="inlineStr">
        <is>
          <t>Day</t>
        </is>
      </c>
      <c r="D80" t="n">
        <v>8</v>
      </c>
      <c r="E80" s="583">
        <f>'Equip&amp;HIRE_Master'!D10</f>
        <v/>
      </c>
      <c r="F80" s="583">
        <f>E80*D80</f>
        <v/>
      </c>
      <c r="H80" s="540" t="inlineStr">
        <is>
          <t>Phase 7 plant: T1-08 4 + T1-07 combo 4 (combo classed as 3-5T)</t>
        </is>
      </c>
    </row>
    <row r="81">
      <c r="A81" s="40" t="n"/>
      <c r="B81" s="201" t="inlineStr">
        <is>
          <t>8Ton_Excavator</t>
        </is>
      </c>
      <c r="C81" s="40" t="inlineStr">
        <is>
          <t>Day</t>
        </is>
      </c>
      <c r="E81" s="583">
        <f>'Equip&amp;HIRE_Master'!D11</f>
        <v/>
      </c>
      <c r="F81" s="583">
        <f>E81*D81</f>
        <v/>
      </c>
    </row>
    <row r="82">
      <c r="A82" s="40" t="n"/>
      <c r="B82" s="201" t="inlineStr">
        <is>
          <t>10-12Ton_Excavator</t>
        </is>
      </c>
      <c r="C82" s="40" t="inlineStr">
        <is>
          <t>Day</t>
        </is>
      </c>
      <c r="E82" s="583">
        <f>'Equip&amp;HIRE_Master'!D12</f>
        <v/>
      </c>
      <c r="F82" s="583">
        <f>E82*D82</f>
        <v/>
      </c>
    </row>
    <row r="83">
      <c r="A83" s="40" t="n"/>
      <c r="B83" s="201" t="inlineStr">
        <is>
          <t>13-16Ton_Excavator</t>
        </is>
      </c>
      <c r="C83" s="40" t="inlineStr">
        <is>
          <t>Day</t>
        </is>
      </c>
      <c r="E83" s="583">
        <f>'Equip&amp;HIRE_Master'!D13</f>
        <v/>
      </c>
      <c r="F83" s="583">
        <f>E83*D83</f>
        <v/>
      </c>
    </row>
    <row r="84">
      <c r="A84" s="40" t="n"/>
      <c r="B84" s="201" t="inlineStr">
        <is>
          <t>20-24Ton_Excavator</t>
        </is>
      </c>
      <c r="C84" s="40" t="inlineStr">
        <is>
          <t>Day</t>
        </is>
      </c>
      <c r="E84" s="583">
        <f>'Equip&amp;HIRE_Master'!D14</f>
        <v/>
      </c>
      <c r="F84" s="583">
        <f>E84*D84</f>
        <v/>
      </c>
    </row>
    <row r="85" ht="6.6" customHeight="1">
      <c r="A85" s="40" t="n"/>
      <c r="B85" s="201" t="n"/>
      <c r="E85" s="583">
        <f>'Equip&amp;HIRE_Master'!D15</f>
        <v/>
      </c>
      <c r="F85" s="583">
        <f>E85*D85</f>
        <v/>
      </c>
    </row>
    <row r="86">
      <c r="A86" s="40" t="n"/>
      <c r="B86" s="201" t="inlineStr">
        <is>
          <t>Ripper_1.7-2T</t>
        </is>
      </c>
      <c r="C86" s="40" t="inlineStr">
        <is>
          <t>Day</t>
        </is>
      </c>
      <c r="E86" s="583">
        <f>'Equip&amp;HIRE_Master'!D16</f>
        <v/>
      </c>
      <c r="F86" s="583">
        <f>E86*D86</f>
        <v/>
      </c>
    </row>
    <row r="87">
      <c r="A87" s="40" t="n"/>
      <c r="B87" s="201" t="inlineStr">
        <is>
          <t>Ripper_1.5-4T</t>
        </is>
      </c>
      <c r="C87" s="40" t="inlineStr">
        <is>
          <t>Day</t>
        </is>
      </c>
      <c r="E87" s="583">
        <f>'Equip&amp;HIRE_Master'!D17</f>
        <v/>
      </c>
      <c r="F87" s="583">
        <f>E87*D87</f>
        <v/>
      </c>
    </row>
    <row r="88">
      <c r="A88" s="40" t="n"/>
      <c r="B88" s="201" t="inlineStr">
        <is>
          <t>Ripper_3-5T</t>
        </is>
      </c>
      <c r="C88" s="40" t="inlineStr">
        <is>
          <t>Day</t>
        </is>
      </c>
      <c r="E88" s="583">
        <f>'Equip&amp;HIRE_Master'!D18</f>
        <v/>
      </c>
      <c r="F88" s="583">
        <f>E88*D88</f>
        <v/>
      </c>
    </row>
    <row r="89">
      <c r="A89" s="40" t="n"/>
      <c r="B89" s="201" t="inlineStr">
        <is>
          <t>Ripper_8T</t>
        </is>
      </c>
      <c r="C89" s="40" t="inlineStr">
        <is>
          <t>Day</t>
        </is>
      </c>
      <c r="E89" s="583">
        <f>'Equip&amp;HIRE_Master'!D19</f>
        <v/>
      </c>
      <c r="F89" s="583">
        <f>E89*D89</f>
        <v/>
      </c>
    </row>
    <row r="90">
      <c r="A90" s="40" t="n"/>
      <c r="B90" s="201" t="inlineStr">
        <is>
          <t>Breaker_1.7-2T</t>
        </is>
      </c>
      <c r="C90" s="40" t="inlineStr">
        <is>
          <t>Day</t>
        </is>
      </c>
      <c r="E90" s="583">
        <f>'Equip&amp;HIRE_Master'!D20</f>
        <v/>
      </c>
      <c r="F90" s="583">
        <f>E90*D90</f>
        <v/>
      </c>
    </row>
    <row r="91">
      <c r="A91" s="40" t="n"/>
      <c r="B91" s="201" t="inlineStr">
        <is>
          <t>Breaker_3-5T</t>
        </is>
      </c>
      <c r="C91" s="40" t="inlineStr">
        <is>
          <t>Day</t>
        </is>
      </c>
      <c r="E91" s="583">
        <f>'Equip&amp;HIRE_Master'!D21</f>
        <v/>
      </c>
      <c r="F91" s="583">
        <f>E91*D91</f>
        <v/>
      </c>
    </row>
    <row r="92">
      <c r="A92" s="40" t="n"/>
      <c r="B92" s="201" t="inlineStr">
        <is>
          <t>Breaker_8T</t>
        </is>
      </c>
      <c r="C92" s="40" t="inlineStr">
        <is>
          <t>Day</t>
        </is>
      </c>
      <c r="E92" s="583">
        <f>'Equip&amp;HIRE_Master'!D22</f>
        <v/>
      </c>
      <c r="F92" s="583">
        <f>E92*D92</f>
        <v/>
      </c>
    </row>
    <row r="93">
      <c r="A93" s="40" t="n"/>
      <c r="B93" s="201" t="inlineStr">
        <is>
          <t>Breaker_10-12T</t>
        </is>
      </c>
      <c r="C93" s="40" t="inlineStr">
        <is>
          <t>Day</t>
        </is>
      </c>
      <c r="E93" s="583">
        <f>'Equip&amp;HIRE_Master'!D23</f>
        <v/>
      </c>
      <c r="F93" s="583">
        <f>E93*D93</f>
        <v/>
      </c>
    </row>
    <row r="94">
      <c r="A94" s="40" t="n"/>
      <c r="B94" s="201" t="inlineStr">
        <is>
          <t>Breaker_13-15T</t>
        </is>
      </c>
      <c r="C94" s="40" t="inlineStr">
        <is>
          <t>Day</t>
        </is>
      </c>
      <c r="E94" s="583">
        <f>'Equip&amp;HIRE_Master'!D24</f>
        <v/>
      </c>
      <c r="F94" s="583">
        <f>E94*D94</f>
        <v/>
      </c>
    </row>
    <row r="95">
      <c r="A95" s="40" t="n"/>
      <c r="B95" s="201" t="inlineStr">
        <is>
          <t>Auger Drive_10-12T</t>
        </is>
      </c>
      <c r="E95" s="583">
        <f>'Equip&amp;HIRE_Master'!D25</f>
        <v/>
      </c>
      <c r="F95" s="583">
        <f>E95*D95</f>
        <v/>
      </c>
    </row>
    <row r="96">
      <c r="A96" s="40" t="n"/>
      <c r="B96" s="201" t="inlineStr">
        <is>
          <t>300Dia Auger Drill</t>
        </is>
      </c>
      <c r="E96" s="583">
        <f>'Equip&amp;HIRE_Master'!D26</f>
        <v/>
      </c>
      <c r="F96" s="583">
        <f>E96*D96</f>
        <v/>
      </c>
    </row>
    <row r="97" ht="4.95" customHeight="1">
      <c r="A97" s="40" t="n"/>
      <c r="B97" s="201" t="n"/>
      <c r="E97" s="583">
        <f>'Equip&amp;HIRE_Master'!D27</f>
        <v/>
      </c>
      <c r="F97" s="583">
        <f>E97*D97</f>
        <v/>
      </c>
    </row>
    <row r="98">
      <c r="A98" s="40" t="n"/>
      <c r="B98" s="201" t="inlineStr">
        <is>
          <t xml:space="preserve">1.25T_Tipper Truck </t>
        </is>
      </c>
      <c r="C98" s="40" t="inlineStr">
        <is>
          <t>Day</t>
        </is>
      </c>
      <c r="E98" s="583">
        <f>'Equip&amp;HIRE_Master'!D28</f>
        <v/>
      </c>
      <c r="F98" s="583">
        <f>E98*D98</f>
        <v/>
      </c>
    </row>
    <row r="99">
      <c r="A99" s="40" t="n"/>
      <c r="B99" s="201" t="inlineStr">
        <is>
          <t>2-4T_Tipper Truck</t>
        </is>
      </c>
      <c r="C99" s="40" t="inlineStr">
        <is>
          <t>Day</t>
        </is>
      </c>
      <c r="E99" s="583">
        <f>'Equip&amp;HIRE_Master'!D29</f>
        <v/>
      </c>
      <c r="F99" s="583">
        <f>E99*D99</f>
        <v/>
      </c>
    </row>
    <row r="100">
      <c r="A100" s="40" t="n"/>
      <c r="B100" s="201" t="inlineStr">
        <is>
          <t>&lt;6T_Tipper Truck</t>
        </is>
      </c>
      <c r="C100" s="40" t="inlineStr">
        <is>
          <t>Day</t>
        </is>
      </c>
      <c r="E100" s="583">
        <f>'Equip&amp;HIRE_Master'!D30</f>
        <v/>
      </c>
      <c r="F100" s="583">
        <f>E100*D100</f>
        <v/>
      </c>
    </row>
    <row r="101" ht="4.2" customHeight="1">
      <c r="A101" s="40" t="n"/>
      <c r="B101" s="201" t="n"/>
      <c r="E101" s="583">
        <f>'Equip&amp;HIRE_Master'!D31</f>
        <v/>
      </c>
      <c r="F101" s="583">
        <f>E101*D101</f>
        <v/>
      </c>
    </row>
    <row r="102">
      <c r="A102" s="40" t="n"/>
      <c r="B102" s="201" t="inlineStr">
        <is>
          <t>&lt;10T_Articulated Site Tipper</t>
        </is>
      </c>
      <c r="C102" s="40" t="inlineStr">
        <is>
          <t>Day</t>
        </is>
      </c>
      <c r="E102" s="583">
        <f>'Equip&amp;HIRE_Master'!D32</f>
        <v/>
      </c>
      <c r="F102" s="583">
        <f>E102*D102</f>
        <v/>
      </c>
    </row>
    <row r="103">
      <c r="A103" s="40" t="n"/>
      <c r="B103" s="201" t="inlineStr">
        <is>
          <t>Upright Rammer_Wacker</t>
        </is>
      </c>
      <c r="C103" s="40" t="inlineStr">
        <is>
          <t>Day</t>
        </is>
      </c>
      <c r="D103" t="n">
        <v>10</v>
      </c>
      <c r="E103" s="583">
        <f>'Equip&amp;HIRE_Master'!D33</f>
        <v/>
      </c>
      <c r="F103" s="583">
        <f>E103*D103</f>
        <v/>
      </c>
      <c r="H103" s="540" t="inlineStr">
        <is>
          <t>Phase 7 plant: T1-07 10</t>
        </is>
      </c>
    </row>
    <row r="104">
      <c r="A104" s="40" t="n"/>
      <c r="B104" s="201" t="inlineStr">
        <is>
          <t>Trench Roller_Dbl Drum_Remote</t>
        </is>
      </c>
      <c r="C104" s="40" t="inlineStr">
        <is>
          <t>Day</t>
        </is>
      </c>
      <c r="E104" s="583">
        <f>'Equip&amp;HIRE_Master'!D34</f>
        <v/>
      </c>
      <c r="F104" s="583">
        <f>E104*D104</f>
        <v/>
      </c>
    </row>
    <row r="105">
      <c r="A105" s="40" t="n"/>
      <c r="B105" s="201" t="inlineStr">
        <is>
          <t>&lt;26Ft_Scissor Lift - Diesel</t>
        </is>
      </c>
      <c r="C105" s="40" t="inlineStr">
        <is>
          <t>Day</t>
        </is>
      </c>
      <c r="E105" s="583" t="n">
        <v>300</v>
      </c>
      <c r="F105" s="583">
        <f>E105*D105</f>
        <v/>
      </c>
    </row>
    <row r="106">
      <c r="A106" s="40" t="n"/>
      <c r="B106" s="201" t="inlineStr">
        <is>
          <t>&lt;26Ft_Scissor Lift - Elec</t>
        </is>
      </c>
      <c r="C106" s="40" t="inlineStr">
        <is>
          <t>Day</t>
        </is>
      </c>
      <c r="D106" t="n">
        <v>13</v>
      </c>
      <c r="E106" s="583" t="n">
        <v>30</v>
      </c>
      <c r="F106" s="583">
        <f>E106*D106</f>
        <v/>
      </c>
      <c r="H106" s="540" t="inlineStr">
        <is>
          <t>Phase 7: 13 d (T3-01 4 + T3-04 3 + T4-01 4 + T4-07 2); rate $150/wk (Civ Equip_HIRE weekly)/5 = $30/d - confirm Phase 6</t>
        </is>
      </c>
    </row>
    <row r="107">
      <c r="A107" s="40" t="n"/>
      <c r="B107" s="201" t="inlineStr">
        <is>
          <t>&lt;34Ft_Boom Lift - Diesel</t>
        </is>
      </c>
      <c r="C107" s="40" t="inlineStr">
        <is>
          <t>Day</t>
        </is>
      </c>
      <c r="E107" s="583">
        <f>'Equip&amp;HIRE_Master'!D37</f>
        <v/>
      </c>
      <c r="F107" s="583">
        <f>E107*D107</f>
        <v/>
      </c>
    </row>
    <row r="108">
      <c r="A108" s="40" t="n"/>
      <c r="B108" s="201" t="inlineStr">
        <is>
          <t>&lt;34Ft_Boom Lift - Elec</t>
        </is>
      </c>
      <c r="C108" s="40" t="inlineStr">
        <is>
          <t>Day</t>
        </is>
      </c>
      <c r="E108" s="583">
        <f>'Equip&amp;HIRE_Master'!D38</f>
        <v/>
      </c>
      <c r="F108" s="583">
        <f>E108*D108</f>
        <v/>
      </c>
    </row>
    <row r="109" ht="6" customHeight="1">
      <c r="A109" s="40" t="n"/>
      <c r="B109" s="201" t="n"/>
      <c r="E109" s="583">
        <f>'Equip&amp;HIRE_Master'!D39</f>
        <v/>
      </c>
      <c r="F109" s="583">
        <f>E109*D109</f>
        <v/>
      </c>
    </row>
    <row r="110">
      <c r="A110" s="40" t="n"/>
      <c r="B110" s="201" t="inlineStr">
        <is>
          <t>Porta Loo_No Tank</t>
        </is>
      </c>
      <c r="C110" s="40" t="inlineStr">
        <is>
          <t>Day</t>
        </is>
      </c>
      <c r="E110" s="583">
        <f>'Equip&amp;HIRE_Master'!D40</f>
        <v/>
      </c>
      <c r="F110" s="583">
        <f>E110*D110</f>
        <v/>
      </c>
    </row>
    <row r="111">
      <c r="A111" s="40" t="n"/>
      <c r="B111" s="201" t="inlineStr">
        <is>
          <t>6*3m Demantable Lunchroom - COMPLETE</t>
        </is>
      </c>
      <c r="C111" s="40" t="inlineStr">
        <is>
          <t>Day</t>
        </is>
      </c>
      <c r="E111" s="583">
        <f>'Equip&amp;HIRE_Master'!D41</f>
        <v/>
      </c>
      <c r="F111" s="583">
        <f>E111*D111</f>
        <v/>
      </c>
    </row>
    <row r="112">
      <c r="A112" s="40" t="n"/>
      <c r="B112" s="201" t="inlineStr">
        <is>
          <t>6*3m Demantable Office - COMPLETE</t>
        </is>
      </c>
      <c r="C112" s="40" t="inlineStr">
        <is>
          <t>Day</t>
        </is>
      </c>
      <c r="E112" s="583">
        <f>'Equip&amp;HIRE_Master'!D42</f>
        <v/>
      </c>
      <c r="F112" s="583">
        <f>E112*D112</f>
        <v/>
      </c>
    </row>
    <row r="113" hidden="1">
      <c r="A113" s="40" t="n"/>
      <c r="B113" s="201" t="inlineStr">
        <is>
          <t>20Ft Shipping Container</t>
        </is>
      </c>
      <c r="C113" s="40" t="inlineStr">
        <is>
          <t>Day</t>
        </is>
      </c>
      <c r="E113" s="583">
        <f>'Equip&amp;HIRE_Master'!D43</f>
        <v/>
      </c>
      <c r="F113" s="583">
        <f>E113*D113</f>
        <v/>
      </c>
    </row>
    <row r="114" hidden="1">
      <c r="A114" s="40" t="n"/>
      <c r="B114" s="201" t="inlineStr">
        <is>
          <t>Quick Cut Demo Saw</t>
        </is>
      </c>
      <c r="C114" s="40" t="inlineStr">
        <is>
          <t>Day</t>
        </is>
      </c>
      <c r="E114" s="583">
        <f>'Equip&amp;HIRE_Master'!D44</f>
        <v/>
      </c>
      <c r="F114" s="583">
        <f>E114*D114</f>
        <v/>
      </c>
    </row>
    <row r="115" hidden="1">
      <c r="A115" s="40" t="n"/>
      <c r="B115" s="201" t="inlineStr">
        <is>
          <t>Sngl Ph_6KVA Genset</t>
        </is>
      </c>
      <c r="C115" s="40" t="inlineStr">
        <is>
          <t>Day</t>
        </is>
      </c>
      <c r="E115" s="583">
        <f>'Equip&amp;HIRE_Master'!D45</f>
        <v/>
      </c>
      <c r="F115" s="583">
        <f>E115*D115</f>
        <v/>
      </c>
    </row>
    <row r="116" hidden="1">
      <c r="A116" s="40" t="n"/>
      <c r="B116" s="201" t="inlineStr">
        <is>
          <t>Diesel Air Compressor_Trailer</t>
        </is>
      </c>
      <c r="C116" s="40" t="inlineStr">
        <is>
          <t>Day</t>
        </is>
      </c>
      <c r="E116" s="583">
        <f>'Equip&amp;HIRE_Master'!D46</f>
        <v/>
      </c>
      <c r="F116" s="583">
        <f>E116*D116</f>
        <v/>
      </c>
    </row>
    <row r="117" hidden="1">
      <c r="A117" s="40" t="n"/>
      <c r="B117" s="201" t="inlineStr">
        <is>
          <t>Air Breaker - Heavy</t>
        </is>
      </c>
      <c r="C117" s="40" t="inlineStr">
        <is>
          <t>Day</t>
        </is>
      </c>
      <c r="E117" s="583">
        <f>'Equip&amp;HIRE_Master'!D47</f>
        <v/>
      </c>
      <c r="F117" s="583">
        <f>E117*D117</f>
        <v/>
      </c>
    </row>
    <row r="118" hidden="1">
      <c r="A118" s="40" t="n"/>
      <c r="B118" s="201" t="inlineStr">
        <is>
          <t>Air Hose &lt;10m</t>
        </is>
      </c>
      <c r="C118" s="40" t="inlineStr">
        <is>
          <t>Day</t>
        </is>
      </c>
      <c r="E118" s="583">
        <f>'Equip&amp;HIRE_Master'!D48</f>
        <v/>
      </c>
      <c r="F118" s="583">
        <f>E118*D118</f>
        <v/>
      </c>
    </row>
    <row r="119" hidden="1">
      <c r="A119" s="40" t="n"/>
      <c r="B119" s="201" t="inlineStr">
        <is>
          <t>Elec Breaker/Jachammer</t>
        </is>
      </c>
      <c r="C119" s="40" t="inlineStr">
        <is>
          <t>Day</t>
        </is>
      </c>
      <c r="E119" s="583">
        <f>'Equip&amp;HIRE_Master'!D49</f>
        <v/>
      </c>
      <c r="F119" s="583">
        <f>E119*D119</f>
        <v/>
      </c>
    </row>
    <row r="120" hidden="1">
      <c r="A120" s="40" t="n"/>
      <c r="B120" s="201" t="inlineStr">
        <is>
          <t>Flexdrive Motor Unit</t>
        </is>
      </c>
      <c r="C120" s="40" t="inlineStr">
        <is>
          <t>Day</t>
        </is>
      </c>
      <c r="E120" s="583">
        <f>'Equip&amp;HIRE_Master'!D50</f>
        <v/>
      </c>
      <c r="F120" s="583">
        <f>E120*D120</f>
        <v/>
      </c>
    </row>
    <row r="121" hidden="1">
      <c r="A121" s="40" t="n"/>
      <c r="B121" s="201" t="inlineStr">
        <is>
          <t>Flexdrive_Pump Shaft</t>
        </is>
      </c>
      <c r="C121" s="40" t="inlineStr">
        <is>
          <t>Day</t>
        </is>
      </c>
      <c r="E121" s="583">
        <f>'Equip&amp;HIRE_Master'!D51</f>
        <v/>
      </c>
      <c r="F121" s="583">
        <f>E121*D121</f>
        <v/>
      </c>
    </row>
    <row r="122" hidden="1">
      <c r="A122" s="40" t="n"/>
      <c r="B122" s="201" t="inlineStr">
        <is>
          <t>Temporary Power Board</t>
        </is>
      </c>
      <c r="C122" s="40" t="inlineStr">
        <is>
          <t>Day</t>
        </is>
      </c>
      <c r="E122" s="583">
        <f>'Equip&amp;HIRE_Master'!D52</f>
        <v/>
      </c>
      <c r="F122" s="583">
        <f>E122*D122</f>
        <v/>
      </c>
    </row>
    <row r="123" ht="6" customHeight="1">
      <c r="A123" s="40" t="n"/>
      <c r="B123" s="201" t="n"/>
      <c r="E123" s="583">
        <f>'Equip&amp;HIRE_Master'!D53</f>
        <v/>
      </c>
      <c r="F123" s="583">
        <f>E123*D123</f>
        <v/>
      </c>
    </row>
    <row r="124">
      <c r="A124" s="40" t="n"/>
      <c r="B124" s="201" t="inlineStr">
        <is>
          <t>Dual CabUte</t>
        </is>
      </c>
      <c r="C124" s="40" t="inlineStr">
        <is>
          <t>Day</t>
        </is>
      </c>
      <c r="E124" s="583">
        <f>'Equip&amp;HIRE_Master'!D54</f>
        <v/>
      </c>
      <c r="F124" s="583">
        <f>E124*D124</f>
        <v/>
      </c>
    </row>
    <row r="125">
      <c r="A125" s="40" t="n"/>
      <c r="B125" s="201" t="inlineStr">
        <is>
          <t xml:space="preserve">3m3 Skip Bbin </t>
        </is>
      </c>
      <c r="C125" s="40" t="inlineStr">
        <is>
          <t>per serive</t>
        </is>
      </c>
      <c r="E125" s="583">
        <f>'Equip&amp;HIRE_Master'!D55</f>
        <v/>
      </c>
      <c r="F125" s="583">
        <f>E125*D125</f>
        <v/>
      </c>
    </row>
    <row r="126">
      <c r="A126" s="40" t="n"/>
      <c r="B126" s="201" t="inlineStr">
        <is>
          <t xml:space="preserve">plus disposal </t>
        </is>
      </c>
      <c r="C126" s="40" t="inlineStr">
        <is>
          <t xml:space="preserve">Tonne </t>
        </is>
      </c>
      <c r="E126" s="583">
        <f>'Equip&amp;HIRE_Master'!D56</f>
        <v/>
      </c>
      <c r="F126" s="583">
        <f>E126*D126</f>
        <v/>
      </c>
    </row>
    <row r="127">
      <c r="A127" s="40" t="n"/>
      <c r="B127" s="201" t="inlineStr">
        <is>
          <t xml:space="preserve">site fee </t>
        </is>
      </c>
      <c r="C127" s="40" t="inlineStr">
        <is>
          <t>Week</t>
        </is>
      </c>
      <c r="E127" s="583">
        <f>'Equip&amp;HIRE_Master'!D57</f>
        <v/>
      </c>
      <c r="F127" s="583">
        <f>E127*D127</f>
        <v/>
      </c>
    </row>
    <row r="128">
      <c r="A128" s="40" t="n"/>
      <c r="B128" s="201" t="inlineStr">
        <is>
          <t>~4m3_Skip Bin</t>
        </is>
      </c>
      <c r="C128" s="40" t="inlineStr">
        <is>
          <t xml:space="preserve">per change over </t>
        </is>
      </c>
      <c r="E128" s="583">
        <f>'Equip&amp;HIRE_Master'!D58</f>
        <v/>
      </c>
      <c r="F128" s="583">
        <f>E128*D128</f>
        <v/>
      </c>
    </row>
    <row r="129">
      <c r="A129" s="40" t="n"/>
      <c r="B129" s="201" t="inlineStr">
        <is>
          <t>~6m3_Skip Bin</t>
        </is>
      </c>
      <c r="C129" s="40" t="inlineStr">
        <is>
          <t xml:space="preserve">per change over </t>
        </is>
      </c>
      <c r="E129" s="583">
        <f>'Equip&amp;HIRE_Master'!D59</f>
        <v/>
      </c>
      <c r="F129" s="583">
        <f>E129*D129</f>
        <v/>
      </c>
    </row>
    <row r="130">
      <c r="A130" s="40" t="n"/>
      <c r="B130" s="201" t="inlineStr">
        <is>
          <t xml:space="preserve">Plus disposal </t>
        </is>
      </c>
      <c r="C130" s="40" t="inlineStr">
        <is>
          <t xml:space="preserve">Tonne </t>
        </is>
      </c>
      <c r="E130" s="583">
        <f>'Equip&amp;HIRE_Master'!D60</f>
        <v/>
      </c>
      <c r="F130" s="583">
        <f>E130*D130</f>
        <v/>
      </c>
    </row>
    <row r="131">
      <c r="A131" s="40" t="n"/>
      <c r="B131" s="201" t="inlineStr">
        <is>
          <t xml:space="preserve">Site fee </t>
        </is>
      </c>
      <c r="C131" s="40" t="inlineStr">
        <is>
          <t>Week</t>
        </is>
      </c>
      <c r="E131" s="583">
        <f>'Equip&amp;HIRE_Master'!D61</f>
        <v/>
      </c>
      <c r="F131" s="583">
        <f>E131*D131</f>
        <v/>
      </c>
    </row>
    <row r="132">
      <c r="A132" s="40" t="n"/>
      <c r="B132" s="201" t="inlineStr">
        <is>
          <t>Vacuum Excavator - Vermeer VT250D</t>
        </is>
      </c>
      <c r="C132" s="40" t="inlineStr">
        <is>
          <t>Day</t>
        </is>
      </c>
      <c r="E132" s="583">
        <f>'Equip&amp;HIRE_Master'!D62</f>
        <v/>
      </c>
      <c r="F132" s="583">
        <f>E132*D132</f>
        <v/>
      </c>
    </row>
    <row r="133">
      <c r="A133" s="40" t="n"/>
      <c r="B133" s="201" t="inlineStr">
        <is>
          <t>Vac Trailer – Dry Hire</t>
        </is>
      </c>
      <c r="C133" s="40" t="inlineStr">
        <is>
          <t>Day</t>
        </is>
      </c>
      <c r="E133" s="583">
        <f>'Equip&amp;HIRE_Master'!D63</f>
        <v/>
      </c>
      <c r="F133" s="583">
        <f>E133*D133</f>
        <v/>
      </c>
    </row>
    <row r="134" ht="6" customHeight="1">
      <c r="A134" s="40" t="n"/>
      <c r="B134" s="201" t="n"/>
      <c r="E134" s="583">
        <f>'Equip&amp;HIRE_Master'!D64</f>
        <v/>
      </c>
      <c r="F134" s="583">
        <f>E134*D134</f>
        <v/>
      </c>
    </row>
    <row r="135">
      <c r="A135" s="40" t="n"/>
      <c r="B135" s="201" t="inlineStr">
        <is>
          <t>TRANSPORT_Ex BRIS - Return</t>
        </is>
      </c>
      <c r="C135" s="40" t="inlineStr">
        <is>
          <t>Day</t>
        </is>
      </c>
      <c r="E135" s="583">
        <f>'Equip&amp;HIRE_Master'!D65</f>
        <v/>
      </c>
      <c r="F135" s="583">
        <f>E135*D135</f>
        <v/>
      </c>
    </row>
    <row r="136">
      <c r="A136" s="40" t="n"/>
      <c r="B136" s="201" t="inlineStr">
        <is>
          <t>TRANSPORT_Ex ROK - Return</t>
        </is>
      </c>
      <c r="C136" s="40" t="inlineStr">
        <is>
          <t>Hour</t>
        </is>
      </c>
      <c r="E136" s="583">
        <f>'Equip&amp;HIRE_Master'!D66</f>
        <v/>
      </c>
      <c r="F136" s="583">
        <f>E136*D136</f>
        <v/>
      </c>
    </row>
    <row r="137">
      <c r="A137" s="40" t="n"/>
      <c r="B137" s="201" t="inlineStr">
        <is>
          <t>0-4T Per Hour Delivery Rate</t>
        </is>
      </c>
      <c r="C137" s="40" t="inlineStr">
        <is>
          <t>Hour</t>
        </is>
      </c>
      <c r="E137" s="583">
        <f>'Equip&amp;HIRE_Master'!D67</f>
        <v/>
      </c>
      <c r="F137" s="583">
        <f>E137*D137</f>
        <v/>
      </c>
    </row>
    <row r="138">
      <c r="A138" s="40" t="n"/>
      <c r="B138" s="201" t="inlineStr">
        <is>
          <t xml:space="preserve">5 - 9t Transport Hourly Rate </t>
        </is>
      </c>
      <c r="C138" s="40" t="inlineStr">
        <is>
          <t>Hour</t>
        </is>
      </c>
      <c r="E138" s="583">
        <f>'Equip&amp;HIRE_Master'!D68</f>
        <v/>
      </c>
      <c r="F138" s="583">
        <f>E138*D138</f>
        <v/>
      </c>
    </row>
    <row r="139">
      <c r="A139" s="40" t="n"/>
      <c r="B139" s="201" t="inlineStr">
        <is>
          <t>10 - 19t Low Loader Hourly rate - Minimum 2 Hour Charge</t>
        </is>
      </c>
      <c r="C139" s="40" t="inlineStr">
        <is>
          <t>Hour</t>
        </is>
      </c>
      <c r="E139" s="583">
        <f>'Equip&amp;HIRE_Master'!D69</f>
        <v/>
      </c>
      <c r="F139" s="583">
        <f>E139*D139</f>
        <v/>
      </c>
    </row>
    <row r="140">
      <c r="A140" s="40" t="n"/>
      <c r="B140" t="inlineStr">
        <is>
          <t>PE butt welder + EF processor - ALLOWANCE (not in hire registers)</t>
        </is>
      </c>
      <c r="C140" t="inlineStr">
        <is>
          <t>Day</t>
        </is>
      </c>
      <c r="D140" t="n">
        <v>6</v>
      </c>
      <c r="E140" s="583" t="n">
        <v>350</v>
      </c>
      <c r="F140" s="583">
        <f>E140*D140</f>
        <v/>
      </c>
      <c r="H140" s="540" t="inlineStr">
        <is>
          <t>Phase 7: T1-08 trade waste 6 d</t>
        </is>
      </c>
    </row>
    <row r="141">
      <c r="A141" s="40" t="n"/>
      <c r="B141" s="201" t="inlineStr">
        <is>
          <t>FUEL - Average_Candle</t>
        </is>
      </c>
      <c r="C141" s="40" t="inlineStr">
        <is>
          <t>Week</t>
        </is>
      </c>
      <c r="E141" s="583" t="n">
        <v>1850</v>
      </c>
      <c r="F141" s="583">
        <f>E141*D141</f>
        <v/>
      </c>
    </row>
    <row r="142" ht="10.8" customHeight="1" thickBot="1">
      <c r="A142" s="40" t="n"/>
      <c r="E142" s="583" t="n"/>
      <c r="F142" s="583" t="n"/>
    </row>
    <row r="143" ht="10.8" customHeight="1" thickBot="1">
      <c r="A143" s="42" t="n"/>
      <c r="B143" s="49" t="inlineStr">
        <is>
          <t xml:space="preserve">Subbies &amp; Misc </t>
        </is>
      </c>
      <c r="E143" s="583" t="n"/>
      <c r="F143" s="583" t="n"/>
    </row>
    <row r="144">
      <c r="E144" s="583" t="n"/>
      <c r="F144" s="583" t="n"/>
    </row>
    <row r="145">
      <c r="B145" s="38" t="inlineStr">
        <is>
          <t>Surveyor</t>
        </is>
      </c>
      <c r="C145" s="40" t="inlineStr">
        <is>
          <t>ea</t>
        </is>
      </c>
      <c r="E145" s="583">
        <f>'Misc Subbie Rates_Master'!D35</f>
        <v/>
      </c>
      <c r="F145" s="583">
        <f>E145*D145</f>
        <v/>
      </c>
    </row>
    <row r="146">
      <c r="B146" s="38" t="inlineStr">
        <is>
          <t>Services Locator</t>
        </is>
      </c>
      <c r="C146" s="40" t="inlineStr">
        <is>
          <t>ea</t>
        </is>
      </c>
      <c r="E146" s="583">
        <f>'Misc Subbie Rates_Master'!D42</f>
        <v/>
      </c>
      <c r="F146" s="583">
        <f>E146*D146</f>
        <v/>
      </c>
    </row>
    <row r="147">
      <c r="B147" s="38" t="inlineStr">
        <is>
          <t>Compaction Testing - TEST</t>
        </is>
      </c>
      <c r="C147" s="40" t="inlineStr">
        <is>
          <t>ea</t>
        </is>
      </c>
      <c r="D147" s="40" t="n">
        <v>15</v>
      </c>
      <c r="E147" s="583">
        <f>'Misc Subbie Rates_Master'!D72</f>
        <v/>
      </c>
      <c r="F147" s="583">
        <f>E147*D147</f>
        <v/>
      </c>
    </row>
    <row r="148">
      <c r="B148" s="38" t="inlineStr">
        <is>
          <t>Compaction Testing - Site Establishment</t>
        </is>
      </c>
      <c r="C148" s="40" t="inlineStr">
        <is>
          <t>ea</t>
        </is>
      </c>
      <c r="D148" s="40" t="n">
        <v>4</v>
      </c>
      <c r="E148" s="583">
        <f>'Misc Subbie Rates_Master'!D73</f>
        <v/>
      </c>
      <c r="F148" s="583">
        <f>E148*D148</f>
        <v/>
      </c>
    </row>
    <row r="149">
      <c r="B149" t="inlineStr">
        <is>
          <t>Crane truck / HIAB - GIT set + HWU delivery (allowance)</t>
        </is>
      </c>
      <c r="C149" s="40" t="inlineStr">
        <is>
          <t>Hr</t>
        </is>
      </c>
      <c r="D149" t="n">
        <v>15</v>
      </c>
      <c r="E149" s="583" t="n">
        <v>180</v>
      </c>
      <c r="F149" s="583">
        <f>E149*D149</f>
        <v/>
      </c>
      <c r="H149" s="540" t="inlineStr">
        <is>
          <t>Phase 7: T1-08 1 d + T4-03 0.5 d @ ~$180/hr</t>
        </is>
      </c>
    </row>
    <row r="150">
      <c r="B150" t="inlineStr">
        <is>
          <t>Hydro/commissioning test gear (subbie rate $450/d)</t>
        </is>
      </c>
      <c r="C150" s="40" t="inlineStr">
        <is>
          <t>Day</t>
        </is>
      </c>
      <c r="D150" t="n">
        <v>2</v>
      </c>
      <c r="E150" s="583" t="n">
        <v>450</v>
      </c>
      <c r="F150" s="583">
        <f>E150*D150</f>
        <v/>
      </c>
      <c r="H150" s="540" t="inlineStr">
        <is>
          <t>T5-06 commissioning</t>
        </is>
      </c>
    </row>
    <row r="151">
      <c r="B151" s="283" t="inlineStr">
        <is>
          <t>FIRE TESTING / CERT</t>
        </is>
      </c>
      <c r="C151" s="40" t="inlineStr">
        <is>
          <t>ea</t>
        </is>
      </c>
      <c r="E151" s="583" t="n"/>
      <c r="F151" s="583">
        <f>E151*D151</f>
        <v/>
      </c>
    </row>
    <row r="152">
      <c r="B152" s="1" t="inlineStr">
        <is>
          <t>FULL Hydro Test - Per Test (6.5Hr 1 x fitter, 1 x apprentice, 1 day Test gear)</t>
        </is>
      </c>
      <c r="C152" s="40" t="inlineStr">
        <is>
          <t>ea</t>
        </is>
      </c>
      <c r="E152" s="583">
        <f>'Misc Subbie Rates_Master'!D84</f>
        <v/>
      </c>
      <c r="F152" s="583">
        <f>E152*D152</f>
        <v/>
      </c>
    </row>
    <row r="153">
      <c r="B153" s="38" t="inlineStr">
        <is>
          <t>Provision of Form 72</t>
        </is>
      </c>
      <c r="C153" s="40" t="inlineStr">
        <is>
          <t>ea</t>
        </is>
      </c>
      <c r="E153" s="583">
        <f>'Misc Subbie Rates_Master'!D86</f>
        <v/>
      </c>
      <c r="F153" s="583">
        <f>E153*D153</f>
        <v/>
      </c>
    </row>
    <row r="154">
      <c r="B154" t="inlineStr">
        <is>
          <t>Provision of Form 72 - buildings</t>
        </is>
      </c>
      <c r="C154" t="inlineStr">
        <is>
          <t>ea</t>
        </is>
      </c>
      <c r="D154" t="n">
        <v>1</v>
      </c>
      <c r="E154" s="583" t="n">
        <v>350</v>
      </c>
      <c r="F154" s="583">
        <f>E154*D154</f>
        <v/>
      </c>
      <c r="H154" s="540" t="inlineStr">
        <is>
          <t>T5-06</t>
        </is>
      </c>
    </row>
    <row r="155" ht="10.8" customHeight="1" thickBot="1">
      <c r="B155" t="inlineStr">
        <is>
          <t>Consumables &amp; small tools - NBC crews (allowance)</t>
        </is>
      </c>
      <c r="C155" t="inlineStr">
        <is>
          <t>item</t>
        </is>
      </c>
      <c r="D155" t="n">
        <v>1</v>
      </c>
      <c r="E155" s="583" t="n">
        <v>3500</v>
      </c>
      <c r="F155" s="583">
        <f>E155*D155</f>
        <v/>
      </c>
      <c r="H155" s="540" t="inlineStr">
        <is>
          <t>Phase 7 consumables flag</t>
        </is>
      </c>
    </row>
    <row r="156" ht="10.8" customHeight="1" thickBot="1">
      <c r="A156" s="42" t="n"/>
      <c r="B156" s="49" t="inlineStr">
        <is>
          <t>Material - Quarry, Misc</t>
        </is>
      </c>
      <c r="E156" s="583" t="n"/>
      <c r="F156" s="583" t="n"/>
    </row>
    <row r="157">
      <c r="B157" s="38" t="inlineStr">
        <is>
          <t xml:space="preserve">*HIDDEN - Calc in below </t>
        </is>
      </c>
      <c r="E157" s="583" t="n"/>
      <c r="F157" s="583" t="n"/>
    </row>
    <row r="158" hidden="1">
      <c r="B158" s="38">
        <f>'Material Rates_Master'!A185</f>
        <v/>
      </c>
      <c r="C158" s="40">
        <f>'Material Rates_Master'!B185</f>
        <v/>
      </c>
      <c r="D158">
        <f>I971</f>
        <v/>
      </c>
      <c r="E158" s="583">
        <f>'Material Rates_Master'!D185</f>
        <v/>
      </c>
      <c r="F158" s="583">
        <f>E158*D158</f>
        <v/>
      </c>
      <c r="H158" s="540" t="inlineStr">
        <is>
          <t>Bedding import = helper I971 (auto from adopted pipe lengths)</t>
        </is>
      </c>
    </row>
    <row r="159" hidden="1">
      <c r="B159" s="38">
        <f>'Material Rates_Master'!A186</f>
        <v/>
      </c>
      <c r="C159" s="40">
        <f>'Material Rates_Master'!B186</f>
        <v/>
      </c>
      <c r="E159" s="583">
        <f>'Material Rates_Master'!D186</f>
        <v/>
      </c>
      <c r="F159" s="583">
        <f>E159*D159</f>
        <v/>
      </c>
    </row>
    <row r="160" hidden="1">
      <c r="B160" s="38">
        <f>'Material Rates_Master'!A187</f>
        <v/>
      </c>
      <c r="C160" s="40">
        <f>'Material Rates_Master'!B187</f>
        <v/>
      </c>
      <c r="E160" s="583">
        <f>'Material Rates_Master'!D187</f>
        <v/>
      </c>
      <c r="F160" s="583">
        <f>E160*D160</f>
        <v/>
      </c>
    </row>
    <row r="161" hidden="1">
      <c r="B161" s="38">
        <f>'Material Rates_Master'!A188</f>
        <v/>
      </c>
      <c r="C161" s="40">
        <f>'Material Rates_Master'!B188</f>
        <v/>
      </c>
      <c r="E161" s="583">
        <f>'Material Rates_Master'!D188</f>
        <v/>
      </c>
      <c r="F161" s="583">
        <f>E161*D161</f>
        <v/>
      </c>
    </row>
    <row r="162" hidden="1">
      <c r="B162" s="38">
        <f>'Material Rates_Master'!A189</f>
        <v/>
      </c>
      <c r="C162" s="40">
        <f>'Material Rates_Master'!B189</f>
        <v/>
      </c>
      <c r="E162" s="583">
        <f>'Material Rates_Master'!D189</f>
        <v/>
      </c>
      <c r="F162" s="583">
        <f>E162*D162</f>
        <v/>
      </c>
    </row>
    <row r="163" hidden="1" ht="4.2" customHeight="1">
      <c r="B163" t="inlineStr">
        <is>
          <t>Spoil haulage &amp; dump (take-off helper M971 @ $15/m3)</t>
        </is>
      </c>
      <c r="C163" t="inlineStr">
        <is>
          <t>item</t>
        </is>
      </c>
      <c r="D163" t="n">
        <v>1</v>
      </c>
      <c r="E163" s="583">
        <f>M971</f>
        <v/>
      </c>
      <c r="F163" s="583">
        <f>E163*D163</f>
        <v/>
      </c>
      <c r="H163" s="540" t="inlineStr">
        <is>
          <t>Auto from helper</t>
        </is>
      </c>
    </row>
    <row r="164" hidden="1">
      <c r="B164" s="38">
        <f>'Material Rates_Master'!A193</f>
        <v/>
      </c>
      <c r="C164" s="40">
        <f>'Material Rates_Master'!B193</f>
        <v/>
      </c>
      <c r="E164" s="583">
        <f>'Material Rates_Master'!D193</f>
        <v/>
      </c>
      <c r="F164" s="583">
        <f>E164*D164</f>
        <v/>
      </c>
    </row>
    <row r="165" hidden="1">
      <c r="B165" s="38">
        <f>'Material Rates_Master'!A194</f>
        <v/>
      </c>
      <c r="C165" s="40">
        <f>'Material Rates_Master'!B194</f>
        <v/>
      </c>
      <c r="E165" s="583">
        <f>'Material Rates_Master'!D194</f>
        <v/>
      </c>
      <c r="F165" s="583">
        <f>E165*D165</f>
        <v/>
      </c>
    </row>
    <row r="166" hidden="1">
      <c r="B166" s="38">
        <f>'Material Rates_Master'!A195</f>
        <v/>
      </c>
      <c r="C166" s="40">
        <f>'Material Rates_Master'!B195</f>
        <v/>
      </c>
      <c r="E166" s="583">
        <f>'Material Rates_Master'!D195</f>
        <v/>
      </c>
      <c r="F166" s="583">
        <f>E166*D166</f>
        <v/>
      </c>
    </row>
    <row r="167" hidden="1">
      <c r="E167" s="583" t="n"/>
      <c r="F167" s="583" t="n"/>
    </row>
    <row r="168" hidden="1">
      <c r="B168" s="38" t="inlineStr">
        <is>
          <t>Valve Margin strips; Concrete slab, 1 directions sign, 3 x valve No sign.</t>
        </is>
      </c>
      <c r="C168" s="40" t="inlineStr">
        <is>
          <t>ea</t>
        </is>
      </c>
      <c r="E168" s="583" t="n">
        <v>380</v>
      </c>
      <c r="F168" s="583">
        <f>E168*D168</f>
        <v/>
      </c>
    </row>
    <row r="169">
      <c r="E169" s="583" t="n"/>
      <c r="F169" s="583" t="n"/>
    </row>
    <row r="170">
      <c r="B170" s="201" t="n"/>
      <c r="C170" s="38" t="n"/>
      <c r="D170" s="38" t="n"/>
      <c r="E170" s="38" t="n"/>
      <c r="F170" s="38" t="n"/>
    </row>
    <row r="171">
      <c r="A171" s="42" t="n"/>
      <c r="B171" s="331" t="inlineStr">
        <is>
          <t>FIRE SERVICES - INGROUND</t>
        </is>
      </c>
      <c r="E171" s="583" t="n"/>
      <c r="F171" s="583" t="n"/>
    </row>
    <row r="172">
      <c r="E172" s="583" t="n"/>
      <c r="F172" s="583" t="n"/>
    </row>
    <row r="173" ht="13.2" customHeight="1">
      <c r="A173" s="40" t="n"/>
      <c r="B173" s="299" t="inlineStr">
        <is>
          <t>200 HDPE PN16 SDR11 - REDLINE</t>
        </is>
      </c>
      <c r="C173" s="40">
        <f>'Material Rates_Master'!B5</f>
        <v/>
      </c>
      <c r="D173" s="291" t="n"/>
      <c r="E173" s="583">
        <f>'Material Rates_Master'!D5*$M$16</f>
        <v/>
      </c>
      <c r="F173" s="583">
        <f>E173*D173</f>
        <v/>
      </c>
      <c r="H173" s="541" t="n"/>
      <c r="I173" s="589" t="n"/>
      <c r="J173" s="589" t="n"/>
    </row>
    <row r="174">
      <c r="A174" s="40" t="n"/>
      <c r="B174" s="299" t="inlineStr">
        <is>
          <t>180 HDPE PN16 SDR11 - REDLINE</t>
        </is>
      </c>
      <c r="C174" s="40">
        <f>'Material Rates_Master'!B6</f>
        <v/>
      </c>
      <c r="D174" s="484" t="n"/>
      <c r="E174" s="583">
        <f>'Material Rates_Master'!D6*$M$16</f>
        <v/>
      </c>
      <c r="F174" s="583">
        <f>E174*D174</f>
        <v/>
      </c>
      <c r="H174" s="541" t="n"/>
    </row>
    <row r="175">
      <c r="A175" s="40" t="n"/>
      <c r="B175" s="299" t="inlineStr">
        <is>
          <t>125 HDPE PN16 SDR11 - REDLINE</t>
        </is>
      </c>
      <c r="C175" s="40">
        <f>'Material Rates_Master'!B7</f>
        <v/>
      </c>
      <c r="D175" s="37" t="n"/>
      <c r="E175" s="583">
        <f>'Material Rates_Master'!D7*$M$16</f>
        <v/>
      </c>
      <c r="F175" s="583">
        <f>E175*D175</f>
        <v/>
      </c>
      <c r="H175" s="541" t="n"/>
    </row>
    <row r="176">
      <c r="A176" s="40" t="n"/>
      <c r="B176" s="299" t="inlineStr">
        <is>
          <t>75 HDPE PN16 SDR11 - REDLINE</t>
        </is>
      </c>
      <c r="C176" s="40" t="inlineStr">
        <is>
          <t>m</t>
        </is>
      </c>
      <c r="D176" s="37" t="n"/>
      <c r="E176" s="583" t="n">
        <v>12.31</v>
      </c>
      <c r="F176" s="583">
        <f>E176*D176</f>
        <v/>
      </c>
      <c r="H176" s="541" t="n"/>
    </row>
    <row r="177">
      <c r="A177" s="40" t="n"/>
      <c r="B177" s="299" t="inlineStr">
        <is>
          <t>32 HDPE PN16 SDR11 - BLUELINE</t>
        </is>
      </c>
      <c r="C177" s="40">
        <f>'Material Rates_Master'!B8</f>
        <v/>
      </c>
      <c r="D177" s="37" t="n"/>
      <c r="E177" s="583">
        <f>'Material Rates_Master'!D8*$M$16</f>
        <v/>
      </c>
      <c r="F177" s="583">
        <f>E177*D177</f>
        <v/>
      </c>
      <c r="H177" s="541" t="n"/>
    </row>
    <row r="178">
      <c r="A178" s="40" t="n"/>
      <c r="B178" s="299" t="n"/>
      <c r="D178" s="37" t="n"/>
      <c r="E178" s="583" t="n"/>
      <c r="F178" s="583" t="n"/>
      <c r="H178" s="541" t="n"/>
    </row>
    <row r="179">
      <c r="A179" s="40" t="n"/>
      <c r="B179" s="299" t="n"/>
      <c r="D179" s="37" t="n"/>
      <c r="E179" s="583" t="n"/>
      <c r="F179" s="583" t="n"/>
      <c r="H179" s="541" t="n"/>
    </row>
    <row r="180" ht="4.2" customHeight="1">
      <c r="A180" s="40" t="n"/>
      <c r="B180" s="299" t="n"/>
      <c r="E180" s="583">
        <f>'Material Rates_Master'!D9*$M$16</f>
        <v/>
      </c>
      <c r="F180" s="583" t="n"/>
      <c r="H180" s="541" t="n"/>
    </row>
    <row r="181">
      <c r="A181" s="40" t="n"/>
      <c r="B181" s="299" t="inlineStr">
        <is>
          <t>200 EF Coupler</t>
        </is>
      </c>
      <c r="C181" s="40">
        <f>'Material Rates_Master'!B10</f>
        <v/>
      </c>
      <c r="D181" s="484" t="n"/>
      <c r="E181" s="583">
        <f>'Material Rates_Master'!D10*$M$16</f>
        <v/>
      </c>
      <c r="F181" s="583">
        <f>E181*D181</f>
        <v/>
      </c>
      <c r="H181" s="541" t="n"/>
    </row>
    <row r="182">
      <c r="A182" s="40" t="n"/>
      <c r="B182" s="299" t="inlineStr">
        <is>
          <t>180 EF Coupler</t>
        </is>
      </c>
      <c r="C182" s="40">
        <f>'Material Rates_Master'!B11</f>
        <v/>
      </c>
      <c r="D182" s="37" t="n"/>
      <c r="E182" s="583">
        <f>'Material Rates_Master'!D11*$M$16</f>
        <v/>
      </c>
      <c r="F182" s="583">
        <f>E182*D182</f>
        <v/>
      </c>
      <c r="H182" s="541" t="n"/>
    </row>
    <row r="183">
      <c r="A183" s="40" t="n"/>
      <c r="B183" s="299" t="inlineStr">
        <is>
          <t>125 EF Coupler</t>
        </is>
      </c>
      <c r="C183" s="40">
        <f>'Material Rates_Master'!B12</f>
        <v/>
      </c>
      <c r="D183" s="484" t="n"/>
      <c r="E183" s="583">
        <f>'Material Rates_Master'!D12*$M$16</f>
        <v/>
      </c>
      <c r="F183" s="583">
        <f>E183*D183</f>
        <v/>
      </c>
      <c r="H183" s="541" t="n"/>
    </row>
    <row r="184">
      <c r="A184" s="40" t="n"/>
      <c r="B184" s="299" t="inlineStr">
        <is>
          <t>200 EF 45DFeg Bend</t>
        </is>
      </c>
      <c r="C184" s="40">
        <f>'Material Rates_Master'!B13</f>
        <v/>
      </c>
      <c r="D184" s="484" t="n"/>
      <c r="E184" s="583">
        <f>'Material Rates_Master'!D13*$M$16</f>
        <v/>
      </c>
      <c r="F184" s="583">
        <f>E184*D184</f>
        <v/>
      </c>
      <c r="H184" s="541" t="n"/>
    </row>
    <row r="185">
      <c r="A185" s="40" t="n"/>
      <c r="B185" s="299" t="inlineStr">
        <is>
          <t>180 EF 45DFeg Bend</t>
        </is>
      </c>
      <c r="C185" s="40">
        <f>'Material Rates_Master'!B14</f>
        <v/>
      </c>
      <c r="D185" s="484" t="n"/>
      <c r="E185" s="583">
        <f>'Material Rates_Master'!D14*$M$16</f>
        <v/>
      </c>
      <c r="F185" s="583">
        <f>E185*D185</f>
        <v/>
      </c>
      <c r="H185" s="541" t="n"/>
    </row>
    <row r="186">
      <c r="A186" s="40" t="n"/>
      <c r="B186" s="299" t="inlineStr">
        <is>
          <t>125 EF 45DFeg Bend</t>
        </is>
      </c>
      <c r="C186" s="40">
        <f>'Material Rates_Master'!B15</f>
        <v/>
      </c>
      <c r="D186" s="484" t="n"/>
      <c r="E186" s="583">
        <f>'Material Rates_Master'!D15*$M$16</f>
        <v/>
      </c>
      <c r="F186" s="583">
        <f>E186*D186</f>
        <v/>
      </c>
      <c r="H186" s="541" t="n"/>
    </row>
    <row r="187">
      <c r="A187" s="40" t="n"/>
      <c r="B187" s="299" t="inlineStr">
        <is>
          <t>200 EF 90DFeg Bend</t>
        </is>
      </c>
      <c r="C187" s="40">
        <f>'Material Rates_Master'!B16</f>
        <v/>
      </c>
      <c r="D187" s="484" t="n"/>
      <c r="E187" s="583">
        <f>'Material Rates_Master'!D16*$M$16</f>
        <v/>
      </c>
      <c r="F187" s="583">
        <f>E187*D187</f>
        <v/>
      </c>
      <c r="H187" s="541" t="n"/>
    </row>
    <row r="188">
      <c r="A188" s="40" t="n"/>
      <c r="B188" s="299" t="inlineStr">
        <is>
          <t>180 EF 90DFeg Bend</t>
        </is>
      </c>
      <c r="C188" s="40">
        <f>'Material Rates_Master'!B17</f>
        <v/>
      </c>
      <c r="D188" s="484" t="n"/>
      <c r="E188" s="583">
        <f>'Material Rates_Master'!D17*$M$16</f>
        <v/>
      </c>
      <c r="F188" s="583">
        <f>E188*D188</f>
        <v/>
      </c>
      <c r="H188" s="541" t="n"/>
    </row>
    <row r="189">
      <c r="A189" s="40" t="n"/>
      <c r="B189" s="299" t="inlineStr">
        <is>
          <t>125 EF 90DFeg Bend</t>
        </is>
      </c>
      <c r="C189" s="40">
        <f>'Material Rates_Master'!B18</f>
        <v/>
      </c>
      <c r="D189" s="484" t="n"/>
      <c r="E189" s="583">
        <f>'Material Rates_Master'!D18*$M$16</f>
        <v/>
      </c>
      <c r="F189" s="583">
        <f>E189*D189</f>
        <v/>
      </c>
      <c r="H189" s="541" t="n"/>
    </row>
    <row r="190">
      <c r="A190" s="40" t="n"/>
      <c r="B190" s="299" t="inlineStr">
        <is>
          <t>200 EF TEE</t>
        </is>
      </c>
      <c r="C190" s="40">
        <f>'Material Rates_Master'!B19</f>
        <v/>
      </c>
      <c r="D190" s="484" t="n"/>
      <c r="E190" s="583">
        <f>'Material Rates_Master'!D19*$M$16</f>
        <v/>
      </c>
      <c r="F190" s="583">
        <f>E190*D190</f>
        <v/>
      </c>
      <c r="H190" s="541" t="n"/>
    </row>
    <row r="191">
      <c r="A191" s="40" t="n"/>
      <c r="B191" s="299" t="inlineStr">
        <is>
          <t>180 EF TEE</t>
        </is>
      </c>
      <c r="C191" s="40">
        <f>'Material Rates_Master'!B20</f>
        <v/>
      </c>
      <c r="D191" s="484" t="n"/>
      <c r="E191" s="583">
        <f>'Material Rates_Master'!D20*$M$16</f>
        <v/>
      </c>
      <c r="F191" s="583">
        <f>E191*D191</f>
        <v/>
      </c>
      <c r="H191" s="541" t="n"/>
    </row>
    <row r="192">
      <c r="A192" s="40" t="n"/>
      <c r="B192" s="299" t="inlineStr">
        <is>
          <t>125 EF TEE</t>
        </is>
      </c>
      <c r="C192" s="40">
        <f>'Material Rates_Master'!B21</f>
        <v/>
      </c>
      <c r="D192" s="484" t="n"/>
      <c r="E192" s="583">
        <f>'Material Rates_Master'!D21*$M$16</f>
        <v/>
      </c>
      <c r="F192" s="583">
        <f>E192*D192</f>
        <v/>
      </c>
      <c r="H192" s="541" t="n"/>
    </row>
    <row r="193">
      <c r="A193" s="40" t="n"/>
      <c r="B193" s="299" t="inlineStr">
        <is>
          <t>200*180 EF TEE</t>
        </is>
      </c>
      <c r="C193" s="40">
        <f>'Material Rates_Master'!B22</f>
        <v/>
      </c>
      <c r="D193" s="484" t="n"/>
      <c r="E193" s="583">
        <f>'Material Rates_Master'!D22*$M$16</f>
        <v/>
      </c>
      <c r="F193" s="583">
        <f>E193*D193</f>
        <v/>
      </c>
      <c r="H193" s="541" t="n"/>
    </row>
    <row r="194">
      <c r="A194" s="40" t="n"/>
      <c r="B194" s="299" t="inlineStr">
        <is>
          <t>200*125 EF TEE</t>
        </is>
      </c>
      <c r="C194" s="40">
        <f>'Material Rates_Master'!B23</f>
        <v/>
      </c>
      <c r="D194" s="484" t="n"/>
      <c r="E194" s="583">
        <f>'Material Rates_Master'!D23*$M$16</f>
        <v/>
      </c>
      <c r="F194" s="583">
        <f>E194*D194</f>
        <v/>
      </c>
      <c r="H194" s="541" t="n"/>
    </row>
    <row r="195">
      <c r="A195" s="40" t="n"/>
      <c r="B195" s="299" t="inlineStr">
        <is>
          <t>180*125 EF TEE</t>
        </is>
      </c>
      <c r="C195" s="40">
        <f>'Material Rates_Master'!B24</f>
        <v/>
      </c>
      <c r="D195" s="484" t="n"/>
      <c r="E195" s="583">
        <f>'Material Rates_Master'!D24*$M$16</f>
        <v/>
      </c>
      <c r="F195" s="583">
        <f>E195*D195</f>
        <v/>
      </c>
      <c r="H195" s="541" t="n"/>
    </row>
    <row r="196">
      <c r="A196" s="40" t="n"/>
      <c r="B196" s="299" t="inlineStr">
        <is>
          <t>200*180 EF Reducer</t>
        </is>
      </c>
      <c r="C196" s="40">
        <f>'Material Rates_Master'!B25</f>
        <v/>
      </c>
      <c r="D196" s="484" t="n"/>
      <c r="E196" s="583">
        <f>'Material Rates_Master'!D25*$M$16</f>
        <v/>
      </c>
      <c r="F196" s="583">
        <f>E196*D196</f>
        <v/>
      </c>
      <c r="H196" s="541" t="n"/>
    </row>
    <row r="197">
      <c r="A197" s="40" t="n"/>
      <c r="B197" s="299" t="inlineStr">
        <is>
          <t>180*125 EF Reducer</t>
        </is>
      </c>
      <c r="C197" s="40">
        <f>'Material Rates_Master'!B26</f>
        <v/>
      </c>
      <c r="D197" s="484" t="n"/>
      <c r="E197" s="583">
        <f>'Material Rates_Master'!D26*$M$16</f>
        <v/>
      </c>
      <c r="F197" s="583">
        <f>E197*D197</f>
        <v/>
      </c>
      <c r="H197" s="541" t="n"/>
    </row>
    <row r="198">
      <c r="A198" s="40" t="n"/>
      <c r="B198" s="299" t="inlineStr">
        <is>
          <t>180*32 EF Reducer</t>
        </is>
      </c>
      <c r="C198" s="40">
        <f>'Material Rates_Master'!B27</f>
        <v/>
      </c>
      <c r="D198" s="484" t="n"/>
      <c r="E198" s="583" t="n">
        <v>65</v>
      </c>
      <c r="F198" s="583">
        <f>E198*D198</f>
        <v/>
      </c>
      <c r="H198" s="541" t="n"/>
    </row>
    <row r="199">
      <c r="A199" s="40" t="n"/>
      <c r="B199" s="299" t="inlineStr">
        <is>
          <t>200PE*8"(200m) - MaxiStub W/Backing Ring</t>
        </is>
      </c>
      <c r="C199" s="40">
        <f>'Material Rates_Master'!B27</f>
        <v/>
      </c>
      <c r="D199" s="484" t="n"/>
      <c r="E199" s="583">
        <f>'Material Rates_Master'!D27*$M$16</f>
        <v/>
      </c>
      <c r="F199" s="583">
        <f>E199*D199</f>
        <v/>
      </c>
      <c r="H199" s="541" t="n"/>
    </row>
    <row r="200">
      <c r="A200" s="40" t="n"/>
      <c r="B200" s="299" t="inlineStr">
        <is>
          <t>180PE*6"(150mm) - MaxiStub W/Backing Ring</t>
        </is>
      </c>
      <c r="C200" s="40">
        <f>'Material Rates_Master'!B28</f>
        <v/>
      </c>
      <c r="D200" s="484" t="n"/>
      <c r="E200" s="583">
        <f>'Material Rates_Master'!D28*$M$16</f>
        <v/>
      </c>
      <c r="F200" s="583">
        <f>E200*D200</f>
        <v/>
      </c>
      <c r="H200" s="541" t="n"/>
    </row>
    <row r="201">
      <c r="A201" s="40" t="n"/>
      <c r="B201" s="299" t="inlineStr">
        <is>
          <t>125PE*4" (100mm) - MaxiStub W/Backing Ring</t>
        </is>
      </c>
      <c r="C201" s="40">
        <f>'Material Rates_Master'!B29</f>
        <v/>
      </c>
      <c r="D201" s="484" t="n"/>
      <c r="E201" s="583">
        <f>'Material Rates_Master'!D29*$M$16</f>
        <v/>
      </c>
      <c r="F201" s="583">
        <f>E201*D201</f>
        <v/>
      </c>
      <c r="H201" s="541" t="n"/>
    </row>
    <row r="202">
      <c r="A202" s="40" t="n"/>
      <c r="B202" s="299" t="inlineStr">
        <is>
          <t xml:space="preserve">180mm PE x 150mm GALV ADAPTER - PLASSON Brand </t>
        </is>
      </c>
      <c r="C202" s="40">
        <f>'Material Rates_Master'!B30</f>
        <v/>
      </c>
      <c r="D202" s="484" t="n"/>
      <c r="E202" s="583">
        <f>'Material Rates_Master'!D30*$M$16</f>
        <v/>
      </c>
      <c r="F202" s="583">
        <f>E202*D202</f>
        <v/>
      </c>
      <c r="H202" s="541" t="n"/>
    </row>
    <row r="203">
      <c r="A203" s="40" t="n"/>
      <c r="B203" s="299" t="inlineStr">
        <is>
          <t xml:space="preserve">125mm PE x 100mm GALV ADAPTER - PLASSON Brand </t>
        </is>
      </c>
      <c r="C203" s="40">
        <f>'Material Rates_Master'!B31</f>
        <v/>
      </c>
      <c r="D203" s="484" t="n"/>
      <c r="E203" s="583">
        <f>'Material Rates_Master'!D31*$M$16</f>
        <v/>
      </c>
      <c r="F203" s="583">
        <f>E203*D203</f>
        <v/>
      </c>
      <c r="H203" s="541" t="n"/>
    </row>
    <row r="204" ht="6" customHeight="1">
      <c r="A204" s="40" t="n"/>
      <c r="B204" s="299" t="n"/>
      <c r="C204" s="40">
        <f>'Material Rates_Master'!B32</f>
        <v/>
      </c>
      <c r="E204" s="583">
        <f>'Material Rates_Master'!D32*$M$16</f>
        <v/>
      </c>
      <c r="F204" s="583">
        <f>E204*D204</f>
        <v/>
      </c>
      <c r="H204" s="541" t="n"/>
    </row>
    <row r="205">
      <c r="A205" s="40" t="n"/>
      <c r="B205" s="1" t="inlineStr">
        <is>
          <t>180mm PE x 150mm GALV ADAPTER</t>
        </is>
      </c>
      <c r="C205" s="40">
        <f>'Material Rates_Master'!B33</f>
        <v/>
      </c>
      <c r="E205" s="583">
        <f>'Material Rates_Master'!D33*$M$16</f>
        <v/>
      </c>
      <c r="F205" s="583">
        <f>E205*D205</f>
        <v/>
      </c>
      <c r="H205" s="541" t="n"/>
    </row>
    <row r="206">
      <c r="A206" s="40" t="n"/>
      <c r="B206" s="1" t="inlineStr">
        <is>
          <t>125mm PE x 100mm GALV ADAPTER</t>
        </is>
      </c>
      <c r="C206" s="40">
        <f>'Material Rates_Master'!B34</f>
        <v/>
      </c>
      <c r="E206" s="583">
        <f>'Material Rates_Master'!D34*$M$16</f>
        <v/>
      </c>
      <c r="F206" s="583">
        <f>E206*D206</f>
        <v/>
      </c>
      <c r="H206" s="541" t="n"/>
    </row>
    <row r="207">
      <c r="A207" s="40" t="n"/>
      <c r="B207" s="299" t="inlineStr">
        <is>
          <t>200 Long SPIG 45DFeg Bend</t>
        </is>
      </c>
      <c r="C207" s="40">
        <f>'Material Rates_Master'!B35</f>
        <v/>
      </c>
      <c r="D207" s="484" t="n"/>
      <c r="E207" s="583">
        <f>'Material Rates_Master'!D35*$M$16</f>
        <v/>
      </c>
      <c r="F207" s="583">
        <f>E207*D207</f>
        <v/>
      </c>
      <c r="H207" s="541" t="n"/>
    </row>
    <row r="208">
      <c r="A208" s="40" t="n"/>
      <c r="B208" s="299" t="inlineStr">
        <is>
          <t>180 Long SPIG 45DFeg Bend</t>
        </is>
      </c>
      <c r="C208" s="40">
        <f>'Material Rates_Master'!B36</f>
        <v/>
      </c>
      <c r="D208" s="484" t="n"/>
      <c r="E208" s="583">
        <f>'Material Rates_Master'!D36*$M$16</f>
        <v/>
      </c>
      <c r="F208" s="583">
        <f>E208*D208</f>
        <v/>
      </c>
      <c r="H208" s="541" t="n"/>
    </row>
    <row r="209">
      <c r="A209" s="40" t="n"/>
      <c r="B209" s="299" t="inlineStr">
        <is>
          <t>125 Long SPIG 45DFeg Bend</t>
        </is>
      </c>
      <c r="C209" s="40">
        <f>'Material Rates_Master'!B37</f>
        <v/>
      </c>
      <c r="D209" s="484" t="n"/>
      <c r="E209" s="583">
        <f>'Material Rates_Master'!D37*$M$16</f>
        <v/>
      </c>
      <c r="F209" s="583">
        <f>E209*D209</f>
        <v/>
      </c>
      <c r="H209" s="541" t="n"/>
    </row>
    <row r="210">
      <c r="A210" s="40" t="n"/>
      <c r="B210" s="299" t="inlineStr">
        <is>
          <t>200 Long SPIG 90DFeg Bend</t>
        </is>
      </c>
      <c r="C210" s="40">
        <f>'Material Rates_Master'!B38</f>
        <v/>
      </c>
      <c r="D210" s="484" t="n"/>
      <c r="E210" s="583">
        <f>'Material Rates_Master'!D38*$M$16</f>
        <v/>
      </c>
      <c r="F210" s="583">
        <f>E210*D210</f>
        <v/>
      </c>
      <c r="H210" s="541" t="n"/>
    </row>
    <row r="211">
      <c r="A211" s="40" t="n"/>
      <c r="B211" s="299" t="inlineStr">
        <is>
          <t>180 Long SPIG 90DFeg Bend</t>
        </is>
      </c>
      <c r="C211" s="40">
        <f>'Material Rates_Master'!B39</f>
        <v/>
      </c>
      <c r="D211" s="484" t="n"/>
      <c r="E211" s="583">
        <f>'Material Rates_Master'!D39*$M$16</f>
        <v/>
      </c>
      <c r="F211" s="583">
        <f>E211*D211</f>
        <v/>
      </c>
      <c r="H211" s="541" t="n"/>
    </row>
    <row r="212">
      <c r="A212" s="40" t="n"/>
      <c r="B212" s="299" t="inlineStr">
        <is>
          <t>125 Long SPIG 90DFeg Bend</t>
        </is>
      </c>
      <c r="C212" s="40">
        <f>'Material Rates_Master'!B40</f>
        <v/>
      </c>
      <c r="D212" s="484" t="n"/>
      <c r="E212" s="583">
        <f>'Material Rates_Master'!D40*$M$16</f>
        <v/>
      </c>
      <c r="F212" s="583">
        <f>E212*D212</f>
        <v/>
      </c>
      <c r="H212" s="541" t="n"/>
    </row>
    <row r="213">
      <c r="A213" s="40" t="n"/>
      <c r="B213" s="299" t="inlineStr">
        <is>
          <t>200 Long SPIG TEE</t>
        </is>
      </c>
      <c r="C213" s="40">
        <f>'Material Rates_Master'!B41</f>
        <v/>
      </c>
      <c r="D213" s="484" t="n"/>
      <c r="E213" s="583">
        <f>'Material Rates_Master'!D41*$M$16</f>
        <v/>
      </c>
      <c r="F213" s="583">
        <f>E213*D213</f>
        <v/>
      </c>
      <c r="H213" s="541" t="n"/>
    </row>
    <row r="214">
      <c r="A214" s="40" t="n"/>
      <c r="B214" s="299" t="inlineStr">
        <is>
          <t>180 Long SPIG TEE</t>
        </is>
      </c>
      <c r="C214" s="40">
        <f>'Material Rates_Master'!B42</f>
        <v/>
      </c>
      <c r="D214" s="484" t="n"/>
      <c r="E214" s="583">
        <f>'Material Rates_Master'!D42*$M$16</f>
        <v/>
      </c>
      <c r="F214" s="583">
        <f>E214*D214</f>
        <v/>
      </c>
      <c r="H214" s="541" t="n"/>
    </row>
    <row r="215">
      <c r="A215" s="40" t="n"/>
      <c r="B215" s="299" t="inlineStr">
        <is>
          <t>125 Long SPIG TEE</t>
        </is>
      </c>
      <c r="C215" s="40">
        <f>'Material Rates_Master'!B43</f>
        <v/>
      </c>
      <c r="D215" s="484" t="n"/>
      <c r="E215" s="583">
        <f>'Material Rates_Master'!D43*$M$16</f>
        <v/>
      </c>
      <c r="F215" s="583">
        <f>E215*D215</f>
        <v/>
      </c>
      <c r="H215" s="541" t="n"/>
    </row>
    <row r="216">
      <c r="A216" s="40" t="n"/>
      <c r="B216" s="299" t="inlineStr">
        <is>
          <t>200*180 Long SPIG TEE</t>
        </is>
      </c>
      <c r="C216" s="40">
        <f>'Material Rates_Master'!B44</f>
        <v/>
      </c>
      <c r="D216" s="484" t="n"/>
      <c r="E216" s="583">
        <f>'Material Rates_Master'!D44*$M$16</f>
        <v/>
      </c>
      <c r="F216" s="583">
        <f>E216*D216</f>
        <v/>
      </c>
      <c r="H216" s="541" t="n"/>
    </row>
    <row r="217">
      <c r="A217" s="40" t="n"/>
      <c r="B217" s="299" t="inlineStr">
        <is>
          <t>200*125 Long SPIG TEE</t>
        </is>
      </c>
      <c r="C217" s="40">
        <f>'Material Rates_Master'!B45</f>
        <v/>
      </c>
      <c r="D217" s="484" t="n"/>
      <c r="E217" s="583">
        <f>'Material Rates_Master'!D45*$M$16</f>
        <v/>
      </c>
      <c r="F217" s="583">
        <f>E217*D217</f>
        <v/>
      </c>
      <c r="H217" s="541" t="n"/>
    </row>
    <row r="218">
      <c r="A218" s="40" t="n"/>
      <c r="B218" s="299" t="inlineStr">
        <is>
          <t>180*125 Long SPIG TEE</t>
        </is>
      </c>
      <c r="C218" s="40">
        <f>'Material Rates_Master'!B46</f>
        <v/>
      </c>
      <c r="D218" s="484" t="n"/>
      <c r="E218" s="583">
        <f>'Material Rates_Master'!D46*$M$16</f>
        <v/>
      </c>
      <c r="F218" s="583">
        <f>E218*D218</f>
        <v/>
      </c>
      <c r="H218" s="541" t="n"/>
    </row>
    <row r="219">
      <c r="A219" s="40" t="n"/>
      <c r="B219" s="299" t="inlineStr">
        <is>
          <t>200*180 Long SPIG Reducer</t>
        </is>
      </c>
      <c r="C219" s="40">
        <f>'Material Rates_Master'!B47</f>
        <v/>
      </c>
      <c r="D219" s="484" t="n"/>
      <c r="E219" s="583">
        <f>'Material Rates_Master'!D47*$M$16</f>
        <v/>
      </c>
      <c r="F219" s="583">
        <f>E219*D219</f>
        <v/>
      </c>
      <c r="H219" s="541" t="n"/>
    </row>
    <row r="220">
      <c r="A220" s="40" t="n"/>
      <c r="B220" s="299" t="inlineStr">
        <is>
          <t>180*125 Long SPIG Reducer</t>
        </is>
      </c>
      <c r="C220" s="40">
        <f>'Material Rates_Master'!B48</f>
        <v/>
      </c>
      <c r="D220" s="484" t="n"/>
      <c r="E220" s="583">
        <f>'Material Rates_Master'!D48*$M$16</f>
        <v/>
      </c>
      <c r="F220" s="583">
        <f>E220*D220</f>
        <v/>
      </c>
      <c r="H220" s="541" t="n"/>
    </row>
    <row r="221">
      <c r="A221" s="40" t="n"/>
      <c r="B221" s="299" t="inlineStr">
        <is>
          <t>75PE 50 CU TRANSITION</t>
        </is>
      </c>
      <c r="C221" s="40" t="inlineStr">
        <is>
          <t>ea</t>
        </is>
      </c>
      <c r="D221" s="484" t="n"/>
      <c r="E221" s="583" t="n">
        <v>45</v>
      </c>
      <c r="F221" s="583">
        <f>E221*D221</f>
        <v/>
      </c>
      <c r="H221" s="541" t="n"/>
    </row>
    <row r="222">
      <c r="A222" s="40" t="n"/>
      <c r="B222" s="299" t="inlineStr">
        <is>
          <t xml:space="preserve">32 PE 25 CU TRANSITION </t>
        </is>
      </c>
      <c r="C222" s="40" t="inlineStr">
        <is>
          <t>ea</t>
        </is>
      </c>
      <c r="D222" s="484" t="n"/>
      <c r="E222" s="583" t="n">
        <v>35</v>
      </c>
      <c r="F222" s="583">
        <f>E222*D222</f>
        <v/>
      </c>
      <c r="H222" s="541" t="n"/>
    </row>
    <row r="223" ht="6.6" customHeight="1">
      <c r="A223" s="40" t="n"/>
      <c r="B223" s="299" t="n"/>
      <c r="C223" s="40">
        <f>'Material Rates_Master'!B49</f>
        <v/>
      </c>
      <c r="E223" s="583">
        <f>'Material Rates_Master'!D49</f>
        <v/>
      </c>
      <c r="F223" s="583">
        <f>E223*D223</f>
        <v/>
      </c>
    </row>
    <row r="224">
      <c r="A224" s="40" t="n"/>
      <c r="B224" s="299" t="inlineStr">
        <is>
          <t>200 FL DICL Sluice Valve</t>
        </is>
      </c>
      <c r="C224" s="40">
        <f>'Material Rates_Master'!B50</f>
        <v/>
      </c>
      <c r="D224" s="484" t="n"/>
      <c r="E224" s="583">
        <f>'Material Rates_Master'!D50</f>
        <v/>
      </c>
      <c r="F224" s="583">
        <f>E224*D224</f>
        <v/>
      </c>
    </row>
    <row r="225">
      <c r="A225" s="40" t="n"/>
      <c r="B225" s="299" t="inlineStr">
        <is>
          <t>150 FL DICL Sluice Valve</t>
        </is>
      </c>
      <c r="C225" s="40">
        <f>'Material Rates_Master'!B51</f>
        <v/>
      </c>
      <c r="D225" s="484" t="n"/>
      <c r="E225" s="583">
        <f>'Material Rates_Master'!D51</f>
        <v/>
      </c>
      <c r="F225" s="583">
        <f>E225*D225</f>
        <v/>
      </c>
    </row>
    <row r="226">
      <c r="A226" s="40" t="n"/>
      <c r="B226" s="299" t="inlineStr">
        <is>
          <t>100 FL DICL Sluice Valve</t>
        </is>
      </c>
      <c r="C226" s="40">
        <f>'Material Rates_Master'!B52</f>
        <v/>
      </c>
      <c r="D226" s="484" t="n"/>
      <c r="E226" s="583">
        <f>'Material Rates_Master'!D52</f>
        <v/>
      </c>
      <c r="F226" s="583">
        <f>E226*D226</f>
        <v/>
      </c>
    </row>
    <row r="227">
      <c r="A227" s="40" t="n"/>
      <c r="B227" s="299" t="inlineStr">
        <is>
          <t>Valve Spindle Riser - 600Long</t>
        </is>
      </c>
      <c r="C227" s="40">
        <f>'Material Rates_Master'!B53</f>
        <v/>
      </c>
      <c r="D227" s="484" t="n"/>
      <c r="E227" s="583">
        <f>'Material Rates_Master'!D53</f>
        <v/>
      </c>
      <c r="F227" s="583">
        <f>E227*D227</f>
        <v/>
      </c>
    </row>
    <row r="228">
      <c r="A228" s="40" t="n"/>
      <c r="B228" s="299" t="inlineStr">
        <is>
          <t>Valve Box - Cast Iron Trafficable - Rectangle Type "V"</t>
        </is>
      </c>
      <c r="C228" s="40">
        <f>'Material Rates_Master'!B54</f>
        <v/>
      </c>
      <c r="D228" s="484" t="n"/>
      <c r="E228" s="583">
        <f>'Material Rates_Master'!D54</f>
        <v/>
      </c>
      <c r="F228" s="583">
        <f>E228*D228</f>
        <v/>
      </c>
    </row>
    <row r="229">
      <c r="A229" s="40" t="n"/>
      <c r="B229" s="299" t="inlineStr">
        <is>
          <t>Valve Box - Non-Trafficable - Plastic Surround with CI Drop In "V"</t>
        </is>
      </c>
      <c r="C229" s="40">
        <f>'Material Rates_Master'!B55</f>
        <v/>
      </c>
      <c r="D229" s="484" t="n"/>
      <c r="E229" s="583">
        <f>'Material Rates_Master'!D55</f>
        <v/>
      </c>
      <c r="F229" s="583">
        <f>E229*D229</f>
        <v/>
      </c>
    </row>
    <row r="230" ht="4.95" customHeight="1">
      <c r="A230" s="40" t="n"/>
      <c r="B230" s="299" t="n"/>
      <c r="C230" s="40">
        <f>'Material Rates_Master'!B56</f>
        <v/>
      </c>
      <c r="E230" s="583">
        <f>'Material Rates_Master'!D56</f>
        <v/>
      </c>
      <c r="F230" s="583">
        <f>E230*D230</f>
        <v/>
      </c>
    </row>
    <row r="231">
      <c r="A231" s="40" t="n"/>
      <c r="B231" s="299" t="inlineStr">
        <is>
          <t>200*150mm DICL FL Reducer</t>
        </is>
      </c>
      <c r="C231" s="40">
        <f>'Material Rates_Master'!B57</f>
        <v/>
      </c>
      <c r="D231" s="484" t="n"/>
      <c r="E231" s="583">
        <f>'Material Rates_Master'!D57</f>
        <v/>
      </c>
      <c r="F231" s="583">
        <f>E231*D231</f>
        <v/>
      </c>
    </row>
    <row r="232">
      <c r="A232" s="40" t="n"/>
      <c r="B232" s="299" t="inlineStr">
        <is>
          <t>200*100mm DICL FL Reducer</t>
        </is>
      </c>
      <c r="C232" s="40">
        <f>'Material Rates_Master'!B58</f>
        <v/>
      </c>
      <c r="D232" s="484" t="n"/>
      <c r="E232" s="583">
        <f>'Material Rates_Master'!D58</f>
        <v/>
      </c>
      <c r="F232" s="583">
        <f>E232*D232</f>
        <v/>
      </c>
    </row>
    <row r="233">
      <c r="A233" s="40" t="n"/>
      <c r="B233" s="299" t="inlineStr">
        <is>
          <t>150*100mm DICL FL Reducer</t>
        </is>
      </c>
      <c r="C233" s="40">
        <f>'Material Rates_Master'!B59</f>
        <v/>
      </c>
      <c r="D233" s="484" t="n"/>
      <c r="E233" s="583">
        <f>'Material Rates_Master'!D59</f>
        <v/>
      </c>
      <c r="F233" s="583">
        <f>E233*D233</f>
        <v/>
      </c>
    </row>
    <row r="234">
      <c r="A234" s="40" t="n"/>
      <c r="B234" s="299" t="inlineStr">
        <is>
          <t>150mm DICL FL * SP Adapter</t>
        </is>
      </c>
      <c r="C234" s="40">
        <f>'Material Rates_Master'!B60</f>
        <v/>
      </c>
      <c r="D234" s="484" t="n"/>
      <c r="E234" s="583">
        <f>'Material Rates_Master'!D60</f>
        <v/>
      </c>
      <c r="F234" s="583">
        <f>E234*D234</f>
        <v/>
      </c>
    </row>
    <row r="235">
      <c r="A235" s="40" t="n"/>
      <c r="B235" s="299" t="inlineStr">
        <is>
          <t>100mm DICL FL * SP Adapter</t>
        </is>
      </c>
      <c r="C235" s="40">
        <f>'Material Rates_Master'!B61</f>
        <v/>
      </c>
      <c r="D235" s="484" t="n"/>
      <c r="E235" s="583">
        <f>'Material Rates_Master'!D61</f>
        <v/>
      </c>
      <c r="F235" s="583">
        <f>E235*D235</f>
        <v/>
      </c>
    </row>
    <row r="236">
      <c r="A236" s="40" t="n"/>
      <c r="B236" s="299" t="inlineStr">
        <is>
          <t>200mm DICL FL 90Deg Bend</t>
        </is>
      </c>
      <c r="C236" s="40">
        <f>'Material Rates_Master'!B62</f>
        <v/>
      </c>
      <c r="D236" s="484" t="n"/>
      <c r="E236" s="583">
        <f>'Material Rates_Master'!D62</f>
        <v/>
      </c>
      <c r="F236" s="583">
        <f>E236*D236</f>
        <v/>
      </c>
    </row>
    <row r="237">
      <c r="A237" s="40" t="n"/>
      <c r="B237" s="299" t="inlineStr">
        <is>
          <t>150mm DICL FL 90Deg Bend</t>
        </is>
      </c>
      <c r="C237" s="40">
        <f>'Material Rates_Master'!B63</f>
        <v/>
      </c>
      <c r="D237" s="484" t="n"/>
      <c r="E237" s="583">
        <f>'Material Rates_Master'!D63</f>
        <v/>
      </c>
      <c r="F237" s="583">
        <f>E237*D237</f>
        <v/>
      </c>
    </row>
    <row r="238">
      <c r="A238" s="40" t="n"/>
      <c r="B238" s="299" t="inlineStr">
        <is>
          <t>100mm DICL FL 90Deg Bend</t>
        </is>
      </c>
      <c r="C238" s="40">
        <f>'Material Rates_Master'!B64</f>
        <v/>
      </c>
      <c r="D238" s="484" t="n"/>
      <c r="E238" s="583">
        <f>'Material Rates_Master'!D64</f>
        <v/>
      </c>
      <c r="F238" s="583">
        <f>E238*D238</f>
        <v/>
      </c>
    </row>
    <row r="239">
      <c r="A239" s="40" t="n"/>
      <c r="B239" s="299" t="inlineStr">
        <is>
          <t>200mm DICL FL TEE</t>
        </is>
      </c>
      <c r="C239" s="40">
        <f>'Material Rates_Master'!B65</f>
        <v/>
      </c>
      <c r="D239" s="484" t="n"/>
      <c r="E239" s="583">
        <f>'Material Rates_Master'!D65</f>
        <v/>
      </c>
      <c r="F239" s="583">
        <f>E239*D239</f>
        <v/>
      </c>
    </row>
    <row r="240">
      <c r="A240" s="40" t="n"/>
      <c r="B240" s="299" t="inlineStr">
        <is>
          <t>150mm DICL FL TEE</t>
        </is>
      </c>
      <c r="C240" s="40">
        <f>'Material Rates_Master'!B66</f>
        <v/>
      </c>
      <c r="D240" s="484" t="n"/>
      <c r="E240" s="583">
        <f>'Material Rates_Master'!D66</f>
        <v/>
      </c>
      <c r="F240" s="583">
        <f>E240*D240</f>
        <v/>
      </c>
    </row>
    <row r="241">
      <c r="A241" s="40" t="n"/>
      <c r="B241" s="299" t="inlineStr">
        <is>
          <t>100mm DICL FL TEE</t>
        </is>
      </c>
      <c r="C241" s="40">
        <f>'Material Rates_Master'!B67</f>
        <v/>
      </c>
      <c r="D241" s="484" t="n"/>
      <c r="E241" s="583">
        <f>'Material Rates_Master'!D67</f>
        <v/>
      </c>
      <c r="F241" s="583">
        <f>E241*D241</f>
        <v/>
      </c>
    </row>
    <row r="242">
      <c r="A242" s="40" t="n"/>
      <c r="B242" s="299" t="inlineStr">
        <is>
          <t>200*150*200 DICL FL TEE</t>
        </is>
      </c>
      <c r="C242" s="40">
        <f>'Material Rates_Master'!B68</f>
        <v/>
      </c>
      <c r="D242" s="484" t="n"/>
      <c r="E242" s="583">
        <f>'Material Rates_Master'!D68</f>
        <v/>
      </c>
      <c r="F242" s="583">
        <f>E242*D242</f>
        <v/>
      </c>
    </row>
    <row r="243">
      <c r="A243" s="40" t="n"/>
      <c r="B243" s="299" t="inlineStr">
        <is>
          <t>200*100*200 DICL FL TEE</t>
        </is>
      </c>
      <c r="C243" s="40">
        <f>'Material Rates_Master'!B69</f>
        <v/>
      </c>
      <c r="D243" s="484" t="n"/>
      <c r="E243" s="583">
        <f>'Material Rates_Master'!D69</f>
        <v/>
      </c>
      <c r="F243" s="583">
        <f>E243*D243</f>
        <v/>
      </c>
    </row>
    <row r="244">
      <c r="A244" s="40" t="n"/>
      <c r="B244" s="299" t="inlineStr">
        <is>
          <t>150-100-150 DICL FL TEE</t>
        </is>
      </c>
      <c r="C244" s="40">
        <f>'Material Rates_Master'!B70</f>
        <v/>
      </c>
      <c r="D244" s="484" t="n"/>
      <c r="E244" s="583">
        <f>'Material Rates_Master'!D70</f>
        <v/>
      </c>
      <c r="F244" s="583">
        <f>E244*D244</f>
        <v/>
      </c>
    </row>
    <row r="245">
      <c r="A245" s="40" t="n"/>
      <c r="B245" s="299" t="inlineStr">
        <is>
          <t>200mm DICL FL Pipe @ 1000</t>
        </is>
      </c>
      <c r="C245" s="40">
        <f>'Material Rates_Master'!B71</f>
        <v/>
      </c>
      <c r="D245" s="484" t="n"/>
      <c r="E245" s="583">
        <f>'Material Rates_Master'!D71</f>
        <v/>
      </c>
      <c r="F245" s="583">
        <f>E245*D245</f>
        <v/>
      </c>
    </row>
    <row r="246">
      <c r="A246" s="40" t="n"/>
      <c r="B246" s="299" t="inlineStr">
        <is>
          <t>200mm DICL FL Pipe @ 600</t>
        </is>
      </c>
      <c r="C246" s="40">
        <f>'Material Rates_Master'!B72</f>
        <v/>
      </c>
      <c r="D246" s="484" t="n"/>
      <c r="E246" s="583">
        <f>'Material Rates_Master'!D72</f>
        <v/>
      </c>
      <c r="F246" s="583">
        <f>E246*D246</f>
        <v/>
      </c>
    </row>
    <row r="247">
      <c r="A247" s="40" t="n"/>
      <c r="B247" s="299" t="inlineStr">
        <is>
          <t>200mm DICL FL Pipe @ 300</t>
        </is>
      </c>
      <c r="C247" s="40">
        <f>'Material Rates_Master'!B73</f>
        <v/>
      </c>
      <c r="D247" s="484" t="n"/>
      <c r="E247" s="583">
        <f>'Material Rates_Master'!D73</f>
        <v/>
      </c>
      <c r="F247" s="583">
        <f>E247*D247</f>
        <v/>
      </c>
    </row>
    <row r="248">
      <c r="A248" s="40" t="n"/>
      <c r="B248" s="299" t="inlineStr">
        <is>
          <t>150mm DICL FL Pipe @ 1000</t>
        </is>
      </c>
      <c r="C248" s="40">
        <f>'Material Rates_Master'!B74</f>
        <v/>
      </c>
      <c r="D248" s="484" t="n"/>
      <c r="E248" s="583">
        <f>'Material Rates_Master'!D74</f>
        <v/>
      </c>
      <c r="F248" s="583">
        <f>E248*D248</f>
        <v/>
      </c>
    </row>
    <row r="249">
      <c r="A249" s="40" t="n"/>
      <c r="B249" s="299" t="inlineStr">
        <is>
          <t>150mm DICL FL Pipe @ 600</t>
        </is>
      </c>
      <c r="C249" s="40">
        <f>'Material Rates_Master'!B75</f>
        <v/>
      </c>
      <c r="D249" s="484" t="n"/>
      <c r="E249" s="583">
        <f>'Material Rates_Master'!D75</f>
        <v/>
      </c>
      <c r="F249" s="583">
        <f>E249*D249</f>
        <v/>
      </c>
    </row>
    <row r="250">
      <c r="A250" s="40" t="n"/>
      <c r="B250" s="299" t="inlineStr">
        <is>
          <t>150mm DICL FL Pipe @ 450</t>
        </is>
      </c>
      <c r="C250" s="40">
        <f>'Material Rates_Master'!B76</f>
        <v/>
      </c>
      <c r="D250" s="484" t="n"/>
      <c r="E250" s="583">
        <f>'Material Rates_Master'!D76</f>
        <v/>
      </c>
      <c r="F250" s="583">
        <f>E250*D250</f>
        <v/>
      </c>
    </row>
    <row r="251">
      <c r="A251" s="40" t="n"/>
      <c r="B251" s="299" t="inlineStr">
        <is>
          <t>150mm DICL FL Pipe @ 300</t>
        </is>
      </c>
      <c r="C251" s="40">
        <f>'Material Rates_Master'!B77</f>
        <v/>
      </c>
      <c r="D251" s="484" t="n"/>
      <c r="E251" s="583">
        <f>'Material Rates_Master'!D77</f>
        <v/>
      </c>
      <c r="F251" s="583">
        <f>E251*D251</f>
        <v/>
      </c>
    </row>
    <row r="252">
      <c r="A252" s="40" t="n"/>
      <c r="B252" s="299" t="inlineStr">
        <is>
          <t>100mm DICL FL Pipe @ 1000</t>
        </is>
      </c>
      <c r="C252" s="40">
        <f>'Material Rates_Master'!B78</f>
        <v/>
      </c>
      <c r="D252" s="484" t="n"/>
      <c r="E252" s="583">
        <f>'Material Rates_Master'!D78</f>
        <v/>
      </c>
      <c r="F252" s="583">
        <f>E252*D252</f>
        <v/>
      </c>
    </row>
    <row r="253">
      <c r="A253" s="40" t="n"/>
      <c r="B253" s="299" t="inlineStr">
        <is>
          <t>100mm DICL FL Pipe @ 600</t>
        </is>
      </c>
      <c r="C253" s="40">
        <f>'Material Rates_Master'!B79</f>
        <v/>
      </c>
      <c r="D253" s="484" t="n"/>
      <c r="E253" s="583">
        <f>'Material Rates_Master'!D79</f>
        <v/>
      </c>
      <c r="F253" s="583">
        <f>E253*D253</f>
        <v/>
      </c>
    </row>
    <row r="254">
      <c r="A254" s="40" t="n"/>
      <c r="B254" s="299" t="inlineStr">
        <is>
          <t>100mm DICL FL Pipe @ 450</t>
        </is>
      </c>
      <c r="C254" s="40">
        <f>'Material Rates_Master'!B80</f>
        <v/>
      </c>
      <c r="D254" s="484" t="n"/>
      <c r="E254" s="583">
        <f>'Material Rates_Master'!D80</f>
        <v/>
      </c>
      <c r="F254" s="583">
        <f>E254*D254</f>
        <v/>
      </c>
    </row>
    <row r="255">
      <c r="A255" s="40" t="n"/>
      <c r="B255" s="299" t="inlineStr">
        <is>
          <t>100mm DICL FL Pipe @ 300</t>
        </is>
      </c>
      <c r="C255" s="40">
        <f>'Material Rates_Master'!B81</f>
        <v/>
      </c>
      <c r="D255" s="484" t="n"/>
      <c r="E255" s="583">
        <f>'Material Rates_Master'!D81</f>
        <v/>
      </c>
      <c r="F255" s="583">
        <f>E255*D255</f>
        <v/>
      </c>
    </row>
    <row r="256">
      <c r="A256" s="40" t="n"/>
      <c r="B256" s="299" t="inlineStr">
        <is>
          <t>150mm DICL FL Deadplate</t>
        </is>
      </c>
      <c r="C256" s="40">
        <f>'Material Rates_Master'!B82</f>
        <v/>
      </c>
      <c r="D256" s="484" t="n"/>
      <c r="E256" s="583">
        <f>'Material Rates_Master'!D82</f>
        <v/>
      </c>
      <c r="F256" s="583">
        <f>E256*D256</f>
        <v/>
      </c>
    </row>
    <row r="257">
      <c r="A257" s="40" t="n"/>
      <c r="B257" s="299" t="inlineStr">
        <is>
          <t xml:space="preserve">100mm DICL FL Deadplate </t>
        </is>
      </c>
      <c r="C257" s="40">
        <f>'Material Rates_Master'!B83</f>
        <v/>
      </c>
      <c r="D257" s="484" t="n"/>
      <c r="E257" s="583">
        <f>'Material Rates_Master'!D83</f>
        <v/>
      </c>
      <c r="F257" s="583">
        <f>E257*D257</f>
        <v/>
      </c>
    </row>
    <row r="258" ht="6.6" customHeight="1">
      <c r="A258" s="40" t="n"/>
      <c r="B258" s="299" t="n"/>
      <c r="C258" s="40">
        <f>'Material Rates_Master'!B84</f>
        <v/>
      </c>
      <c r="E258" s="583">
        <f>'Material Rates_Master'!D84</f>
        <v/>
      </c>
      <c r="F258" s="583">
        <f>E258*D258</f>
        <v/>
      </c>
    </row>
    <row r="259">
      <c r="A259" s="40" t="n"/>
      <c r="B259" s="299" t="inlineStr">
        <is>
          <t>200mm PE*DI Gasket Kit Complete</t>
        </is>
      </c>
      <c r="C259" s="40">
        <f>'Material Rates_Master'!B85</f>
        <v/>
      </c>
      <c r="D259" s="484" t="n"/>
      <c r="E259" s="583">
        <f>'Material Rates_Master'!D85</f>
        <v/>
      </c>
      <c r="F259" s="583">
        <f>E259*D259</f>
        <v/>
      </c>
    </row>
    <row r="260">
      <c r="A260" s="40" t="n"/>
      <c r="B260" s="299" t="inlineStr">
        <is>
          <t>200mm DI*DI Gasket Kit Complete</t>
        </is>
      </c>
      <c r="C260" s="40">
        <f>'Material Rates_Master'!B86</f>
        <v/>
      </c>
      <c r="D260" s="484" t="n"/>
      <c r="E260" s="583">
        <f>'Material Rates_Master'!D86</f>
        <v/>
      </c>
      <c r="F260" s="583">
        <f>E260*D260</f>
        <v/>
      </c>
    </row>
    <row r="261">
      <c r="A261" s="40" t="n"/>
      <c r="B261" s="299" t="inlineStr">
        <is>
          <t>150mm PE*DI Gasket Kit Complete</t>
        </is>
      </c>
      <c r="C261" s="40">
        <f>'Material Rates_Master'!B87</f>
        <v/>
      </c>
      <c r="D261" s="484" t="n"/>
      <c r="E261" s="583">
        <f>'Material Rates_Master'!D87</f>
        <v/>
      </c>
      <c r="F261" s="583">
        <f>E261*D261</f>
        <v/>
      </c>
    </row>
    <row r="262">
      <c r="A262" s="40" t="n"/>
      <c r="B262" s="299" t="inlineStr">
        <is>
          <t>150mm DI*DI Gasket Kit Complete</t>
        </is>
      </c>
      <c r="C262" s="40">
        <f>'Material Rates_Master'!B88</f>
        <v/>
      </c>
      <c r="D262" s="484" t="n"/>
      <c r="E262" s="583">
        <f>'Material Rates_Master'!D88</f>
        <v/>
      </c>
      <c r="F262" s="583">
        <f>E262*D262</f>
        <v/>
      </c>
    </row>
    <row r="263">
      <c r="A263" s="40" t="n"/>
      <c r="B263" s="299" t="inlineStr">
        <is>
          <t>100mm PE*DI Gasket Kit Complete</t>
        </is>
      </c>
      <c r="C263" s="40">
        <f>'Material Rates_Master'!B89</f>
        <v/>
      </c>
      <c r="D263" s="484" t="n"/>
      <c r="E263" s="583">
        <f>'Material Rates_Master'!D89</f>
        <v/>
      </c>
      <c r="F263" s="583">
        <f>E263*D263</f>
        <v/>
      </c>
    </row>
    <row r="264">
      <c r="A264" s="40" t="n"/>
      <c r="B264" s="299" t="inlineStr">
        <is>
          <t>100mm DI*DI Gasket Kit Complete</t>
        </is>
      </c>
      <c r="C264" s="40">
        <f>'Material Rates_Master'!B90</f>
        <v/>
      </c>
      <c r="D264" s="484" t="n"/>
      <c r="E264" s="583">
        <f>'Material Rates_Master'!D90</f>
        <v/>
      </c>
      <c r="F264" s="583">
        <f>E264*D264</f>
        <v/>
      </c>
    </row>
    <row r="265" ht="6.6" customHeight="1">
      <c r="A265" s="40" t="n"/>
      <c r="B265" s="299" t="n"/>
      <c r="C265" s="40">
        <f>'Material Rates_Master'!B91</f>
        <v/>
      </c>
      <c r="E265" s="583">
        <f>'Material Rates_Master'!D91</f>
        <v/>
      </c>
      <c r="F265" s="583">
        <f>E265*D265</f>
        <v/>
      </c>
    </row>
    <row r="266">
      <c r="A266" s="40" t="n"/>
      <c r="B266" s="299" t="inlineStr">
        <is>
          <t>150mm SS Gibault Adapter Coupling</t>
        </is>
      </c>
      <c r="C266" s="40">
        <f>'Material Rates_Master'!B92</f>
        <v/>
      </c>
      <c r="D266" s="484" t="n"/>
      <c r="E266" s="583">
        <f>'Material Rates_Master'!D92</f>
        <v/>
      </c>
      <c r="F266" s="583">
        <f>E266*D266</f>
        <v/>
      </c>
    </row>
    <row r="267">
      <c r="A267" s="40" t="n"/>
      <c r="B267" s="299" t="inlineStr">
        <is>
          <t>100mm SS Gibault Adapter Coupling</t>
        </is>
      </c>
      <c r="C267" s="40">
        <f>'Material Rates_Master'!B93</f>
        <v/>
      </c>
      <c r="D267" s="484" t="n"/>
      <c r="E267" s="583">
        <f>'Material Rates_Master'!D93</f>
        <v/>
      </c>
      <c r="F267" s="583">
        <f>E267*D267</f>
        <v/>
      </c>
    </row>
    <row r="268">
      <c r="A268" s="40" t="n"/>
      <c r="B268" s="299" t="inlineStr">
        <is>
          <t>180mm PE GRIPPER Adapter Coupling</t>
        </is>
      </c>
      <c r="C268" s="40">
        <f>'Material Rates_Master'!B94</f>
        <v/>
      </c>
      <c r="D268" s="484" t="n"/>
      <c r="E268" s="583">
        <f>'Material Rates_Master'!D94</f>
        <v/>
      </c>
      <c r="F268" s="583">
        <f>E268*D268</f>
        <v/>
      </c>
    </row>
    <row r="269">
      <c r="A269" s="40" t="n"/>
      <c r="B269" s="299" t="inlineStr">
        <is>
          <t>125mm PE GRIPPER Adapter Coupling</t>
        </is>
      </c>
      <c r="C269" s="40">
        <f>'Material Rates_Master'!B95</f>
        <v/>
      </c>
      <c r="D269" s="484" t="n"/>
      <c r="E269" s="583">
        <f>'Material Rates_Master'!D95</f>
        <v/>
      </c>
      <c r="F269" s="583">
        <f>E269*D269</f>
        <v/>
      </c>
    </row>
    <row r="270">
      <c r="A270" s="40" t="n"/>
      <c r="B270" s="299" t="inlineStr">
        <is>
          <t>180mm PE GRIPPER * 150FL Adapter Coupling</t>
        </is>
      </c>
      <c r="C270" s="40">
        <f>'Material Rates_Master'!B96</f>
        <v/>
      </c>
      <c r="D270" s="484" t="n"/>
      <c r="E270" s="583">
        <f>'Material Rates_Master'!D96</f>
        <v/>
      </c>
      <c r="F270" s="583">
        <f>E270*D270</f>
        <v/>
      </c>
    </row>
    <row r="271">
      <c r="A271" s="40" t="n"/>
      <c r="B271" s="299" t="inlineStr">
        <is>
          <t>125mm PE GRIPPER * 100FL Adapter Coupling</t>
        </is>
      </c>
      <c r="C271" s="40">
        <f>'Material Rates_Master'!B97</f>
        <v/>
      </c>
      <c r="D271" s="484" t="n"/>
      <c r="E271" s="583">
        <f>'Material Rates_Master'!D97</f>
        <v/>
      </c>
      <c r="F271" s="583">
        <f>E271*D271</f>
        <v/>
      </c>
    </row>
    <row r="272">
      <c r="A272" s="40" t="n"/>
      <c r="B272" s="299" t="inlineStr">
        <is>
          <t>180mm PE GRIPPER Sluice Valve</t>
        </is>
      </c>
      <c r="C272" s="40">
        <f>'Material Rates_Master'!B98</f>
        <v/>
      </c>
      <c r="D272" s="484" t="n"/>
      <c r="E272" s="583">
        <f>'Material Rates_Master'!D98</f>
        <v/>
      </c>
      <c r="F272" s="583">
        <f>E272*D272</f>
        <v/>
      </c>
    </row>
    <row r="273">
      <c r="A273" s="40" t="n"/>
      <c r="B273" s="299" t="inlineStr">
        <is>
          <t>125mm PE GRIPPER Sluice Valve</t>
        </is>
      </c>
      <c r="C273" s="40">
        <f>'Material Rates_Master'!B99</f>
        <v/>
      </c>
      <c r="D273" s="484" t="n"/>
      <c r="E273" s="583">
        <f>'Material Rates_Master'!D99</f>
        <v/>
      </c>
      <c r="F273" s="583">
        <f>E273*D273</f>
        <v/>
      </c>
    </row>
    <row r="274" ht="6.6" customHeight="1">
      <c r="A274" s="40" t="n"/>
      <c r="B274" s="299" t="n"/>
      <c r="C274" s="40">
        <f>'Material Rates_Master'!B100</f>
        <v/>
      </c>
      <c r="E274" s="583">
        <f>'Material Rates_Master'!D100</f>
        <v/>
      </c>
      <c r="F274" s="583">
        <f>E274*D274</f>
        <v/>
      </c>
    </row>
    <row r="275">
      <c r="A275" s="40" t="n"/>
      <c r="B275" s="299" t="inlineStr">
        <is>
          <t>Detectable Tape - Fire x 250m</t>
        </is>
      </c>
      <c r="C275" s="40">
        <f>'Material Rates_Master'!B101</f>
        <v/>
      </c>
      <c r="D275" s="484" t="n"/>
      <c r="E275" s="583">
        <f>'Material Rates_Master'!D101</f>
        <v/>
      </c>
      <c r="F275" s="583">
        <f>E275*D275</f>
        <v/>
      </c>
    </row>
    <row r="276">
      <c r="A276" s="40" t="n"/>
      <c r="B276" s="299" t="inlineStr">
        <is>
          <t>Alcohol Weld Wipes</t>
        </is>
      </c>
      <c r="C276" s="40">
        <f>'Material Rates_Master'!B102</f>
        <v/>
      </c>
      <c r="D276" s="484" t="n"/>
      <c r="E276" s="583">
        <f>'Material Rates_Master'!D102</f>
        <v/>
      </c>
      <c r="F276" s="583">
        <f>E276*D276</f>
        <v/>
      </c>
    </row>
    <row r="277">
      <c r="A277" s="40" t="n"/>
      <c r="B277" s="299" t="inlineStr">
        <is>
          <t>Denzo Tape 100mm roll</t>
        </is>
      </c>
      <c r="C277" s="40">
        <f>'Material Rates_Master'!B103</f>
        <v/>
      </c>
      <c r="D277" s="484" t="n"/>
      <c r="E277" s="583">
        <f>'Material Rates_Master'!D103</f>
        <v/>
      </c>
      <c r="F277" s="583">
        <f>E277*D277</f>
        <v/>
      </c>
    </row>
    <row r="278">
      <c r="A278" s="40" t="n"/>
      <c r="B278" s="299" t="inlineStr">
        <is>
          <t>Black over-wrap tape - roll</t>
        </is>
      </c>
      <c r="C278" s="40">
        <f>'Material Rates_Master'!B104</f>
        <v/>
      </c>
      <c r="D278" s="484" t="n"/>
      <c r="E278" s="583">
        <f>'Material Rates_Master'!D104</f>
        <v/>
      </c>
      <c r="F278" s="583">
        <f>E278*D278</f>
        <v/>
      </c>
    </row>
    <row r="279">
      <c r="A279" s="40" t="n"/>
      <c r="B279" s="299" t="n"/>
      <c r="E279" s="583" t="n"/>
      <c r="F279" s="583">
        <f>E279*D279</f>
        <v/>
      </c>
    </row>
    <row r="280">
      <c r="A280" s="40" t="n"/>
      <c r="B280" s="331" t="inlineStr">
        <is>
          <t>FIRE SERVICES - ABOVE GROUND</t>
        </is>
      </c>
      <c r="E280" s="583" t="n"/>
      <c r="F280" s="583">
        <f>E280*D280</f>
        <v/>
      </c>
    </row>
    <row r="281">
      <c r="A281" s="40" t="n"/>
      <c r="B281" s="300" t="inlineStr">
        <is>
          <t>Description</t>
        </is>
      </c>
      <c r="C281" s="40">
        <f>'Material Rates_Master'!B107</f>
        <v/>
      </c>
      <c r="E281" s="583" t="n"/>
      <c r="F281" s="583" t="n"/>
    </row>
    <row r="282">
      <c r="A282" s="40" t="n"/>
      <c r="B282" s="299" t="inlineStr">
        <is>
          <t>150mm MED DUTY Galv Pipe</t>
        </is>
      </c>
      <c r="C282" s="40">
        <f>'Material Rates_Master'!B108</f>
        <v/>
      </c>
      <c r="D282" s="37" t="n"/>
      <c r="E282" s="583">
        <f>'Material Rates_Master'!D108</f>
        <v/>
      </c>
      <c r="F282" s="583">
        <f>E282*D282</f>
        <v/>
      </c>
    </row>
    <row r="283">
      <c r="A283" s="40" t="n"/>
      <c r="B283" s="299" t="inlineStr">
        <is>
          <t>100mm MED DUTY Galv Pipe w/RG Ends</t>
        </is>
      </c>
      <c r="C283" s="40">
        <f>'Material Rates_Master'!B109</f>
        <v/>
      </c>
      <c r="D283" s="37" t="n"/>
      <c r="E283" s="583">
        <f>'Material Rates_Master'!D109</f>
        <v/>
      </c>
      <c r="F283" s="583">
        <f>E283*D283</f>
        <v/>
      </c>
    </row>
    <row r="284">
      <c r="A284" s="40" t="n"/>
      <c r="B284" s="299" t="inlineStr">
        <is>
          <t>100mm Class B Copper Pipe</t>
        </is>
      </c>
      <c r="C284" s="40">
        <f>'Material Rates_Master'!B110</f>
        <v/>
      </c>
      <c r="D284" s="37" t="n"/>
      <c r="E284" s="583">
        <f>'Material Rates_Master'!D110</f>
        <v/>
      </c>
      <c r="F284" s="583">
        <f>E284*D284</f>
        <v/>
      </c>
    </row>
    <row r="285">
      <c r="A285" s="40" t="n"/>
      <c r="B285" s="299" t="inlineStr">
        <is>
          <t>25mm Class B Copper Pipe</t>
        </is>
      </c>
      <c r="C285" s="40">
        <f>'Material Rates_Master'!B111</f>
        <v/>
      </c>
      <c r="D285" s="37" t="n"/>
      <c r="E285" s="583">
        <f>'Material Rates_Master'!D111</f>
        <v/>
      </c>
      <c r="F285" s="583">
        <f>E285*D285</f>
        <v/>
      </c>
    </row>
    <row r="286" ht="8.25" customHeight="1">
      <c r="A286" s="40" t="n"/>
      <c r="B286" s="299" t="n"/>
      <c r="C286" s="40">
        <f>'Material Rates_Master'!B112</f>
        <v/>
      </c>
      <c r="D286" s="37" t="n"/>
      <c r="E286" s="583">
        <f>'Material Rates_Master'!D112</f>
        <v/>
      </c>
      <c r="F286" s="583">
        <f>E286*D286</f>
        <v/>
      </c>
    </row>
    <row r="287">
      <c r="A287" s="40" t="n"/>
      <c r="B287" s="299" t="inlineStr">
        <is>
          <t>150mm Galv RG Coupling</t>
        </is>
      </c>
      <c r="C287" s="40">
        <f>'Material Rates_Master'!B113</f>
        <v/>
      </c>
      <c r="D287" s="37" t="n"/>
      <c r="E287" s="583">
        <f>'Material Rates_Master'!D113</f>
        <v/>
      </c>
      <c r="F287" s="583">
        <f>E287*D287</f>
        <v/>
      </c>
    </row>
    <row r="288">
      <c r="A288" s="40" t="n"/>
      <c r="B288" s="299" t="inlineStr">
        <is>
          <t>100mm Galv RG Coupling</t>
        </is>
      </c>
      <c r="C288" s="40">
        <f>'Material Rates_Master'!B114</f>
        <v/>
      </c>
      <c r="D288" s="37" t="n"/>
      <c r="E288" s="583">
        <f>'Material Rates_Master'!D114</f>
        <v/>
      </c>
      <c r="F288" s="583">
        <f>E288*D288</f>
        <v/>
      </c>
    </row>
    <row r="289">
      <c r="A289" s="40" t="n"/>
      <c r="B289" s="299" t="inlineStr">
        <is>
          <t>150mm Galv RG TEE</t>
        </is>
      </c>
      <c r="C289" s="40">
        <f>'Material Rates_Master'!B115</f>
        <v/>
      </c>
      <c r="D289" s="37" t="n"/>
      <c r="E289" s="583">
        <f>'Material Rates_Master'!D115</f>
        <v/>
      </c>
      <c r="F289" s="583">
        <f>E289*D289</f>
        <v/>
      </c>
    </row>
    <row r="290">
      <c r="A290" s="40" t="n"/>
      <c r="B290" s="299" t="inlineStr">
        <is>
          <t>100mm Galv RG TEE</t>
        </is>
      </c>
      <c r="C290" s="40">
        <f>'Material Rates_Master'!B116</f>
        <v/>
      </c>
      <c r="D290" s="37" t="n"/>
      <c r="E290" s="583">
        <f>'Material Rates_Master'!D116</f>
        <v/>
      </c>
      <c r="F290" s="583">
        <f>E290*D290</f>
        <v/>
      </c>
    </row>
    <row r="291">
      <c r="A291" s="40" t="n"/>
      <c r="B291" s="299" t="inlineStr">
        <is>
          <t>150mm Galv RG BEND 90Deg</t>
        </is>
      </c>
      <c r="C291" s="40">
        <f>'Material Rates_Master'!B117</f>
        <v/>
      </c>
      <c r="D291" s="37" t="n"/>
      <c r="E291" s="583">
        <f>'Material Rates_Master'!D117</f>
        <v/>
      </c>
      <c r="F291" s="583">
        <f>E291*D291</f>
        <v/>
      </c>
    </row>
    <row r="292">
      <c r="A292" s="40" t="n"/>
      <c r="B292" s="299" t="inlineStr">
        <is>
          <t>100mm Galv RG BEND 90Deg</t>
        </is>
      </c>
      <c r="C292" s="40">
        <f>'Material Rates_Master'!B118</f>
        <v/>
      </c>
      <c r="D292" s="37" t="n"/>
      <c r="E292" s="583">
        <f>'Material Rates_Master'!D118</f>
        <v/>
      </c>
      <c r="F292" s="583">
        <f>E292*D292</f>
        <v/>
      </c>
    </row>
    <row r="293">
      <c r="A293" s="40" t="n"/>
      <c r="B293" s="299" t="inlineStr">
        <is>
          <t>150mm Galv RG BEND 45Deg</t>
        </is>
      </c>
      <c r="C293" s="40">
        <f>'Material Rates_Master'!B119</f>
        <v/>
      </c>
      <c r="D293" s="37" t="n"/>
      <c r="E293" s="583">
        <f>'Material Rates_Master'!D119</f>
        <v/>
      </c>
      <c r="F293" s="583">
        <f>E293*D293</f>
        <v/>
      </c>
    </row>
    <row r="294">
      <c r="A294" s="40" t="n"/>
      <c r="B294" s="299" t="inlineStr">
        <is>
          <t>100mm Galv RG BEND 45Deg</t>
        </is>
      </c>
      <c r="C294" s="40">
        <f>'Material Rates_Master'!B120</f>
        <v/>
      </c>
      <c r="D294" s="37" t="n"/>
      <c r="E294" s="583">
        <f>'Material Rates_Master'!D120</f>
        <v/>
      </c>
      <c r="F294" s="583">
        <f>E294*D294</f>
        <v/>
      </c>
    </row>
    <row r="295">
      <c r="A295" s="40" t="n"/>
      <c r="B295" s="299" t="inlineStr">
        <is>
          <t>150mm Galv RG x 100mm FLANGE Adapt</t>
        </is>
      </c>
      <c r="C295" s="40">
        <f>'Material Rates_Master'!B121</f>
        <v/>
      </c>
      <c r="D295" s="37" t="n"/>
      <c r="E295" s="583">
        <f>'Material Rates_Master'!D121</f>
        <v/>
      </c>
      <c r="F295" s="583">
        <f>E295*D295</f>
        <v/>
      </c>
    </row>
    <row r="296">
      <c r="A296" s="40" t="n"/>
      <c r="B296" s="299" t="inlineStr">
        <is>
          <t>100mm Galv RG x 100mm FLANGE Adapt</t>
        </is>
      </c>
      <c r="C296" s="40">
        <f>'Material Rates_Master'!B122</f>
        <v/>
      </c>
      <c r="D296" s="37" t="n"/>
      <c r="E296" s="583">
        <f>'Material Rates_Master'!D122</f>
        <v/>
      </c>
      <c r="F296" s="583">
        <f>E296*D296</f>
        <v/>
      </c>
    </row>
    <row r="297">
      <c r="A297" s="40" t="n"/>
      <c r="B297" s="299" t="inlineStr">
        <is>
          <t>150mm RG Butterfly Valve Geared Wheel</t>
        </is>
      </c>
      <c r="C297" s="40">
        <f>'Material Rates_Master'!B123</f>
        <v/>
      </c>
      <c r="D297" s="37" t="n"/>
      <c r="E297" s="583">
        <f>'Material Rates_Master'!D123</f>
        <v/>
      </c>
      <c r="F297" s="583">
        <f>E297*D297</f>
        <v/>
      </c>
    </row>
    <row r="298">
      <c r="A298" s="40" t="n"/>
      <c r="B298" s="299" t="inlineStr">
        <is>
          <t>100mm RG Butterfly Valve Geared Wheel</t>
        </is>
      </c>
      <c r="C298" s="40">
        <f>'Material Rates_Master'!B124</f>
        <v/>
      </c>
      <c r="D298" s="37" t="n"/>
      <c r="E298" s="583">
        <f>'Material Rates_Master'!D124</f>
        <v/>
      </c>
      <c r="F298" s="583">
        <f>E298*D298</f>
        <v/>
      </c>
    </row>
    <row r="299" ht="5.55" customHeight="1">
      <c r="A299" s="40" t="n"/>
      <c r="B299" s="299" t="n"/>
      <c r="C299" s="40">
        <f>'Material Rates_Master'!B125</f>
        <v/>
      </c>
      <c r="D299" s="37" t="n"/>
      <c r="E299" s="583">
        <f>'Material Rates_Master'!D125</f>
        <v/>
      </c>
      <c r="F299" s="583">
        <f>E299*D299</f>
        <v/>
      </c>
    </row>
    <row r="300">
      <c r="A300" s="40" t="n"/>
      <c r="B300" s="299" t="inlineStr">
        <is>
          <t>150mm H-Pattern Booster Assembly Complete</t>
        </is>
      </c>
      <c r="C300" s="40">
        <f>'Material Rates_Master'!B126</f>
        <v/>
      </c>
      <c r="D300" s="37" t="n"/>
      <c r="E300" s="583">
        <f>'Material Rates_Master'!D126</f>
        <v/>
      </c>
      <c r="F300" s="583">
        <f>E300*D300</f>
        <v/>
      </c>
    </row>
    <row r="301">
      <c r="A301" s="40" t="n"/>
      <c r="B301" s="299" t="inlineStr">
        <is>
          <t>Booster Cabinet - Compl with doors and stickers</t>
        </is>
      </c>
      <c r="C301" s="40">
        <f>'Material Rates_Master'!B127</f>
        <v/>
      </c>
      <c r="D301" s="37" t="n"/>
      <c r="E301" s="583">
        <f>'Material Rates_Master'!D127</f>
        <v/>
      </c>
      <c r="F301" s="583">
        <f>E301*D301</f>
        <v/>
      </c>
    </row>
    <row r="302" ht="6.6" customHeight="1">
      <c r="A302" s="40" t="n"/>
      <c r="B302" s="299" t="n"/>
      <c r="C302" s="40">
        <f>'Material Rates_Master'!B128</f>
        <v/>
      </c>
      <c r="D302" s="37" t="n"/>
      <c r="E302" s="583">
        <f>'Material Rates_Master'!D128</f>
        <v/>
      </c>
      <c r="F302" s="583">
        <f>E302*D302</f>
        <v/>
      </c>
    </row>
    <row r="303">
      <c r="A303" s="40" t="n"/>
      <c r="B303" s="299" t="inlineStr">
        <is>
          <t>100mm Dual Pillar Hydrant Complete_ Flanged Base 1500 High w/landing Valves</t>
        </is>
      </c>
      <c r="C303" s="40">
        <f>'Material Rates_Master'!B129</f>
        <v/>
      </c>
      <c r="D303" s="484" t="n"/>
      <c r="E303" s="583">
        <f>'Material Rates_Master'!D129</f>
        <v/>
      </c>
      <c r="F303" s="583">
        <f>E303*D303</f>
        <v/>
      </c>
    </row>
    <row r="304">
      <c r="A304" s="40" t="n"/>
      <c r="B304" s="299" t="inlineStr">
        <is>
          <t>100mm Dual Pillar Hydrant Complete_ RG Base 1500 High w/landing Valves_OPTION</t>
        </is>
      </c>
      <c r="C304" s="40">
        <f>'Material Rates_Master'!B130</f>
        <v/>
      </c>
      <c r="D304" s="484" t="n"/>
      <c r="E304" s="583">
        <f>'Material Rates_Master'!D130</f>
        <v/>
      </c>
      <c r="F304" s="583">
        <f>E304*D304</f>
        <v/>
      </c>
    </row>
    <row r="305">
      <c r="A305" s="40" t="n"/>
      <c r="B305" s="299" t="inlineStr">
        <is>
          <t xml:space="preserve">65mm RG Landing Valve </t>
        </is>
      </c>
      <c r="C305" s="40">
        <f>'Material Rates_Master'!B131</f>
        <v/>
      </c>
      <c r="D305" s="484" t="n"/>
      <c r="E305" s="583">
        <f>'Material Rates_Master'!D131</f>
        <v/>
      </c>
      <c r="F305" s="583">
        <f>E305*D305</f>
        <v/>
      </c>
    </row>
    <row r="306">
      <c r="A306" s="40" t="n"/>
      <c r="B306" s="299" t="inlineStr">
        <is>
          <t>Red caps and chain - suit 65mm QLD Landing valve</t>
        </is>
      </c>
      <c r="C306" s="40">
        <f>'Material Rates_Master'!B132</f>
        <v/>
      </c>
      <c r="D306" s="484" t="n"/>
      <c r="E306" s="583">
        <f>'Material Rates_Master'!D132</f>
        <v/>
      </c>
      <c r="F306" s="583">
        <f>E306*D306</f>
        <v/>
      </c>
    </row>
    <row r="307">
      <c r="A307" s="40" t="n"/>
      <c r="B307" s="299" t="inlineStr">
        <is>
          <t>36m Fire Hose Reel w/25mm isolation valve</t>
        </is>
      </c>
      <c r="C307" s="40">
        <f>'Material Rates_Master'!B133</f>
        <v/>
      </c>
      <c r="D307" s="484" t="n">
        <v>1</v>
      </c>
      <c r="E307" s="583">
        <f>'Material Rates_Master'!D133</f>
        <v/>
      </c>
      <c r="F307" s="583">
        <f>E307*D307</f>
        <v/>
      </c>
    </row>
    <row r="308">
      <c r="A308" s="40" t="n"/>
      <c r="B308" s="299" t="inlineStr">
        <is>
          <t>FB fire blanket 1.2x1.8 (kitchen)</t>
        </is>
      </c>
      <c r="C308" s="40" t="inlineStr">
        <is>
          <t>ea</t>
        </is>
      </c>
      <c r="D308" s="484" t="n">
        <v>1</v>
      </c>
      <c r="E308" s="583" t="n">
        <v>60</v>
      </c>
      <c r="F308" s="583">
        <f>E308*D308</f>
        <v/>
      </c>
      <c r="H308" s="540" t="inlineStr">
        <is>
          <t>Matrix 4.11-d: FHR x1 + FB x1 priced; FE x8 = EBC (CL B8)</t>
        </is>
      </c>
    </row>
    <row r="309" ht="6.6" customHeight="1">
      <c r="A309" s="40" t="n"/>
      <c r="B309" s="299" t="inlineStr">
        <is>
          <t>AS1851 12-month fire services maintenance &amp; tagging (FHR/FB/booster/hydrant) incl FIFO attendance share</t>
        </is>
      </c>
      <c r="C309" s="40" t="inlineStr">
        <is>
          <t>item</t>
        </is>
      </c>
      <c r="D309" s="37" t="n">
        <v>1</v>
      </c>
      <c r="E309" s="583" t="n">
        <v>2500</v>
      </c>
      <c r="F309" s="583">
        <f>E309*D309</f>
        <v/>
      </c>
      <c r="H309" s="540" t="inlineStr">
        <is>
          <t>VOL38 12-month maintenance obligation - allowance incl 6-monthly service visits piggybacked on attendance</t>
        </is>
      </c>
    </row>
    <row r="310">
      <c r="A310" s="40" t="n"/>
      <c r="B310" s="299" t="inlineStr">
        <is>
          <t>150mm FL Testable Double Check Valve - Compl. w/Valves</t>
        </is>
      </c>
      <c r="C310" s="40">
        <f>'Material Rates_Master'!B136</f>
        <v/>
      </c>
      <c r="D310" s="37" t="n"/>
      <c r="E310" s="583">
        <f>'Material Rates_Master'!D136</f>
        <v/>
      </c>
      <c r="F310" s="583">
        <f>E310*D310</f>
        <v/>
      </c>
    </row>
    <row r="311">
      <c r="A311" s="40" t="n"/>
      <c r="B311" s="299" t="inlineStr">
        <is>
          <t>150mm FL RPZD Valve - Compl. w/Valves</t>
        </is>
      </c>
      <c r="C311" s="40">
        <f>'Material Rates_Master'!B137</f>
        <v/>
      </c>
      <c r="D311" s="37" t="n"/>
      <c r="E311" s="583">
        <f>'Material Rates_Master'!D137</f>
        <v/>
      </c>
      <c r="F311" s="583">
        <f>E311*D311</f>
        <v/>
      </c>
    </row>
    <row r="312" ht="7.2" customHeight="1">
      <c r="A312" s="40" t="n"/>
      <c r="B312" s="299" t="n"/>
      <c r="C312" s="40">
        <f>'Material Rates_Master'!B138</f>
        <v/>
      </c>
      <c r="D312" s="37" t="n"/>
      <c r="E312" s="583">
        <f>'Material Rates_Master'!D138</f>
        <v/>
      </c>
      <c r="F312" s="583">
        <f>E312*D312</f>
        <v/>
      </c>
    </row>
    <row r="313">
      <c r="A313" s="40" t="n"/>
      <c r="B313" s="299" t="inlineStr">
        <is>
          <t>100mm FL Levered Butterfly Vlave</t>
        </is>
      </c>
      <c r="C313" s="40">
        <f>'Material Rates_Master'!B139</f>
        <v/>
      </c>
      <c r="D313" s="37" t="n"/>
      <c r="E313" s="583">
        <f>'Material Rates_Master'!D139</f>
        <v/>
      </c>
      <c r="F313" s="583">
        <f>E313*D313</f>
        <v/>
      </c>
    </row>
    <row r="314">
      <c r="A314" s="40" t="n"/>
      <c r="B314" s="299" t="inlineStr">
        <is>
          <t>100mm Copper Crimp - TEE</t>
        </is>
      </c>
      <c r="C314" s="40">
        <f>'Material Rates_Master'!B140</f>
        <v/>
      </c>
      <c r="D314" s="37" t="n"/>
      <c r="E314" s="583">
        <f>'Material Rates_Master'!D140</f>
        <v/>
      </c>
      <c r="F314" s="583">
        <f>E314*D314</f>
        <v/>
      </c>
    </row>
    <row r="315">
      <c r="A315" s="40" t="n"/>
      <c r="B315" s="299" t="inlineStr">
        <is>
          <t>100mm Copper Crimp - 90Deg Bend</t>
        </is>
      </c>
      <c r="C315" s="40">
        <f>'Material Rates_Master'!B141</f>
        <v/>
      </c>
      <c r="D315" s="37" t="n"/>
      <c r="E315" s="583">
        <f>'Material Rates_Master'!D141</f>
        <v/>
      </c>
      <c r="F315" s="583">
        <f>E315*D315</f>
        <v/>
      </c>
    </row>
    <row r="316">
      <c r="A316" s="40" t="n"/>
      <c r="B316" s="299" t="inlineStr">
        <is>
          <t>100mm Copper Crimp - 45Deg Bend</t>
        </is>
      </c>
      <c r="C316" s="40">
        <f>'Material Rates_Master'!B142</f>
        <v/>
      </c>
      <c r="D316" s="37" t="n"/>
      <c r="E316" s="583">
        <f>'Material Rates_Master'!D142</f>
        <v/>
      </c>
      <c r="F316" s="583">
        <f>E316*D316</f>
        <v/>
      </c>
    </row>
    <row r="317">
      <c r="A317" s="40" t="n"/>
      <c r="B317" s="299" t="inlineStr">
        <is>
          <t>100mm Copper Crimp - Straight Socket</t>
        </is>
      </c>
      <c r="C317" s="40">
        <f>'Material Rates_Master'!B143</f>
        <v/>
      </c>
      <c r="D317" s="37" t="n"/>
      <c r="E317" s="583">
        <f>'Material Rates_Master'!D143</f>
        <v/>
      </c>
      <c r="F317" s="583">
        <f>E317*D317</f>
        <v/>
      </c>
    </row>
    <row r="318">
      <c r="A318" s="40" t="n"/>
      <c r="B318" s="299" t="inlineStr">
        <is>
          <t>100mm Copper Crimp - 100mm FL Adapter</t>
        </is>
      </c>
      <c r="C318" s="40">
        <f>'Material Rates_Master'!B144</f>
        <v/>
      </c>
      <c r="D318" s="37" t="n"/>
      <c r="E318" s="583">
        <f>'Material Rates_Master'!D144</f>
        <v/>
      </c>
      <c r="F318" s="583">
        <f>E318*D318</f>
        <v/>
      </c>
    </row>
    <row r="319">
      <c r="A319" s="40" t="n"/>
      <c r="B319" s="299" t="inlineStr">
        <is>
          <t>80mm Copper Crimp - TEE</t>
        </is>
      </c>
      <c r="C319" s="40">
        <f>'Material Rates_Master'!B145</f>
        <v/>
      </c>
      <c r="D319" s="37" t="n"/>
      <c r="E319" s="583">
        <f>'Material Rates_Master'!D145</f>
        <v/>
      </c>
      <c r="F319" s="583">
        <f>E319*D319</f>
        <v/>
      </c>
    </row>
    <row r="320">
      <c r="A320" s="40" t="n"/>
      <c r="B320" s="299" t="inlineStr">
        <is>
          <t>100mm*80mm Copper Crimp - REDUCER</t>
        </is>
      </c>
      <c r="C320" s="40">
        <f>'Material Rates_Master'!B146</f>
        <v/>
      </c>
      <c r="D320" s="37" t="n"/>
      <c r="E320" s="583">
        <f>'Material Rates_Master'!D146</f>
        <v/>
      </c>
      <c r="F320" s="583">
        <f>E320*D320</f>
        <v/>
      </c>
    </row>
    <row r="321" ht="7.2" customHeight="1">
      <c r="A321" s="40" t="n"/>
      <c r="B321" s="299" t="n"/>
      <c r="C321" s="40">
        <f>'Material Rates_Master'!B147</f>
        <v/>
      </c>
      <c r="D321" s="484" t="n"/>
      <c r="E321" s="583">
        <f>'Material Rates_Master'!D147</f>
        <v/>
      </c>
      <c r="F321" s="583">
        <f>E321*D321</f>
        <v/>
      </c>
    </row>
    <row r="322" ht="12.75" customHeight="1">
      <c r="A322" s="40" t="n"/>
      <c r="B322" s="299" t="inlineStr">
        <is>
          <t xml:space="preserve">50mm Cu Tube Type B </t>
        </is>
      </c>
      <c r="C322" s="40" t="inlineStr">
        <is>
          <t>m</t>
        </is>
      </c>
      <c r="D322" s="484" t="n"/>
      <c r="E322" s="583">
        <f>278.5/6</f>
        <v/>
      </c>
      <c r="F322" s="583">
        <f>E322*D322</f>
        <v/>
      </c>
    </row>
    <row r="323" ht="12.75" customHeight="1">
      <c r="A323" s="40" t="n"/>
      <c r="B323" s="299" t="inlineStr">
        <is>
          <t>Elbow 90 Deg 50mm Water Kembla Kempress</t>
        </is>
      </c>
      <c r="C323" s="40" t="inlineStr">
        <is>
          <t>ea</t>
        </is>
      </c>
      <c r="D323" s="484" t="n"/>
      <c r="E323" s="583" t="n">
        <v>45.02</v>
      </c>
      <c r="F323" s="583">
        <f>E323*D323</f>
        <v/>
      </c>
    </row>
    <row r="324" ht="12.75" customHeight="1">
      <c r="A324" s="40" t="n"/>
      <c r="B324" s="299" t="inlineStr">
        <is>
          <t>Equal Tee 50mm Water Kembla Kempress</t>
        </is>
      </c>
      <c r="C324" s="40" t="inlineStr">
        <is>
          <t>ea</t>
        </is>
      </c>
      <c r="D324" s="484" t="n"/>
      <c r="E324" s="583" t="n">
        <v>56.35</v>
      </c>
      <c r="F324" s="583">
        <f>E324*D324</f>
        <v/>
      </c>
    </row>
    <row r="325" ht="12.75" customHeight="1">
      <c r="A325" s="40" t="n"/>
      <c r="B325" s="299" t="inlineStr">
        <is>
          <t xml:space="preserve">Reducer 50mm 25mm Water CU </t>
        </is>
      </c>
      <c r="C325" s="40" t="inlineStr">
        <is>
          <t>ea</t>
        </is>
      </c>
      <c r="D325" s="484" t="n"/>
      <c r="E325" s="583" t="n">
        <v>34.92</v>
      </c>
      <c r="F325" s="583">
        <f>E325*D325</f>
        <v/>
      </c>
    </row>
    <row r="326">
      <c r="A326" s="40" t="n"/>
      <c r="B326" s="299" t="inlineStr">
        <is>
          <t>32mm Fi Lockable Ball Valve</t>
        </is>
      </c>
      <c r="C326" s="40">
        <f>'Material Rates_Master'!B148</f>
        <v/>
      </c>
      <c r="D326" s="484" t="n"/>
      <c r="E326" s="583">
        <f>'Material Rates_Master'!D148</f>
        <v/>
      </c>
      <c r="F326" s="583">
        <f>E326*D326</f>
        <v/>
      </c>
    </row>
    <row r="327">
      <c r="A327" s="40" t="n"/>
      <c r="B327" s="299" t="inlineStr">
        <is>
          <t>32mm Cu Crimp * 32mi Adapt</t>
        </is>
      </c>
      <c r="C327" s="40">
        <f>'Material Rates_Master'!B149</f>
        <v/>
      </c>
      <c r="D327" s="484" t="n"/>
      <c r="E327" s="583">
        <f>'Material Rates_Master'!D149</f>
        <v/>
      </c>
      <c r="F327" s="583">
        <f>E327*D327</f>
        <v/>
      </c>
    </row>
    <row r="328">
      <c r="A328" s="40" t="n"/>
      <c r="B328" s="299" t="inlineStr">
        <is>
          <t>32mm Cu Crimp Coupling Straight</t>
        </is>
      </c>
      <c r="C328" s="40">
        <f>'Material Rates_Master'!B150</f>
        <v/>
      </c>
      <c r="D328" s="484" t="n"/>
      <c r="E328" s="583">
        <f>'Material Rates_Master'!D150</f>
        <v/>
      </c>
      <c r="F328" s="583">
        <f>E328*D328</f>
        <v/>
      </c>
    </row>
    <row r="329">
      <c r="A329" s="40" t="n"/>
      <c r="B329" s="299" t="inlineStr">
        <is>
          <t>32mm Cu Crimp 90Deg Bend</t>
        </is>
      </c>
      <c r="C329" s="40">
        <f>'Material Rates_Master'!B151</f>
        <v/>
      </c>
      <c r="D329" s="484" t="n"/>
      <c r="E329" s="583">
        <f>'Material Rates_Master'!D151</f>
        <v/>
      </c>
      <c r="F329" s="583">
        <f>E329*D329</f>
        <v/>
      </c>
    </row>
    <row r="330">
      <c r="A330" s="40" t="n"/>
      <c r="B330" s="299" t="inlineStr">
        <is>
          <t>32mm Cu Crimp 45Deg Bend</t>
        </is>
      </c>
      <c r="C330" s="40">
        <f>'Material Rates_Master'!B152</f>
        <v/>
      </c>
      <c r="D330" s="484" t="n"/>
      <c r="E330" s="583">
        <f>'Material Rates_Master'!D152</f>
        <v/>
      </c>
      <c r="F330" s="583">
        <f>E330*D330</f>
        <v/>
      </c>
    </row>
    <row r="331">
      <c r="A331" s="40" t="n"/>
      <c r="B331" s="299" t="inlineStr">
        <is>
          <t xml:space="preserve">25mm Cu Tube Type B </t>
        </is>
      </c>
      <c r="C331" s="40" t="inlineStr">
        <is>
          <t>ea</t>
        </is>
      </c>
      <c r="D331" s="484" t="n"/>
      <c r="E331" s="583">
        <f>128.5/6</f>
        <v/>
      </c>
      <c r="F331" s="583">
        <f>E331*D331</f>
        <v/>
      </c>
    </row>
    <row r="332">
      <c r="A332" s="40" t="n"/>
      <c r="B332" s="299" t="inlineStr">
        <is>
          <t>32mm*25mm Cu Crimp Reducer</t>
        </is>
      </c>
      <c r="C332" s="40">
        <f>'Material Rates_Master'!B153</f>
        <v/>
      </c>
      <c r="D332" s="484" t="n"/>
      <c r="E332" s="583">
        <f>'Material Rates_Master'!D153</f>
        <v/>
      </c>
      <c r="F332" s="583">
        <f>E332*D332</f>
        <v/>
      </c>
    </row>
    <row r="333">
      <c r="A333" s="40" t="n"/>
      <c r="B333" s="299" t="inlineStr">
        <is>
          <t>25mm Fi Lockable Ball Valve</t>
        </is>
      </c>
      <c r="C333" s="40">
        <f>'Material Rates_Master'!B154</f>
        <v/>
      </c>
      <c r="D333" s="484" t="n"/>
      <c r="E333" s="583">
        <f>'Material Rates_Master'!D154</f>
        <v/>
      </c>
      <c r="F333" s="583">
        <f>E333*D333</f>
        <v/>
      </c>
    </row>
    <row r="334">
      <c r="A334" s="40" t="n"/>
      <c r="B334" s="299" t="inlineStr">
        <is>
          <t>25mm Cu Crimp * 25mi Adapt</t>
        </is>
      </c>
      <c r="C334" s="40">
        <f>'Material Rates_Master'!B155</f>
        <v/>
      </c>
      <c r="D334" s="484" t="n"/>
      <c r="E334" s="583">
        <f>'Material Rates_Master'!D155</f>
        <v/>
      </c>
      <c r="F334" s="583">
        <f>E334*D334</f>
        <v/>
      </c>
    </row>
    <row r="335">
      <c r="A335" s="40" t="n"/>
      <c r="B335" s="299" t="inlineStr">
        <is>
          <t>25mm Cu Crimp Coupling Straight</t>
        </is>
      </c>
      <c r="C335" s="40">
        <f>'Material Rates_Master'!B156</f>
        <v/>
      </c>
      <c r="D335" s="484" t="n"/>
      <c r="E335" s="583">
        <f>'Material Rates_Master'!D156</f>
        <v/>
      </c>
      <c r="F335" s="583">
        <f>E335*D335</f>
        <v/>
      </c>
    </row>
    <row r="336">
      <c r="A336" s="40" t="n"/>
      <c r="B336" s="299" t="inlineStr">
        <is>
          <t>25mm Cu Crimp 90Deg Bend</t>
        </is>
      </c>
      <c r="C336" s="40">
        <f>'Material Rates_Master'!B157</f>
        <v/>
      </c>
      <c r="D336" s="484" t="n"/>
      <c r="E336" s="583">
        <f>'Material Rates_Master'!D157</f>
        <v/>
      </c>
      <c r="F336" s="583">
        <f>E336*D336</f>
        <v/>
      </c>
    </row>
    <row r="337">
      <c r="A337" s="40" t="n"/>
      <c r="B337" s="299" t="inlineStr">
        <is>
          <t>25mm Cu Crimp 45Deg Bend</t>
        </is>
      </c>
      <c r="C337" s="40">
        <f>'Material Rates_Master'!B158</f>
        <v/>
      </c>
      <c r="D337" s="484" t="n"/>
      <c r="E337" s="583">
        <f>'Material Rates_Master'!D158</f>
        <v/>
      </c>
      <c r="F337" s="583">
        <f>E337*D337</f>
        <v/>
      </c>
    </row>
    <row r="338" ht="9" customHeight="1">
      <c r="A338" s="40" t="n"/>
      <c r="B338" s="299" t="n"/>
      <c r="C338" s="40">
        <f>'Material Rates_Master'!B159</f>
        <v/>
      </c>
      <c r="D338" s="484" t="n"/>
      <c r="E338" s="583">
        <f>'Material Rates_Master'!D159</f>
        <v/>
      </c>
      <c r="F338" s="583">
        <f>E338*D338</f>
        <v/>
      </c>
    </row>
    <row r="339">
      <c r="A339" s="40" t="n"/>
      <c r="B339" s="299" t="inlineStr">
        <is>
          <t>150mm Galv 2 Piece Weld-nut Bracket M12</t>
        </is>
      </c>
      <c r="C339" s="40">
        <f>'Material Rates_Master'!B160</f>
        <v/>
      </c>
      <c r="D339" s="37" t="n"/>
      <c r="E339" s="583">
        <f>'Material Rates_Master'!D160</f>
        <v/>
      </c>
      <c r="F339" s="583">
        <f>E339*D339</f>
        <v/>
      </c>
    </row>
    <row r="340">
      <c r="A340" s="40" t="n"/>
      <c r="B340" s="299" t="inlineStr">
        <is>
          <t>100mm Galv 2 Piece Weld-nut Bracket M12</t>
        </is>
      </c>
      <c r="C340" s="40">
        <f>'Material Rates_Master'!B161</f>
        <v/>
      </c>
      <c r="D340" s="37" t="n"/>
      <c r="E340" s="583">
        <f>'Material Rates_Master'!D161</f>
        <v/>
      </c>
      <c r="F340" s="583">
        <f>E340*D340</f>
        <v/>
      </c>
    </row>
    <row r="341">
      <c r="A341" s="40" t="n"/>
      <c r="B341" s="299" t="inlineStr">
        <is>
          <t>150 Galv 2 Piece Channel Clip</t>
        </is>
      </c>
      <c r="C341" s="40">
        <f>'Material Rates_Master'!B162</f>
        <v/>
      </c>
      <c r="D341" s="37" t="n"/>
      <c r="E341" s="583">
        <f>'Material Rates_Master'!D162</f>
        <v/>
      </c>
      <c r="F341" s="583">
        <f>E341*D341</f>
        <v/>
      </c>
    </row>
    <row r="342">
      <c r="A342" s="40" t="n"/>
      <c r="B342" s="299" t="inlineStr">
        <is>
          <t>100 Galv 2 Piece Channel Clip</t>
        </is>
      </c>
      <c r="C342" s="40">
        <f>'Material Rates_Master'!B163</f>
        <v/>
      </c>
      <c r="D342" s="37" t="n"/>
      <c r="E342" s="583">
        <f>'Material Rates_Master'!D163</f>
        <v/>
      </c>
      <c r="F342" s="583">
        <f>E342*D342</f>
        <v/>
      </c>
    </row>
    <row r="343">
      <c r="A343" s="40" t="n"/>
      <c r="B343" s="299" t="inlineStr">
        <is>
          <t>12mm Galv Threaded Rod</t>
        </is>
      </c>
      <c r="C343" s="40">
        <f>'Material Rates_Master'!B164</f>
        <v/>
      </c>
      <c r="D343" s="37" t="n"/>
      <c r="E343" s="583">
        <f>'Material Rates_Master'!D164</f>
        <v/>
      </c>
      <c r="F343" s="583">
        <f>E343*D343</f>
        <v/>
      </c>
    </row>
    <row r="344">
      <c r="A344" s="40" t="n"/>
      <c r="B344" s="299" t="inlineStr">
        <is>
          <t>Galv Braced Counter Lever Bracket - 450Long</t>
        </is>
      </c>
      <c r="C344" s="40">
        <f>'Material Rates_Master'!B165</f>
        <v/>
      </c>
      <c r="D344" s="37" t="n"/>
      <c r="E344" s="583">
        <f>'Material Rates_Master'!D165</f>
        <v/>
      </c>
      <c r="F344" s="583">
        <f>E344*D344</f>
        <v/>
      </c>
    </row>
    <row r="345">
      <c r="A345" s="40" t="n"/>
      <c r="B345" s="299" t="inlineStr">
        <is>
          <t>003 Padlock</t>
        </is>
      </c>
      <c r="C345" s="40">
        <f>'Material Rates_Master'!B166</f>
        <v/>
      </c>
      <c r="D345" s="37" t="n"/>
      <c r="E345" s="583">
        <f>'Material Rates_Master'!D166</f>
        <v/>
      </c>
      <c r="F345" s="583">
        <f>E345*D345</f>
        <v/>
      </c>
    </row>
    <row r="346">
      <c r="A346" s="40" t="n"/>
      <c r="B346" s="299" t="inlineStr">
        <is>
          <t>100mm DI*DI Gasket Kit Complete</t>
        </is>
      </c>
      <c r="C346" s="40">
        <f>'Material Rates_Master'!B167</f>
        <v/>
      </c>
      <c r="D346" s="37" t="n"/>
      <c r="E346" s="583">
        <f>'Material Rates_Master'!D167</f>
        <v/>
      </c>
      <c r="F346" s="583">
        <f>E346*D346</f>
        <v/>
      </c>
    </row>
    <row r="347" ht="10.95" customHeight="1">
      <c r="A347" s="40" t="n"/>
      <c r="B347" s="299" t="n"/>
      <c r="D347" s="37" t="n"/>
      <c r="E347" s="583" t="n"/>
      <c r="F347" s="583" t="n"/>
    </row>
    <row r="348">
      <c r="A348" s="40" t="n"/>
      <c r="B348" s="331" t="inlineStr">
        <is>
          <t xml:space="preserve">FIRE SERVICES - Misc. </t>
        </is>
      </c>
      <c r="D348" s="37" t="n"/>
      <c r="E348" s="583" t="n"/>
      <c r="F348" s="583" t="n"/>
    </row>
    <row r="349" ht="14.55" customHeight="1">
      <c r="A349" s="40" t="n"/>
      <c r="B349" s="300" t="inlineStr">
        <is>
          <t>Description</t>
        </is>
      </c>
      <c r="D349" s="37" t="n"/>
      <c r="E349" s="583" t="n"/>
      <c r="F349" s="583" t="n"/>
    </row>
    <row r="350">
      <c r="A350" s="40" t="n"/>
      <c r="B350" s="299" t="inlineStr">
        <is>
          <t>Decommisioning Material</t>
        </is>
      </c>
      <c r="C350" s="40">
        <f>'Material Rates_Master'!B171</f>
        <v/>
      </c>
      <c r="D350" s="37" t="n"/>
      <c r="E350" s="583" t="n">
        <v>1388</v>
      </c>
      <c r="F350" s="583">
        <f>E350*D350</f>
        <v/>
      </c>
    </row>
    <row r="351">
      <c r="A351" s="40" t="n"/>
      <c r="B351" s="299" t="inlineStr">
        <is>
          <t>Electrofusion PE Welder 25-250mmPE. Please detail Spec</t>
        </is>
      </c>
      <c r="C351" s="40">
        <f>'Material Rates_Master'!B172</f>
        <v/>
      </c>
      <c r="D351" s="37" t="n"/>
      <c r="E351" s="583">
        <f>'Material Rates_Master'!D172</f>
        <v/>
      </c>
      <c r="F351" s="583">
        <f>E351*D351</f>
        <v/>
      </c>
    </row>
    <row r="352">
      <c r="A352" s="40" t="n"/>
      <c r="B352" s="299" t="inlineStr">
        <is>
          <t>PE Butt Welder. Automatic. 125-250mmPE. Please detail Spec - HIRE</t>
        </is>
      </c>
      <c r="C352" s="40" t="inlineStr">
        <is>
          <t>WEEK</t>
        </is>
      </c>
      <c r="D352" s="37" t="n"/>
      <c r="E352" s="583" t="n">
        <v>450</v>
      </c>
      <c r="F352" s="583">
        <f>E352*D352</f>
        <v/>
      </c>
    </row>
    <row r="353">
      <c r="A353" s="40" t="n"/>
      <c r="B353" s="299" t="inlineStr">
        <is>
          <t>Hand Roll Groover. 65-150mm.</t>
        </is>
      </c>
      <c r="C353" s="40">
        <f>'Material Rates_Master'!B174</f>
        <v/>
      </c>
      <c r="D353" s="37" t="n"/>
      <c r="E353" s="583">
        <f>'Material Rates_Master'!D174</f>
        <v/>
      </c>
      <c r="F353" s="583">
        <f>E353*D353</f>
        <v/>
      </c>
    </row>
    <row r="354">
      <c r="A354" s="40" t="n"/>
      <c r="B354" s="299" t="inlineStr">
        <is>
          <t>Delivery - To Rockhampton PIPE LENGTHS as quoted</t>
        </is>
      </c>
      <c r="C354" s="40">
        <f>'Material Rates_Master'!B175</f>
        <v/>
      </c>
      <c r="D354" s="37" t="n"/>
      <c r="E354" s="583">
        <f>'Material Rates_Master'!D175</f>
        <v/>
      </c>
      <c r="F354" s="583">
        <f>E354*D354</f>
        <v/>
      </c>
    </row>
    <row r="355">
      <c r="A355" s="40" t="n"/>
      <c r="B355" s="299" t="inlineStr">
        <is>
          <t>Delivery - To Rockhampton Standard/Palletised items</t>
        </is>
      </c>
      <c r="C355" s="40">
        <f>'Material Rates_Master'!B176</f>
        <v/>
      </c>
      <c r="D355" s="37" t="n"/>
      <c r="E355" s="583">
        <f>'Material Rates_Master'!D176</f>
        <v/>
      </c>
      <c r="F355" s="583">
        <f>E355*D355</f>
        <v/>
      </c>
    </row>
    <row r="356">
      <c r="E356" s="583" t="n"/>
      <c r="F356" s="583" t="n"/>
    </row>
    <row r="357" ht="14.4" customFormat="1" customHeight="1" s="40">
      <c r="A357" s="323" t="n"/>
      <c r="B357" s="324" t="inlineStr">
        <is>
          <t>POTABLE WATER_MAINS &amp; R'Ins</t>
        </is>
      </c>
      <c r="C357" s="42" t="n"/>
      <c r="D357" s="42" t="n"/>
      <c r="E357" s="583" t="n"/>
      <c r="F357" s="583" t="n"/>
    </row>
    <row r="358" ht="14.4" customFormat="1" customHeight="1" s="40">
      <c r="A358" s="323" t="n"/>
      <c r="B358" s="326" t="inlineStr">
        <is>
          <t>Description</t>
        </is>
      </c>
      <c r="C358" s="42" t="n"/>
      <c r="D358" s="42" t="n"/>
      <c r="E358" s="583" t="n"/>
      <c r="F358" s="583" t="n"/>
    </row>
    <row r="359" ht="14.4" customFormat="1" customHeight="1" s="40">
      <c r="A359" s="323" t="n"/>
      <c r="B359" s="323" t="n"/>
      <c r="C359" s="42" t="n"/>
      <c r="D359" s="42" t="n"/>
      <c r="E359" s="583" t="n"/>
      <c r="F359" s="583" t="n"/>
    </row>
    <row r="360" ht="14.4" customFormat="1" customHeight="1" s="40">
      <c r="A360" s="323" t="n"/>
      <c r="B360" s="323" t="inlineStr">
        <is>
          <t>125 HDPE PN16 SDR11 - BLUELINE</t>
        </is>
      </c>
      <c r="C360" s="327" t="inlineStr">
        <is>
          <t>m</t>
        </is>
      </c>
      <c r="E360" s="605" t="n">
        <v>34.5</v>
      </c>
      <c r="F360" s="583">
        <f>E360*D360</f>
        <v/>
      </c>
    </row>
    <row r="361" ht="14.4" customFormat="1" customHeight="1" s="40">
      <c r="A361" s="323" t="n"/>
      <c r="B361" s="406" t="inlineStr">
        <is>
          <t>90 HDPE PN16 SDR11 - BLUELINE</t>
        </is>
      </c>
      <c r="C361" s="327" t="inlineStr">
        <is>
          <t>m</t>
        </is>
      </c>
      <c r="E361" s="605" t="n">
        <v>20</v>
      </c>
      <c r="F361" s="583">
        <f>E361*D361</f>
        <v/>
      </c>
    </row>
    <row r="362" ht="14.4" customFormat="1" customHeight="1" s="40">
      <c r="A362" s="323" t="n"/>
      <c r="B362" s="323" t="inlineStr">
        <is>
          <t xml:space="preserve">75 HDPE PE100 PN 16 -Blueline </t>
        </is>
      </c>
      <c r="C362" s="327" t="inlineStr">
        <is>
          <t>m</t>
        </is>
      </c>
      <c r="E362" s="605" t="n">
        <v>12.31</v>
      </c>
      <c r="F362" s="583">
        <f>E362*D362</f>
        <v/>
      </c>
    </row>
    <row r="363" ht="14.4" customFormat="1" customHeight="1" s="40">
      <c r="A363" s="323" t="n"/>
      <c r="B363" s="323" t="inlineStr">
        <is>
          <t xml:space="preserve">63 HDPE PE100 PN 16 -Blueline </t>
        </is>
      </c>
      <c r="C363" s="327" t="inlineStr">
        <is>
          <t>m</t>
        </is>
      </c>
      <c r="E363" s="605" t="n">
        <v>9.66</v>
      </c>
      <c r="F363" s="583">
        <f>E363*D363</f>
        <v/>
      </c>
    </row>
    <row r="364" ht="14.4" customFormat="1" customHeight="1" s="40">
      <c r="A364" s="323" t="n"/>
      <c r="B364" s="323" t="inlineStr">
        <is>
          <t>63 HDPE PN12.5 SDR11 - BLUELINE</t>
        </is>
      </c>
      <c r="C364" s="327" t="inlineStr">
        <is>
          <t>m</t>
        </is>
      </c>
      <c r="E364" s="605" t="n">
        <v>4.63</v>
      </c>
      <c r="F364" s="583">
        <f>E364*D364</f>
        <v/>
      </c>
    </row>
    <row r="365" ht="14.4" customFormat="1" customHeight="1" s="40">
      <c r="A365" s="323" t="n"/>
      <c r="B365" s="406" t="inlineStr">
        <is>
          <t>50 HDPE PE100 PN 16 - BLUELINE</t>
        </is>
      </c>
      <c r="C365" s="327" t="inlineStr">
        <is>
          <t>m</t>
        </is>
      </c>
      <c r="E365" s="605" t="n">
        <v>5.4</v>
      </c>
      <c r="F365" s="583">
        <f>E365*D365</f>
        <v/>
      </c>
    </row>
    <row r="366" ht="14.4" customFormat="1" customHeight="1" s="40">
      <c r="A366" s="323" t="n"/>
      <c r="B366" s="406" t="inlineStr">
        <is>
          <t xml:space="preserve">40 HDPE PE100 PN16 Blue Line </t>
        </is>
      </c>
      <c r="C366" s="327" t="inlineStr">
        <is>
          <t>m</t>
        </is>
      </c>
      <c r="D366" s="40" t="n">
        <v>27.78</v>
      </c>
      <c r="E366" s="605" t="n">
        <v>4.4</v>
      </c>
      <c r="F366" s="583">
        <f>E366*D366</f>
        <v/>
      </c>
      <c r="G366" t="n">
        <v>28</v>
      </c>
      <c r="H366" s="540" t="inlineStr">
        <is>
          <t>ADOPTED qty per QUANTITY_RECONCILIATION TPS_NBC</t>
        </is>
      </c>
    </row>
    <row r="367" ht="14.4" customFormat="1" customHeight="1" s="40">
      <c r="A367" s="323" t="n"/>
      <c r="B367" s="323" t="inlineStr">
        <is>
          <t>40 HDPE PN12.5 SDR11 - BLUELINE</t>
        </is>
      </c>
      <c r="C367" s="327" t="inlineStr">
        <is>
          <t>m</t>
        </is>
      </c>
      <c r="E367" s="605">
        <f>354.31/150</f>
        <v/>
      </c>
      <c r="F367" s="583">
        <f>E367*D367</f>
        <v/>
      </c>
    </row>
    <row r="368" ht="14.4" customHeight="1">
      <c r="A368" s="323" t="n"/>
      <c r="B368" s="406" t="inlineStr">
        <is>
          <t xml:space="preserve">32 HDPE PE100 PN 16 -Blueline </t>
        </is>
      </c>
      <c r="C368" s="327" t="inlineStr">
        <is>
          <t>m</t>
        </is>
      </c>
      <c r="D368" s="40" t="n">
        <v>21.31</v>
      </c>
      <c r="E368" s="605" t="n">
        <v>2.1</v>
      </c>
      <c r="F368" s="583">
        <f>E368*D368</f>
        <v/>
      </c>
      <c r="G368" t="n">
        <v>22</v>
      </c>
      <c r="H368" s="540" t="inlineStr">
        <is>
          <t>ADOPTED qty per QUANTITY_RECONCILIATION TPS_NBC</t>
        </is>
      </c>
    </row>
    <row r="369" ht="14.4" customHeight="1">
      <c r="A369" s="323" t="n"/>
      <c r="B369" s="323" t="inlineStr">
        <is>
          <t xml:space="preserve">25 HDPE PE100 PN16 - BLUELINE </t>
        </is>
      </c>
      <c r="C369" s="327" t="inlineStr">
        <is>
          <t>m</t>
        </is>
      </c>
      <c r="D369" s="40" t="n">
        <v>15.45</v>
      </c>
      <c r="E369" s="605" t="n">
        <v>1.22</v>
      </c>
      <c r="F369" s="583">
        <f>E369*D369</f>
        <v/>
      </c>
      <c r="G369" t="n">
        <v>16</v>
      </c>
      <c r="H369" s="540" t="inlineStr">
        <is>
          <t>ADOPTED qty per QUANTITY_RECONCILIATION TPS_NBC</t>
        </is>
      </c>
    </row>
    <row r="370" ht="14.4" customHeight="1">
      <c r="A370" s="323" t="n"/>
      <c r="B370" s="323" t="inlineStr">
        <is>
          <t>25 HDPE PN12.5 SDR11 - BLUELINE</t>
        </is>
      </c>
      <c r="C370" s="327" t="inlineStr">
        <is>
          <t>m</t>
        </is>
      </c>
      <c r="E370" s="605" t="n">
        <v>2.43</v>
      </c>
      <c r="F370" s="583">
        <f>E370*D370</f>
        <v/>
      </c>
    </row>
    <row r="371" ht="14.4" customHeight="1">
      <c r="A371" s="323" t="n"/>
      <c r="B371" s="323" t="inlineStr">
        <is>
          <t>EF COUPLER                 125MM (EA)</t>
        </is>
      </c>
      <c r="C371" s="327" t="inlineStr">
        <is>
          <t>m</t>
        </is>
      </c>
      <c r="E371" s="605" t="n">
        <v>22</v>
      </c>
      <c r="F371" s="583">
        <f>E371*D371</f>
        <v/>
      </c>
      <c r="G371" s="605" t="n"/>
    </row>
    <row r="372" ht="14.4" customHeight="1">
      <c r="A372" s="323" t="n"/>
      <c r="B372" s="323" t="inlineStr">
        <is>
          <t>TEE EQUAL PE100 E/F 125MM</t>
        </is>
      </c>
      <c r="C372" s="327" t="inlineStr">
        <is>
          <t>ea</t>
        </is>
      </c>
      <c r="E372" s="605" t="n">
        <v>57.75</v>
      </c>
      <c r="F372" s="583">
        <f>E372*D372</f>
        <v/>
      </c>
      <c r="G372" s="605" t="n"/>
    </row>
    <row r="373" ht="14.4" customHeight="1">
      <c r="A373" s="323" t="n"/>
      <c r="B373" s="323" t="inlineStr">
        <is>
          <t>TEE PE100 E/F 125*63MM</t>
        </is>
      </c>
      <c r="C373" s="327" t="inlineStr">
        <is>
          <t>ea</t>
        </is>
      </c>
      <c r="E373" s="605" t="n">
        <v>139</v>
      </c>
      <c r="F373" s="583">
        <f>E373*D373</f>
        <v/>
      </c>
      <c r="G373" s="605" t="n"/>
    </row>
    <row r="374" ht="14.4" customHeight="1">
      <c r="A374" s="323" t="n"/>
      <c r="B374" s="323" t="inlineStr">
        <is>
          <t>EF REDUCER      125 X 90MM</t>
        </is>
      </c>
      <c r="C374" s="327" t="inlineStr">
        <is>
          <t>ea</t>
        </is>
      </c>
      <c r="E374" s="605" t="n">
        <v>104.15</v>
      </c>
      <c r="F374" s="583">
        <f>E374*D374</f>
        <v/>
      </c>
      <c r="G374" s="605" t="n"/>
    </row>
    <row r="375" ht="14.4" customHeight="1">
      <c r="A375" s="323" t="n"/>
      <c r="B375" s="323" t="inlineStr">
        <is>
          <t>EF REDUCER      125 X 63MM</t>
        </is>
      </c>
      <c r="C375" s="327" t="inlineStr">
        <is>
          <t>ea</t>
        </is>
      </c>
      <c r="E375" s="605" t="n">
        <v>26.1</v>
      </c>
      <c r="F375" s="583">
        <f>E375*D375</f>
        <v/>
      </c>
      <c r="G375" s="605" t="n"/>
    </row>
    <row r="376" ht="14.4" customHeight="1">
      <c r="A376" s="323" t="n"/>
      <c r="B376" s="323" t="inlineStr">
        <is>
          <t>EF REDUCER      75 X 63MM</t>
        </is>
      </c>
      <c r="C376" s="327" t="inlineStr">
        <is>
          <t>ea</t>
        </is>
      </c>
      <c r="E376" s="605" t="n">
        <v>37.5</v>
      </c>
      <c r="F376" s="583">
        <f>E376*D376</f>
        <v/>
      </c>
      <c r="G376" s="605" t="n"/>
    </row>
    <row r="377" ht="14.4" customHeight="1">
      <c r="A377" s="323" t="n"/>
      <c r="B377" s="323" t="inlineStr">
        <is>
          <t>EF REDUCER      63 X 50MM</t>
        </is>
      </c>
      <c r="C377" s="327" t="inlineStr">
        <is>
          <t>ea</t>
        </is>
      </c>
      <c r="E377" s="605" t="n">
        <v>35.93</v>
      </c>
      <c r="F377" s="583">
        <f>E377*D377</f>
        <v/>
      </c>
      <c r="G377" s="605" t="n"/>
    </row>
    <row r="378" ht="14.4" customHeight="1">
      <c r="A378" s="323" t="n"/>
      <c r="B378" s="323" t="inlineStr">
        <is>
          <t>EF REDUCER      50 X 40MM</t>
        </is>
      </c>
      <c r="C378" s="327" t="inlineStr">
        <is>
          <t>ea</t>
        </is>
      </c>
      <c r="E378" s="605" t="n">
        <v>35</v>
      </c>
      <c r="F378" s="583">
        <f>E378*D378</f>
        <v/>
      </c>
      <c r="G378" s="605" t="n"/>
    </row>
    <row r="379" ht="14.4" customHeight="1">
      <c r="A379" s="323" t="n"/>
      <c r="B379" s="406" t="inlineStr">
        <is>
          <t>EF REDUCER      40 X 32MM</t>
        </is>
      </c>
      <c r="C379" s="327" t="inlineStr">
        <is>
          <t>ea</t>
        </is>
      </c>
      <c r="E379" s="605" t="n">
        <v>35</v>
      </c>
      <c r="F379" s="583">
        <f>E379*D379</f>
        <v/>
      </c>
      <c r="G379" s="605" t="n"/>
    </row>
    <row r="380" ht="14.4" customHeight="1">
      <c r="A380" s="323" t="n"/>
      <c r="B380" s="406" t="inlineStr">
        <is>
          <t>EF REDUCER      40 X 25MM</t>
        </is>
      </c>
      <c r="C380" s="327" t="inlineStr">
        <is>
          <t>ea</t>
        </is>
      </c>
      <c r="E380" s="605" t="n">
        <v>35</v>
      </c>
      <c r="F380" s="583">
        <f>E380*D380</f>
        <v/>
      </c>
      <c r="G380" s="605" t="n"/>
    </row>
    <row r="381" ht="14.4" customHeight="1">
      <c r="A381" s="323" t="n"/>
      <c r="B381" s="406" t="inlineStr">
        <is>
          <t>EF REDUCER      32 X 25MM</t>
        </is>
      </c>
      <c r="C381" s="327" t="inlineStr">
        <is>
          <t>ea</t>
        </is>
      </c>
      <c r="E381" s="605" t="n">
        <v>20</v>
      </c>
      <c r="F381" s="583">
        <f>E381*D381</f>
        <v/>
      </c>
      <c r="G381" s="605" t="n"/>
    </row>
    <row r="382" ht="14.4" customHeight="1">
      <c r="A382" s="323" t="n"/>
      <c r="B382" s="323" t="inlineStr">
        <is>
          <t>ELBOW PE100 E/F 125MM X 45D</t>
        </is>
      </c>
      <c r="C382" s="327" t="inlineStr">
        <is>
          <t>ea</t>
        </is>
      </c>
      <c r="E382" s="605" t="n">
        <v>50</v>
      </c>
      <c r="F382" s="583">
        <f>E382*D382</f>
        <v/>
      </c>
      <c r="G382" s="605" t="n"/>
    </row>
    <row r="383" ht="14.4" customHeight="1">
      <c r="A383" s="323" t="n"/>
      <c r="B383" s="323" t="inlineStr">
        <is>
          <t>ELBOW PE100 E/F 125MM X 90D</t>
        </is>
      </c>
      <c r="C383" s="327" t="inlineStr">
        <is>
          <t>ea</t>
        </is>
      </c>
      <c r="E383" s="605" t="n">
        <v>54</v>
      </c>
      <c r="F383" s="583">
        <f>E383*D383</f>
        <v/>
      </c>
      <c r="G383" s="605" t="n"/>
    </row>
    <row r="384" ht="14.4" customHeight="1">
      <c r="A384" s="323" t="n"/>
      <c r="B384" s="323" t="inlineStr">
        <is>
          <t xml:space="preserve">HDPE 75mm X 90 D ELBOW </t>
        </is>
      </c>
      <c r="C384" s="327" t="inlineStr">
        <is>
          <t>ea</t>
        </is>
      </c>
      <c r="E384" s="605" t="n">
        <v>15.55</v>
      </c>
      <c r="F384" s="583">
        <f>E384*D384</f>
        <v/>
      </c>
      <c r="G384" s="605" t="n"/>
    </row>
    <row r="385" ht="14.4" customHeight="1">
      <c r="A385" s="323" t="n"/>
      <c r="B385" s="406" t="inlineStr">
        <is>
          <t xml:space="preserve">HDPE 63MM X 90 D ELBOW </t>
        </is>
      </c>
      <c r="C385" s="327" t="inlineStr">
        <is>
          <t>ea</t>
        </is>
      </c>
      <c r="E385" s="605" t="n">
        <v>15</v>
      </c>
      <c r="F385" s="583">
        <f>E385*D385</f>
        <v/>
      </c>
      <c r="G385" s="605" t="n"/>
    </row>
    <row r="386" ht="14.4" customHeight="1">
      <c r="A386" s="323" t="n"/>
      <c r="B386" s="406" t="inlineStr">
        <is>
          <t xml:space="preserve">HDPE 50MM X 90 D ELBOW </t>
        </is>
      </c>
      <c r="C386" s="327" t="inlineStr">
        <is>
          <t>ea</t>
        </is>
      </c>
      <c r="E386" s="605" t="n">
        <v>10.87</v>
      </c>
      <c r="F386" s="583">
        <f>E386*D386</f>
        <v/>
      </c>
      <c r="G386" s="605" t="n"/>
    </row>
    <row r="387" ht="14.4" customHeight="1">
      <c r="A387" s="323" t="n"/>
      <c r="B387" s="406" t="inlineStr">
        <is>
          <t xml:space="preserve">HDPE 40MM X 90 D ELBOW </t>
        </is>
      </c>
      <c r="C387" s="405" t="inlineStr">
        <is>
          <t>ea</t>
        </is>
      </c>
      <c r="D387" s="40" t="n">
        <v>3</v>
      </c>
      <c r="E387" s="605" t="n">
        <v>55</v>
      </c>
      <c r="F387" s="583">
        <f>E387*D387</f>
        <v/>
      </c>
      <c r="G387" s="605" t="n"/>
    </row>
    <row r="388" ht="14.4" customHeight="1">
      <c r="A388" s="323" t="n"/>
      <c r="B388" s="406" t="inlineStr">
        <is>
          <t>Reducing Tee 125mm x 90mm</t>
        </is>
      </c>
      <c r="C388" s="327" t="inlineStr">
        <is>
          <t>ea</t>
        </is>
      </c>
      <c r="E388" s="605" t="n">
        <v>55</v>
      </c>
      <c r="F388" s="583">
        <f>E388*D388</f>
        <v/>
      </c>
      <c r="G388" s="605" t="n"/>
    </row>
    <row r="389" ht="14.4" customHeight="1">
      <c r="A389" s="323" t="n"/>
      <c r="B389" s="406" t="inlineStr">
        <is>
          <t>Reducing Tee 125mm x 32mm</t>
        </is>
      </c>
      <c r="C389" s="327" t="inlineStr">
        <is>
          <t>ea</t>
        </is>
      </c>
      <c r="E389" s="605" t="n">
        <v>35</v>
      </c>
      <c r="F389" s="583">
        <f>E389*D389</f>
        <v/>
      </c>
      <c r="G389" s="605" t="n"/>
    </row>
    <row r="390" ht="14.4" customHeight="1">
      <c r="A390" s="323" t="n"/>
      <c r="B390" s="406" t="inlineStr">
        <is>
          <t>Reducing Tee 75mm x 63mm</t>
        </is>
      </c>
      <c r="C390" s="327" t="inlineStr">
        <is>
          <t>ea</t>
        </is>
      </c>
      <c r="E390" s="605" t="n">
        <v>35</v>
      </c>
      <c r="F390" s="583">
        <f>E390*D390</f>
        <v/>
      </c>
      <c r="G390" s="605" t="n"/>
    </row>
    <row r="391" ht="14.4" customHeight="1">
      <c r="A391" s="323" t="n"/>
      <c r="B391" s="323" t="inlineStr">
        <is>
          <t>Reducing Tee 75mm x 50mm</t>
        </is>
      </c>
      <c r="C391" s="327" t="inlineStr">
        <is>
          <t>ea</t>
        </is>
      </c>
      <c r="E391" s="605" t="n">
        <v>35</v>
      </c>
      <c r="F391" s="583">
        <f>E391*D391</f>
        <v/>
      </c>
      <c r="G391" s="605" t="n"/>
    </row>
    <row r="392" ht="14.4" customHeight="1">
      <c r="A392" s="323" t="n"/>
      <c r="B392" s="323" t="inlineStr">
        <is>
          <t>Reducing Tee 75mm x 32mm</t>
        </is>
      </c>
      <c r="C392" s="327" t="inlineStr">
        <is>
          <t>ea</t>
        </is>
      </c>
      <c r="E392" s="605" t="n">
        <v>35</v>
      </c>
      <c r="F392" s="583">
        <f>E392*D392</f>
        <v/>
      </c>
      <c r="G392" s="605" t="n"/>
    </row>
    <row r="393" ht="14.4" customHeight="1">
      <c r="A393" s="323" t="n"/>
      <c r="B393" s="323" t="inlineStr">
        <is>
          <t>Reducing Tee 63mm x 32mm</t>
        </is>
      </c>
      <c r="C393" s="327" t="inlineStr">
        <is>
          <t>ea</t>
        </is>
      </c>
      <c r="E393" s="605" t="n">
        <v>35</v>
      </c>
      <c r="F393" s="583">
        <f>E393*D393</f>
        <v/>
      </c>
      <c r="G393" s="605" t="n"/>
    </row>
    <row r="394" ht="14.4" customHeight="1">
      <c r="A394" s="323" t="n"/>
      <c r="B394" s="406" t="inlineStr">
        <is>
          <t>Reducing Tee 50mm x 40mm</t>
        </is>
      </c>
      <c r="C394" s="327" t="inlineStr">
        <is>
          <t>ea</t>
        </is>
      </c>
      <c r="E394" s="605" t="n">
        <v>35</v>
      </c>
      <c r="F394" s="583">
        <f>E394*D394</f>
        <v/>
      </c>
      <c r="G394" s="605" t="n"/>
    </row>
    <row r="395" ht="14.4" customHeight="1">
      <c r="A395" s="323" t="n"/>
      <c r="B395" s="406" t="inlineStr">
        <is>
          <t>Reducing Tee 40mm x 25mm</t>
        </is>
      </c>
      <c r="C395" s="327" t="inlineStr">
        <is>
          <t>ea</t>
        </is>
      </c>
      <c r="E395" s="605" t="n">
        <v>35</v>
      </c>
      <c r="F395" s="583">
        <f>E395*D395</f>
        <v/>
      </c>
      <c r="G395" s="605" t="n"/>
    </row>
    <row r="396" ht="14.4" customHeight="1">
      <c r="A396" s="323" t="n"/>
      <c r="B396" s="323" t="inlineStr">
        <is>
          <t>Reducing Tee 32mm x 25mm</t>
        </is>
      </c>
      <c r="C396" s="327" t="inlineStr">
        <is>
          <t>ea</t>
        </is>
      </c>
      <c r="E396" s="605" t="n">
        <v>26</v>
      </c>
      <c r="F396" s="583">
        <f>E396*D396</f>
        <v/>
      </c>
      <c r="G396" s="605" t="n"/>
    </row>
    <row r="397" ht="14.4" customHeight="1">
      <c r="A397" s="323" t="n"/>
      <c r="B397" s="323" t="inlineStr">
        <is>
          <t>EF Reducer 50mm x 25mm</t>
        </is>
      </c>
      <c r="C397" s="327" t="inlineStr">
        <is>
          <t>ea</t>
        </is>
      </c>
      <c r="E397" s="605" t="n">
        <v>35</v>
      </c>
      <c r="F397" s="583">
        <f>E397*D397</f>
        <v/>
      </c>
      <c r="G397" s="605" t="n"/>
    </row>
    <row r="398" ht="14.4" customHeight="1">
      <c r="A398" s="323" t="n"/>
      <c r="B398" s="406" t="inlineStr">
        <is>
          <t>50mm Tee</t>
        </is>
      </c>
      <c r="C398" s="327" t="inlineStr">
        <is>
          <t>ea</t>
        </is>
      </c>
      <c r="E398" s="605" t="n">
        <v>10.87</v>
      </c>
      <c r="F398" s="583">
        <f>E398*D398</f>
        <v/>
      </c>
      <c r="G398" s="605" t="n"/>
    </row>
    <row r="399" ht="14.4" customHeight="1">
      <c r="A399" s="323" t="n"/>
      <c r="B399" s="406" t="inlineStr">
        <is>
          <t>40mm Tee</t>
        </is>
      </c>
      <c r="C399" s="327" t="inlineStr">
        <is>
          <t>ea</t>
        </is>
      </c>
      <c r="E399" s="605" t="n">
        <v>35</v>
      </c>
      <c r="F399" s="583">
        <f>E399*D399</f>
        <v/>
      </c>
      <c r="G399" s="605" t="n"/>
    </row>
    <row r="400" ht="14.4" customHeight="1">
      <c r="A400" s="323" t="n"/>
      <c r="B400" s="323" t="inlineStr">
        <is>
          <t xml:space="preserve">32mm Tee </t>
        </is>
      </c>
      <c r="C400" s="327" t="inlineStr">
        <is>
          <t>ea</t>
        </is>
      </c>
      <c r="E400" s="605" t="n">
        <v>20</v>
      </c>
      <c r="F400" s="583">
        <f>E400*D400</f>
        <v/>
      </c>
      <c r="G400" s="605" t="n"/>
    </row>
    <row r="401" ht="14.4" customHeight="1">
      <c r="A401" s="323" t="n"/>
      <c r="B401" s="323" t="inlineStr">
        <is>
          <t xml:space="preserve">HDPE 32mm X 90 D ELBOW </t>
        </is>
      </c>
      <c r="C401" s="327" t="inlineStr">
        <is>
          <t>ea</t>
        </is>
      </c>
      <c r="D401" s="40" t="n">
        <v>4</v>
      </c>
      <c r="E401" s="605" t="n">
        <v>20</v>
      </c>
      <c r="F401" s="583">
        <f>E401*D401</f>
        <v/>
      </c>
      <c r="G401" s="605" t="n"/>
    </row>
    <row r="402" ht="14.4" customHeight="1">
      <c r="A402" s="323" t="n"/>
      <c r="B402" s="406" t="inlineStr">
        <is>
          <t xml:space="preserve">HDPE 25mm X 90 D ELBOW </t>
        </is>
      </c>
      <c r="C402" s="327" t="inlineStr">
        <is>
          <t>ea</t>
        </is>
      </c>
      <c r="D402" s="40" t="n">
        <v>5</v>
      </c>
      <c r="E402" s="605" t="n">
        <v>18</v>
      </c>
      <c r="F402" s="583">
        <f>E402*D402</f>
        <v/>
      </c>
    </row>
    <row r="403" ht="14.4" customHeight="1">
      <c r="A403" s="323" t="n"/>
      <c r="B403" s="406" t="inlineStr">
        <is>
          <t xml:space="preserve">HDPE 25mm X 45 D ELBOW </t>
        </is>
      </c>
      <c r="C403" s="327" t="inlineStr">
        <is>
          <t>ea</t>
        </is>
      </c>
      <c r="E403" s="605" t="n"/>
      <c r="F403" s="583">
        <f>E403*D403</f>
        <v/>
      </c>
    </row>
    <row r="404" ht="14.4" customHeight="1">
      <c r="A404" s="323" t="n"/>
      <c r="B404" s="406" t="inlineStr">
        <is>
          <t>25mm Tee</t>
        </is>
      </c>
      <c r="C404" s="327" t="inlineStr">
        <is>
          <t>ea</t>
        </is>
      </c>
      <c r="E404" s="605" t="n"/>
      <c r="F404" s="583">
        <f>E404*D404</f>
        <v/>
      </c>
    </row>
    <row r="405" ht="14.4" customHeight="1">
      <c r="A405" s="323" t="n"/>
      <c r="B405" s="323" t="inlineStr">
        <is>
          <t>PE MAXI STUB FLANGE W/SS BK RING 125X 4" (EA)</t>
        </is>
      </c>
      <c r="C405" s="327" t="inlineStr">
        <is>
          <t>ea</t>
        </is>
      </c>
      <c r="E405" s="605" t="n">
        <v>35</v>
      </c>
      <c r="F405" s="583">
        <f>E405*D405</f>
        <v/>
      </c>
    </row>
    <row r="406" ht="14.4" customHeight="1">
      <c r="A406" s="323" t="n"/>
      <c r="B406" s="323" t="inlineStr">
        <is>
          <t>SLUICE VALVE PN16 T/D ACC FLNGD 100MM</t>
        </is>
      </c>
      <c r="C406" s="327" t="inlineStr">
        <is>
          <t>ea</t>
        </is>
      </c>
      <c r="E406" s="605" t="n">
        <v>102.5</v>
      </c>
      <c r="F406" s="583">
        <f>E406*D406</f>
        <v/>
      </c>
    </row>
    <row r="407" ht="14.4" customHeight="1">
      <c r="A407" s="323" t="n"/>
      <c r="B407" s="323" t="inlineStr">
        <is>
          <t>Valve Box - Cast Iron - Rectangle - Large - HD</t>
        </is>
      </c>
      <c r="C407" s="327" t="inlineStr">
        <is>
          <t>ea</t>
        </is>
      </c>
      <c r="E407" s="605" t="n">
        <v>235</v>
      </c>
      <c r="F407" s="583">
        <f>E407*D407</f>
        <v/>
      </c>
    </row>
    <row r="408" ht="14.4" customHeight="1">
      <c r="A408" s="323" t="n"/>
      <c r="B408" s="323" t="inlineStr">
        <is>
          <t>SADDLE TAPPING EF 125PE X 25PE</t>
        </is>
      </c>
      <c r="C408" s="327" t="inlineStr">
        <is>
          <t>ea</t>
        </is>
      </c>
      <c r="E408" s="605" t="n">
        <v>100</v>
      </c>
      <c r="F408" s="583">
        <f>E408*D408</f>
        <v/>
      </c>
    </row>
    <row r="409" ht="14.4" customHeight="1">
      <c r="A409" s="323" t="n"/>
      <c r="B409" s="323" t="inlineStr">
        <is>
          <t>SADDLE TAPPING EF 125PE X 32PE</t>
        </is>
      </c>
      <c r="C409" s="327" t="inlineStr">
        <is>
          <t>ea</t>
        </is>
      </c>
      <c r="E409" s="605" t="n">
        <v>47.41</v>
      </c>
      <c r="F409" s="583">
        <f>E409*D409</f>
        <v/>
      </c>
    </row>
    <row r="410" ht="14.4" customHeight="1">
      <c r="A410" s="323" t="n"/>
      <c r="B410" s="323" t="inlineStr">
        <is>
          <t>SADDLE TAPPING EF 125PE X 63PE</t>
        </is>
      </c>
      <c r="C410" s="327" t="inlineStr">
        <is>
          <t>ea</t>
        </is>
      </c>
      <c r="E410" s="605" t="n">
        <v>41.69</v>
      </c>
      <c r="F410" s="583">
        <f>E410*D410</f>
        <v/>
      </c>
    </row>
    <row r="411" ht="14.4" customHeight="1">
      <c r="A411" s="323" t="n"/>
      <c r="B411" s="323" t="inlineStr">
        <is>
          <t xml:space="preserve">90mm PE X 80mm Copper Transition </t>
        </is>
      </c>
      <c r="C411" s="327" t="inlineStr">
        <is>
          <t>ea</t>
        </is>
      </c>
      <c r="E411" s="605" t="n">
        <v>200</v>
      </c>
      <c r="F411" s="583">
        <f>E411*D411</f>
        <v/>
      </c>
    </row>
    <row r="412" ht="14.4" customHeight="1">
      <c r="A412" s="323" t="n"/>
      <c r="B412" s="323" t="inlineStr">
        <is>
          <t>Detectable WATER Marker Tape - 250m</t>
        </is>
      </c>
      <c r="C412" s="327" t="inlineStr">
        <is>
          <t>ea</t>
        </is>
      </c>
      <c r="E412" s="605" t="n">
        <v>85.55</v>
      </c>
      <c r="F412" s="583">
        <f>E412*D412</f>
        <v/>
      </c>
    </row>
    <row r="413" ht="14.4" customHeight="1">
      <c r="A413" s="323" t="n"/>
      <c r="B413" s="323" t="inlineStr">
        <is>
          <t>WIPES WELDING PLASSON XL (120 PK)</t>
        </is>
      </c>
      <c r="C413" s="327" t="inlineStr">
        <is>
          <t>ea</t>
        </is>
      </c>
      <c r="E413" s="605" t="n">
        <v>70</v>
      </c>
      <c r="F413" s="583">
        <f>E413*D413</f>
        <v/>
      </c>
    </row>
    <row r="414" ht="14.4" customHeight="1">
      <c r="A414" s="323" t="n"/>
      <c r="B414" s="323" t="inlineStr">
        <is>
          <t>Paint Pen - WHITE</t>
        </is>
      </c>
      <c r="C414" s="327" t="inlineStr">
        <is>
          <t>ea</t>
        </is>
      </c>
      <c r="E414" s="605" t="n">
        <v>19</v>
      </c>
      <c r="F414" s="583">
        <f>E414*D414</f>
        <v/>
      </c>
    </row>
    <row r="415" ht="14.4" customHeight="1">
      <c r="A415" s="323" t="n"/>
      <c r="B415" s="323" t="n"/>
      <c r="C415" s="327" t="n"/>
      <c r="E415" s="605" t="n">
        <v>16</v>
      </c>
      <c r="F415" s="583">
        <f>E415*D415</f>
        <v/>
      </c>
    </row>
    <row r="416" ht="14.4" customHeight="1">
      <c r="A416" s="323" t="n"/>
      <c r="B416" s="406" t="inlineStr">
        <is>
          <t xml:space="preserve">100 Cu Above Grnd </t>
        </is>
      </c>
      <c r="C416" s="327" t="inlineStr">
        <is>
          <t>m</t>
        </is>
      </c>
      <c r="E416" s="605" t="n"/>
      <c r="F416" s="583">
        <f>E416*D416</f>
        <v/>
      </c>
    </row>
    <row r="417" ht="14.4" customHeight="1">
      <c r="A417" s="323" t="n"/>
      <c r="B417" s="406" t="inlineStr">
        <is>
          <t xml:space="preserve">80 CU Above Grnd </t>
        </is>
      </c>
      <c r="C417" s="327" t="inlineStr">
        <is>
          <t>m</t>
        </is>
      </c>
      <c r="E417" s="605">
        <f>535.6/6</f>
        <v/>
      </c>
      <c r="F417" s="583">
        <f>E417*D417</f>
        <v/>
      </c>
    </row>
    <row r="418" ht="14.4" customHeight="1">
      <c r="A418" s="323" t="n"/>
      <c r="B418" s="406" t="inlineStr">
        <is>
          <t xml:space="preserve">65 CU Above Grnd </t>
        </is>
      </c>
      <c r="C418" s="327" t="inlineStr">
        <is>
          <t>m</t>
        </is>
      </c>
      <c r="E418" s="605">
        <f>335.2/6</f>
        <v/>
      </c>
      <c r="F418" s="583">
        <f>E418*D418</f>
        <v/>
      </c>
    </row>
    <row r="419" ht="14.4" customHeight="1">
      <c r="A419" s="323" t="n"/>
      <c r="B419" s="323" t="inlineStr">
        <is>
          <t>50 Cu Above Grnd</t>
        </is>
      </c>
      <c r="C419" s="327" t="inlineStr">
        <is>
          <t>m</t>
        </is>
      </c>
      <c r="E419" s="605">
        <f>278.5/6</f>
        <v/>
      </c>
      <c r="F419" s="583">
        <f>E419*D419</f>
        <v/>
      </c>
    </row>
    <row r="420" ht="14.4" customHeight="1">
      <c r="A420" s="323" t="n"/>
      <c r="B420" s="406" t="inlineStr">
        <is>
          <t>316SS press-fit tube 35mm (was 32 Cu) - WS2 conforming</t>
        </is>
      </c>
      <c r="C420" s="327" t="inlineStr">
        <is>
          <t>m</t>
        </is>
      </c>
      <c r="D420" s="40" t="n">
        <v>17.86</v>
      </c>
      <c r="E420" s="606">
        <f>132.03/6</f>
        <v/>
      </c>
      <c r="F420" s="583">
        <f>E420*D420</f>
        <v/>
      </c>
      <c r="G420" t="n">
        <v>18</v>
      </c>
      <c r="H420" s="540" t="inlineStr">
        <is>
          <t>ADOPTED 17.86 m; RE-RATED 316SS press-fit 35mm - WS2 conforming base (&gt;DN22); copper alternate in EBC_Alternates (Opens #17)</t>
        </is>
      </c>
      <c r="I420" s="540" t="inlineStr">
        <is>
          <t>316SS press-fit BASE per WS2 (&gt;DN22): pipe rate = Reece Q-459014431 316 tube rate set (project quote; no &gt;35mm needed). PENDING RFQ PER GAP LIST (Gap #2). Copper alternate: EBC_Alternates.</t>
        </is>
      </c>
    </row>
    <row r="421" ht="14.4" customHeight="1">
      <c r="A421" s="323" t="n"/>
      <c r="B421" s="323" t="inlineStr">
        <is>
          <t>316SS press: 32mm x25mm reducing tee</t>
        </is>
      </c>
      <c r="C421" s="327" t="inlineStr">
        <is>
          <t>ea</t>
        </is>
      </c>
      <c r="D421" s="40" t="n">
        <v>2</v>
      </c>
      <c r="E421" s="606">
        <f>119.88/6*1.5</f>
        <v/>
      </c>
      <c r="F421" s="583">
        <f>E421*D421</f>
        <v/>
      </c>
      <c r="I421" s="540" t="inlineStr">
        <is>
          <t>316SS press fitting benchmark = Cu press rate x1.5 (SS press fittings 1.4-1.6x Cu per supplier curves) - pending RFQ (Gap #2)</t>
        </is>
      </c>
    </row>
    <row r="422" ht="14.4" customHeight="1">
      <c r="A422" s="323" t="n"/>
      <c r="B422" s="436" t="inlineStr">
        <is>
          <t>316SS press: 32mm x20mm reducing tee</t>
        </is>
      </c>
      <c r="C422" s="327" t="inlineStr">
        <is>
          <t>ea</t>
        </is>
      </c>
      <c r="D422" s="40" t="n">
        <v>1</v>
      </c>
      <c r="E422" s="606">
        <f>15*1.5</f>
        <v/>
      </c>
      <c r="F422" s="583">
        <f>E422*D422</f>
        <v/>
      </c>
      <c r="I422" s="540" t="inlineStr">
        <is>
          <t>316SS press fitting benchmark = Cu press rate x1.5 (SS press fittings 1.4-1.6x Cu per supplier curves) - pending RFQ (Gap #2)</t>
        </is>
      </c>
    </row>
    <row r="423" ht="14.4" customHeight="1">
      <c r="A423" s="323" t="n"/>
      <c r="B423" s="323" t="inlineStr">
        <is>
          <t>316SS press-fit tube 28mm (was 25 Cu) - WS2 conforming</t>
        </is>
      </c>
      <c r="C423" s="327" t="inlineStr">
        <is>
          <t>m</t>
        </is>
      </c>
      <c r="D423" s="40" t="n">
        <v>112.72</v>
      </c>
      <c r="E423" s="606">
        <f>80.63/6</f>
        <v/>
      </c>
      <c r="F423" s="583">
        <f>E423*D423</f>
        <v/>
      </c>
      <c r="G423" t="n">
        <v>113</v>
      </c>
      <c r="H423" s="540" t="inlineStr">
        <is>
          <t>ADOPTED 112.72 m; RE-RATED 316SS press-fit 28mm - WS2 conforming base (&gt;DN22)</t>
        </is>
      </c>
    </row>
    <row r="424" ht="14.4" customHeight="1">
      <c r="A424" s="323" t="n"/>
      <c r="B424" s="406" t="inlineStr">
        <is>
          <t>316SS press: B-PRESS WATER EQUAL TEE  32MM (EA)</t>
        </is>
      </c>
      <c r="C424" s="327" t="inlineStr">
        <is>
          <t>ea</t>
        </is>
      </c>
      <c r="D424" s="40" t="n">
        <v>1</v>
      </c>
      <c r="E424" s="606">
        <f>23.51*1.5</f>
        <v/>
      </c>
      <c r="F424" s="583">
        <f>E424*D424</f>
        <v/>
      </c>
      <c r="I424" s="540" t="inlineStr">
        <is>
          <t>316SS press fitting benchmark = Cu press rate x1.5 (SS press fittings 1.4-1.6x Cu per supplier curves) - pending RFQ (Gap #2)</t>
        </is>
      </c>
    </row>
    <row r="425" ht="14.4" customHeight="1">
      <c r="A425" s="323" t="n"/>
      <c r="B425" s="323" t="inlineStr">
        <is>
          <t>316SS press: B-PRESS WATER EQUAL TEE  25MM (EA)</t>
        </is>
      </c>
      <c r="C425" s="327" t="inlineStr">
        <is>
          <t>ea</t>
        </is>
      </c>
      <c r="D425" s="40" t="n">
        <v>15</v>
      </c>
      <c r="E425" s="606">
        <f>7.17*1.5</f>
        <v/>
      </c>
      <c r="F425" s="583">
        <f>E425*D425</f>
        <v/>
      </c>
      <c r="I425" s="540" t="inlineStr">
        <is>
          <t>316SS press fitting benchmark = Cu press rate x1.5 (SS press fittings 1.4-1.6x Cu per supplier curves) - pending RFQ (Gap #2)</t>
        </is>
      </c>
    </row>
    <row r="426" ht="14.4" customHeight="1">
      <c r="A426" s="323" t="n"/>
      <c r="B426" s="323" t="inlineStr">
        <is>
          <t>20 Cu Above Grnd</t>
        </is>
      </c>
      <c r="C426" s="327" t="inlineStr">
        <is>
          <t>m</t>
        </is>
      </c>
      <c r="D426" s="40" t="n">
        <v>19.88</v>
      </c>
      <c r="E426" s="606">
        <f>82/6</f>
        <v/>
      </c>
      <c r="F426" s="583">
        <f>E426*D426</f>
        <v/>
      </c>
      <c r="G426" t="n">
        <v>20</v>
      </c>
      <c r="H426" s="540" t="inlineStr">
        <is>
          <t>ADOPTED qty per QUANTITY_RECONCILIATION TPS_NBC - 20 Cu 19.88 m (&lt;=DN22 - retained copper; PEX conforms WS2)</t>
        </is>
      </c>
    </row>
    <row r="427" ht="14.4" customHeight="1">
      <c r="A427" s="323" t="n"/>
      <c r="B427" s="406" t="inlineStr">
        <is>
          <t>B-PRESS WATER EQUAL TEE  20MM (EA)</t>
        </is>
      </c>
      <c r="C427" s="327" t="inlineStr">
        <is>
          <t>ea</t>
        </is>
      </c>
      <c r="D427" s="40" t="n">
        <v>5</v>
      </c>
      <c r="E427" s="606">
        <f>58.71/6</f>
        <v/>
      </c>
      <c r="F427" s="583">
        <f>E427*D427</f>
        <v/>
      </c>
    </row>
    <row r="428" ht="14.4" customHeight="1">
      <c r="A428" s="323" t="n"/>
      <c r="B428" s="323" t="inlineStr">
        <is>
          <t>50mm Cu 10mm Nut Clip</t>
        </is>
      </c>
      <c r="C428" s="405" t="inlineStr">
        <is>
          <t>ea</t>
        </is>
      </c>
      <c r="E428" s="605" t="n">
        <v>1.4</v>
      </c>
      <c r="F428" s="583">
        <f>E428*D428</f>
        <v/>
      </c>
      <c r="G428" s="605" t="n"/>
    </row>
    <row r="429" ht="14.4" customHeight="1">
      <c r="A429" s="323" t="n"/>
      <c r="B429" s="323" t="inlineStr">
        <is>
          <t>32mm Cu 10mm Nut Clip</t>
        </is>
      </c>
      <c r="C429" s="327" t="inlineStr">
        <is>
          <t>ea</t>
        </is>
      </c>
      <c r="E429" s="605" t="n">
        <v>1.38</v>
      </c>
      <c r="F429" s="583">
        <f>E429*D429</f>
        <v/>
      </c>
      <c r="G429" s="605" t="n"/>
    </row>
    <row r="430" ht="14.4" customHeight="1">
      <c r="A430" s="323" t="n"/>
      <c r="B430" s="323" t="inlineStr">
        <is>
          <t>25mm Cu 10mm Nut Clip</t>
        </is>
      </c>
      <c r="C430" s="327" t="inlineStr">
        <is>
          <t>ea</t>
        </is>
      </c>
      <c r="E430" s="605" t="n">
        <v>1.32</v>
      </c>
      <c r="F430" s="583">
        <f>E430*D430</f>
        <v/>
      </c>
      <c r="G430" s="605" t="n"/>
    </row>
    <row r="431" ht="14.4" customHeight="1">
      <c r="A431" s="323" t="n"/>
      <c r="B431" s="323" t="inlineStr">
        <is>
          <t>20mm Cu 10mm Nut Clip</t>
        </is>
      </c>
      <c r="C431" s="327" t="inlineStr">
        <is>
          <t>ea</t>
        </is>
      </c>
      <c r="E431" s="605" t="n">
        <v>1.24</v>
      </c>
      <c r="F431" s="583">
        <f>E431*D431</f>
        <v/>
      </c>
      <c r="G431" s="605" t="n"/>
    </row>
    <row r="432" ht="14.4" customHeight="1">
      <c r="A432" s="323" t="n"/>
      <c r="B432" s="323" t="inlineStr">
        <is>
          <t>10mm Zinc Threaded Rod</t>
        </is>
      </c>
      <c r="C432" s="327" t="inlineStr">
        <is>
          <t>m</t>
        </is>
      </c>
      <c r="E432" s="605" t="n">
        <v>5.1</v>
      </c>
      <c r="F432" s="583">
        <f>E432*D432</f>
        <v/>
      </c>
      <c r="G432" s="605" t="n"/>
    </row>
    <row r="433" ht="14.4" customHeight="1">
      <c r="A433" s="323" t="n"/>
      <c r="B433" s="323" t="n"/>
      <c r="C433" s="327" t="n"/>
      <c r="E433" s="605" t="n"/>
      <c r="F433" s="583">
        <f>E433*D433</f>
        <v/>
      </c>
    </row>
    <row r="434" ht="14.4" customHeight="1">
      <c r="A434" s="323" t="n"/>
      <c r="B434" s="323" t="n"/>
      <c r="C434" s="327" t="n"/>
      <c r="E434" s="605" t="n"/>
      <c r="F434" s="583" t="n"/>
    </row>
    <row r="435" ht="14.4" customHeight="1">
      <c r="A435" s="323" t="n"/>
      <c r="B435" s="406" t="inlineStr">
        <is>
          <t>Kembla copper  WATER ELBOW         90DEG X 80MM (EA)</t>
        </is>
      </c>
      <c r="C435" s="327" t="inlineStr">
        <is>
          <t>ea</t>
        </is>
      </c>
      <c r="E435" s="605" t="n">
        <v>118.5</v>
      </c>
      <c r="F435" s="583">
        <f>E435*D435</f>
        <v/>
      </c>
    </row>
    <row r="436" ht="14.4" customHeight="1">
      <c r="A436" s="323" t="n"/>
      <c r="B436" s="406" t="inlineStr">
        <is>
          <t>Kembla copper  WATER ELBOW         90DEG X 65MM (EA)</t>
        </is>
      </c>
      <c r="C436" s="327" t="inlineStr">
        <is>
          <t>ea</t>
        </is>
      </c>
      <c r="E436" s="605" t="n">
        <v>79.8</v>
      </c>
      <c r="F436" s="583">
        <f>E436*D436</f>
        <v/>
      </c>
    </row>
    <row r="437" ht="14.4" customHeight="1">
      <c r="A437" s="323" t="n"/>
      <c r="B437" s="406" t="inlineStr">
        <is>
          <t>Kembla copper  WATER ELBOW         90DEG X 50MM (EA)</t>
        </is>
      </c>
      <c r="C437" s="327" t="inlineStr">
        <is>
          <t>ea</t>
        </is>
      </c>
      <c r="E437" s="605" t="n">
        <v>45.02</v>
      </c>
      <c r="F437" s="583">
        <f>E437*D437</f>
        <v/>
      </c>
    </row>
    <row r="438" ht="14.4" customHeight="1">
      <c r="A438" s="323" t="n"/>
      <c r="B438" s="406" t="inlineStr">
        <is>
          <t>316SS press: Kembla copper  WATER ELBOW         90DEG X 32MM (EA)</t>
        </is>
      </c>
      <c r="C438" s="327" t="inlineStr">
        <is>
          <t>ea</t>
        </is>
      </c>
      <c r="D438" s="40" t="n">
        <v>3</v>
      </c>
      <c r="E438" s="605">
        <f>17.37*1.5</f>
        <v/>
      </c>
      <c r="F438" s="583">
        <f>E438*D438</f>
        <v/>
      </c>
      <c r="I438" s="540" t="inlineStr">
        <is>
          <t>316SS press fitting benchmark = Cu press rate x1.5 (SS press fittings 1.4-1.6x Cu per supplier curves) - pending RFQ (Gap #2)</t>
        </is>
      </c>
    </row>
    <row r="439" ht="14.4" customHeight="1">
      <c r="A439" s="323" t="n"/>
      <c r="B439" s="406" t="inlineStr">
        <is>
          <t xml:space="preserve">316SS press: Kembla copper  WATER ELBOW        90DEG X 25MM </t>
        </is>
      </c>
      <c r="C439" s="327" t="inlineStr">
        <is>
          <t>ea</t>
        </is>
      </c>
      <c r="D439" s="40" t="n">
        <v>35</v>
      </c>
      <c r="E439" s="605">
        <f>7.7*1.5</f>
        <v/>
      </c>
      <c r="F439" s="583">
        <f>E439*D439</f>
        <v/>
      </c>
      <c r="I439" s="540" t="inlineStr">
        <is>
          <t>316SS press fitting benchmark = Cu press rate x1.5 (SS press fittings 1.4-1.6x Cu per supplier curves) - pending RFQ (Gap #2)</t>
        </is>
      </c>
    </row>
    <row r="440" ht="14.4" customHeight="1">
      <c r="A440" s="323" t="n"/>
      <c r="B440" s="406" t="inlineStr">
        <is>
          <t xml:space="preserve">Kembla copper  WATER ELBOW        90DEG X 20MM </t>
        </is>
      </c>
      <c r="C440" s="327" t="inlineStr">
        <is>
          <t>ea</t>
        </is>
      </c>
      <c r="D440" s="40" t="n">
        <v>16</v>
      </c>
      <c r="E440" s="605" t="n">
        <v>4.58</v>
      </c>
      <c r="F440" s="583">
        <f>E440*D440</f>
        <v/>
      </c>
    </row>
    <row r="441" ht="14.4" customHeight="1">
      <c r="A441" s="323" t="n"/>
      <c r="B441" s="323" t="n"/>
      <c r="C441" s="327" t="n"/>
      <c r="E441" s="605" t="n"/>
      <c r="F441" s="583">
        <f>E441*D441</f>
        <v/>
      </c>
    </row>
    <row r="442" ht="14.4" customHeight="1">
      <c r="A442" s="323" t="n"/>
      <c r="B442" s="442" t="inlineStr">
        <is>
          <t>316SS press: 40mm Poly to 32mm Copper B Press Adapter</t>
        </is>
      </c>
      <c r="C442" s="440" t="inlineStr">
        <is>
          <t>ea</t>
        </is>
      </c>
      <c r="D442" s="396" t="n">
        <v>1</v>
      </c>
      <c r="E442" s="607">
        <f>35*1.5</f>
        <v/>
      </c>
      <c r="F442" s="608">
        <f>E442*D442</f>
        <v/>
      </c>
      <c r="I442" s="540" t="inlineStr">
        <is>
          <t>316SS press fitting benchmark = Cu press rate x1.5 (SS press fittings 1.4-1.6x Cu per supplier curves) - pending RFQ (Gap #2)</t>
        </is>
      </c>
    </row>
    <row r="443" ht="14.4" customHeight="1">
      <c r="A443" s="323" t="n"/>
      <c r="B443" s="442" t="inlineStr">
        <is>
          <t>316SS press: 32mm Poly to 32mm Copper B Press Adapter</t>
        </is>
      </c>
      <c r="C443" s="440" t="inlineStr">
        <is>
          <t>ea</t>
        </is>
      </c>
      <c r="D443" s="396" t="n">
        <v>2</v>
      </c>
      <c r="E443" s="607">
        <f>25*1.5</f>
        <v/>
      </c>
      <c r="F443" s="608">
        <f>E443*D443</f>
        <v/>
      </c>
      <c r="I443" s="540" t="inlineStr">
        <is>
          <t>316SS press fitting benchmark = Cu press rate x1.5 (SS press fittings 1.4-1.6x Cu per supplier curves) - pending RFQ (Gap #2)</t>
        </is>
      </c>
    </row>
    <row r="444" ht="14.4" customHeight="1">
      <c r="A444" s="406" t="inlineStr">
        <is>
          <t>HIDDEN</t>
        </is>
      </c>
      <c r="B444" s="323" t="n"/>
      <c r="C444" s="327" t="n"/>
      <c r="E444" s="605" t="n"/>
      <c r="F444" s="583">
        <f>E444*D444</f>
        <v/>
      </c>
    </row>
    <row r="445" ht="14.4" customHeight="1">
      <c r="A445" s="323" t="n"/>
      <c r="B445" s="323" t="inlineStr">
        <is>
          <t>63mm E/F PE 90 Deg Elb</t>
        </is>
      </c>
      <c r="C445" s="327" t="n"/>
      <c r="E445" s="605" t="n"/>
      <c r="F445" s="583">
        <f>E445*D445</f>
        <v/>
      </c>
    </row>
    <row r="446" ht="14.4" customHeight="1">
      <c r="A446" s="323" t="n"/>
      <c r="B446" s="323" t="inlineStr">
        <is>
          <t>63mm E/F PE 45 Deg Elb</t>
        </is>
      </c>
      <c r="C446" s="327" t="inlineStr">
        <is>
          <t>ea</t>
        </is>
      </c>
      <c r="E446" s="605" t="n">
        <v>13.5</v>
      </c>
      <c r="F446" s="583">
        <f>E446*D446</f>
        <v/>
      </c>
    </row>
    <row r="447" ht="14.4" customHeight="1">
      <c r="A447" s="323" t="n"/>
      <c r="B447" s="323" t="inlineStr">
        <is>
          <t>63mm E/F PE TEE</t>
        </is>
      </c>
      <c r="C447" s="327" t="inlineStr">
        <is>
          <t>ea</t>
        </is>
      </c>
      <c r="E447" s="605" t="n">
        <v>13.5</v>
      </c>
      <c r="F447" s="583">
        <f>E447*D447</f>
        <v/>
      </c>
    </row>
    <row r="448" ht="14.4" customHeight="1">
      <c r="A448" s="323" t="n"/>
      <c r="B448" s="323" t="inlineStr">
        <is>
          <t>63x40x63 E/F PE TEE</t>
        </is>
      </c>
      <c r="C448" s="327" t="inlineStr">
        <is>
          <t>ea</t>
        </is>
      </c>
      <c r="E448" s="605" t="n">
        <v>9.5</v>
      </c>
      <c r="F448" s="583">
        <f>E448*D448</f>
        <v/>
      </c>
    </row>
    <row r="449" ht="14.4" customHeight="1">
      <c r="A449" s="323" t="n"/>
      <c r="B449" s="323" t="inlineStr">
        <is>
          <t>63x32x63 E/F PE TEE</t>
        </is>
      </c>
      <c r="C449" s="327" t="inlineStr">
        <is>
          <t>ea</t>
        </is>
      </c>
      <c r="E449" s="605" t="n">
        <v>18.5</v>
      </c>
      <c r="F449" s="583">
        <f>E449*D449</f>
        <v/>
      </c>
    </row>
    <row r="450" ht="14.4" customHeight="1">
      <c r="A450" s="323" t="n"/>
      <c r="B450" s="323" t="inlineStr">
        <is>
          <t>63x25x63 E/F PE TEE</t>
        </is>
      </c>
      <c r="C450" s="327" t="inlineStr">
        <is>
          <t>ea</t>
        </is>
      </c>
      <c r="E450" s="605" t="n">
        <v>18.5</v>
      </c>
      <c r="F450" s="583">
        <f>E450*D450</f>
        <v/>
      </c>
    </row>
    <row r="451" ht="14.4" customHeight="1">
      <c r="A451" s="323" t="n"/>
      <c r="B451" s="323" t="inlineStr">
        <is>
          <t>63mm E/F PE Coupling</t>
        </is>
      </c>
      <c r="C451" s="327" t="inlineStr">
        <is>
          <t>ea</t>
        </is>
      </c>
      <c r="E451" s="605" t="n">
        <v>6</v>
      </c>
      <c r="F451" s="583">
        <f>E451*D451</f>
        <v/>
      </c>
    </row>
    <row r="452" ht="14.4" customHeight="1">
      <c r="A452" s="323" t="n"/>
      <c r="B452" s="323" t="inlineStr">
        <is>
          <t>63x40 E/F PE Reducer Coupling</t>
        </is>
      </c>
      <c r="C452" s="327" t="inlineStr">
        <is>
          <t>ea</t>
        </is>
      </c>
      <c r="E452" s="605" t="n">
        <v>5.5</v>
      </c>
      <c r="F452" s="583">
        <f>E452*D452</f>
        <v/>
      </c>
    </row>
    <row r="453" ht="14.4" customHeight="1">
      <c r="A453" s="323" t="n"/>
      <c r="B453" s="323" t="inlineStr">
        <is>
          <t>63x32 E/F PE Reducer Coupling</t>
        </is>
      </c>
      <c r="C453" s="327" t="inlineStr">
        <is>
          <t>ea</t>
        </is>
      </c>
      <c r="E453" s="605" t="n">
        <v>17.5</v>
      </c>
      <c r="F453" s="583">
        <f>E453*D453</f>
        <v/>
      </c>
    </row>
    <row r="454" ht="14.4" customHeight="1">
      <c r="A454" s="323" t="n"/>
      <c r="B454" s="323" t="inlineStr">
        <is>
          <t>63x25 E/F PE Reducer Coupling</t>
        </is>
      </c>
      <c r="C454" s="327" t="inlineStr">
        <is>
          <t>ea</t>
        </is>
      </c>
      <c r="E454" s="605" t="n">
        <v>16.5</v>
      </c>
      <c r="F454" s="583">
        <f>E454*D454</f>
        <v/>
      </c>
    </row>
    <row r="455" ht="14.4" customHeight="1">
      <c r="A455" s="323" t="n"/>
      <c r="B455" s="323" t="inlineStr">
        <is>
          <t>63PEx50Fi E/F PE Adapter</t>
        </is>
      </c>
      <c r="C455" s="327" t="inlineStr">
        <is>
          <t>ea</t>
        </is>
      </c>
      <c r="E455" s="605" t="n">
        <v>2.5</v>
      </c>
      <c r="F455" s="583">
        <f>E455*D455</f>
        <v/>
      </c>
    </row>
    <row r="456" ht="14.4" customHeight="1">
      <c r="A456" s="323" t="n"/>
      <c r="B456" s="323" t="inlineStr">
        <is>
          <t>63PEx50Mi E/F PE Adapter</t>
        </is>
      </c>
      <c r="C456" s="327" t="inlineStr">
        <is>
          <t>ea</t>
        </is>
      </c>
      <c r="E456" s="605" t="n">
        <v>43.5</v>
      </c>
      <c r="F456" s="583">
        <f>E456*D456</f>
        <v/>
      </c>
    </row>
    <row r="457" ht="14.4" customHeight="1">
      <c r="A457" s="323" t="n"/>
      <c r="B457" s="323" t="inlineStr">
        <is>
          <t>63PEx50Fi E/F PE Tramsiton Union</t>
        </is>
      </c>
      <c r="C457" s="327" t="inlineStr">
        <is>
          <t>ea</t>
        </is>
      </c>
      <c r="E457" s="605" t="n">
        <v>43.5</v>
      </c>
      <c r="F457" s="583">
        <f>E457*D457</f>
        <v/>
      </c>
    </row>
    <row r="458" ht="14.4" customHeight="1">
      <c r="A458" s="323" t="n"/>
      <c r="B458" s="323" t="inlineStr">
        <is>
          <t>63PEx50Mi E/F PE Transition Union</t>
        </is>
      </c>
      <c r="C458" s="327" t="inlineStr">
        <is>
          <t>ea</t>
        </is>
      </c>
      <c r="E458" s="605" t="n">
        <v>45.5</v>
      </c>
      <c r="F458" s="583">
        <f>E458*D458</f>
        <v/>
      </c>
    </row>
    <row r="459" ht="14.4" customHeight="1">
      <c r="A459" s="323" t="n"/>
      <c r="B459" s="323" t="inlineStr">
        <is>
          <t>40mm E/F PE 90 Deg Elb</t>
        </is>
      </c>
      <c r="C459" s="327" t="inlineStr">
        <is>
          <t>ea</t>
        </is>
      </c>
      <c r="E459" s="605" t="n">
        <v>76</v>
      </c>
      <c r="F459" s="583">
        <f>E459*D459</f>
        <v/>
      </c>
    </row>
    <row r="460" ht="14.4" customHeight="1">
      <c r="A460" s="323" t="n"/>
      <c r="B460" s="323" t="inlineStr">
        <is>
          <t>40mm E/F PE 45 Deg Elb</t>
        </is>
      </c>
      <c r="C460" s="327" t="inlineStr">
        <is>
          <t>ea</t>
        </is>
      </c>
      <c r="E460" s="605" t="n">
        <v>11.5</v>
      </c>
      <c r="F460" s="583">
        <f>E460*D460</f>
        <v/>
      </c>
    </row>
    <row r="461" ht="14.4" customHeight="1">
      <c r="A461" s="323" t="n"/>
      <c r="B461" s="323" t="inlineStr">
        <is>
          <t>40mm E/F PE TEE</t>
        </is>
      </c>
      <c r="C461" s="327" t="inlineStr">
        <is>
          <t>ea</t>
        </is>
      </c>
      <c r="E461" s="605" t="n">
        <v>11.5</v>
      </c>
      <c r="F461" s="583">
        <f>E461*D461</f>
        <v/>
      </c>
    </row>
    <row r="462" ht="14.4" customHeight="1">
      <c r="A462" s="323" t="n"/>
      <c r="B462" s="323" t="inlineStr">
        <is>
          <t>40x32x40 E/F PE TEE</t>
        </is>
      </c>
      <c r="C462" s="327" t="inlineStr">
        <is>
          <t>ea</t>
        </is>
      </c>
      <c r="E462" s="605" t="n">
        <v>12</v>
      </c>
      <c r="F462" s="583">
        <f>E462*D462</f>
        <v/>
      </c>
    </row>
    <row r="463" ht="14.4" customHeight="1">
      <c r="A463" s="323" t="n"/>
      <c r="B463" s="323" t="inlineStr">
        <is>
          <t>40x25x40 E/F PE TEE</t>
        </is>
      </c>
      <c r="C463" s="327" t="inlineStr">
        <is>
          <t>ea</t>
        </is>
      </c>
      <c r="E463" s="605" t="n">
        <v>18.5</v>
      </c>
      <c r="F463" s="583">
        <f>E463*D463</f>
        <v/>
      </c>
    </row>
    <row r="464" ht="14.4" customHeight="1">
      <c r="A464" s="323" t="n"/>
      <c r="B464" s="323" t="inlineStr">
        <is>
          <t>40mm E/F PE Coupling</t>
        </is>
      </c>
      <c r="C464" s="327" t="inlineStr">
        <is>
          <t>ea</t>
        </is>
      </c>
      <c r="E464" s="605" t="n">
        <v>19.5</v>
      </c>
      <c r="F464" s="583">
        <f>E464*D464</f>
        <v/>
      </c>
    </row>
    <row r="465" ht="14.4" customHeight="1">
      <c r="A465" s="323" t="n"/>
      <c r="B465" s="323" t="inlineStr">
        <is>
          <t>40x32 E/F PE Reducer Coupling</t>
        </is>
      </c>
      <c r="C465" s="327" t="inlineStr">
        <is>
          <t>ea</t>
        </is>
      </c>
      <c r="E465" s="605" t="n">
        <v>4.5</v>
      </c>
      <c r="F465" s="583">
        <f>E465*D465</f>
        <v/>
      </c>
    </row>
    <row r="466" ht="14.4" customHeight="1">
      <c r="A466" s="323" t="n"/>
      <c r="B466" s="323" t="inlineStr">
        <is>
          <t>40x25 E/F PE Reducer Coupling</t>
        </is>
      </c>
      <c r="C466" s="327" t="inlineStr">
        <is>
          <t>ea</t>
        </is>
      </c>
      <c r="E466" s="605" t="n">
        <v>10.5</v>
      </c>
      <c r="F466" s="583">
        <f>E466*D466</f>
        <v/>
      </c>
    </row>
    <row r="467" ht="14.4" customHeight="1">
      <c r="A467" s="323" t="n"/>
      <c r="B467" s="323" t="inlineStr">
        <is>
          <t>40PEx32Fi E/F PE Adapter</t>
        </is>
      </c>
      <c r="C467" s="327" t="inlineStr">
        <is>
          <t>ea</t>
        </is>
      </c>
      <c r="E467" s="605" t="n">
        <v>14.5</v>
      </c>
      <c r="F467" s="583">
        <f>E467*D467</f>
        <v/>
      </c>
    </row>
    <row r="468" ht="14.4" customHeight="1">
      <c r="A468" s="323" t="n"/>
      <c r="B468" s="323" t="inlineStr">
        <is>
          <t>40PEx32Mi E/F PE Adapter</t>
        </is>
      </c>
      <c r="C468" s="327" t="inlineStr">
        <is>
          <t>ea</t>
        </is>
      </c>
      <c r="E468" s="605" t="n">
        <v>28.5</v>
      </c>
      <c r="F468" s="583">
        <f>E468*D468</f>
        <v/>
      </c>
    </row>
    <row r="469" ht="14.4" customHeight="1">
      <c r="A469" s="323" t="n"/>
      <c r="B469" s="323" t="inlineStr">
        <is>
          <t>40PEx32Fi E/F PE Tramsiton Union</t>
        </is>
      </c>
      <c r="C469" s="327" t="inlineStr">
        <is>
          <t>ea</t>
        </is>
      </c>
      <c r="E469" s="605" t="n">
        <v>29.5</v>
      </c>
      <c r="F469" s="583">
        <f>E469*D469</f>
        <v/>
      </c>
    </row>
    <row r="470" ht="14.4" customHeight="1">
      <c r="A470" s="323" t="n"/>
      <c r="B470" s="323" t="inlineStr">
        <is>
          <t>40PEx32Mi E/F PE Transition Union</t>
        </is>
      </c>
      <c r="C470" s="327" t="inlineStr">
        <is>
          <t>ea</t>
        </is>
      </c>
      <c r="E470" s="605" t="n">
        <v>36</v>
      </c>
      <c r="F470" s="583">
        <f>E470*D470</f>
        <v/>
      </c>
    </row>
    <row r="471" ht="14.4" customHeight="1">
      <c r="A471" s="323" t="n"/>
      <c r="B471" s="323" t="inlineStr">
        <is>
          <t>32mm E/F PE 90 Deg Elb</t>
        </is>
      </c>
      <c r="C471" s="327" t="inlineStr">
        <is>
          <t>ea</t>
        </is>
      </c>
      <c r="E471" s="605" t="n">
        <v>54</v>
      </c>
      <c r="F471" s="583">
        <f>E471*D471</f>
        <v/>
      </c>
    </row>
    <row r="472" ht="14.4" customHeight="1">
      <c r="A472" s="323" t="n"/>
      <c r="B472" s="323" t="inlineStr">
        <is>
          <t>32mm E/F PE 45 Deg Elb</t>
        </is>
      </c>
      <c r="C472" s="327" t="inlineStr">
        <is>
          <t>ea</t>
        </is>
      </c>
      <c r="E472" s="605" t="n">
        <v>10.5</v>
      </c>
      <c r="F472" s="583">
        <f>E472*D472</f>
        <v/>
      </c>
    </row>
    <row r="473" ht="14.4" customHeight="1">
      <c r="A473" s="323" t="n"/>
      <c r="B473" s="323" t="inlineStr">
        <is>
          <t>32mm E/F PE TEE</t>
        </is>
      </c>
      <c r="C473" s="327" t="inlineStr">
        <is>
          <t>ea</t>
        </is>
      </c>
      <c r="E473" s="605" t="n">
        <v>10</v>
      </c>
      <c r="F473" s="583">
        <f>E473*D473</f>
        <v/>
      </c>
    </row>
    <row r="474" ht="14.4" customHeight="1">
      <c r="A474" s="323" t="n"/>
      <c r="B474" s="323" t="inlineStr">
        <is>
          <t>32x25x32 E/F PE TEE</t>
        </is>
      </c>
      <c r="C474" s="327" t="inlineStr">
        <is>
          <t>ea</t>
        </is>
      </c>
      <c r="E474" s="605" t="n">
        <v>5.5</v>
      </c>
      <c r="F474" s="583">
        <f>E474*D474</f>
        <v/>
      </c>
    </row>
    <row r="475" ht="14.4" customHeight="1">
      <c r="A475" s="323" t="n"/>
      <c r="B475" s="323" t="inlineStr">
        <is>
          <t>32mm E/F PE Coupling</t>
        </is>
      </c>
      <c r="C475" s="327" t="inlineStr">
        <is>
          <t>ea</t>
        </is>
      </c>
      <c r="E475" s="605" t="n">
        <v>18</v>
      </c>
      <c r="F475" s="583">
        <f>E475*D475</f>
        <v/>
      </c>
    </row>
    <row r="476" ht="14.4" customHeight="1">
      <c r="A476" s="323" t="n"/>
      <c r="B476" s="323" t="inlineStr">
        <is>
          <t>32x25 E/F PE Reducer Coupling</t>
        </is>
      </c>
      <c r="C476" s="327" t="inlineStr">
        <is>
          <t>ea</t>
        </is>
      </c>
      <c r="E476" s="605" t="n">
        <v>4.5</v>
      </c>
      <c r="F476" s="583">
        <f>E476*D476</f>
        <v/>
      </c>
    </row>
    <row r="477" ht="14.4" customHeight="1">
      <c r="A477" s="323" t="n"/>
      <c r="B477" s="323" t="inlineStr">
        <is>
          <t>32PEx25Fi E/F PE Adapter</t>
        </is>
      </c>
      <c r="C477" s="327" t="inlineStr">
        <is>
          <t>ea</t>
        </is>
      </c>
      <c r="E477" s="605" t="n">
        <v>6.5</v>
      </c>
      <c r="F477" s="583">
        <f>E477*D477</f>
        <v/>
      </c>
    </row>
    <row r="478" ht="14.4" customHeight="1">
      <c r="A478" s="323" t="n"/>
      <c r="B478" s="323" t="inlineStr">
        <is>
          <t>32PEx25Mi E/F PE Adapter</t>
        </is>
      </c>
      <c r="C478" s="327" t="inlineStr">
        <is>
          <t>ea</t>
        </is>
      </c>
      <c r="E478" s="605" t="n">
        <v>25.5</v>
      </c>
      <c r="F478" s="583">
        <f>E478*D478</f>
        <v/>
      </c>
    </row>
    <row r="479" ht="14.4" customHeight="1">
      <c r="A479" s="323" t="n"/>
      <c r="B479" s="323" t="inlineStr">
        <is>
          <t>32mm E/F PE End Cap</t>
        </is>
      </c>
      <c r="C479" s="327" t="inlineStr">
        <is>
          <t>ea</t>
        </is>
      </c>
      <c r="E479" s="605" t="n">
        <v>22.5</v>
      </c>
      <c r="F479" s="583">
        <f>E479*D479</f>
        <v/>
      </c>
    </row>
    <row r="480" ht="14.4" customHeight="1">
      <c r="A480" s="323" t="n"/>
      <c r="B480" s="323" t="inlineStr">
        <is>
          <t>32mm E/F PE End Plug</t>
        </is>
      </c>
      <c r="C480" s="327" t="inlineStr">
        <is>
          <t>ea</t>
        </is>
      </c>
      <c r="E480" s="605" t="n">
        <v>8.5</v>
      </c>
      <c r="F480" s="583">
        <f>E480*D480</f>
        <v/>
      </c>
    </row>
    <row r="481" ht="14.4" customHeight="1">
      <c r="A481" s="323" t="n"/>
      <c r="B481" s="323" t="inlineStr">
        <is>
          <t>25mm E/F PE 90 Deg Elb</t>
        </is>
      </c>
      <c r="C481" s="327" t="inlineStr">
        <is>
          <t>ea</t>
        </is>
      </c>
      <c r="E481" s="605" t="n">
        <v>6.5</v>
      </c>
      <c r="F481" s="583">
        <f>E481*D481</f>
        <v/>
      </c>
    </row>
    <row r="482" ht="14.4" customHeight="1">
      <c r="A482" s="323" t="n"/>
      <c r="B482" s="323" t="inlineStr">
        <is>
          <t>25mm E/F PE 45 Deg Elb</t>
        </is>
      </c>
      <c r="C482" s="327" t="inlineStr">
        <is>
          <t>ea</t>
        </is>
      </c>
      <c r="E482" s="605" t="n">
        <v>10.5</v>
      </c>
      <c r="F482" s="583">
        <f>E482*D482</f>
        <v/>
      </c>
    </row>
    <row r="483" ht="14.4" customHeight="1">
      <c r="A483" s="323" t="n"/>
      <c r="B483" s="323" t="inlineStr">
        <is>
          <t>25mm E/F PE TEE</t>
        </is>
      </c>
      <c r="C483" s="327" t="inlineStr">
        <is>
          <t>ea</t>
        </is>
      </c>
      <c r="E483" s="605" t="n">
        <v>0</v>
      </c>
      <c r="F483" s="583">
        <f>E483*D483</f>
        <v/>
      </c>
    </row>
    <row r="484" ht="14.4" customHeight="1">
      <c r="A484" s="323" t="n"/>
      <c r="B484" s="323" t="inlineStr">
        <is>
          <t>25mm E/F PE Coupling</t>
        </is>
      </c>
      <c r="C484" s="327" t="inlineStr">
        <is>
          <t>ea</t>
        </is>
      </c>
      <c r="E484" s="605" t="n">
        <v>4.5</v>
      </c>
      <c r="F484" s="583">
        <f>E484*D484</f>
        <v/>
      </c>
    </row>
    <row r="485" ht="14.4" customHeight="1">
      <c r="A485" s="323" t="n"/>
      <c r="B485" s="323" t="inlineStr">
        <is>
          <t>25PEx25Fi E/F PE Adapter</t>
        </is>
      </c>
      <c r="C485" s="327" t="inlineStr">
        <is>
          <t>ea</t>
        </is>
      </c>
      <c r="E485" s="605" t="n">
        <v>4</v>
      </c>
      <c r="F485" s="583">
        <f>E485*D485</f>
        <v/>
      </c>
    </row>
    <row r="486" ht="14.4" customHeight="1">
      <c r="A486" s="323" t="n"/>
      <c r="B486" s="323" t="inlineStr">
        <is>
          <t>25PEx25Mi E/F PE Adapter</t>
        </is>
      </c>
      <c r="C486" s="327" t="inlineStr">
        <is>
          <t>ea</t>
        </is>
      </c>
      <c r="E486" s="605" t="n">
        <v>17</v>
      </c>
      <c r="F486" s="583">
        <f>E486*D486</f>
        <v/>
      </c>
    </row>
    <row r="487" ht="14.4" customHeight="1">
      <c r="A487" s="323" t="n"/>
      <c r="B487" s="323" t="inlineStr">
        <is>
          <t>25PEx20Fi E/F PE Adapter</t>
        </is>
      </c>
      <c r="C487" s="327" t="inlineStr">
        <is>
          <t>ea</t>
        </is>
      </c>
      <c r="E487" s="605" t="n">
        <v>17.5</v>
      </c>
      <c r="F487" s="583">
        <f>E487*D487</f>
        <v/>
      </c>
    </row>
    <row r="488" ht="14.4" customHeight="1">
      <c r="A488" s="323" t="n"/>
      <c r="B488" s="323" t="inlineStr">
        <is>
          <t>25PEx20Mi E/F PE Adapter</t>
        </is>
      </c>
      <c r="C488" s="327" t="inlineStr">
        <is>
          <t>ea</t>
        </is>
      </c>
      <c r="E488" s="605" t="n">
        <v>4.5</v>
      </c>
      <c r="F488" s="583">
        <f>E488*D488</f>
        <v/>
      </c>
    </row>
    <row r="489" ht="14.4" customHeight="1">
      <c r="A489" s="323" t="n"/>
      <c r="B489" s="323" t="inlineStr">
        <is>
          <t>25mm E/F PE End Cap</t>
        </is>
      </c>
      <c r="C489" s="327" t="inlineStr">
        <is>
          <t>ea</t>
        </is>
      </c>
      <c r="E489" s="605" t="n">
        <v>2</v>
      </c>
      <c r="F489" s="583">
        <f>E489*D489</f>
        <v/>
      </c>
    </row>
    <row r="490" ht="14.4" customHeight="1">
      <c r="A490" s="323" t="n"/>
      <c r="B490" s="323" t="inlineStr">
        <is>
          <t>25mm E/F PE End Plug</t>
        </is>
      </c>
      <c r="C490" s="327" t="inlineStr">
        <is>
          <t>ea</t>
        </is>
      </c>
      <c r="E490" s="605" t="n">
        <v>8.5</v>
      </c>
      <c r="F490" s="583">
        <f>E490*D490</f>
        <v/>
      </c>
    </row>
    <row r="491" ht="14.4" customHeight="1">
      <c r="A491" s="406" t="inlineStr">
        <is>
          <t>HIDDEN</t>
        </is>
      </c>
      <c r="B491" s="323" t="n"/>
      <c r="C491" s="327" t="inlineStr">
        <is>
          <t>ea</t>
        </is>
      </c>
      <c r="E491" s="605" t="n">
        <v>4</v>
      </c>
      <c r="F491" s="583">
        <f>E491*D491</f>
        <v/>
      </c>
    </row>
    <row r="492" ht="14.4" customHeight="1">
      <c r="A492" s="323" t="n"/>
      <c r="B492" s="323" t="inlineStr">
        <is>
          <t>100mm CU Crimp 90 DEG FxF Elbow</t>
        </is>
      </c>
      <c r="C492" s="327" t="n"/>
      <c r="E492" s="605" t="n"/>
      <c r="F492" s="583">
        <f>E492*D492</f>
        <v/>
      </c>
    </row>
    <row r="493" ht="14.4" customHeight="1">
      <c r="A493" s="323" t="n"/>
      <c r="B493" s="323" t="inlineStr">
        <is>
          <t>100mm CU Crimp 45 DEG FxF Elbow</t>
        </is>
      </c>
      <c r="C493" s="327" t="inlineStr">
        <is>
          <t>ea</t>
        </is>
      </c>
      <c r="E493" s="605" t="n">
        <v>137</v>
      </c>
      <c r="F493" s="583">
        <f>E493*D493</f>
        <v/>
      </c>
    </row>
    <row r="494" ht="14.4" customHeight="1">
      <c r="A494" s="323" t="n"/>
      <c r="B494" s="323" t="inlineStr">
        <is>
          <t>100mm CU Crimp Tee</t>
        </is>
      </c>
      <c r="C494" s="327" t="inlineStr">
        <is>
          <t>ea</t>
        </is>
      </c>
      <c r="E494" s="605" t="n">
        <v>139.5</v>
      </c>
      <c r="F494" s="583">
        <f>E494*D494</f>
        <v/>
      </c>
    </row>
    <row r="495" ht="14.4" customHeight="1">
      <c r="A495" s="323" t="n"/>
      <c r="B495" s="323" t="inlineStr">
        <is>
          <t>100x50x100 CU Crimp Tee</t>
        </is>
      </c>
      <c r="C495" s="327" t="inlineStr">
        <is>
          <t>ea</t>
        </is>
      </c>
      <c r="E495" s="605" t="n">
        <v>183</v>
      </c>
      <c r="F495" s="583">
        <f>E495*D495</f>
        <v/>
      </c>
    </row>
    <row r="496" ht="14.4" customHeight="1">
      <c r="A496" s="323" t="n"/>
      <c r="B496" s="323" t="inlineStr">
        <is>
          <t>100x50 CU Crimp Reducer</t>
        </is>
      </c>
      <c r="C496" s="327" t="inlineStr">
        <is>
          <t>ea</t>
        </is>
      </c>
      <c r="E496" s="605" t="n">
        <v>184.5</v>
      </c>
      <c r="F496" s="583">
        <f>E496*D496</f>
        <v/>
      </c>
    </row>
    <row r="497" ht="14.4" customHeight="1">
      <c r="A497" s="323" t="n"/>
      <c r="B497" s="323" t="inlineStr">
        <is>
          <t>100mm CU Crimp Repair Coupling</t>
        </is>
      </c>
      <c r="C497" s="327" t="inlineStr">
        <is>
          <t>ea</t>
        </is>
      </c>
      <c r="E497" s="605" t="n">
        <v>56</v>
      </c>
      <c r="F497" s="583">
        <f>E497*D497</f>
        <v/>
      </c>
    </row>
    <row r="498" ht="14.4" customHeight="1">
      <c r="A498" s="323" t="n"/>
      <c r="B498" s="323" t="inlineStr">
        <is>
          <t>100mm CU Crimp Coupling</t>
        </is>
      </c>
      <c r="C498" s="327" t="inlineStr">
        <is>
          <t>ea</t>
        </is>
      </c>
      <c r="E498" s="605" t="n">
        <v>103</v>
      </c>
      <c r="F498" s="583">
        <f>E498*D498</f>
        <v/>
      </c>
    </row>
    <row r="499" ht="14.4" customHeight="1">
      <c r="A499" s="323" t="n"/>
      <c r="B499" s="323" t="inlineStr">
        <is>
          <t>100Cu x 100Flange CU Crimp Coupling</t>
        </is>
      </c>
      <c r="C499" s="327" t="inlineStr">
        <is>
          <t>ea</t>
        </is>
      </c>
      <c r="E499" s="605" t="n">
        <v>95</v>
      </c>
      <c r="F499" s="583">
        <f>E499*D499</f>
        <v/>
      </c>
    </row>
    <row r="500" ht="14.4" customHeight="1">
      <c r="A500" s="323" t="n"/>
      <c r="B500" s="323" t="inlineStr">
        <is>
          <t xml:space="preserve">80mm x 65mm Cu Reducer </t>
        </is>
      </c>
      <c r="C500" s="327" t="inlineStr">
        <is>
          <t>ea</t>
        </is>
      </c>
      <c r="E500" s="605" t="n">
        <v>100</v>
      </c>
      <c r="F500" s="583">
        <f>E500*D500</f>
        <v/>
      </c>
    </row>
    <row r="501" ht="14.4" customHeight="1">
      <c r="A501" s="323" t="n"/>
      <c r="B501" s="323" t="inlineStr">
        <is>
          <t xml:space="preserve">65mm Cu Crimp Tee </t>
        </is>
      </c>
      <c r="C501" s="327" t="inlineStr">
        <is>
          <t>ea</t>
        </is>
      </c>
      <c r="E501" s="605" t="n">
        <v>130.1</v>
      </c>
      <c r="F501" s="583">
        <f>E501*D501</f>
        <v/>
      </c>
    </row>
    <row r="502" ht="14.4" customHeight="1">
      <c r="A502" s="323" t="n"/>
      <c r="B502" s="323" t="inlineStr">
        <is>
          <t>65mmX 50 Cu WAT Crimp Reducer</t>
        </is>
      </c>
      <c r="C502" s="327" t="inlineStr">
        <is>
          <t>ea</t>
        </is>
      </c>
      <c r="E502" s="605" t="n">
        <v>60</v>
      </c>
      <c r="F502" s="583">
        <f>E502*D502</f>
        <v/>
      </c>
    </row>
    <row r="503" ht="14.4" customHeight="1">
      <c r="A503" s="323" t="n"/>
      <c r="B503" s="323" t="inlineStr">
        <is>
          <t>65mmX 32 Cu WAT Crimp Reducer</t>
        </is>
      </c>
      <c r="C503" s="327" t="inlineStr">
        <is>
          <t>ea</t>
        </is>
      </c>
      <c r="E503" s="605" t="n">
        <v>55</v>
      </c>
      <c r="F503" s="583">
        <f>E503*D503</f>
        <v/>
      </c>
    </row>
    <row r="504" ht="14.4" customHeight="1">
      <c r="A504" s="323" t="n"/>
      <c r="B504" s="323" t="inlineStr">
        <is>
          <t>65 mmX 20 Cu WAT Crimp Reducer</t>
        </is>
      </c>
      <c r="C504" s="327" t="inlineStr">
        <is>
          <t>ea</t>
        </is>
      </c>
      <c r="E504" s="605" t="n">
        <v>50</v>
      </c>
      <c r="F504" s="583">
        <f>E504*D504</f>
        <v/>
      </c>
    </row>
    <row r="505" ht="14.4" customHeight="1">
      <c r="A505" s="323" t="n"/>
      <c r="B505" s="406" t="inlineStr">
        <is>
          <t>50mm CU Crimp 90 DEG FxF Elbow</t>
        </is>
      </c>
      <c r="C505" s="327" t="inlineStr">
        <is>
          <t>ea</t>
        </is>
      </c>
      <c r="E505" s="605" t="n">
        <v>99.5</v>
      </c>
      <c r="F505" s="583">
        <f>E505*D505</f>
        <v/>
      </c>
    </row>
    <row r="506" ht="14.4" customHeight="1">
      <c r="A506" s="323" t="n"/>
      <c r="B506" s="323" t="inlineStr">
        <is>
          <t>50mm CU Crimp 45 DEG FxF Elbow</t>
        </is>
      </c>
      <c r="C506" s="327" t="inlineStr">
        <is>
          <t>ea</t>
        </is>
      </c>
      <c r="E506" s="605" t="n">
        <v>33.5</v>
      </c>
      <c r="F506" s="583">
        <f>E506*D506</f>
        <v/>
      </c>
    </row>
    <row r="507" ht="14.4" customHeight="1">
      <c r="A507" s="323" t="n"/>
      <c r="B507" s="406" t="inlineStr">
        <is>
          <t>50mm CU Crimp Tee</t>
        </is>
      </c>
      <c r="C507" s="327" t="inlineStr">
        <is>
          <t>ea</t>
        </is>
      </c>
      <c r="E507" s="605" t="n">
        <v>56.35</v>
      </c>
      <c r="F507" s="583">
        <f>E507*D507</f>
        <v/>
      </c>
    </row>
    <row r="508" ht="14.4" customHeight="1">
      <c r="A508" s="323" t="n"/>
      <c r="B508" s="323" t="inlineStr">
        <is>
          <t>50x40x50 CU Crimp Tee</t>
        </is>
      </c>
      <c r="C508" s="327" t="inlineStr">
        <is>
          <t>ea</t>
        </is>
      </c>
      <c r="E508" s="605" t="n">
        <v>60.5</v>
      </c>
      <c r="F508" s="583">
        <f>E508*D508</f>
        <v/>
      </c>
    </row>
    <row r="509" ht="14.4" customHeight="1">
      <c r="A509" s="323" t="n"/>
      <c r="B509" s="323" t="inlineStr">
        <is>
          <t>50x40x40 CU Crimp Tee</t>
        </is>
      </c>
      <c r="C509" s="327" t="inlineStr">
        <is>
          <t>ea</t>
        </is>
      </c>
      <c r="E509" s="605" t="n">
        <v>61</v>
      </c>
      <c r="F509" s="583">
        <f>E509*D509</f>
        <v/>
      </c>
    </row>
    <row r="510" ht="14.4" customHeight="1">
      <c r="A510" s="323" t="n"/>
      <c r="B510" s="323" t="inlineStr">
        <is>
          <t>50x32x50 CU Crimp Tee</t>
        </is>
      </c>
      <c r="C510" s="327" t="inlineStr">
        <is>
          <t>ea</t>
        </is>
      </c>
      <c r="E510" s="605" t="n">
        <v>65</v>
      </c>
      <c r="F510" s="583">
        <f>E510*D510</f>
        <v/>
      </c>
    </row>
    <row r="511" ht="14.4" customHeight="1">
      <c r="A511" s="323" t="n"/>
      <c r="B511" s="323" t="inlineStr">
        <is>
          <t>50x32x32 CU Crimp Tee</t>
        </is>
      </c>
      <c r="C511" s="327" t="inlineStr">
        <is>
          <t>ea</t>
        </is>
      </c>
      <c r="E511" s="605" t="n">
        <v>65</v>
      </c>
      <c r="F511" s="583">
        <f>E511*D511</f>
        <v/>
      </c>
    </row>
    <row r="512" ht="14.4" customHeight="1">
      <c r="A512" s="323" t="n"/>
      <c r="B512" s="323" t="inlineStr">
        <is>
          <t>50x32x40 CU Crimp Tee</t>
        </is>
      </c>
      <c r="C512" s="327" t="inlineStr">
        <is>
          <t>ea</t>
        </is>
      </c>
      <c r="E512" s="605" t="n">
        <v>65</v>
      </c>
      <c r="F512" s="583">
        <f>E512*D512</f>
        <v/>
      </c>
    </row>
    <row r="513" ht="14.4" customHeight="1">
      <c r="A513" s="323" t="n"/>
      <c r="B513" s="323" t="inlineStr">
        <is>
          <t>50x25x50 CU Crimp Tee</t>
        </is>
      </c>
      <c r="C513" s="327" t="inlineStr">
        <is>
          <t>ea</t>
        </is>
      </c>
      <c r="E513" s="605" t="n">
        <v>65</v>
      </c>
      <c r="F513" s="583">
        <f>E513*D513</f>
        <v/>
      </c>
    </row>
    <row r="514" ht="14.4" customHeight="1">
      <c r="A514" s="323" t="n"/>
      <c r="B514" s="323" t="inlineStr">
        <is>
          <t>50x20x50 CU Crimp Tee</t>
        </is>
      </c>
      <c r="C514" s="327" t="inlineStr">
        <is>
          <t>ea</t>
        </is>
      </c>
      <c r="E514" s="605" t="n">
        <v>45</v>
      </c>
      <c r="F514" s="583">
        <f>E514*D514</f>
        <v/>
      </c>
    </row>
    <row r="515" ht="14.4" customHeight="1">
      <c r="A515" s="323" t="n"/>
      <c r="B515" s="323" t="inlineStr">
        <is>
          <t>50x15x50 CU Crimp Tee</t>
        </is>
      </c>
      <c r="C515" s="327" t="inlineStr">
        <is>
          <t>ea</t>
        </is>
      </c>
      <c r="E515" s="605" t="n">
        <v>55</v>
      </c>
      <c r="F515" s="583">
        <f>E515*D515</f>
        <v/>
      </c>
    </row>
    <row r="516" ht="14.4" customHeight="1">
      <c r="A516" s="323" t="n"/>
      <c r="B516" s="406" t="inlineStr">
        <is>
          <t>50x40 CU Crimp Reducer</t>
        </is>
      </c>
      <c r="C516" s="327" t="inlineStr">
        <is>
          <t>ea</t>
        </is>
      </c>
      <c r="E516" s="605" t="n">
        <v>55</v>
      </c>
      <c r="F516" s="583">
        <f>E516*D516</f>
        <v/>
      </c>
    </row>
    <row r="517" ht="14.4" customHeight="1">
      <c r="A517" s="323" t="n"/>
      <c r="B517" s="323" t="inlineStr">
        <is>
          <t>50x32 CU Crimp Reducer</t>
        </is>
      </c>
      <c r="C517" s="327" t="inlineStr">
        <is>
          <t>ea</t>
        </is>
      </c>
      <c r="E517" s="605" t="n">
        <v>21.5</v>
      </c>
      <c r="F517" s="583">
        <f>E517*D517</f>
        <v/>
      </c>
    </row>
    <row r="518" ht="14.4" customHeight="1">
      <c r="A518" s="323" t="n"/>
      <c r="B518" s="323" t="inlineStr">
        <is>
          <t>50x25 CU Crimp Reducer</t>
        </is>
      </c>
      <c r="C518" s="327" t="inlineStr">
        <is>
          <t>ea</t>
        </is>
      </c>
      <c r="E518" s="605" t="n">
        <v>34.92</v>
      </c>
      <c r="F518" s="583">
        <f>E518*D518</f>
        <v/>
      </c>
    </row>
    <row r="519" ht="14.4" customHeight="1">
      <c r="A519" s="323" t="n"/>
      <c r="B519" s="323" t="inlineStr">
        <is>
          <t>50x20 CU Crimp Reducer</t>
        </is>
      </c>
      <c r="C519" s="327" t="inlineStr">
        <is>
          <t>ea</t>
        </is>
      </c>
      <c r="E519" s="605" t="n">
        <v>35</v>
      </c>
      <c r="F519" s="583">
        <f>E519*D519</f>
        <v/>
      </c>
    </row>
    <row r="520" ht="14.4" customHeight="1">
      <c r="A520" s="323" t="n"/>
      <c r="B520" s="323" t="inlineStr">
        <is>
          <t>50x15 CU Crimp Reducer</t>
        </is>
      </c>
      <c r="C520" s="327" t="inlineStr">
        <is>
          <t>ea</t>
        </is>
      </c>
      <c r="E520" s="605" t="n">
        <v>22</v>
      </c>
      <c r="F520" s="583">
        <f>E520*D520</f>
        <v/>
      </c>
    </row>
    <row r="521" ht="14.4" customHeight="1">
      <c r="A521" s="323" t="n"/>
      <c r="B521" s="323" t="inlineStr">
        <is>
          <t>50Cu x 50Mi CU Crimp Adapter</t>
        </is>
      </c>
      <c r="C521" s="327" t="inlineStr">
        <is>
          <t>ea</t>
        </is>
      </c>
      <c r="E521" s="605" t="n">
        <v>22</v>
      </c>
      <c r="F521" s="583">
        <f>E521*D521</f>
        <v/>
      </c>
    </row>
    <row r="522" ht="14.4" customHeight="1">
      <c r="A522" s="323" t="n"/>
      <c r="B522" s="323" t="inlineStr">
        <is>
          <t>50Cu x 50Fi CU Crimp Adapter</t>
        </is>
      </c>
      <c r="C522" s="327" t="inlineStr">
        <is>
          <t>ea</t>
        </is>
      </c>
      <c r="E522" s="605" t="n">
        <v>78</v>
      </c>
      <c r="F522" s="583">
        <f>E522*D522</f>
        <v/>
      </c>
    </row>
    <row r="523" ht="14.4" customHeight="1">
      <c r="A523" s="323" t="n"/>
      <c r="B523" s="323" t="inlineStr">
        <is>
          <t>50mm CU Crimp Repair Coupling</t>
        </is>
      </c>
      <c r="C523" s="327" t="inlineStr">
        <is>
          <t>ea</t>
        </is>
      </c>
      <c r="E523" s="605" t="n">
        <v>89</v>
      </c>
      <c r="F523" s="583">
        <f>E523*D523</f>
        <v/>
      </c>
    </row>
    <row r="524" ht="14.4" customHeight="1">
      <c r="A524" s="323" t="n"/>
      <c r="B524" s="323" t="inlineStr">
        <is>
          <t>50mm CU Crimp Coupling</t>
        </is>
      </c>
      <c r="C524" s="327" t="inlineStr">
        <is>
          <t>ea</t>
        </is>
      </c>
      <c r="E524" s="605" t="n">
        <v>21</v>
      </c>
      <c r="F524" s="583">
        <f>E524*D524</f>
        <v/>
      </c>
    </row>
    <row r="525" ht="14.4" customHeight="1">
      <c r="A525" s="323" t="n"/>
      <c r="B525" s="323" t="inlineStr">
        <is>
          <t>50Cu x 50Flange CU Crimp Coupling</t>
        </is>
      </c>
      <c r="C525" s="327" t="inlineStr">
        <is>
          <t>ea</t>
        </is>
      </c>
      <c r="E525" s="605" t="n">
        <v>21</v>
      </c>
      <c r="F525" s="583">
        <f>E525*D525</f>
        <v/>
      </c>
    </row>
    <row r="526" ht="14.4" customHeight="1">
      <c r="A526" s="323" t="n"/>
      <c r="B526" s="323" t="inlineStr">
        <is>
          <t>50mm CU Crimp Cap</t>
        </is>
      </c>
      <c r="C526" s="327" t="inlineStr">
        <is>
          <t>ea</t>
        </is>
      </c>
      <c r="E526" s="605" t="n">
        <v>0</v>
      </c>
      <c r="F526" s="583">
        <f>E526*D526</f>
        <v/>
      </c>
    </row>
    <row r="527" ht="14.4" customHeight="1">
      <c r="A527" s="323" t="n"/>
      <c r="B527" s="323" t="inlineStr">
        <is>
          <t>50Cu x W69/Barrell Barrell Union CU Crimp</t>
        </is>
      </c>
      <c r="C527" s="327" t="inlineStr">
        <is>
          <t>ea</t>
        </is>
      </c>
      <c r="E527" s="605" t="n">
        <v>0</v>
      </c>
      <c r="F527" s="583">
        <f>E527*D527</f>
        <v/>
      </c>
    </row>
    <row r="528" ht="14.4" customHeight="1">
      <c r="A528" s="323" t="n"/>
      <c r="B528" s="406" t="inlineStr">
        <is>
          <t>40mm CU Crimp 90 DEG FxF Elbow</t>
        </is>
      </c>
      <c r="C528" s="327" t="inlineStr">
        <is>
          <t>ea</t>
        </is>
      </c>
      <c r="E528" s="605" t="n">
        <v>0</v>
      </c>
      <c r="F528" s="583">
        <f>E528*D528</f>
        <v/>
      </c>
    </row>
    <row r="529" ht="14.4" customHeight="1">
      <c r="A529" s="323" t="n"/>
      <c r="B529" s="323" t="inlineStr">
        <is>
          <t>40mm CU Crimp 45 DEG FxF Elbow</t>
        </is>
      </c>
      <c r="C529" s="327" t="inlineStr">
        <is>
          <t>ea</t>
        </is>
      </c>
      <c r="E529" s="605" t="n">
        <v>0</v>
      </c>
      <c r="F529" s="583">
        <f>E529*D529</f>
        <v/>
      </c>
    </row>
    <row r="530" ht="14.4" customHeight="1">
      <c r="A530" s="323" t="n"/>
      <c r="B530" s="323" t="inlineStr">
        <is>
          <t>40mm CU Crimp 90 DEG MxF Elbow</t>
        </is>
      </c>
      <c r="C530" s="327" t="inlineStr">
        <is>
          <t>ea</t>
        </is>
      </c>
      <c r="E530" s="605" t="n">
        <v>0</v>
      </c>
      <c r="F530" s="583">
        <f>E530*D530</f>
        <v/>
      </c>
    </row>
    <row r="531" ht="14.4" customHeight="1">
      <c r="A531" s="323" t="n"/>
      <c r="B531" s="323" t="inlineStr">
        <is>
          <t>40mm CU Crimp 45 DEG MxF Elbow</t>
        </is>
      </c>
      <c r="C531" s="327" t="inlineStr">
        <is>
          <t>ea</t>
        </is>
      </c>
      <c r="E531" s="605" t="n">
        <v>0</v>
      </c>
      <c r="F531" s="583">
        <f>E531*D531</f>
        <v/>
      </c>
    </row>
    <row r="532" ht="14.4" customHeight="1">
      <c r="A532" s="323" t="n"/>
      <c r="B532" s="323" t="inlineStr">
        <is>
          <t>40mm CU Crimp Tee</t>
        </is>
      </c>
      <c r="C532" s="327" t="inlineStr">
        <is>
          <t>ea</t>
        </is>
      </c>
      <c r="E532" s="605" t="n">
        <v>0</v>
      </c>
      <c r="F532" s="583">
        <f>E532*D532</f>
        <v/>
      </c>
    </row>
    <row r="533" ht="14.4" customHeight="1">
      <c r="A533" s="323" t="n"/>
      <c r="B533" s="323" t="inlineStr">
        <is>
          <t>40x32x40 CU Crimp Tee</t>
        </is>
      </c>
      <c r="C533" s="327" t="inlineStr">
        <is>
          <t>ea</t>
        </is>
      </c>
      <c r="E533" s="605" t="n">
        <v>0</v>
      </c>
      <c r="F533" s="583">
        <f>E533*D533</f>
        <v/>
      </c>
    </row>
    <row r="534" ht="14.4" customHeight="1">
      <c r="A534" s="323" t="n"/>
      <c r="B534" s="323" t="inlineStr">
        <is>
          <t>40x32x32 CU Crimp Tee</t>
        </is>
      </c>
      <c r="C534" s="327" t="inlineStr">
        <is>
          <t>ea</t>
        </is>
      </c>
      <c r="E534" s="605" t="n">
        <v>0</v>
      </c>
      <c r="F534" s="583">
        <f>E534*D534</f>
        <v/>
      </c>
    </row>
    <row r="535" ht="14.4" customHeight="1">
      <c r="A535" s="323" t="n"/>
      <c r="B535" s="323" t="inlineStr">
        <is>
          <t>40x32x25 CU Crimp Tee</t>
        </is>
      </c>
      <c r="C535" s="327" t="inlineStr">
        <is>
          <t>ea</t>
        </is>
      </c>
      <c r="E535" s="605" t="n">
        <v>0</v>
      </c>
      <c r="F535" s="583">
        <f>E535*D535</f>
        <v/>
      </c>
    </row>
    <row r="536" ht="14.4" customHeight="1">
      <c r="A536" s="323" t="n"/>
      <c r="B536" s="323" t="inlineStr">
        <is>
          <t>40x25x40 CU Crimp Tee</t>
        </is>
      </c>
      <c r="C536" s="327" t="inlineStr">
        <is>
          <t>ea</t>
        </is>
      </c>
      <c r="E536" s="605" t="n">
        <v>0</v>
      </c>
      <c r="F536" s="583">
        <f>E536*D536</f>
        <v/>
      </c>
    </row>
    <row r="537" ht="14.4" customHeight="1">
      <c r="A537" s="323" t="n"/>
      <c r="B537" s="323" t="inlineStr">
        <is>
          <t>40x25x20 CU Crimp Tee</t>
        </is>
      </c>
      <c r="C537" s="327" t="inlineStr">
        <is>
          <t>ea</t>
        </is>
      </c>
      <c r="E537" s="605" t="n">
        <v>0</v>
      </c>
      <c r="F537" s="583">
        <f>E537*D537</f>
        <v/>
      </c>
    </row>
    <row r="538" ht="14.4" customHeight="1">
      <c r="A538" s="323" t="n"/>
      <c r="B538" s="323" t="inlineStr">
        <is>
          <t>40x20x40 CU Crimp Tee</t>
        </is>
      </c>
      <c r="C538" s="327" t="inlineStr">
        <is>
          <t>ea</t>
        </is>
      </c>
      <c r="E538" s="605" t="n">
        <v>0</v>
      </c>
      <c r="F538" s="583">
        <f>E538*D538</f>
        <v/>
      </c>
    </row>
    <row r="539" ht="14.4" customHeight="1">
      <c r="A539" s="323" t="n"/>
      <c r="B539" s="323" t="inlineStr">
        <is>
          <t>40x15x40 CU Crimp Tee</t>
        </is>
      </c>
      <c r="C539" s="327" t="inlineStr">
        <is>
          <t>ea</t>
        </is>
      </c>
      <c r="E539" s="605" t="n">
        <v>0</v>
      </c>
      <c r="F539" s="583">
        <f>E539*D539</f>
        <v/>
      </c>
    </row>
    <row r="540" ht="14.4" customHeight="1">
      <c r="A540" s="323" t="n"/>
      <c r="B540" s="323" t="inlineStr">
        <is>
          <t>40x32 CU Crimp Reducer</t>
        </is>
      </c>
      <c r="C540" s="327" t="inlineStr">
        <is>
          <t>ea</t>
        </is>
      </c>
      <c r="E540" s="605" t="n">
        <v>0</v>
      </c>
      <c r="F540" s="583">
        <f>E540*D540</f>
        <v/>
      </c>
    </row>
    <row r="541" ht="14.4" customHeight="1">
      <c r="A541" s="323" t="n"/>
      <c r="B541" s="323" t="inlineStr">
        <is>
          <t>40x25 CU Crimp Reducer</t>
        </is>
      </c>
      <c r="C541" s="327" t="inlineStr">
        <is>
          <t>ea</t>
        </is>
      </c>
      <c r="E541" s="605" t="n">
        <v>0</v>
      </c>
      <c r="F541" s="583">
        <f>E541*D541</f>
        <v/>
      </c>
    </row>
    <row r="542" ht="14.4" customHeight="1">
      <c r="A542" s="323" t="n"/>
      <c r="B542" s="323" t="inlineStr">
        <is>
          <t>40x20 CU Crimp Reducer</t>
        </is>
      </c>
      <c r="C542" s="327" t="inlineStr">
        <is>
          <t>ea</t>
        </is>
      </c>
      <c r="E542" s="605" t="n">
        <v>0</v>
      </c>
      <c r="F542" s="583">
        <f>E542*D542</f>
        <v/>
      </c>
    </row>
    <row r="543" ht="14.4" customHeight="1">
      <c r="A543" s="323" t="n"/>
      <c r="B543" s="323" t="inlineStr">
        <is>
          <t>40x15 CU Crimp Reducer</t>
        </is>
      </c>
      <c r="C543" s="327" t="inlineStr">
        <is>
          <t>ea</t>
        </is>
      </c>
      <c r="E543" s="605" t="n">
        <v>0</v>
      </c>
      <c r="F543" s="583">
        <f>E543*D543</f>
        <v/>
      </c>
    </row>
    <row r="544" ht="14.4" customHeight="1">
      <c r="A544" s="323" t="n"/>
      <c r="B544" s="323" t="inlineStr">
        <is>
          <t>40Cu x 40Mi CU Crimp Adapter</t>
        </is>
      </c>
      <c r="C544" s="327" t="inlineStr">
        <is>
          <t>ea</t>
        </is>
      </c>
      <c r="E544" s="605" t="n">
        <v>0</v>
      </c>
      <c r="F544" s="583">
        <f>E544*D544</f>
        <v/>
      </c>
    </row>
    <row r="545" ht="14.4" customHeight="1">
      <c r="A545" s="323" t="n"/>
      <c r="B545" s="323" t="inlineStr">
        <is>
          <t>40Cu x 40Fi CU Crimp Adapter</t>
        </is>
      </c>
      <c r="C545" s="327" t="inlineStr">
        <is>
          <t>ea</t>
        </is>
      </c>
      <c r="E545" s="605" t="n">
        <v>0</v>
      </c>
      <c r="F545" s="583">
        <f>E545*D545</f>
        <v/>
      </c>
    </row>
    <row r="546" ht="14.4" customHeight="1">
      <c r="A546" s="323" t="n"/>
      <c r="B546" s="323" t="inlineStr">
        <is>
          <t>40mm CU Crimp Repair Coupling</t>
        </is>
      </c>
      <c r="C546" s="327" t="inlineStr">
        <is>
          <t>ea</t>
        </is>
      </c>
      <c r="E546" s="605" t="n">
        <v>0</v>
      </c>
      <c r="F546" s="583">
        <f>E546*D546</f>
        <v/>
      </c>
    </row>
    <row r="547" ht="14.4" customHeight="1">
      <c r="A547" s="323" t="n"/>
      <c r="B547" s="323" t="inlineStr">
        <is>
          <t>40mm CU Crimp Coupling</t>
        </is>
      </c>
      <c r="C547" s="327" t="inlineStr">
        <is>
          <t>ea</t>
        </is>
      </c>
      <c r="E547" s="605" t="n">
        <v>0</v>
      </c>
      <c r="F547" s="583">
        <f>E547*D547</f>
        <v/>
      </c>
    </row>
    <row r="548" ht="14.4" customHeight="1">
      <c r="A548" s="323" t="n"/>
      <c r="B548" s="323" t="inlineStr">
        <is>
          <t>40Cu x 40Flange CU Crimp Coupling</t>
        </is>
      </c>
      <c r="C548" s="327" t="inlineStr">
        <is>
          <t>ea</t>
        </is>
      </c>
      <c r="E548" s="605" t="n">
        <v>0</v>
      </c>
      <c r="F548" s="583">
        <f>E548*D548</f>
        <v/>
      </c>
    </row>
    <row r="549" ht="14.4" customHeight="1">
      <c r="A549" s="323" t="n"/>
      <c r="B549" s="323" t="inlineStr">
        <is>
          <t>40mm CU Crimp Cap</t>
        </is>
      </c>
      <c r="C549" s="327" t="inlineStr">
        <is>
          <t>ea</t>
        </is>
      </c>
      <c r="E549" s="605" t="n">
        <v>0</v>
      </c>
      <c r="F549" s="583">
        <f>E549*D549</f>
        <v/>
      </c>
    </row>
    <row r="550" ht="14.4" customHeight="1">
      <c r="A550" s="323" t="n"/>
      <c r="B550" s="323" t="inlineStr">
        <is>
          <t>40Cu x W69/Barrell Barrell Union CU Crimp</t>
        </is>
      </c>
      <c r="C550" s="327" t="inlineStr">
        <is>
          <t>ea</t>
        </is>
      </c>
      <c r="E550" s="605" t="n">
        <v>0</v>
      </c>
      <c r="F550" s="583">
        <f>E550*D550</f>
        <v/>
      </c>
    </row>
    <row r="551" ht="14.4" customHeight="1">
      <c r="A551" s="323" t="n"/>
      <c r="B551" s="406" t="inlineStr">
        <is>
          <t>32mm CU Crimp 90 DEG FxF Elbow</t>
        </is>
      </c>
      <c r="C551" s="327" t="inlineStr">
        <is>
          <t>ea</t>
        </is>
      </c>
      <c r="E551" s="605" t="n">
        <v>0</v>
      </c>
      <c r="F551" s="583">
        <f>E551*D551</f>
        <v/>
      </c>
    </row>
    <row r="552" ht="14.4" customHeight="1">
      <c r="A552" s="323" t="n"/>
      <c r="B552" s="323" t="inlineStr">
        <is>
          <t>32mm CU Crimp 45 DEG FxF Elbow</t>
        </is>
      </c>
      <c r="C552" s="327" t="inlineStr">
        <is>
          <t>ea</t>
        </is>
      </c>
      <c r="E552" s="605" t="n">
        <v>0</v>
      </c>
      <c r="F552" s="583">
        <f>E552*D552</f>
        <v/>
      </c>
    </row>
    <row r="553" ht="14.4" customHeight="1">
      <c r="A553" s="323" t="n"/>
      <c r="B553" s="323" t="inlineStr">
        <is>
          <t>32mm CU Crimp 90 DEG MxF Elbow</t>
        </is>
      </c>
      <c r="C553" s="327" t="inlineStr">
        <is>
          <t>ea</t>
        </is>
      </c>
      <c r="E553" s="605" t="n">
        <v>0</v>
      </c>
      <c r="F553" s="583">
        <f>E553*D553</f>
        <v/>
      </c>
    </row>
    <row r="554" ht="14.4" customHeight="1">
      <c r="A554" s="323" t="n"/>
      <c r="B554" s="406" t="inlineStr">
        <is>
          <t>32mm CU Crimp 45 DEG MxF Elbow</t>
        </is>
      </c>
      <c r="C554" s="327" t="inlineStr">
        <is>
          <t>ea</t>
        </is>
      </c>
      <c r="E554" s="605" t="n">
        <v>0</v>
      </c>
      <c r="F554" s="583">
        <f>E554*D554</f>
        <v/>
      </c>
    </row>
    <row r="555" ht="14.4" customHeight="1">
      <c r="A555" s="323" t="n"/>
      <c r="B555" s="406" t="inlineStr">
        <is>
          <t>32mm CU Crimp Tee</t>
        </is>
      </c>
      <c r="C555" s="327" t="inlineStr">
        <is>
          <t>ea</t>
        </is>
      </c>
      <c r="E555" s="605" t="n">
        <v>0</v>
      </c>
      <c r="F555" s="583">
        <f>E555*D555</f>
        <v/>
      </c>
    </row>
    <row r="556" ht="14.4" customHeight="1">
      <c r="A556" s="323" t="n"/>
      <c r="B556" s="323" t="inlineStr">
        <is>
          <t>32x25x32 CU Crimp Tee</t>
        </is>
      </c>
      <c r="C556" s="327" t="inlineStr">
        <is>
          <t>ea</t>
        </is>
      </c>
      <c r="E556" s="605" t="n">
        <v>18.54</v>
      </c>
      <c r="F556" s="583">
        <f>E556*D556</f>
        <v/>
      </c>
    </row>
    <row r="557" ht="14.4" customHeight="1">
      <c r="A557" s="323" t="n"/>
      <c r="B557" s="323" t="inlineStr">
        <is>
          <t>32x25x20 CU Crimp Tee</t>
        </is>
      </c>
      <c r="C557" s="327" t="inlineStr">
        <is>
          <t>ea</t>
        </is>
      </c>
      <c r="E557" s="605" t="n">
        <v>0</v>
      </c>
      <c r="F557" s="583">
        <f>E557*D557</f>
        <v/>
      </c>
    </row>
    <row r="558" ht="14.4" customHeight="1">
      <c r="A558" s="323" t="n"/>
      <c r="B558" s="323" t="inlineStr">
        <is>
          <t>32x20x32 CU Crimp Tee</t>
        </is>
      </c>
      <c r="C558" s="327" t="inlineStr">
        <is>
          <t>ea</t>
        </is>
      </c>
      <c r="E558" s="605" t="n">
        <v>0</v>
      </c>
      <c r="F558" s="583">
        <f>E558*D558</f>
        <v/>
      </c>
    </row>
    <row r="559" ht="14.4" customHeight="1">
      <c r="A559" s="323" t="n"/>
      <c r="B559" s="323" t="inlineStr">
        <is>
          <t>32x20x20 CU Crimp Tee</t>
        </is>
      </c>
      <c r="C559" s="327" t="inlineStr">
        <is>
          <t>ea</t>
        </is>
      </c>
      <c r="E559" s="605" t="n">
        <v>18.35</v>
      </c>
      <c r="F559" s="583">
        <f>E559*D559</f>
        <v/>
      </c>
    </row>
    <row r="560" ht="14.4" customHeight="1">
      <c r="A560" s="323" t="n"/>
      <c r="B560" s="323" t="inlineStr">
        <is>
          <t>32x20x15 CU Crimp Tee</t>
        </is>
      </c>
      <c r="C560" s="327" t="inlineStr">
        <is>
          <t>ea</t>
        </is>
      </c>
      <c r="E560" s="605" t="n">
        <v>0</v>
      </c>
      <c r="F560" s="583">
        <f>E560*D560</f>
        <v/>
      </c>
    </row>
    <row r="561" ht="14.4" customHeight="1">
      <c r="A561" s="323" t="n"/>
      <c r="B561" s="323" t="inlineStr">
        <is>
          <t>32x15x32 CU Crimp Tee</t>
        </is>
      </c>
      <c r="C561" s="327" t="inlineStr">
        <is>
          <t>ea</t>
        </is>
      </c>
      <c r="E561" s="605" t="n">
        <v>0</v>
      </c>
      <c r="F561" s="583">
        <f>E561*D561</f>
        <v/>
      </c>
    </row>
    <row r="562" ht="14.4" customHeight="1">
      <c r="A562" s="323" t="n"/>
      <c r="B562" s="323" t="inlineStr">
        <is>
          <t>32x15x25 CU Crimp Tee</t>
        </is>
      </c>
      <c r="C562" s="327" t="inlineStr">
        <is>
          <t>ea</t>
        </is>
      </c>
      <c r="E562" s="605" t="n">
        <v>0</v>
      </c>
      <c r="F562" s="583">
        <f>E562*D562</f>
        <v/>
      </c>
    </row>
    <row r="563" ht="14.4" customHeight="1">
      <c r="A563" s="323" t="n"/>
      <c r="B563" s="323" t="inlineStr">
        <is>
          <t>32x15x20 CU Crimp Tee</t>
        </is>
      </c>
      <c r="C563" s="327" t="inlineStr">
        <is>
          <t>ea</t>
        </is>
      </c>
      <c r="E563" s="605" t="n">
        <v>0</v>
      </c>
      <c r="F563" s="583">
        <f>E563*D563</f>
        <v/>
      </c>
    </row>
    <row r="564" ht="14.4" customHeight="1">
      <c r="A564" s="323" t="n"/>
      <c r="B564" s="323" t="inlineStr">
        <is>
          <t>32x15x15 CU Crimp Tee</t>
        </is>
      </c>
      <c r="C564" s="327" t="inlineStr">
        <is>
          <t>ea</t>
        </is>
      </c>
      <c r="E564" s="605" t="n">
        <v>0</v>
      </c>
      <c r="F564" s="583">
        <f>E564*D564</f>
        <v/>
      </c>
    </row>
    <row r="565" ht="14.4" customHeight="1">
      <c r="A565" s="323" t="n"/>
      <c r="B565" s="406" t="inlineStr">
        <is>
          <t>COUPLING RED CU KEMPRESS WATER 32MM X 25MM</t>
        </is>
      </c>
      <c r="C565" s="327" t="inlineStr">
        <is>
          <t>ea</t>
        </is>
      </c>
      <c r="E565" s="605" t="n">
        <v>20</v>
      </c>
      <c r="F565" s="583">
        <f>E565*D565</f>
        <v/>
      </c>
    </row>
    <row r="566" ht="14.4" customHeight="1">
      <c r="A566" s="323" t="n"/>
      <c r="B566" s="323" t="inlineStr">
        <is>
          <t>32x20 CU Crimp Reducer</t>
        </is>
      </c>
      <c r="C566" s="327" t="inlineStr">
        <is>
          <t>ea</t>
        </is>
      </c>
      <c r="E566" s="605" t="n">
        <v>16.33</v>
      </c>
      <c r="F566" s="583">
        <f>E566*D566</f>
        <v/>
      </c>
    </row>
    <row r="567" ht="14.4" customHeight="1">
      <c r="A567" s="323" t="n"/>
      <c r="B567" s="323" t="inlineStr">
        <is>
          <t>32x15 CU Crimp Reducer</t>
        </is>
      </c>
      <c r="C567" s="327" t="inlineStr">
        <is>
          <t>ea</t>
        </is>
      </c>
      <c r="E567" s="605" t="n">
        <v>0</v>
      </c>
      <c r="F567" s="583">
        <f>E567*D567</f>
        <v/>
      </c>
    </row>
    <row r="568" ht="14.4" customHeight="1">
      <c r="A568" s="323" t="n"/>
      <c r="B568" s="323" t="inlineStr">
        <is>
          <t>32Cu x 32Mi CU Crimp Adapter</t>
        </is>
      </c>
      <c r="C568" s="327" t="inlineStr">
        <is>
          <t>ea</t>
        </is>
      </c>
      <c r="E568" s="605" t="n">
        <v>0</v>
      </c>
      <c r="F568" s="583">
        <f>E568*D568</f>
        <v/>
      </c>
    </row>
    <row r="569" ht="14.4" customHeight="1">
      <c r="A569" s="323" t="n"/>
      <c r="B569" s="323" t="inlineStr">
        <is>
          <t>32Cu x 32Fi CU Crimp Adapter</t>
        </is>
      </c>
      <c r="C569" s="327" t="inlineStr">
        <is>
          <t>ea</t>
        </is>
      </c>
      <c r="E569" s="605" t="n">
        <v>0</v>
      </c>
      <c r="F569" s="583">
        <f>E569*D569</f>
        <v/>
      </c>
    </row>
    <row r="570" ht="14.4" customHeight="1">
      <c r="A570" s="323" t="n"/>
      <c r="B570" s="323" t="inlineStr">
        <is>
          <t>32mm CU Crimp Repair Coupling</t>
        </is>
      </c>
      <c r="C570" s="327" t="inlineStr">
        <is>
          <t>ea</t>
        </is>
      </c>
      <c r="E570" s="605" t="n">
        <v>0</v>
      </c>
      <c r="F570" s="583">
        <f>E570*D570</f>
        <v/>
      </c>
    </row>
    <row r="571" ht="14.4" customHeight="1">
      <c r="A571" s="323" t="n"/>
      <c r="B571" s="323" t="inlineStr">
        <is>
          <t>32mm CU Crimp Coupling</t>
        </is>
      </c>
      <c r="C571" s="327" t="inlineStr">
        <is>
          <t>ea</t>
        </is>
      </c>
      <c r="E571" s="605" t="n">
        <v>0</v>
      </c>
      <c r="F571" s="583">
        <f>E571*D571</f>
        <v/>
      </c>
    </row>
    <row r="572" ht="14.4" customHeight="1">
      <c r="A572" s="323" t="n"/>
      <c r="B572" s="323" t="inlineStr">
        <is>
          <t>32mm CU Crimp Cap</t>
        </is>
      </c>
      <c r="C572" s="327" t="inlineStr">
        <is>
          <t>ea</t>
        </is>
      </c>
      <c r="E572" s="605" t="n">
        <v>0</v>
      </c>
      <c r="F572" s="583">
        <f>E572*D572</f>
        <v/>
      </c>
    </row>
    <row r="573" ht="14.4" customHeight="1">
      <c r="A573" s="323" t="n"/>
      <c r="B573" s="323" t="inlineStr">
        <is>
          <t>32Cu x W69/Barrell Barrell Union CU Crimp</t>
        </is>
      </c>
      <c r="C573" s="327" t="inlineStr">
        <is>
          <t>ea</t>
        </is>
      </c>
      <c r="E573" s="605" t="n">
        <v>0</v>
      </c>
      <c r="F573" s="583">
        <f>E573*D573</f>
        <v/>
      </c>
    </row>
    <row r="574" ht="14.4" customHeight="1">
      <c r="A574" s="323" t="n"/>
      <c r="B574" s="323" t="inlineStr">
        <is>
          <t>25mm CU Crimp 90 DEG FxF Elbow</t>
        </is>
      </c>
      <c r="C574" s="327" t="inlineStr">
        <is>
          <t>ea</t>
        </is>
      </c>
      <c r="E574" s="605" t="n">
        <v>0</v>
      </c>
      <c r="F574" s="583">
        <f>E574*D574</f>
        <v/>
      </c>
    </row>
    <row r="575" ht="14.4" customHeight="1">
      <c r="A575" s="323" t="n"/>
      <c r="B575" s="323" t="inlineStr">
        <is>
          <t>25mm CU Crimp 45 DEG FxF Elbow</t>
        </is>
      </c>
      <c r="C575" s="327" t="inlineStr">
        <is>
          <t>ea</t>
        </is>
      </c>
      <c r="E575" s="605" t="n">
        <v>0</v>
      </c>
      <c r="F575" s="583">
        <f>E575*D575</f>
        <v/>
      </c>
    </row>
    <row r="576" ht="14.4" customHeight="1">
      <c r="A576" s="323" t="n"/>
      <c r="B576" s="323" t="inlineStr">
        <is>
          <t>25mm CU Crimp 90 DEG MxF Elbow</t>
        </is>
      </c>
      <c r="C576" s="327" t="inlineStr">
        <is>
          <t>ea</t>
        </is>
      </c>
      <c r="E576" s="605" t="n">
        <v>0</v>
      </c>
      <c r="F576" s="583">
        <f>E576*D576</f>
        <v/>
      </c>
    </row>
    <row r="577" ht="14.4" customHeight="1">
      <c r="A577" s="323" t="n"/>
      <c r="B577" s="323" t="inlineStr">
        <is>
          <t>25mm CU Crimp 45 DEG MxF Elbow</t>
        </is>
      </c>
      <c r="C577" s="327" t="inlineStr">
        <is>
          <t>ea</t>
        </is>
      </c>
      <c r="E577" s="605" t="n">
        <v>0</v>
      </c>
      <c r="F577" s="583">
        <f>E577*D577</f>
        <v/>
      </c>
    </row>
    <row r="578" ht="14.4" customHeight="1">
      <c r="A578" s="323" t="n"/>
      <c r="B578" s="323" t="inlineStr">
        <is>
          <t>25mm CU Crimp Tee</t>
        </is>
      </c>
      <c r="C578" s="327" t="inlineStr">
        <is>
          <t>ea</t>
        </is>
      </c>
      <c r="E578" s="605" t="n">
        <v>0</v>
      </c>
      <c r="F578" s="583">
        <f>E578*D578</f>
        <v/>
      </c>
    </row>
    <row r="579" ht="14.4" customHeight="1">
      <c r="A579" s="323" t="n"/>
      <c r="B579" s="323" t="inlineStr">
        <is>
          <t>25x20x25 CU Crimp Tee</t>
        </is>
      </c>
      <c r="C579" s="327" t="inlineStr">
        <is>
          <t>ea</t>
        </is>
      </c>
      <c r="E579" s="605" t="n">
        <v>0</v>
      </c>
      <c r="F579" s="583">
        <f>E579*D579</f>
        <v/>
      </c>
    </row>
    <row r="580" ht="14.4" customHeight="1">
      <c r="A580" s="323" t="n"/>
      <c r="B580" s="323" t="inlineStr">
        <is>
          <t>25x20x20 CU Crimp Tee</t>
        </is>
      </c>
      <c r="C580" s="327" t="inlineStr">
        <is>
          <t>ea</t>
        </is>
      </c>
      <c r="E580" s="605" t="n">
        <v>0</v>
      </c>
      <c r="F580" s="583">
        <f>E580*D580</f>
        <v/>
      </c>
    </row>
    <row r="581" ht="14.4" customHeight="1">
      <c r="A581" s="323" t="n"/>
      <c r="B581" s="323" t="inlineStr">
        <is>
          <t>25x20x15 CU Crimp Tee</t>
        </is>
      </c>
      <c r="C581" s="327" t="inlineStr">
        <is>
          <t>ea</t>
        </is>
      </c>
      <c r="E581" s="605" t="n">
        <v>0</v>
      </c>
      <c r="F581" s="583">
        <f>E581*D581</f>
        <v/>
      </c>
    </row>
    <row r="582" ht="14.4" customHeight="1">
      <c r="A582" s="323" t="n"/>
      <c r="B582" s="323" t="inlineStr">
        <is>
          <t>25x15x25 CU Crimp Tee</t>
        </is>
      </c>
      <c r="C582" s="327" t="inlineStr">
        <is>
          <t>ea</t>
        </is>
      </c>
      <c r="E582" s="605" t="n">
        <v>0</v>
      </c>
      <c r="F582" s="583">
        <f>E582*D582</f>
        <v/>
      </c>
    </row>
    <row r="583" ht="14.4" customHeight="1">
      <c r="A583" s="323" t="n"/>
      <c r="B583" s="323" t="inlineStr">
        <is>
          <t>25x15x20 CU Crimp Tee</t>
        </is>
      </c>
      <c r="C583" s="327" t="inlineStr">
        <is>
          <t>ea</t>
        </is>
      </c>
      <c r="E583" s="605" t="n">
        <v>0</v>
      </c>
      <c r="F583" s="583">
        <f>E583*D583</f>
        <v/>
      </c>
    </row>
    <row r="584" ht="14.4" customHeight="1">
      <c r="A584" s="323" t="n"/>
      <c r="B584" s="323" t="inlineStr">
        <is>
          <t>25x15x15 CU Crimp Tee</t>
        </is>
      </c>
      <c r="C584" s="327" t="inlineStr">
        <is>
          <t>ea</t>
        </is>
      </c>
      <c r="E584" s="605" t="n">
        <v>0</v>
      </c>
      <c r="F584" s="583">
        <f>E584*D584</f>
        <v/>
      </c>
    </row>
    <row r="585" ht="14.4" customHeight="1">
      <c r="A585" s="323" t="n"/>
      <c r="B585" s="323" t="inlineStr">
        <is>
          <t>25x20 CU Crimp Reducer</t>
        </is>
      </c>
      <c r="C585" s="327" t="inlineStr">
        <is>
          <t>ea</t>
        </is>
      </c>
      <c r="E585" s="605" t="n">
        <v>0</v>
      </c>
      <c r="F585" s="583">
        <f>E585*D585</f>
        <v/>
      </c>
    </row>
    <row r="586" ht="14.4" customHeight="1">
      <c r="A586" s="323" t="n"/>
      <c r="B586" s="323" t="inlineStr">
        <is>
          <t>25x15 CU Crimp Reducer</t>
        </is>
      </c>
      <c r="C586" s="327" t="inlineStr">
        <is>
          <t>ea</t>
        </is>
      </c>
      <c r="E586" s="605" t="n">
        <v>0</v>
      </c>
      <c r="F586" s="583">
        <f>E586*D586</f>
        <v/>
      </c>
    </row>
    <row r="587" ht="14.4" customHeight="1">
      <c r="A587" s="323" t="n"/>
      <c r="B587" s="323" t="inlineStr">
        <is>
          <t>25Cu x 25Mi CU Crimp Adapter</t>
        </is>
      </c>
      <c r="C587" s="327" t="inlineStr">
        <is>
          <t>ea</t>
        </is>
      </c>
      <c r="E587" s="605" t="n">
        <v>0</v>
      </c>
      <c r="F587" s="583">
        <f>E587*D587</f>
        <v/>
      </c>
    </row>
    <row r="588" ht="14.4" customHeight="1">
      <c r="A588" s="323" t="n"/>
      <c r="B588" s="323" t="inlineStr">
        <is>
          <t>25Cu x 25Fi CU Crimp Adapter</t>
        </is>
      </c>
      <c r="C588" s="327" t="inlineStr">
        <is>
          <t>ea</t>
        </is>
      </c>
      <c r="E588" s="605" t="n">
        <v>0</v>
      </c>
      <c r="F588" s="583">
        <f>E588*D588</f>
        <v/>
      </c>
    </row>
    <row r="589" ht="14.4" customHeight="1">
      <c r="A589" s="323" t="n"/>
      <c r="B589" s="323" t="inlineStr">
        <is>
          <t>25mm CU Crimp Repair Coupling</t>
        </is>
      </c>
      <c r="C589" s="327" t="inlineStr">
        <is>
          <t>ea</t>
        </is>
      </c>
      <c r="E589" s="605" t="n">
        <v>0</v>
      </c>
      <c r="F589" s="583">
        <f>E589*D589</f>
        <v/>
      </c>
    </row>
    <row r="590" ht="14.4" customHeight="1">
      <c r="A590" s="323" t="n"/>
      <c r="B590" s="323" t="inlineStr">
        <is>
          <t>25mm CU Crimp Coupling</t>
        </is>
      </c>
      <c r="C590" s="327" t="inlineStr">
        <is>
          <t>ea</t>
        </is>
      </c>
      <c r="E590" s="605" t="n">
        <v>0</v>
      </c>
      <c r="F590" s="583">
        <f>E590*D590</f>
        <v/>
      </c>
    </row>
    <row r="591" ht="14.4" customHeight="1">
      <c r="A591" s="323" t="n"/>
      <c r="B591" s="323" t="inlineStr">
        <is>
          <t>25mm CU Crimp Cap</t>
        </is>
      </c>
      <c r="C591" s="327" t="inlineStr">
        <is>
          <t>ea</t>
        </is>
      </c>
      <c r="E591" s="605" t="n">
        <v>0</v>
      </c>
      <c r="F591" s="583">
        <f>E591*D591</f>
        <v/>
      </c>
    </row>
    <row r="592" ht="14.4" customHeight="1">
      <c r="A592" s="323" t="n"/>
      <c r="B592" s="323" t="inlineStr">
        <is>
          <t>25Cu x W69/Barrell Barrell Union CU Crimp</t>
        </is>
      </c>
      <c r="C592" s="327" t="inlineStr">
        <is>
          <t>ea</t>
        </is>
      </c>
      <c r="E592" s="605" t="n">
        <v>0</v>
      </c>
      <c r="F592" s="583">
        <f>E592*D592</f>
        <v/>
      </c>
    </row>
    <row r="593" ht="14.4" customHeight="1">
      <c r="A593" s="323" t="n"/>
      <c r="B593" s="323" t="inlineStr">
        <is>
          <t>20mm CU Crimp 90 DEG FxF Elbow</t>
        </is>
      </c>
      <c r="C593" s="327" t="inlineStr">
        <is>
          <t>ea</t>
        </is>
      </c>
      <c r="E593" s="605" t="n">
        <v>0</v>
      </c>
      <c r="F593" s="583">
        <f>E593*D593</f>
        <v/>
      </c>
    </row>
    <row r="594" ht="14.4" customHeight="1">
      <c r="A594" s="323" t="n"/>
      <c r="B594" s="323" t="inlineStr">
        <is>
          <t>20mm CU Crimp 45 DEG FxF Elbow</t>
        </is>
      </c>
      <c r="C594" s="327" t="inlineStr">
        <is>
          <t>ea</t>
        </is>
      </c>
      <c r="E594" s="605" t="n">
        <v>0</v>
      </c>
      <c r="F594" s="583">
        <f>E594*D594</f>
        <v/>
      </c>
    </row>
    <row r="595" ht="14.4" customHeight="1">
      <c r="A595" s="323" t="n"/>
      <c r="B595" s="323" t="inlineStr">
        <is>
          <t>20mm CU Crimp 90 DEG MxF Elbow</t>
        </is>
      </c>
      <c r="C595" s="327" t="inlineStr">
        <is>
          <t>ea</t>
        </is>
      </c>
      <c r="E595" s="605" t="n">
        <v>0</v>
      </c>
      <c r="F595" s="583">
        <f>E595*D595</f>
        <v/>
      </c>
    </row>
    <row r="596" ht="14.4" customHeight="1">
      <c r="A596" s="323" t="n"/>
      <c r="B596" s="323" t="inlineStr">
        <is>
          <t>20mm CU Crimp 45 DEG MxF Elbow</t>
        </is>
      </c>
      <c r="C596" s="327" t="inlineStr">
        <is>
          <t>ea</t>
        </is>
      </c>
      <c r="E596" s="605" t="n">
        <v>0</v>
      </c>
      <c r="F596" s="583">
        <f>E596*D596</f>
        <v/>
      </c>
    </row>
    <row r="597" ht="14.4" customHeight="1">
      <c r="A597" s="323" t="n"/>
      <c r="B597" s="323" t="inlineStr">
        <is>
          <t>20mm CU Crimp Tee</t>
        </is>
      </c>
      <c r="C597" s="327" t="inlineStr">
        <is>
          <t>ea</t>
        </is>
      </c>
      <c r="E597" s="605" t="n">
        <v>0</v>
      </c>
      <c r="F597" s="583">
        <f>E597*D597</f>
        <v/>
      </c>
    </row>
    <row r="598" ht="14.4" customHeight="1">
      <c r="A598" s="323" t="n"/>
      <c r="B598" s="323" t="inlineStr">
        <is>
          <t>20x15x20 CU Crimp Tee</t>
        </is>
      </c>
      <c r="C598" s="327" t="inlineStr">
        <is>
          <t>ea</t>
        </is>
      </c>
      <c r="E598" s="605" t="n">
        <v>5.61</v>
      </c>
      <c r="F598" s="583">
        <f>E598*D598</f>
        <v/>
      </c>
    </row>
    <row r="599" ht="14.4" customHeight="1">
      <c r="A599" s="323" t="n"/>
      <c r="B599" s="323" t="inlineStr">
        <is>
          <t>20x15x15 CU Crimp Tee</t>
        </is>
      </c>
      <c r="C599" s="327" t="inlineStr">
        <is>
          <t>ea</t>
        </is>
      </c>
      <c r="E599" s="605" t="n">
        <v>0</v>
      </c>
      <c r="F599" s="583">
        <f>E599*D599</f>
        <v/>
      </c>
    </row>
    <row r="600" ht="14.4" customHeight="1">
      <c r="A600" s="323" t="n"/>
      <c r="B600" s="323" t="inlineStr">
        <is>
          <t>20x15 CU Crimp Reducer</t>
        </is>
      </c>
      <c r="C600" s="327" t="inlineStr">
        <is>
          <t>ea</t>
        </is>
      </c>
      <c r="E600" s="605" t="n">
        <v>0</v>
      </c>
      <c r="F600" s="583">
        <f>E600*D600</f>
        <v/>
      </c>
    </row>
    <row r="601" ht="14.4" customHeight="1">
      <c r="A601" s="323" t="n"/>
      <c r="B601" s="323" t="inlineStr">
        <is>
          <t>20Cu x 20Mi CU Crimp Adapter</t>
        </is>
      </c>
      <c r="C601" s="327" t="inlineStr">
        <is>
          <t>ea</t>
        </is>
      </c>
      <c r="E601" s="605" t="n">
        <v>0</v>
      </c>
      <c r="F601" s="583">
        <f>E601*D601</f>
        <v/>
      </c>
    </row>
    <row r="602" ht="14.4" customHeight="1">
      <c r="A602" s="323" t="n"/>
      <c r="B602" s="323" t="inlineStr">
        <is>
          <t>20Cu x 20Fi CU Crimp Adapter</t>
        </is>
      </c>
      <c r="C602" s="327" t="inlineStr">
        <is>
          <t>ea</t>
        </is>
      </c>
      <c r="E602" s="605" t="n">
        <v>0</v>
      </c>
      <c r="F602" s="583">
        <f>E602*D602</f>
        <v/>
      </c>
    </row>
    <row r="603" ht="14.4" customHeight="1">
      <c r="A603" s="323" t="n"/>
      <c r="B603" s="323" t="inlineStr">
        <is>
          <t>20mm CU Crimp Repair Coupling</t>
        </is>
      </c>
      <c r="C603" s="327" t="inlineStr">
        <is>
          <t>ea</t>
        </is>
      </c>
      <c r="E603" s="605" t="n">
        <v>0</v>
      </c>
      <c r="F603" s="583">
        <f>E603*D603</f>
        <v/>
      </c>
    </row>
    <row r="604" ht="14.4" customHeight="1">
      <c r="A604" s="323" t="n"/>
      <c r="B604" s="323" t="inlineStr">
        <is>
          <t>20mm CU Crimp Coupling</t>
        </is>
      </c>
      <c r="C604" s="327" t="inlineStr">
        <is>
          <t>ea</t>
        </is>
      </c>
      <c r="E604" s="605" t="n">
        <v>0</v>
      </c>
      <c r="F604" s="583">
        <f>E604*D604</f>
        <v/>
      </c>
    </row>
    <row r="605" ht="14.4" customHeight="1">
      <c r="A605" s="323" t="n"/>
      <c r="B605" s="323" t="inlineStr">
        <is>
          <t>20mm CU Crimp Cap</t>
        </is>
      </c>
      <c r="C605" s="327" t="inlineStr">
        <is>
          <t>ea</t>
        </is>
      </c>
      <c r="E605" s="605" t="n">
        <v>0</v>
      </c>
      <c r="F605" s="583">
        <f>E605*D605</f>
        <v/>
      </c>
    </row>
    <row r="606" ht="14.4" customHeight="1">
      <c r="A606" s="323" t="n"/>
      <c r="B606" s="323" t="inlineStr">
        <is>
          <t>20Cu x W69/Barrell Barrell Union CU Crimp</t>
        </is>
      </c>
      <c r="C606" s="327" t="inlineStr">
        <is>
          <t>ea</t>
        </is>
      </c>
      <c r="E606" s="605" t="n">
        <v>0</v>
      </c>
      <c r="F606" s="583">
        <f>E606*D606</f>
        <v/>
      </c>
    </row>
    <row r="607" ht="14.4" customHeight="1">
      <c r="A607" s="323" t="n"/>
      <c r="B607" s="323" t="inlineStr">
        <is>
          <t>15mm CU Crimp 90 DEG FxF Elbow</t>
        </is>
      </c>
      <c r="C607" s="327" t="inlineStr">
        <is>
          <t>ea</t>
        </is>
      </c>
      <c r="E607" s="605" t="n">
        <v>0</v>
      </c>
      <c r="F607" s="583">
        <f>E607*D607</f>
        <v/>
      </c>
    </row>
    <row r="608" ht="14.4" customHeight="1">
      <c r="A608" s="323" t="n"/>
      <c r="B608" s="323" t="inlineStr">
        <is>
          <t>15mm CU Crimp 45 DEG FxF Elbow</t>
        </is>
      </c>
      <c r="C608" s="327" t="inlineStr">
        <is>
          <t>ea</t>
        </is>
      </c>
      <c r="E608" s="605" t="n">
        <v>0</v>
      </c>
      <c r="F608" s="583">
        <f>E608*D608</f>
        <v/>
      </c>
    </row>
    <row r="609" ht="14.4" customHeight="1">
      <c r="A609" s="323" t="n"/>
      <c r="B609" s="323" t="inlineStr">
        <is>
          <t>15mm CU Crimp 90 DEG MxF Elbow</t>
        </is>
      </c>
      <c r="C609" s="327" t="inlineStr">
        <is>
          <t>ea</t>
        </is>
      </c>
      <c r="E609" s="605" t="n">
        <v>0</v>
      </c>
      <c r="F609" s="583">
        <f>E609*D609</f>
        <v/>
      </c>
    </row>
    <row r="610" ht="14.4" customHeight="1">
      <c r="A610" s="323" t="n"/>
      <c r="B610" s="323" t="inlineStr">
        <is>
          <t>15mm CU Crimp 45 DEG MxF Elbow</t>
        </is>
      </c>
      <c r="C610" s="327" t="inlineStr">
        <is>
          <t>ea</t>
        </is>
      </c>
      <c r="E610" s="605" t="n">
        <v>0</v>
      </c>
      <c r="F610" s="583">
        <f>E610*D610</f>
        <v/>
      </c>
    </row>
    <row r="611" ht="14.4" customHeight="1">
      <c r="A611" s="323" t="n"/>
      <c r="B611" s="323" t="inlineStr">
        <is>
          <t>15mm CU Crimp Tee</t>
        </is>
      </c>
      <c r="C611" s="327" t="inlineStr">
        <is>
          <t>ea</t>
        </is>
      </c>
      <c r="E611" s="605" t="n">
        <v>0</v>
      </c>
      <c r="F611" s="583">
        <f>E611*D611</f>
        <v/>
      </c>
    </row>
    <row r="612" ht="14.4" customHeight="1">
      <c r="A612" s="323" t="n"/>
      <c r="B612" s="323" t="inlineStr">
        <is>
          <t>15Cu x 15Mi CU Crimp Adapter</t>
        </is>
      </c>
      <c r="C612" s="327" t="inlineStr">
        <is>
          <t>ea</t>
        </is>
      </c>
      <c r="E612" s="605" t="n">
        <v>0</v>
      </c>
      <c r="F612" s="583">
        <f>E612*D612</f>
        <v/>
      </c>
    </row>
    <row r="613" ht="14.4" customHeight="1">
      <c r="A613" s="323" t="n"/>
      <c r="B613" s="323" t="inlineStr">
        <is>
          <t>15Cu x 15Fi CU Crimp Adapter</t>
        </is>
      </c>
      <c r="C613" s="327" t="inlineStr">
        <is>
          <t>ea</t>
        </is>
      </c>
      <c r="E613" s="605" t="n">
        <v>0</v>
      </c>
      <c r="F613" s="583">
        <f>E613*D613</f>
        <v/>
      </c>
    </row>
    <row r="614" ht="14.4" customHeight="1">
      <c r="A614" s="323" t="n"/>
      <c r="B614" s="323" t="inlineStr">
        <is>
          <t>15Cu Fi BP, wall elbow</t>
        </is>
      </c>
      <c r="C614" s="327" t="inlineStr">
        <is>
          <t>ea</t>
        </is>
      </c>
      <c r="E614" s="605" t="n">
        <v>0</v>
      </c>
      <c r="F614" s="583">
        <f>E614*D614</f>
        <v/>
      </c>
    </row>
    <row r="615" ht="14.4" customHeight="1">
      <c r="A615" s="323" t="n"/>
      <c r="B615" s="323" t="inlineStr">
        <is>
          <t>15Cu Mi BP, Wall elbow  - 90 Long</t>
        </is>
      </c>
      <c r="C615" s="327" t="inlineStr">
        <is>
          <t>ea</t>
        </is>
      </c>
      <c r="E615" s="605" t="n">
        <v>0</v>
      </c>
      <c r="F615" s="583">
        <f>E615*D615</f>
        <v/>
      </c>
    </row>
    <row r="616" ht="14.4" customHeight="1">
      <c r="A616" s="323" t="n"/>
      <c r="B616" s="323" t="inlineStr">
        <is>
          <t>15Cu Mi BP, Wall elbow  - 120+ Long</t>
        </is>
      </c>
      <c r="C616" s="327" t="inlineStr">
        <is>
          <t>ea</t>
        </is>
      </c>
      <c r="E616" s="605" t="n">
        <v>0</v>
      </c>
      <c r="F616" s="583">
        <f>E616*D616</f>
        <v/>
      </c>
    </row>
    <row r="617" ht="14.4" customHeight="1">
      <c r="A617" s="323" t="n"/>
      <c r="B617" s="323" t="inlineStr">
        <is>
          <t>15mm CU Crimp Repair Coupling</t>
        </is>
      </c>
      <c r="C617" s="327" t="inlineStr">
        <is>
          <t>ea</t>
        </is>
      </c>
      <c r="E617" s="605" t="n">
        <v>0</v>
      </c>
      <c r="F617" s="583">
        <f>E617*D617</f>
        <v/>
      </c>
    </row>
    <row r="618" ht="14.4" customHeight="1">
      <c r="A618" s="323" t="n"/>
      <c r="B618" s="323" t="inlineStr">
        <is>
          <t>15mm CU Crimp Coupling</t>
        </is>
      </c>
      <c r="C618" s="327" t="inlineStr">
        <is>
          <t>ea</t>
        </is>
      </c>
      <c r="E618" s="605" t="n">
        <v>0</v>
      </c>
      <c r="F618" s="583">
        <f>E618*D618</f>
        <v/>
      </c>
    </row>
    <row r="619" ht="14.4" customHeight="1">
      <c r="A619" s="323" t="n"/>
      <c r="B619" s="323" t="inlineStr">
        <is>
          <t>15mm CU Crimp Cap</t>
        </is>
      </c>
      <c r="C619" s="327" t="inlineStr">
        <is>
          <t>ea</t>
        </is>
      </c>
      <c r="E619" s="605" t="n">
        <v>0</v>
      </c>
      <c r="F619" s="583">
        <f>E619*D619</f>
        <v/>
      </c>
    </row>
    <row r="620" ht="14.4" customHeight="1">
      <c r="A620" s="323" t="n"/>
      <c r="B620" s="323" t="inlineStr">
        <is>
          <t>15Cu x W69/Barrell Barrell Union CU Crimp</t>
        </is>
      </c>
      <c r="C620" s="327" t="inlineStr">
        <is>
          <t>ea</t>
        </is>
      </c>
      <c r="E620" s="605" t="n">
        <v>0</v>
      </c>
      <c r="F620" s="583">
        <f>E620*D620</f>
        <v/>
      </c>
    </row>
    <row r="621" ht="14.4" customHeight="1">
      <c r="A621" s="323" t="n"/>
      <c r="B621" s="323" t="inlineStr">
        <is>
          <t>50mm Ball Valve Fi</t>
        </is>
      </c>
      <c r="C621" s="327" t="inlineStr">
        <is>
          <t>ea</t>
        </is>
      </c>
      <c r="E621" s="605" t="n">
        <v>0</v>
      </c>
      <c r="F621" s="583">
        <f>E621*D621</f>
        <v/>
      </c>
    </row>
    <row r="622" ht="14.4" customHeight="1">
      <c r="A622" s="323" t="n"/>
      <c r="B622" s="323" t="inlineStr">
        <is>
          <t>40mm Ball Valve Fi</t>
        </is>
      </c>
      <c r="C622" s="327" t="inlineStr">
        <is>
          <t>ea</t>
        </is>
      </c>
      <c r="E622" s="605" t="n">
        <v>0</v>
      </c>
      <c r="F622" s="583">
        <f>E622*D622</f>
        <v/>
      </c>
    </row>
    <row r="623" ht="14.4" customHeight="1">
      <c r="A623" s="323" t="n"/>
      <c r="B623" s="323" t="inlineStr">
        <is>
          <t>32mm Ball Valve Fi</t>
        </is>
      </c>
      <c r="C623" s="327" t="inlineStr">
        <is>
          <t>ea</t>
        </is>
      </c>
      <c r="E623" s="605" t="n">
        <v>0</v>
      </c>
      <c r="F623" s="583">
        <f>E623*D623</f>
        <v/>
      </c>
    </row>
    <row r="624" ht="14.4" customHeight="1">
      <c r="A624" s="323" t="n"/>
      <c r="B624" s="323" t="inlineStr">
        <is>
          <t>25mm Ball Valve Fi</t>
        </is>
      </c>
      <c r="C624" s="327" t="inlineStr">
        <is>
          <t>ea</t>
        </is>
      </c>
      <c r="E624" s="605" t="n">
        <v>26.25</v>
      </c>
      <c r="F624" s="583">
        <f>E624*D624</f>
        <v/>
      </c>
    </row>
    <row r="625" ht="14.4" customHeight="1">
      <c r="A625" s="323" t="n"/>
      <c r="B625" s="323" t="inlineStr">
        <is>
          <t>20mm Ball Valve Fi</t>
        </is>
      </c>
      <c r="C625" s="327" t="inlineStr">
        <is>
          <t>ea</t>
        </is>
      </c>
      <c r="E625" s="605" t="n">
        <v>0</v>
      </c>
      <c r="F625" s="583">
        <f>E625*D625</f>
        <v/>
      </c>
    </row>
    <row r="626" ht="14.4" customHeight="1">
      <c r="A626" s="323" t="n"/>
      <c r="B626" s="323" t="inlineStr">
        <is>
          <t>15mm Ball Valve Fi</t>
        </is>
      </c>
      <c r="C626" s="327" t="inlineStr">
        <is>
          <t>ea</t>
        </is>
      </c>
      <c r="E626" s="605" t="n">
        <v>0</v>
      </c>
      <c r="F626" s="583">
        <f>E626*D626</f>
        <v/>
      </c>
    </row>
    <row r="627" ht="14.4" customHeight="1">
      <c r="A627" s="323" t="n"/>
      <c r="B627" s="323" t="inlineStr">
        <is>
          <t>50mm Mi BRS Nipple</t>
        </is>
      </c>
      <c r="C627" s="327" t="inlineStr">
        <is>
          <t>ea</t>
        </is>
      </c>
      <c r="E627" s="605" t="n">
        <v>0</v>
      </c>
      <c r="F627" s="583">
        <f>E627*D627</f>
        <v/>
      </c>
    </row>
    <row r="628" ht="14.4" customHeight="1">
      <c r="A628" s="323" t="n"/>
      <c r="B628" s="323" t="inlineStr">
        <is>
          <t>50mm Fi BRS Socket</t>
        </is>
      </c>
      <c r="C628" s="327" t="inlineStr">
        <is>
          <t>ea</t>
        </is>
      </c>
      <c r="E628" s="605" t="n">
        <v>0</v>
      </c>
      <c r="F628" s="583">
        <f>E628*D628</f>
        <v/>
      </c>
    </row>
    <row r="629" ht="14.4" customHeight="1">
      <c r="A629" s="323" t="n"/>
      <c r="B629" s="323" t="inlineStr">
        <is>
          <t>50mm Mi BRS Union</t>
        </is>
      </c>
      <c r="C629" s="327" t="inlineStr">
        <is>
          <t>ea</t>
        </is>
      </c>
      <c r="E629" s="605" t="n">
        <v>0</v>
      </c>
      <c r="F629" s="583">
        <f>E629*D629</f>
        <v/>
      </c>
    </row>
    <row r="630" ht="14.4" customHeight="1">
      <c r="A630" s="323" t="n"/>
      <c r="B630" s="323" t="inlineStr">
        <is>
          <t>50mm Fi BRS Union</t>
        </is>
      </c>
      <c r="C630" s="327" t="inlineStr">
        <is>
          <t>ea</t>
        </is>
      </c>
      <c r="E630" s="605" t="n">
        <v>0</v>
      </c>
      <c r="F630" s="583">
        <f>E630*D630</f>
        <v/>
      </c>
    </row>
    <row r="631" ht="14.4" customHeight="1">
      <c r="A631" s="323" t="n"/>
      <c r="B631" s="323" t="inlineStr">
        <is>
          <t>50mm BRS Plug</t>
        </is>
      </c>
      <c r="C631" s="327" t="inlineStr">
        <is>
          <t>ea</t>
        </is>
      </c>
      <c r="E631" s="605" t="n">
        <v>0</v>
      </c>
      <c r="F631" s="583">
        <f>E631*D631</f>
        <v/>
      </c>
    </row>
    <row r="632" ht="14.4" customHeight="1">
      <c r="A632" s="323" t="n"/>
      <c r="B632" s="323" t="inlineStr">
        <is>
          <t>50mm BRS Cap</t>
        </is>
      </c>
      <c r="C632" s="327" t="inlineStr">
        <is>
          <t>ea</t>
        </is>
      </c>
      <c r="E632" s="605" t="n">
        <v>0</v>
      </c>
      <c r="F632" s="583">
        <f>E632*D632</f>
        <v/>
      </c>
    </row>
    <row r="633" ht="14.4" customHeight="1">
      <c r="A633" s="323" t="n"/>
      <c r="B633" s="323" t="inlineStr">
        <is>
          <t>40mm Mi BRS Nipple</t>
        </is>
      </c>
      <c r="C633" s="327" t="inlineStr">
        <is>
          <t>ea</t>
        </is>
      </c>
      <c r="E633" s="605" t="n">
        <v>0</v>
      </c>
      <c r="F633" s="583">
        <f>E633*D633</f>
        <v/>
      </c>
    </row>
    <row r="634" ht="14.4" customHeight="1">
      <c r="A634" s="323" t="n"/>
      <c r="B634" s="323" t="inlineStr">
        <is>
          <t>40mm Fi BRS Socket</t>
        </is>
      </c>
      <c r="C634" s="327" t="inlineStr">
        <is>
          <t>ea</t>
        </is>
      </c>
      <c r="E634" s="605" t="n">
        <v>0</v>
      </c>
      <c r="F634" s="583">
        <f>E634*D634</f>
        <v/>
      </c>
    </row>
    <row r="635" ht="14.4" customHeight="1">
      <c r="A635" s="323" t="n"/>
      <c r="B635" s="323" t="inlineStr">
        <is>
          <t>40mm Mi BRS Union</t>
        </is>
      </c>
      <c r="C635" s="327" t="inlineStr">
        <is>
          <t>ea</t>
        </is>
      </c>
      <c r="E635" s="605" t="n">
        <v>0</v>
      </c>
      <c r="F635" s="583">
        <f>E635*D635</f>
        <v/>
      </c>
    </row>
    <row r="636" ht="14.4" customHeight="1">
      <c r="A636" s="323" t="n"/>
      <c r="B636" s="323" t="inlineStr">
        <is>
          <t>40mm Fi BRS Union</t>
        </is>
      </c>
      <c r="C636" s="327" t="inlineStr">
        <is>
          <t>ea</t>
        </is>
      </c>
      <c r="E636" s="605" t="n">
        <v>0</v>
      </c>
      <c r="F636" s="583">
        <f>E636*D636</f>
        <v/>
      </c>
    </row>
    <row r="637" ht="14.4" customHeight="1">
      <c r="A637" s="323" t="n"/>
      <c r="B637" s="323" t="inlineStr">
        <is>
          <t>40mm BRS Plug</t>
        </is>
      </c>
      <c r="C637" s="327" t="inlineStr">
        <is>
          <t>ea</t>
        </is>
      </c>
      <c r="E637" s="605" t="n">
        <v>0</v>
      </c>
      <c r="F637" s="583">
        <f>E637*D637</f>
        <v/>
      </c>
    </row>
    <row r="638" ht="14.4" customHeight="1">
      <c r="A638" s="323" t="n"/>
      <c r="B638" s="323" t="inlineStr">
        <is>
          <t>40mm BRS Cap</t>
        </is>
      </c>
      <c r="C638" s="327" t="inlineStr">
        <is>
          <t>ea</t>
        </is>
      </c>
      <c r="E638" s="605" t="n">
        <v>0</v>
      </c>
      <c r="F638" s="583">
        <f>E638*D638</f>
        <v/>
      </c>
    </row>
    <row r="639" ht="14.4" customHeight="1">
      <c r="A639" s="323" t="n"/>
      <c r="B639" s="323" t="inlineStr">
        <is>
          <t>32mm Mi BRS Nipple</t>
        </is>
      </c>
      <c r="C639" s="327" t="inlineStr">
        <is>
          <t>ea</t>
        </is>
      </c>
      <c r="E639" s="605" t="n">
        <v>0</v>
      </c>
      <c r="F639" s="583">
        <f>E639*D639</f>
        <v/>
      </c>
    </row>
    <row r="640" ht="14.4" customHeight="1">
      <c r="A640" s="323" t="n"/>
      <c r="B640" s="323" t="inlineStr">
        <is>
          <t>32mm Fi BRS Socket</t>
        </is>
      </c>
      <c r="C640" s="327" t="inlineStr">
        <is>
          <t>ea</t>
        </is>
      </c>
      <c r="E640" s="605" t="n">
        <v>0</v>
      </c>
      <c r="F640" s="583">
        <f>E640*D640</f>
        <v/>
      </c>
    </row>
    <row r="641" ht="14.4" customHeight="1">
      <c r="A641" s="323" t="n"/>
      <c r="B641" s="323" t="inlineStr">
        <is>
          <t>32mm Mi BRS Union</t>
        </is>
      </c>
      <c r="C641" s="327" t="inlineStr">
        <is>
          <t>ea</t>
        </is>
      </c>
      <c r="E641" s="605" t="n">
        <v>0</v>
      </c>
      <c r="F641" s="583">
        <f>E641*D641</f>
        <v/>
      </c>
    </row>
    <row r="642" ht="14.4" customHeight="1">
      <c r="A642" s="323" t="n"/>
      <c r="B642" s="323" t="inlineStr">
        <is>
          <t>32mm Fi BRS Union</t>
        </is>
      </c>
      <c r="C642" s="327" t="inlineStr">
        <is>
          <t>ea</t>
        </is>
      </c>
      <c r="E642" s="605" t="n">
        <v>0</v>
      </c>
      <c r="F642" s="583">
        <f>E642*D642</f>
        <v/>
      </c>
    </row>
    <row r="643" ht="14.4" customHeight="1">
      <c r="A643" s="323" t="n"/>
      <c r="B643" s="323" t="inlineStr">
        <is>
          <t>32mm BRS Plug</t>
        </is>
      </c>
      <c r="C643" s="327" t="inlineStr">
        <is>
          <t>ea</t>
        </is>
      </c>
      <c r="E643" s="605" t="n">
        <v>0</v>
      </c>
      <c r="F643" s="583">
        <f>E643*D643</f>
        <v/>
      </c>
    </row>
    <row r="644" ht="14.4" customHeight="1">
      <c r="A644" s="323" t="n"/>
      <c r="B644" s="323" t="inlineStr">
        <is>
          <t>32mm BRS Cap</t>
        </is>
      </c>
      <c r="C644" s="327" t="inlineStr">
        <is>
          <t>ea</t>
        </is>
      </c>
      <c r="E644" s="605" t="n">
        <v>0</v>
      </c>
      <c r="F644" s="583">
        <f>E644*D644</f>
        <v/>
      </c>
    </row>
    <row r="645" ht="14.4" customHeight="1">
      <c r="A645" s="323" t="n"/>
      <c r="B645" s="323" t="inlineStr">
        <is>
          <t>25mm Mi BRS Nipple</t>
        </is>
      </c>
      <c r="C645" s="327" t="inlineStr">
        <is>
          <t>ea</t>
        </is>
      </c>
      <c r="E645" s="605" t="n">
        <v>0</v>
      </c>
      <c r="F645" s="583">
        <f>E645*D645</f>
        <v/>
      </c>
    </row>
    <row r="646" ht="14.4" customHeight="1">
      <c r="A646" s="323" t="n"/>
      <c r="B646" s="323" t="inlineStr">
        <is>
          <t>25mm Fi BRS Socket</t>
        </is>
      </c>
      <c r="C646" s="327" t="inlineStr">
        <is>
          <t>ea</t>
        </is>
      </c>
      <c r="E646" s="605" t="n">
        <v>0</v>
      </c>
      <c r="F646" s="583">
        <f>E646*D646</f>
        <v/>
      </c>
    </row>
    <row r="647" ht="14.4" customHeight="1">
      <c r="A647" s="323" t="n"/>
      <c r="B647" s="323" t="inlineStr">
        <is>
          <t>25mm Mi BRS Union</t>
        </is>
      </c>
      <c r="C647" s="327" t="inlineStr">
        <is>
          <t>ea</t>
        </is>
      </c>
      <c r="E647" s="605" t="n">
        <v>0</v>
      </c>
      <c r="F647" s="583">
        <f>E647*D647</f>
        <v/>
      </c>
    </row>
    <row r="648" ht="14.4" customHeight="1">
      <c r="A648" s="323" t="n"/>
      <c r="B648" s="323" t="inlineStr">
        <is>
          <t>25mm Fi BRS Union</t>
        </is>
      </c>
      <c r="C648" s="327" t="inlineStr">
        <is>
          <t>ea</t>
        </is>
      </c>
      <c r="E648" s="605" t="n">
        <v>0</v>
      </c>
      <c r="F648" s="583">
        <f>E648*D648</f>
        <v/>
      </c>
    </row>
    <row r="649" ht="14.4" customHeight="1">
      <c r="A649" s="323" t="n"/>
      <c r="B649" s="323" t="inlineStr">
        <is>
          <t>25mm BRS Plug</t>
        </is>
      </c>
      <c r="C649" s="327" t="inlineStr">
        <is>
          <t>ea</t>
        </is>
      </c>
      <c r="E649" s="605" t="n">
        <v>0</v>
      </c>
      <c r="F649" s="583">
        <f>E649*D649</f>
        <v/>
      </c>
    </row>
    <row r="650" ht="14.4" customHeight="1">
      <c r="A650" s="323" t="n"/>
      <c r="B650" s="323" t="inlineStr">
        <is>
          <t>25mm BRS Cap</t>
        </is>
      </c>
      <c r="C650" s="327" t="inlineStr">
        <is>
          <t>ea</t>
        </is>
      </c>
      <c r="E650" s="605" t="n">
        <v>0</v>
      </c>
      <c r="F650" s="583">
        <f>E650*D650</f>
        <v/>
      </c>
    </row>
    <row r="651" ht="14.4" customHeight="1">
      <c r="A651" s="323" t="n"/>
      <c r="B651" s="323" t="n"/>
      <c r="C651" s="327" t="inlineStr">
        <is>
          <t>ea</t>
        </is>
      </c>
      <c r="E651" s="605" t="n">
        <v>0</v>
      </c>
      <c r="F651" s="583">
        <f>E651*D651</f>
        <v/>
      </c>
    </row>
    <row r="652" ht="14.4" customHeight="1">
      <c r="A652" s="323" t="n"/>
      <c r="B652" s="323" t="n"/>
      <c r="C652" s="327" t="n"/>
      <c r="E652" s="605" t="n"/>
      <c r="F652" s="583" t="n"/>
    </row>
    <row r="653" ht="14.4" customHeight="1">
      <c r="A653" s="323" t="n"/>
      <c r="B653" s="323" t="n"/>
      <c r="C653" s="327" t="n"/>
      <c r="E653" s="605" t="n"/>
      <c r="F653" s="583" t="n"/>
    </row>
    <row r="654" ht="14.4" customHeight="1">
      <c r="A654" s="323" t="n"/>
      <c r="B654" s="323" t="n"/>
      <c r="C654" s="327" t="n"/>
      <c r="E654" s="605" t="n"/>
      <c r="F654" s="583" t="n"/>
    </row>
    <row r="655" ht="14.4" customHeight="1">
      <c r="A655" s="323" t="n"/>
      <c r="B655" s="404" t="inlineStr">
        <is>
          <t>20mm pex Pipe - Black</t>
        </is>
      </c>
      <c r="C655" s="440" t="inlineStr">
        <is>
          <t>m</t>
        </is>
      </c>
      <c r="D655" s="396" t="n">
        <v>157.82</v>
      </c>
      <c r="E655" s="607">
        <f>434/158</f>
        <v/>
      </c>
      <c r="F655" s="608">
        <f>E655*D655</f>
        <v/>
      </c>
      <c r="G655" t="n">
        <v>158</v>
      </c>
      <c r="H655" s="540" t="inlineStr">
        <is>
          <t>ADOPTED qty per QUANTITY_RECONCILIATION TPS_NBC</t>
        </is>
      </c>
      <c r="J655" s="38">
        <f>217*2</f>
        <v/>
      </c>
    </row>
    <row r="656" ht="14.4" customHeight="1">
      <c r="A656" s="323" t="n"/>
      <c r="B656" s="436" t="inlineStr">
        <is>
          <t xml:space="preserve">20mm pex Pipe - Red </t>
        </is>
      </c>
      <c r="C656" s="438" t="inlineStr">
        <is>
          <t>m</t>
        </is>
      </c>
      <c r="D656" s="40" t="n">
        <v>65.29000000000001</v>
      </c>
      <c r="E656" s="607">
        <f>231/66</f>
        <v/>
      </c>
      <c r="F656" s="583">
        <f>E656*D656</f>
        <v/>
      </c>
      <c r="G656" t="n">
        <v>66</v>
      </c>
      <c r="H656" s="540" t="inlineStr">
        <is>
          <t>ADOPTED qty per QUANTITY_RECONCILIATION TPS_NBC</t>
        </is>
      </c>
    </row>
    <row r="657" ht="14.4" customHeight="1">
      <c r="A657" s="323" t="n"/>
      <c r="B657" s="323" t="inlineStr">
        <is>
          <t>15mm Pex pipe - Black</t>
        </is>
      </c>
      <c r="C657" s="327" t="inlineStr">
        <is>
          <t>m</t>
        </is>
      </c>
      <c r="E657" s="605" t="n">
        <v>0</v>
      </c>
      <c r="F657" s="583">
        <f>E657*D657</f>
        <v/>
      </c>
    </row>
    <row r="658" ht="14.4" customHeight="1">
      <c r="A658" s="323" t="n"/>
      <c r="B658" s="323" t="inlineStr">
        <is>
          <t>15mm Pex pipe - Red</t>
        </is>
      </c>
      <c r="C658" s="327" t="inlineStr">
        <is>
          <t>m</t>
        </is>
      </c>
      <c r="E658" s="605" t="n">
        <v>0</v>
      </c>
      <c r="F658" s="583">
        <f>E658*D658</f>
        <v/>
      </c>
    </row>
    <row r="659" ht="14.4" customHeight="1">
      <c r="A659" s="323" t="n"/>
      <c r="B659" s="323" t="inlineStr">
        <is>
          <t>20 pex Elbow</t>
        </is>
      </c>
      <c r="C659" s="327" t="inlineStr">
        <is>
          <t>m</t>
        </is>
      </c>
      <c r="D659" s="40" t="n">
        <v>104</v>
      </c>
      <c r="E659" s="605" t="n">
        <v>5.15</v>
      </c>
      <c r="F659" s="583">
        <f>E659*D659</f>
        <v/>
      </c>
    </row>
    <row r="660" ht="14.4" customHeight="1">
      <c r="A660" s="323" t="n"/>
      <c r="B660" s="323" t="inlineStr">
        <is>
          <t>20 Pex TEE</t>
        </is>
      </c>
      <c r="C660" s="327" t="inlineStr">
        <is>
          <t>ea</t>
        </is>
      </c>
      <c r="D660" s="40" t="n">
        <v>66</v>
      </c>
      <c r="E660" s="605" t="n">
        <v>7.49</v>
      </c>
      <c r="F660" s="583">
        <f>E660*D660</f>
        <v/>
      </c>
    </row>
    <row r="661" ht="14.4" customHeight="1">
      <c r="A661" s="323" t="n"/>
      <c r="B661" s="323" t="inlineStr">
        <is>
          <t>20x15 Pex TEE</t>
        </is>
      </c>
      <c r="C661" s="327" t="inlineStr">
        <is>
          <t>ea</t>
        </is>
      </c>
      <c r="E661" s="605" t="n">
        <v>0</v>
      </c>
      <c r="F661" s="583">
        <f>E661*D661</f>
        <v/>
      </c>
    </row>
    <row r="662" ht="14.4" customHeight="1">
      <c r="A662" s="323" t="n"/>
      <c r="B662" s="323" t="inlineStr">
        <is>
          <t>20 PEX Mi Adapter</t>
        </is>
      </c>
      <c r="C662" s="327" t="inlineStr">
        <is>
          <t>ea</t>
        </is>
      </c>
      <c r="E662" s="605" t="n">
        <v>0</v>
      </c>
      <c r="F662" s="583">
        <f>E662*D662</f>
        <v/>
      </c>
    </row>
    <row r="663" ht="14.4" customHeight="1">
      <c r="A663" s="323" t="n"/>
      <c r="B663" s="323" t="inlineStr">
        <is>
          <t>20 PEX Fi Adapter</t>
        </is>
      </c>
      <c r="C663" s="327" t="inlineStr">
        <is>
          <t>ea</t>
        </is>
      </c>
      <c r="E663" s="605" t="n">
        <v>0</v>
      </c>
      <c r="F663" s="583">
        <f>E663*D663</f>
        <v/>
      </c>
    </row>
    <row r="664" ht="14.4" customHeight="1">
      <c r="A664" s="323" t="n"/>
      <c r="B664" s="323" t="inlineStr">
        <is>
          <t>20x15 Pex Reducer</t>
        </is>
      </c>
      <c r="C664" s="327" t="inlineStr">
        <is>
          <t>ea</t>
        </is>
      </c>
      <c r="E664" s="605" t="n">
        <v>0</v>
      </c>
      <c r="F664" s="583">
        <f>E664*D664</f>
        <v/>
      </c>
    </row>
    <row r="665" ht="14.4" customHeight="1">
      <c r="A665" s="323" t="n"/>
      <c r="B665" s="436" t="inlineStr">
        <is>
          <t>PEX - 32 Cu Crimp Adapter</t>
        </is>
      </c>
      <c r="C665" s="438" t="inlineStr">
        <is>
          <t>ea</t>
        </is>
      </c>
      <c r="D665" s="40" t="n">
        <v>1</v>
      </c>
      <c r="E665" s="605" t="n">
        <v>20</v>
      </c>
      <c r="F665" s="583">
        <f>E665*D665</f>
        <v/>
      </c>
    </row>
    <row r="666" ht="14.4" customHeight="1">
      <c r="A666" s="323" t="n"/>
      <c r="B666" s="436" t="inlineStr">
        <is>
          <t>PEX - 25 Cu Crimp Adapter</t>
        </is>
      </c>
      <c r="C666" s="438" t="inlineStr">
        <is>
          <t>ea</t>
        </is>
      </c>
      <c r="D666" s="40" t="n">
        <v>14</v>
      </c>
      <c r="E666" s="605" t="n">
        <v>14</v>
      </c>
      <c r="F666" s="583">
        <f>E666*D666</f>
        <v/>
      </c>
    </row>
    <row r="667" ht="14.4" customHeight="1">
      <c r="A667" s="323" t="n"/>
      <c r="B667" s="436" t="inlineStr">
        <is>
          <t>PEX - 20 Cu Crimp Adapter</t>
        </is>
      </c>
      <c r="C667" s="438" t="inlineStr">
        <is>
          <t>ea</t>
        </is>
      </c>
      <c r="D667" s="40" t="n">
        <v>5</v>
      </c>
      <c r="E667" s="605" t="n">
        <v>10.05</v>
      </c>
      <c r="F667" s="583">
        <f>E667*D667</f>
        <v/>
      </c>
    </row>
    <row r="668" ht="26.25" customHeight="1">
      <c r="A668" s="323" t="n"/>
      <c r="B668" s="323" t="inlineStr">
        <is>
          <t>20 PEXxCU Crimp conversion coupling</t>
        </is>
      </c>
      <c r="C668" s="327" t="inlineStr">
        <is>
          <t>ea</t>
        </is>
      </c>
      <c r="E668" s="605" t="n">
        <v>0</v>
      </c>
      <c r="F668" s="583">
        <f>E668*D668</f>
        <v/>
      </c>
    </row>
    <row r="669" ht="14.4" customHeight="1">
      <c r="A669" s="323" t="n"/>
      <c r="B669" s="323" t="inlineStr">
        <is>
          <t>20 PEX Straight coupling</t>
        </is>
      </c>
      <c r="C669" s="327" t="inlineStr">
        <is>
          <t>ea</t>
        </is>
      </c>
      <c r="E669" s="605" t="n">
        <v>0</v>
      </c>
      <c r="F669" s="583">
        <f>E669*D669</f>
        <v/>
      </c>
    </row>
    <row r="670" ht="14.4" customHeight="1">
      <c r="A670" s="323" t="n"/>
      <c r="B670" s="323" t="inlineStr">
        <is>
          <t>15 Pex Elbow</t>
        </is>
      </c>
      <c r="C670" s="327" t="inlineStr">
        <is>
          <t>ea</t>
        </is>
      </c>
      <c r="E670" s="605" t="n">
        <v>0</v>
      </c>
      <c r="F670" s="583">
        <f>E670*D670</f>
        <v/>
      </c>
    </row>
    <row r="671" ht="14.4" customHeight="1">
      <c r="A671" s="323" t="n"/>
      <c r="B671" s="323" t="inlineStr">
        <is>
          <t>15 Pex TEE</t>
        </is>
      </c>
      <c r="C671" s="327" t="inlineStr">
        <is>
          <t>ea</t>
        </is>
      </c>
      <c r="E671" s="605" t="n">
        <v>0</v>
      </c>
      <c r="F671" s="583">
        <f>E671*D671</f>
        <v/>
      </c>
    </row>
    <row r="672" ht="14.4" customHeight="1">
      <c r="A672" s="323" t="n"/>
      <c r="B672" s="323" t="inlineStr">
        <is>
          <t>15 PEXMi Adapter</t>
        </is>
      </c>
      <c r="C672" s="327" t="inlineStr">
        <is>
          <t>ea</t>
        </is>
      </c>
      <c r="E672" s="605" t="n">
        <v>0</v>
      </c>
      <c r="F672" s="583">
        <f>E672*D672</f>
        <v/>
      </c>
    </row>
    <row r="673" ht="14.4" customHeight="1">
      <c r="A673" s="323" t="n"/>
      <c r="B673" s="323" t="inlineStr">
        <is>
          <t>15 PEX Fi Adapter</t>
        </is>
      </c>
      <c r="C673" s="327" t="inlineStr">
        <is>
          <t>ea</t>
        </is>
      </c>
      <c r="E673" s="605" t="n">
        <v>0</v>
      </c>
      <c r="F673" s="583">
        <f>E673*D673</f>
        <v/>
      </c>
    </row>
    <row r="674" ht="14.4" customHeight="1">
      <c r="A674" s="323" t="n"/>
      <c r="B674" s="323" t="inlineStr">
        <is>
          <t>15 PEX Fi BP, wall elbow</t>
        </is>
      </c>
      <c r="C674" s="327" t="inlineStr">
        <is>
          <t>ea</t>
        </is>
      </c>
      <c r="E674" s="605" t="n">
        <v>0</v>
      </c>
      <c r="F674" s="583">
        <f>E674*D674</f>
        <v/>
      </c>
    </row>
    <row r="675" ht="14.4" customHeight="1">
      <c r="A675" s="323" t="n"/>
      <c r="B675" s="323" t="inlineStr">
        <is>
          <t>15 PEX Mi BP, Wall elbow  - 90 Long</t>
        </is>
      </c>
      <c r="C675" s="327" t="inlineStr">
        <is>
          <t>ea</t>
        </is>
      </c>
      <c r="E675" s="605" t="n">
        <v>0</v>
      </c>
      <c r="F675" s="583">
        <f>E675*D675</f>
        <v/>
      </c>
    </row>
    <row r="676" ht="14.4" customHeight="1">
      <c r="A676" s="323" t="n"/>
      <c r="B676" s="323" t="inlineStr">
        <is>
          <t>15 PEX Mi BP, Wall elbow  - 120+ Long</t>
        </is>
      </c>
      <c r="C676" s="327" t="inlineStr">
        <is>
          <t>ea</t>
        </is>
      </c>
      <c r="E676" s="605" t="n">
        <v>0</v>
      </c>
      <c r="F676" s="583">
        <f>E676*D676</f>
        <v/>
      </c>
    </row>
    <row r="677" ht="14.4" customHeight="1">
      <c r="A677" s="323" t="n"/>
      <c r="B677" s="323" t="inlineStr">
        <is>
          <t>15 PEXxCU Crimp conversion coupling</t>
        </is>
      </c>
      <c r="C677" s="327" t="inlineStr">
        <is>
          <t>ea</t>
        </is>
      </c>
      <c r="E677" s="605" t="n">
        <v>0</v>
      </c>
      <c r="F677" s="583">
        <f>E677*D677</f>
        <v/>
      </c>
    </row>
    <row r="678" ht="14.4" customHeight="1">
      <c r="A678" s="323" t="n"/>
      <c r="B678" s="323" t="inlineStr">
        <is>
          <t>15 PEX Straight coupling</t>
        </is>
      </c>
      <c r="C678" s="327" t="inlineStr">
        <is>
          <t>ea</t>
        </is>
      </c>
      <c r="E678" s="605" t="n">
        <v>0</v>
      </c>
      <c r="F678" s="583">
        <f>E678*D678</f>
        <v/>
      </c>
    </row>
    <row r="679" ht="14.4" customHeight="1">
      <c r="A679" s="323" t="n"/>
      <c r="B679" s="323" t="n"/>
      <c r="C679" s="327" t="inlineStr">
        <is>
          <t>ea</t>
        </is>
      </c>
      <c r="E679" s="605" t="n">
        <v>0</v>
      </c>
      <c r="F679" s="583">
        <f>E679*D679</f>
        <v/>
      </c>
    </row>
    <row r="680" ht="14.4" customHeight="1">
      <c r="B680" s="329" t="inlineStr">
        <is>
          <t>Hose Taps Complete</t>
        </is>
      </c>
      <c r="C680" s="327" t="inlineStr">
        <is>
          <t>ea</t>
        </is>
      </c>
      <c r="D680" s="40" t="n">
        <v>5</v>
      </c>
      <c r="E680" s="605" t="n">
        <v>56</v>
      </c>
      <c r="F680" s="583">
        <f>E680*D680</f>
        <v/>
      </c>
      <c r="G680" t="n">
        <v>4</v>
      </c>
      <c r="H680" s="540" t="inlineStr">
        <is>
          <t>ADOPTED qty per QUANTITY_RECONCILIATION TPS_NBC - hose taps 5 (drawn-but-uncounted symbol NBC-201; H002 n.15 adopt higher)</t>
        </is>
      </c>
    </row>
    <row r="681" ht="14.4" customHeight="1">
      <c r="B681" t="inlineStr">
        <is>
          <t xml:space="preserve">100 FL DICL SLUICE VALVE </t>
        </is>
      </c>
      <c r="C681" s="302" t="inlineStr">
        <is>
          <t>ea</t>
        </is>
      </c>
      <c r="E681" s="605" t="n">
        <v>202.94</v>
      </c>
      <c r="F681" s="583">
        <f>E681*D681</f>
        <v/>
      </c>
    </row>
    <row r="682" ht="14.4" customHeight="1">
      <c r="B682" t="inlineStr">
        <is>
          <t xml:space="preserve"> 125PE*4" (100mm) - MaxiStub W/Stainless Steel Backing Ring</t>
        </is>
      </c>
      <c r="C682" s="302" t="inlineStr">
        <is>
          <t>ea</t>
        </is>
      </c>
      <c r="E682" s="605" t="n">
        <v>92.67</v>
      </c>
      <c r="F682" s="583">
        <f>E682*D682</f>
        <v/>
      </c>
    </row>
    <row r="683" ht="14.4" customHeight="1">
      <c r="B683" t="inlineStr">
        <is>
          <t>100mm PE*DI Gasket Kit Complete  Parts &amp; Labour</t>
        </is>
      </c>
      <c r="C683" s="302" t="inlineStr">
        <is>
          <t>ea</t>
        </is>
      </c>
      <c r="E683" s="605" t="n">
        <v>24.71</v>
      </c>
      <c r="F683" s="583">
        <f>E683*D683</f>
        <v/>
      </c>
    </row>
    <row r="684" ht="14.4" customHeight="1">
      <c r="B684" t="inlineStr">
        <is>
          <t>100mm DI*DI Gasket Kit Complete</t>
        </is>
      </c>
      <c r="C684" s="302" t="inlineStr">
        <is>
          <t>ea</t>
        </is>
      </c>
      <c r="E684" s="605" t="n">
        <v>20</v>
      </c>
      <c r="F684" s="583">
        <f>E684*D684</f>
        <v/>
      </c>
    </row>
    <row r="685" ht="14.4" customHeight="1">
      <c r="B685" t="inlineStr">
        <is>
          <t>Valve Spindle Riser - 600Long</t>
        </is>
      </c>
      <c r="C685" s="302" t="inlineStr">
        <is>
          <t>ea</t>
        </is>
      </c>
      <c r="E685" s="605" t="n">
        <v>136.94</v>
      </c>
      <c r="F685" s="583">
        <f>E685*D685</f>
        <v/>
      </c>
    </row>
    <row r="686" ht="14.4" customHeight="1">
      <c r="B686" t="inlineStr">
        <is>
          <t>100mm Dual Pillar Hydrant Complete_ RG Base 1500 High w/landing Valves_OPTION</t>
        </is>
      </c>
      <c r="C686" s="302" t="inlineStr">
        <is>
          <t>ea</t>
        </is>
      </c>
      <c r="E686" s="605" t="n">
        <v>365</v>
      </c>
      <c r="F686" s="583">
        <f>E686*D686</f>
        <v/>
      </c>
    </row>
    <row r="687" ht="14.4" customHeight="1">
      <c r="B687" t="inlineStr">
        <is>
          <t>125mm PE x 100mm GALV ADAPTER - Acutech Brand</t>
        </is>
      </c>
      <c r="C687" s="302" t="inlineStr">
        <is>
          <t>ea</t>
        </is>
      </c>
      <c r="E687" s="605" t="n">
        <v>201.43</v>
      </c>
      <c r="F687" s="583">
        <f>E687*D687</f>
        <v/>
      </c>
    </row>
    <row r="688" ht="14.4" customHeight="1">
      <c r="B688" t="inlineStr">
        <is>
          <t>Red caps and chain - suit 65mm QLD Landing valve</t>
        </is>
      </c>
      <c r="C688" s="302" t="inlineStr">
        <is>
          <t>ea</t>
        </is>
      </c>
      <c r="E688" s="605" t="n">
        <v>5</v>
      </c>
      <c r="F688" s="583">
        <f>E688*D688</f>
        <v/>
      </c>
    </row>
    <row r="689" ht="14.4" customHeight="1">
      <c r="B689" t="inlineStr">
        <is>
          <t>RPZD  32mm</t>
        </is>
      </c>
      <c r="C689" s="302" t="inlineStr">
        <is>
          <t>ea</t>
        </is>
      </c>
      <c r="E689" s="605" t="n">
        <v>853</v>
      </c>
      <c r="F689" s="583">
        <f>E689*D689</f>
        <v/>
      </c>
      <c r="J689" s="605" t="n"/>
    </row>
    <row r="690" ht="14.4" customHeight="1">
      <c r="B690" t="inlineStr">
        <is>
          <t>RPZD  20mm</t>
        </is>
      </c>
      <c r="C690" s="302" t="inlineStr">
        <is>
          <t>ea</t>
        </is>
      </c>
      <c r="D690" s="40" t="n">
        <v>4</v>
      </c>
      <c r="E690" s="605" t="n">
        <v>503</v>
      </c>
      <c r="F690" s="583">
        <f>E690*D690</f>
        <v/>
      </c>
      <c r="G690" t="n">
        <v>3</v>
      </c>
      <c r="H690" s="540" t="inlineStr">
        <is>
          <t>ADOPTED qty per QUANTITY_RECONCILIATION TPS_NBC - 20mm RPZD 4 (~4 positions NBC-202, adopt higher)</t>
        </is>
      </c>
      <c r="J690" s="605" t="n"/>
    </row>
    <row r="691" ht="14.4" customHeight="1">
      <c r="B691" t="inlineStr">
        <is>
          <t>RPZD 100mm</t>
        </is>
      </c>
      <c r="C691" s="302" t="inlineStr">
        <is>
          <t>ea</t>
        </is>
      </c>
      <c r="E691" s="605" t="n">
        <v>1809.63</v>
      </c>
      <c r="F691" s="583">
        <f>E691*D691</f>
        <v/>
      </c>
      <c r="J691" s="605" t="n"/>
    </row>
    <row r="692" ht="14.4" customHeight="1">
      <c r="B692" s="63" t="inlineStr">
        <is>
          <t>Office - Water &amp; Rough IN</t>
        </is>
      </c>
      <c r="C692" s="302" t="inlineStr">
        <is>
          <t>ea</t>
        </is>
      </c>
      <c r="E692" s="605" t="n">
        <v>1650</v>
      </c>
      <c r="F692" s="583">
        <f>E692*D692</f>
        <v/>
      </c>
      <c r="J692" s="605" t="n"/>
    </row>
    <row r="693" ht="14.4" customHeight="1">
      <c r="B693" s="63" t="inlineStr">
        <is>
          <t>Ofice - NOGINS &amp; Fixings</t>
        </is>
      </c>
      <c r="C693" s="302" t="inlineStr">
        <is>
          <t>ea</t>
        </is>
      </c>
      <c r="E693" s="605" t="n">
        <v>160</v>
      </c>
      <c r="F693" s="583">
        <f>E693*D693</f>
        <v/>
      </c>
      <c r="J693" s="605" t="n"/>
    </row>
    <row r="694" ht="14.4" customHeight="1">
      <c r="B694" s="63" t="inlineStr">
        <is>
          <t>Safety shr fittings</t>
        </is>
      </c>
      <c r="C694" s="302" t="inlineStr">
        <is>
          <t>ea</t>
        </is>
      </c>
      <c r="E694" s="605" t="n">
        <v>750</v>
      </c>
      <c r="F694" s="583">
        <f>E694*D694</f>
        <v/>
      </c>
      <c r="J694" s="605" t="n"/>
    </row>
    <row r="695" ht="14.4" customHeight="1">
      <c r="B695" s="63" t="inlineStr">
        <is>
          <t>In Grnd Fittings misc</t>
        </is>
      </c>
      <c r="C695" s="302" t="inlineStr">
        <is>
          <t>ea</t>
        </is>
      </c>
      <c r="E695" s="605" t="n">
        <v>450</v>
      </c>
      <c r="F695" s="583">
        <f>E695*D695</f>
        <v/>
      </c>
      <c r="J695" s="605" t="n"/>
    </row>
    <row r="696" ht="14.4" customHeight="1">
      <c r="B696" s="63" t="inlineStr">
        <is>
          <t>Abv Grnd Fittings misc</t>
        </is>
      </c>
      <c r="C696" s="302" t="inlineStr">
        <is>
          <t>ea</t>
        </is>
      </c>
      <c r="E696" s="605" t="n">
        <v>1250</v>
      </c>
      <c r="F696" s="583">
        <f>E696*D696</f>
        <v/>
      </c>
      <c r="J696" s="605" t="n"/>
    </row>
    <row r="697" ht="14.4" customHeight="1">
      <c r="B697" t="inlineStr">
        <is>
          <t>HWU quickie kit</t>
        </is>
      </c>
      <c r="C697" s="302" t="inlineStr">
        <is>
          <t>ea</t>
        </is>
      </c>
      <c r="E697" s="605" t="n">
        <v>190</v>
      </c>
      <c r="F697" s="583">
        <f>E697*D697</f>
        <v/>
      </c>
      <c r="J697" s="605" t="n"/>
    </row>
    <row r="698" ht="14.4" customHeight="1">
      <c r="B698" t="inlineStr">
        <is>
          <t>TMV</t>
        </is>
      </c>
      <c r="C698" s="302" t="inlineStr">
        <is>
          <t>ea</t>
        </is>
      </c>
      <c r="E698" s="605" t="n">
        <v>412.59</v>
      </c>
      <c r="F698" s="583">
        <f>E698*D698</f>
        <v/>
      </c>
      <c r="J698" s="605" t="n"/>
    </row>
    <row r="699" ht="14.4" customHeight="1">
      <c r="B699" t="inlineStr">
        <is>
          <t xml:space="preserve">20mm check valve </t>
        </is>
      </c>
      <c r="C699" s="302" t="inlineStr">
        <is>
          <t>ea</t>
        </is>
      </c>
      <c r="D699" s="40" t="n">
        <v>4</v>
      </c>
      <c r="E699" s="605" t="n">
        <v>80</v>
      </c>
      <c r="F699" s="583">
        <f>E699*D699</f>
        <v/>
      </c>
      <c r="J699" s="605" t="n"/>
    </row>
    <row r="700" ht="14.4" customHeight="1">
      <c r="B700" t="inlineStr">
        <is>
          <t xml:space="preserve">20mm Isolavtive valve </t>
        </is>
      </c>
      <c r="C700" s="302" t="inlineStr">
        <is>
          <t>ea</t>
        </is>
      </c>
      <c r="D700" s="40" t="n">
        <v>3</v>
      </c>
      <c r="E700" s="605" t="n">
        <v>18.65</v>
      </c>
      <c r="F700" s="583">
        <f>E700*D700</f>
        <v/>
      </c>
      <c r="J700" s="605" t="n"/>
    </row>
    <row r="701" ht="14.4" customHeight="1">
      <c r="B701" t="inlineStr">
        <is>
          <t xml:space="preserve">25mm Isolavtive valve </t>
        </is>
      </c>
      <c r="C701" s="302" t="inlineStr">
        <is>
          <t>ea</t>
        </is>
      </c>
      <c r="E701" s="605" t="n">
        <v>26.55</v>
      </c>
      <c r="F701" s="583">
        <f>E701*D701</f>
        <v/>
      </c>
      <c r="J701" s="605" t="n"/>
    </row>
    <row r="702" ht="14.4" customHeight="1">
      <c r="B702" s="63" t="inlineStr">
        <is>
          <t xml:space="preserve">32mm Isolavtive valve </t>
        </is>
      </c>
      <c r="C702" s="441" t="inlineStr">
        <is>
          <t>ea</t>
        </is>
      </c>
      <c r="D702" s="40" t="n">
        <v>1</v>
      </c>
      <c r="E702" s="605" t="n">
        <v>60</v>
      </c>
      <c r="F702" s="583">
        <f>E702*D702</f>
        <v/>
      </c>
      <c r="J702" s="605" t="n"/>
    </row>
    <row r="703" ht="14.4" customHeight="1">
      <c r="B703" t="inlineStr">
        <is>
          <t xml:space="preserve">50mm Isolavtive valve </t>
        </is>
      </c>
      <c r="C703" s="302" t="inlineStr">
        <is>
          <t>ea</t>
        </is>
      </c>
      <c r="E703" s="605" t="n">
        <v>92.09999999999999</v>
      </c>
      <c r="F703" s="583">
        <f>E703*D703</f>
        <v/>
      </c>
      <c r="J703" s="605" t="n"/>
    </row>
    <row r="704" ht="16.8" customHeight="1">
      <c r="B704" s="330" t="inlineStr">
        <is>
          <t>450 SQ PIT</t>
        </is>
      </c>
      <c r="C704" s="302" t="inlineStr">
        <is>
          <t>ea</t>
        </is>
      </c>
      <c r="E704" s="605" t="n">
        <v>30</v>
      </c>
      <c r="F704" s="583">
        <f>E704*D704</f>
        <v/>
      </c>
      <c r="J704" s="605" t="n"/>
    </row>
    <row r="705" ht="14.4" customHeight="1">
      <c r="B705" t="inlineStr">
        <is>
          <t>Dock Office Water Mat</t>
        </is>
      </c>
      <c r="C705" s="302" t="inlineStr">
        <is>
          <t>ea</t>
        </is>
      </c>
      <c r="E705" s="605" t="n">
        <v>1850</v>
      </c>
      <c r="F705" s="583">
        <f>E705*D705</f>
        <v/>
      </c>
      <c r="J705" s="605" t="n"/>
    </row>
    <row r="706" ht="14.4" customHeight="1">
      <c r="B706" t="inlineStr">
        <is>
          <t xml:space="preserve">25mm RPZD </t>
        </is>
      </c>
      <c r="C706" s="302" t="inlineStr">
        <is>
          <t>ea</t>
        </is>
      </c>
      <c r="E706" s="605" t="n">
        <v>1800</v>
      </c>
      <c r="F706" s="583">
        <f>E706*D706</f>
        <v/>
      </c>
      <c r="J706" s="605" t="n"/>
    </row>
    <row r="707" ht="14.4" customHeight="1">
      <c r="C707" s="302" t="n"/>
      <c r="E707" s="605" t="n"/>
      <c r="F707" s="583">
        <f>E707*D707</f>
        <v/>
      </c>
      <c r="J707" s="605" t="n"/>
    </row>
    <row r="708" ht="14.4" customHeight="1">
      <c r="A708" s="323" t="n"/>
      <c r="B708" s="406" t="inlineStr">
        <is>
          <t xml:space="preserve">misc. </t>
        </is>
      </c>
      <c r="C708" s="327" t="inlineStr">
        <is>
          <t>ea</t>
        </is>
      </c>
      <c r="E708" s="605" t="n">
        <v>3800</v>
      </c>
      <c r="F708" s="583">
        <f>E708*D708</f>
        <v/>
      </c>
      <c r="J708" s="605" t="n"/>
    </row>
    <row r="709" ht="14.4" customHeight="1">
      <c r="A709" s="323" t="n"/>
      <c r="B709" s="406" t="inlineStr">
        <is>
          <t>150mm isolation valve in valve pit (connect to authority watermain )</t>
        </is>
      </c>
      <c r="C709" s="405" t="inlineStr">
        <is>
          <t>ea</t>
        </is>
      </c>
      <c r="E709" s="605" t="n">
        <v>371.37</v>
      </c>
      <c r="F709" s="583">
        <f>E709*D709</f>
        <v/>
      </c>
      <c r="J709" s="605" t="n"/>
    </row>
    <row r="710" ht="14.4" customHeight="1">
      <c r="A710" s="323" t="n"/>
      <c r="B710" s="406" t="inlineStr">
        <is>
          <t xml:space="preserve">25mm DCW Isolation vlave in valve pit with path box cover </t>
        </is>
      </c>
      <c r="C710" s="405" t="inlineStr">
        <is>
          <t>ea</t>
        </is>
      </c>
      <c r="E710" s="605">
        <f>430.67+38.37</f>
        <v/>
      </c>
      <c r="F710" s="583">
        <f>E710*D710</f>
        <v/>
      </c>
      <c r="J710" s="605" t="n"/>
    </row>
    <row r="711" ht="14.4" customHeight="1">
      <c r="A711" s="323" t="n"/>
      <c r="B711" s="406" t="inlineStr">
        <is>
          <t xml:space="preserve">	25mm water meter in tamper steel cage with isolative valves in both side </t>
        </is>
      </c>
      <c r="C711" s="405" t="inlineStr">
        <is>
          <t>ea</t>
        </is>
      </c>
      <c r="E711" s="605">
        <f>141.13+18.87+18.87+480.93</f>
        <v/>
      </c>
      <c r="F711" s="583">
        <f>E711*D711</f>
        <v/>
      </c>
      <c r="J711" s="605" t="n"/>
    </row>
    <row r="712" ht="14.4" customHeight="1">
      <c r="A712" s="323" t="n"/>
      <c r="B712" s="406" t="inlineStr">
        <is>
          <t>TMV in Box</t>
        </is>
      </c>
      <c r="C712" s="327" t="inlineStr">
        <is>
          <t>ea</t>
        </is>
      </c>
      <c r="D712" s="40" t="n">
        <v>10</v>
      </c>
      <c r="E712" s="605" t="n">
        <v>587.96</v>
      </c>
      <c r="F712" s="583">
        <f>E712*D712</f>
        <v/>
      </c>
      <c r="J712" s="605" t="n"/>
    </row>
    <row r="713" ht="14.4" customHeight="1">
      <c r="A713" s="323" t="n"/>
      <c r="B713" s="406" t="inlineStr">
        <is>
          <t xml:space="preserve">100 mm Water meter </t>
        </is>
      </c>
      <c r="C713" s="327" t="inlineStr">
        <is>
          <t>ea</t>
        </is>
      </c>
      <c r="E713" s="605" t="n">
        <v>641.58</v>
      </c>
      <c r="F713" s="583">
        <f>E713*D713</f>
        <v/>
      </c>
      <c r="J713" s="605" t="n"/>
    </row>
    <row r="714" ht="14.4" customHeight="1">
      <c r="A714" s="323" t="n"/>
      <c r="B714" s="406" t="inlineStr">
        <is>
          <t xml:space="preserve">32 valve in pit </t>
        </is>
      </c>
      <c r="C714" s="405" t="inlineStr">
        <is>
          <t>ea</t>
        </is>
      </c>
      <c r="E714" s="605" t="n">
        <v>50</v>
      </c>
      <c r="F714" s="583">
        <f>E714*D714</f>
        <v/>
      </c>
      <c r="J714" s="605" t="n"/>
    </row>
    <row r="715" ht="14.4" customHeight="1">
      <c r="A715" s="323" t="n"/>
      <c r="B715" s="406" t="inlineStr">
        <is>
          <t xml:space="preserve">50mm control valve </t>
        </is>
      </c>
      <c r="C715" s="327" t="inlineStr">
        <is>
          <t>ea</t>
        </is>
      </c>
      <c r="E715" s="605" t="n">
        <v>31.71</v>
      </c>
      <c r="F715" s="583">
        <f>E715*D715</f>
        <v/>
      </c>
      <c r="J715" s="605" t="n"/>
    </row>
    <row r="716" ht="14.4" customHeight="1">
      <c r="A716" s="323" t="n"/>
      <c r="B716" s="406" t="inlineStr">
        <is>
          <t xml:space="preserve">TLV under basin </t>
        </is>
      </c>
      <c r="C716" s="327" t="inlineStr">
        <is>
          <t>ea</t>
        </is>
      </c>
      <c r="E716" s="605" t="n">
        <v>146.09</v>
      </c>
      <c r="F716" s="583">
        <f>E716*D716</f>
        <v/>
      </c>
    </row>
    <row r="717" ht="14.4" customHeight="1">
      <c r="A717" s="323" t="n"/>
      <c r="B717" s="407" t="inlineStr">
        <is>
          <t xml:space="preserve">AUTOMATIC TRAP PRIMER </t>
        </is>
      </c>
      <c r="C717" s="443" t="inlineStr">
        <is>
          <t>ea</t>
        </is>
      </c>
      <c r="D717" s="396" t="n">
        <v>2</v>
      </c>
      <c r="E717" s="607" t="n">
        <v>99.48999999999999</v>
      </c>
      <c r="F717" s="608">
        <f>E717*D717</f>
        <v/>
      </c>
    </row>
    <row r="718" ht="14.4" customHeight="1">
      <c r="B718" t="inlineStr">
        <is>
          <t>Basket trap (water charge / self-priming) - water layer</t>
        </is>
      </c>
      <c r="C718" s="327" t="inlineStr">
        <is>
          <t>ea</t>
        </is>
      </c>
      <c r="D718" t="n">
        <v>2</v>
      </c>
      <c r="E718" s="605" t="n">
        <v>250</v>
      </c>
      <c r="F718" s="583">
        <f>E718*D718</f>
        <v/>
      </c>
      <c r="H718" s="540" t="inlineStr">
        <is>
          <t>ADOPTED 2 (TPS_NBC water layer) - distinct from sewer basket traps, do not merge</t>
        </is>
      </c>
    </row>
    <row r="719"/>
    <row r="720" ht="14.4" customHeight="1">
      <c r="B720" s="324" t="inlineStr">
        <is>
          <t xml:space="preserve">SEWER DRAINAGE - </t>
        </is>
      </c>
    </row>
    <row r="721" ht="14.4" customHeight="1">
      <c r="B721" s="326" t="inlineStr">
        <is>
          <t>Description</t>
        </is>
      </c>
    </row>
    <row r="722" ht="14.4" customHeight="1">
      <c r="B722" s="323" t="n"/>
    </row>
    <row r="723" ht="14.4" customHeight="1">
      <c r="B723" s="323" t="inlineStr">
        <is>
          <t xml:space="preserve">PIPE DWV PVC S/WELD  150MM - In Grnd </t>
        </is>
      </c>
      <c r="C723" s="327" t="inlineStr">
        <is>
          <t>m</t>
        </is>
      </c>
      <c r="E723" s="609" t="n">
        <v>14.49</v>
      </c>
      <c r="F723" s="583">
        <f>E723*D723</f>
        <v/>
      </c>
    </row>
    <row r="724" ht="14.4" customHeight="1">
      <c r="B724" s="406" t="inlineStr">
        <is>
          <t>PIPE DWV SN8 PVC S/WELD  100MM</t>
        </is>
      </c>
      <c r="C724" s="327" t="inlineStr">
        <is>
          <t>m</t>
        </is>
      </c>
      <c r="D724" s="40" t="n">
        <v>230.07</v>
      </c>
      <c r="E724" s="609" t="n">
        <v>9.5496</v>
      </c>
      <c r="F724" s="583">
        <f>E724*D724</f>
        <v/>
      </c>
      <c r="G724" t="n">
        <v>231</v>
      </c>
      <c r="H724" s="540" t="inlineStr">
        <is>
          <t>ADOPTED qty per QUANTITY_RECONCILIATION TPS_NBC</t>
        </is>
      </c>
    </row>
    <row r="725" ht="14.4" customHeight="1">
      <c r="B725" s="406" t="inlineStr">
        <is>
          <t xml:space="preserve">150MM * 45D PVC JUNCTION </t>
        </is>
      </c>
      <c r="C725" s="405" t="inlineStr">
        <is>
          <t>ea</t>
        </is>
      </c>
      <c r="E725" s="609" t="n">
        <v>9.66</v>
      </c>
      <c r="F725" s="583">
        <f>E725*D725</f>
        <v/>
      </c>
    </row>
    <row r="726" ht="14.4" customHeight="1">
      <c r="B726" s="406" t="inlineStr">
        <is>
          <t xml:space="preserve">100MM * 45D PVC JUNCTION </t>
        </is>
      </c>
      <c r="C726" s="405" t="inlineStr">
        <is>
          <t>ea</t>
        </is>
      </c>
      <c r="D726" s="40" t="n">
        <v>80</v>
      </c>
      <c r="E726" s="609" t="n">
        <v>4.7886</v>
      </c>
      <c r="F726" s="583">
        <f>E726*D726</f>
        <v/>
      </c>
    </row>
    <row r="727" ht="14.4" customHeight="1">
      <c r="B727" s="406" t="inlineStr">
        <is>
          <t xml:space="preserve">150MM X 100MM 45D PVC JUNCTION </t>
        </is>
      </c>
      <c r="C727" s="405" t="inlineStr">
        <is>
          <t>ea</t>
        </is>
      </c>
      <c r="E727" s="609" t="n">
        <v>13.8</v>
      </c>
      <c r="F727" s="583">
        <f>E727*D727</f>
        <v/>
      </c>
    </row>
    <row r="728" ht="14.4" customHeight="1">
      <c r="B728" s="436" t="inlineStr">
        <is>
          <t xml:space="preserve">100*40 PVC DWV JUNCTION </t>
        </is>
      </c>
      <c r="C728" s="405" t="inlineStr">
        <is>
          <t>ea</t>
        </is>
      </c>
      <c r="D728" s="40" t="n">
        <v>2</v>
      </c>
      <c r="E728" s="609" t="n">
        <v>5</v>
      </c>
      <c r="F728" s="583">
        <f>E728*D728</f>
        <v/>
      </c>
    </row>
    <row r="729" ht="14.4" customHeight="1">
      <c r="B729" s="406" t="inlineStr">
        <is>
          <t xml:space="preserve">100*50 PVC DWV JUNCTION </t>
        </is>
      </c>
      <c r="C729" s="405" t="inlineStr">
        <is>
          <t>ea</t>
        </is>
      </c>
      <c r="E729" s="609" t="n">
        <v>6.5274</v>
      </c>
      <c r="F729" s="583">
        <f>E729*D729</f>
        <v/>
      </c>
    </row>
    <row r="730" ht="14.4" customHeight="1">
      <c r="B730" s="406" t="inlineStr">
        <is>
          <t xml:space="preserve">100MM * 65 PVC PVC JUNCTION </t>
        </is>
      </c>
      <c r="C730" s="405" t="inlineStr">
        <is>
          <t>ea</t>
        </is>
      </c>
      <c r="E730" s="609" t="n">
        <v>8.5974</v>
      </c>
      <c r="F730" s="583">
        <f>E730*D730</f>
        <v/>
      </c>
    </row>
    <row r="731" ht="14.4" customHeight="1">
      <c r="B731" s="406" t="inlineStr">
        <is>
          <t xml:space="preserve">150MM X 45 Deg Bend </t>
        </is>
      </c>
      <c r="C731" s="405" t="inlineStr">
        <is>
          <t>ea</t>
        </is>
      </c>
      <c r="E731" s="609" t="n">
        <v>6.899999999999999</v>
      </c>
      <c r="F731" s="583">
        <f>E731*D731</f>
        <v/>
      </c>
    </row>
    <row r="732" ht="14.4" customHeight="1">
      <c r="B732" s="406" t="inlineStr">
        <is>
          <t xml:space="preserve">150MM X 90 Deg Bend </t>
        </is>
      </c>
      <c r="C732" s="405" t="inlineStr">
        <is>
          <t>ea</t>
        </is>
      </c>
      <c r="E732" s="609" t="n">
        <v>6.899999999999999</v>
      </c>
      <c r="F732" s="583">
        <f>E732*D732</f>
        <v/>
      </c>
    </row>
    <row r="733" ht="14.4" customHeight="1">
      <c r="B733" s="406" t="inlineStr">
        <is>
          <t>100MM X 90Deg Bend</t>
        </is>
      </c>
      <c r="C733" s="405" t="inlineStr">
        <is>
          <t>ea</t>
        </is>
      </c>
      <c r="D733" s="40" t="n">
        <v>75</v>
      </c>
      <c r="E733" s="609" t="n">
        <v>2.5668</v>
      </c>
      <c r="F733" s="583">
        <f>E733*D733</f>
        <v/>
      </c>
    </row>
    <row r="734" ht="14.4" customHeight="1">
      <c r="B734" s="406" t="inlineStr">
        <is>
          <t>100MM X 45Deg Bend</t>
        </is>
      </c>
      <c r="C734" s="405" t="inlineStr">
        <is>
          <t>ea</t>
        </is>
      </c>
      <c r="D734" s="40" t="n">
        <v>66</v>
      </c>
      <c r="E734" s="609" t="n">
        <v>2.33082</v>
      </c>
      <c r="F734" s="583">
        <f>E734*D734</f>
        <v/>
      </c>
    </row>
    <row r="735" ht="14.4" customHeight="1">
      <c r="B735" s="406" t="inlineStr">
        <is>
          <t>DWV PIPE REDUCER 150X100mm</t>
        </is>
      </c>
      <c r="C735" s="405" t="inlineStr">
        <is>
          <t>ea</t>
        </is>
      </c>
      <c r="E735" s="609" t="n">
        <v>5.52</v>
      </c>
      <c r="F735" s="583">
        <f>E735*D735</f>
        <v/>
      </c>
    </row>
    <row r="736" ht="14.4" customHeight="1">
      <c r="B736" s="406" t="inlineStr">
        <is>
          <t>DWV PIPE REDUCER 100 X 50mm</t>
        </is>
      </c>
      <c r="C736" s="405" t="inlineStr">
        <is>
          <t>ea</t>
        </is>
      </c>
      <c r="D736" s="40" t="n">
        <v>3</v>
      </c>
      <c r="E736" s="609" t="n">
        <v>2.6772</v>
      </c>
      <c r="F736" s="583">
        <f>E736*D736</f>
        <v/>
      </c>
    </row>
    <row r="737" ht="14.4" customHeight="1">
      <c r="B737" s="436" t="inlineStr">
        <is>
          <t>DWV PIPE REDUCER 100 X 40mm</t>
        </is>
      </c>
      <c r="C737" s="405" t="inlineStr">
        <is>
          <t>ea</t>
        </is>
      </c>
      <c r="D737" s="40" t="n">
        <v>1</v>
      </c>
      <c r="E737" s="609" t="n">
        <v>2</v>
      </c>
      <c r="F737" s="583">
        <f>E737*D737</f>
        <v/>
      </c>
    </row>
    <row r="738" ht="14.4" customHeight="1">
      <c r="B738" s="323" t="inlineStr">
        <is>
          <t xml:space="preserve">PIPE DWV PVC S/WELD  100MM - In Grnd </t>
        </is>
      </c>
      <c r="C738" s="327" t="inlineStr">
        <is>
          <t>m</t>
        </is>
      </c>
      <c r="E738" s="609" t="n">
        <v>6.899999999999999</v>
      </c>
      <c r="F738" s="583">
        <f>E738*D738</f>
        <v/>
      </c>
    </row>
    <row r="739" ht="14.4" customHeight="1">
      <c r="B739" s="406" t="inlineStr">
        <is>
          <t xml:space="preserve">PIPE DWV PVC S/WELD  65MM - In Grnd </t>
        </is>
      </c>
      <c r="C739" s="327" t="inlineStr">
        <is>
          <t>m</t>
        </is>
      </c>
      <c r="E739" s="609" t="n">
        <v>5.52</v>
      </c>
      <c r="F739" s="583">
        <f>E739*D739</f>
        <v/>
      </c>
    </row>
    <row r="740" ht="14.4" customHeight="1">
      <c r="B740" s="323" t="inlineStr">
        <is>
          <t xml:space="preserve">63 HDPE PN12.5 SDR11 - BLACK or CREAM - In Grnd </t>
        </is>
      </c>
      <c r="C740" s="327" t="inlineStr">
        <is>
          <t>m</t>
        </is>
      </c>
      <c r="E740" s="609" t="n">
        <v>8.7354</v>
      </c>
      <c r="F740" s="583">
        <f>E740*D740</f>
        <v/>
      </c>
    </row>
    <row r="741" ht="14.4" customHeight="1">
      <c r="B741" s="406" t="inlineStr">
        <is>
          <t>PIPE DWV PVC S/WELD  50mm</t>
        </is>
      </c>
      <c r="C741" s="327" t="inlineStr">
        <is>
          <t>m</t>
        </is>
      </c>
      <c r="D741" s="40" t="n">
        <v>12.68</v>
      </c>
      <c r="E741" s="609" t="n">
        <v>3.726</v>
      </c>
      <c r="F741" s="583">
        <f>E741*D741</f>
        <v/>
      </c>
      <c r="G741" t="n">
        <v>13</v>
      </c>
      <c r="H741" s="540" t="inlineStr">
        <is>
          <t>ADOPTED qty per QUANTITY_RECONCILIATION TPS_NBC</t>
        </is>
      </c>
    </row>
    <row r="742" ht="14.4" customHeight="1">
      <c r="B742" s="406" t="inlineStr">
        <is>
          <t>PIPE DWV PVC S/WELD  40mm</t>
        </is>
      </c>
      <c r="C742" s="327" t="inlineStr">
        <is>
          <t>m</t>
        </is>
      </c>
      <c r="D742" s="40" t="n">
        <v>25.61</v>
      </c>
      <c r="E742" s="609" t="n">
        <v>2.898</v>
      </c>
      <c r="F742" s="583">
        <f>E742*D742</f>
        <v/>
      </c>
      <c r="G742" t="n">
        <v>26</v>
      </c>
      <c r="H742" s="540" t="inlineStr">
        <is>
          <t>ADOPTED qty per QUANTITY_RECONCILIATION TPS_NBC</t>
        </is>
      </c>
    </row>
    <row r="743" ht="14.4" customHeight="1">
      <c r="B743" s="406" t="inlineStr">
        <is>
          <t xml:space="preserve">65MM * 45D PVC JUNCTION </t>
        </is>
      </c>
      <c r="C743" s="405" t="inlineStr">
        <is>
          <t>ea</t>
        </is>
      </c>
      <c r="E743" s="609" t="n">
        <v>3.5</v>
      </c>
      <c r="F743" s="583">
        <f>E743*D743</f>
        <v/>
      </c>
    </row>
    <row r="744" ht="14.4" customHeight="1">
      <c r="B744" s="406" t="inlineStr">
        <is>
          <t xml:space="preserve">50MM * 45D PVC JUNCTION </t>
        </is>
      </c>
      <c r="C744" s="405" t="inlineStr">
        <is>
          <t>ea</t>
        </is>
      </c>
      <c r="E744" s="609" t="n">
        <v>3</v>
      </c>
      <c r="F744" s="583">
        <f>E744*D744</f>
        <v/>
      </c>
    </row>
    <row r="745" ht="14.4" customHeight="1">
      <c r="B745" s="436" t="inlineStr">
        <is>
          <t>DWV BEND 65X 45 DEG</t>
        </is>
      </c>
      <c r="C745" s="405" t="inlineStr">
        <is>
          <t>ea</t>
        </is>
      </c>
      <c r="E745" s="609" t="n">
        <v>2.3322</v>
      </c>
      <c r="F745" s="583">
        <f>E745*D745</f>
        <v/>
      </c>
    </row>
    <row r="746" ht="14.4" customHeight="1">
      <c r="B746" s="436" t="inlineStr">
        <is>
          <t>DWV BEND 65X 90 DEG</t>
        </is>
      </c>
      <c r="C746" s="405" t="inlineStr">
        <is>
          <t>ea</t>
        </is>
      </c>
      <c r="E746" s="609" t="n">
        <v>2.33</v>
      </c>
      <c r="F746" s="583">
        <f>E746*D746</f>
        <v/>
      </c>
    </row>
    <row r="747" ht="14.4" customHeight="1">
      <c r="B747" s="436" t="inlineStr">
        <is>
          <t>DWV BEND 40 X 45 DEG</t>
        </is>
      </c>
      <c r="C747" s="405" t="inlineStr">
        <is>
          <t>ea</t>
        </is>
      </c>
      <c r="D747" s="40" t="n">
        <v>18</v>
      </c>
      <c r="E747" s="609" t="n">
        <v>4</v>
      </c>
      <c r="F747" s="583">
        <f>E747*D747</f>
        <v/>
      </c>
    </row>
    <row r="748" ht="14.4" customHeight="1">
      <c r="B748" s="406" t="inlineStr">
        <is>
          <t>DWV BEND 40 X 85 DEG</t>
        </is>
      </c>
      <c r="C748" s="405" t="inlineStr">
        <is>
          <t>ea</t>
        </is>
      </c>
      <c r="D748" s="40" t="n">
        <v>18</v>
      </c>
      <c r="E748" s="609" t="n">
        <v>4.14</v>
      </c>
      <c r="F748" s="583">
        <f>E748*D748</f>
        <v/>
      </c>
    </row>
    <row r="749" ht="14.4" customHeight="1">
      <c r="B749" s="406" t="inlineStr">
        <is>
          <t>DWV BEND 50 X 45 DEG</t>
        </is>
      </c>
      <c r="C749" s="405" t="inlineStr">
        <is>
          <t>ea</t>
        </is>
      </c>
      <c r="D749" s="40" t="n">
        <v>8</v>
      </c>
      <c r="E749" s="609" t="n">
        <v>0.9384</v>
      </c>
      <c r="F749" s="583">
        <f>E749*D749</f>
        <v/>
      </c>
    </row>
    <row r="750" ht="14.4" customHeight="1">
      <c r="B750" s="406" t="inlineStr">
        <is>
          <t xml:space="preserve">DWV BEND 50 X85 DEG </t>
        </is>
      </c>
      <c r="C750" s="405" t="inlineStr">
        <is>
          <t>ea</t>
        </is>
      </c>
      <c r="D750" s="40" t="n">
        <v>7</v>
      </c>
      <c r="E750" s="609" t="n">
        <v>11.7162</v>
      </c>
      <c r="F750" s="583">
        <f>E750*D750</f>
        <v/>
      </c>
    </row>
    <row r="751" ht="14.4" customHeight="1">
      <c r="B751" s="323" t="inlineStr">
        <is>
          <t>50mm Condensate INSULATION</t>
        </is>
      </c>
      <c r="C751" s="327" t="inlineStr">
        <is>
          <t>m</t>
        </is>
      </c>
      <c r="E751" s="605" t="n">
        <v>14</v>
      </c>
      <c r="F751" s="583">
        <f>E751*D751</f>
        <v/>
      </c>
    </row>
    <row r="752" ht="14.4" customHeight="1">
      <c r="B752" s="406" t="inlineStr">
        <is>
          <t>100mm Condensate INSULATION</t>
        </is>
      </c>
      <c r="C752" s="327" t="inlineStr">
        <is>
          <t>m</t>
        </is>
      </c>
      <c r="E752" s="605" t="n">
        <v>6</v>
      </c>
      <c r="F752" s="583">
        <f>E752*D752</f>
        <v/>
      </c>
    </row>
    <row r="753" ht="14.4" customHeight="1">
      <c r="B753" s="323" t="n"/>
      <c r="C753" s="327" t="n"/>
      <c r="E753" s="327" t="n"/>
      <c r="F753" s="583">
        <f>E753*D753</f>
        <v/>
      </c>
    </row>
    <row r="754" ht="14.4" customHeight="1">
      <c r="B754" s="323" t="inlineStr">
        <is>
          <t>150mm - Gas Tight H/D Cast Iron Clearout (Peepeye)</t>
        </is>
      </c>
      <c r="C754" s="327" t="inlineStr">
        <is>
          <t>ea</t>
        </is>
      </c>
      <c r="E754" s="605" t="n">
        <v>40</v>
      </c>
      <c r="F754" s="583">
        <f>E754*D754</f>
        <v/>
      </c>
    </row>
    <row r="755" ht="14.4" customHeight="1">
      <c r="B755" s="406" t="inlineStr">
        <is>
          <t>150mm Clear Out Cover - L/D - Brass</t>
        </is>
      </c>
      <c r="C755" s="327" t="inlineStr">
        <is>
          <t>ea</t>
        </is>
      </c>
      <c r="E755" s="605" t="n">
        <v>30</v>
      </c>
      <c r="F755" s="583">
        <f>E755*D755</f>
        <v/>
      </c>
    </row>
    <row r="756" ht="14.4" customHeight="1">
      <c r="B756" s="323" t="inlineStr">
        <is>
          <t>100mm - Gas Tight H/D Cast Iron Clearout (Peepeye)</t>
        </is>
      </c>
      <c r="C756" s="327" t="inlineStr">
        <is>
          <t>ea</t>
        </is>
      </c>
      <c r="D756" s="40" t="n">
        <v>18</v>
      </c>
      <c r="E756" s="605" t="n">
        <v>33</v>
      </c>
      <c r="F756" s="583">
        <f>E756*D756</f>
        <v/>
      </c>
    </row>
    <row r="757" ht="14.4" customHeight="1">
      <c r="B757" s="406" t="inlineStr">
        <is>
          <t>100mm Clear Out Cover - L/D - Brass</t>
        </is>
      </c>
      <c r="C757" s="327" t="inlineStr">
        <is>
          <t>ea</t>
        </is>
      </c>
      <c r="D757" s="40" t="n">
        <v>18</v>
      </c>
      <c r="E757" s="605" t="n">
        <v>23.26</v>
      </c>
      <c r="F757" s="583">
        <f>E757*D757</f>
        <v/>
      </c>
    </row>
    <row r="758" ht="14.4" customHeight="1">
      <c r="B758" s="406" t="inlineStr">
        <is>
          <t xml:space="preserve">100 mm Inspection Opening </t>
        </is>
      </c>
      <c r="C758" s="327" t="inlineStr">
        <is>
          <t>ea</t>
        </is>
      </c>
      <c r="D758" s="40" t="n">
        <v>10</v>
      </c>
      <c r="E758" s="605" t="n">
        <v>50</v>
      </c>
      <c r="F758" s="583">
        <f>E758*D758</f>
        <v/>
      </c>
    </row>
    <row r="759" ht="14.4" customHeight="1">
      <c r="B759" s="323" t="inlineStr">
        <is>
          <t>100mm Trapped point - 100mm Gully Trap</t>
        </is>
      </c>
      <c r="C759" s="327" t="inlineStr">
        <is>
          <t>ea</t>
        </is>
      </c>
      <c r="E759" s="605" t="n">
        <v>7.65</v>
      </c>
      <c r="F759" s="583">
        <f>E759*D759</f>
        <v/>
      </c>
    </row>
    <row r="760" ht="14.4" customHeight="1">
      <c r="B760" s="323" t="inlineStr">
        <is>
          <t>FWG - 100mm Gully Trap</t>
        </is>
      </c>
      <c r="C760" s="327" t="inlineStr">
        <is>
          <t>ea</t>
        </is>
      </c>
      <c r="E760" s="605" t="n">
        <v>7.65</v>
      </c>
      <c r="F760" s="583">
        <f>E760*D760</f>
        <v/>
      </c>
    </row>
    <row r="761" ht="14.4" customHeight="1">
      <c r="B761" s="323" t="inlineStr">
        <is>
          <t>FWG - 100mm 4-way Riser</t>
        </is>
      </c>
      <c r="C761" s="327" t="inlineStr">
        <is>
          <t>ea</t>
        </is>
      </c>
      <c r="D761" s="40" t="n">
        <v>9</v>
      </c>
      <c r="E761" s="605" t="n">
        <v>13.59</v>
      </c>
      <c r="F761" s="583">
        <f>E761*D761</f>
        <v/>
      </c>
    </row>
    <row r="762" ht="14.4" customHeight="1">
      <c r="B762" s="323" t="inlineStr">
        <is>
          <t>FWG - Grate - Tile Insert 100*100 Chrome Plated</t>
        </is>
      </c>
      <c r="C762" s="327" t="inlineStr">
        <is>
          <t>ea</t>
        </is>
      </c>
      <c r="E762" s="605" t="n">
        <v>0</v>
      </c>
      <c r="F762" s="583">
        <f>E762*D762</f>
        <v/>
      </c>
    </row>
    <row r="763" ht="14.4" customHeight="1">
      <c r="B763" s="323" t="inlineStr">
        <is>
          <t>In-Wall TD &amp; View Panel - SS</t>
        </is>
      </c>
      <c r="C763" s="327" t="inlineStr">
        <is>
          <t>ea</t>
        </is>
      </c>
      <c r="D763" s="40" t="n">
        <v>2</v>
      </c>
      <c r="E763" s="605" t="n">
        <v>75</v>
      </c>
      <c r="F763" s="583">
        <f>E763*D763</f>
        <v/>
      </c>
    </row>
    <row r="764" ht="14.4" customHeight="1">
      <c r="B764" s="323" t="n"/>
      <c r="C764" s="327" t="n"/>
      <c r="E764" s="323" t="n"/>
      <c r="F764" s="583">
        <f>E764*D764</f>
        <v/>
      </c>
    </row>
    <row r="765" ht="14.4" customHeight="1">
      <c r="B765" s="323" t="inlineStr">
        <is>
          <t>100mm PVC 10mm nut hanging clip</t>
        </is>
      </c>
      <c r="C765" s="327" t="inlineStr">
        <is>
          <t>ea</t>
        </is>
      </c>
      <c r="E765" s="605" t="n">
        <v>2</v>
      </c>
      <c r="F765" s="583">
        <f>E765*D765</f>
        <v/>
      </c>
    </row>
    <row r="766" ht="14.4" customHeight="1">
      <c r="B766" s="323" t="inlineStr">
        <is>
          <t>50mm PVC 10mm nut hanging clip</t>
        </is>
      </c>
      <c r="C766" s="327" t="inlineStr">
        <is>
          <t>ea</t>
        </is>
      </c>
      <c r="E766" s="605" t="n">
        <v>1.5</v>
      </c>
      <c r="F766" s="583">
        <f>E766*D766</f>
        <v/>
      </c>
    </row>
    <row r="767" ht="14.4" customHeight="1">
      <c r="B767" s="323" t="inlineStr">
        <is>
          <t>10mm Zinc Threaded Rod</t>
        </is>
      </c>
      <c r="C767" s="327" t="inlineStr">
        <is>
          <t>m</t>
        </is>
      </c>
      <c r="E767" s="605">
        <f>E645</f>
        <v/>
      </c>
      <c r="F767" s="583">
        <f>E767*D767</f>
        <v/>
      </c>
    </row>
    <row r="768" ht="14.4" customHeight="1">
      <c r="B768" s="323" t="n"/>
      <c r="C768" s="327" t="n"/>
      <c r="E768" s="605" t="n"/>
      <c r="F768" s="583">
        <f>E768*D768</f>
        <v/>
      </c>
    </row>
    <row r="769" ht="14.4" customHeight="1">
      <c r="B769" s="323" t="inlineStr">
        <is>
          <t>Glue - Blue - 4Ltr</t>
        </is>
      </c>
      <c r="C769" s="327" t="inlineStr">
        <is>
          <t>ea</t>
        </is>
      </c>
      <c r="E769" s="605" t="n">
        <v>26.4</v>
      </c>
      <c r="F769" s="583">
        <f>E769*D769</f>
        <v/>
      </c>
    </row>
    <row r="770" ht="14.4" customHeight="1">
      <c r="B770" s="323" t="inlineStr">
        <is>
          <t>Primer - Red - 4Ltr</t>
        </is>
      </c>
      <c r="C770" s="327" t="inlineStr">
        <is>
          <t>ea</t>
        </is>
      </c>
      <c r="E770" s="605" t="n">
        <v>23</v>
      </c>
      <c r="F770" s="583">
        <f>E770*D770</f>
        <v/>
      </c>
    </row>
    <row r="771" ht="14.4" customHeight="1">
      <c r="B771" s="323" t="inlineStr">
        <is>
          <t>Detectable SEWER Marker Tape - 250m</t>
        </is>
      </c>
      <c r="C771" s="327" t="inlineStr">
        <is>
          <t>ea</t>
        </is>
      </c>
      <c r="E771" s="605" t="n">
        <v>75</v>
      </c>
      <c r="F771" s="583">
        <f>E771*D771</f>
        <v/>
      </c>
    </row>
    <row r="772" ht="14.4" customHeight="1">
      <c r="B772" s="323" t="inlineStr">
        <is>
          <t xml:space="preserve">100mm AbleFlex Roll </t>
        </is>
      </c>
      <c r="C772" s="327" t="inlineStr">
        <is>
          <t>ea</t>
        </is>
      </c>
      <c r="E772" s="605" t="n">
        <v>22</v>
      </c>
      <c r="F772" s="583">
        <f>E772*D772</f>
        <v/>
      </c>
    </row>
    <row r="773" ht="14.4" customHeight="1">
      <c r="B773" s="323" t="inlineStr">
        <is>
          <t>Concrete Mix bag</t>
        </is>
      </c>
      <c r="C773" s="327" t="inlineStr">
        <is>
          <t>ea</t>
        </is>
      </c>
      <c r="E773" s="605" t="n">
        <v>10</v>
      </c>
      <c r="F773" s="583">
        <f>E773*D773</f>
        <v/>
      </c>
    </row>
    <row r="774" ht="14.4" customHeight="1">
      <c r="B774" s="323" t="n"/>
      <c r="C774" s="327" t="n"/>
      <c r="E774" s="605" t="n"/>
      <c r="F774" s="583">
        <f>E774*D774</f>
        <v/>
      </c>
    </row>
    <row r="775" ht="14.4" customHeight="1">
      <c r="B775" s="406" t="inlineStr">
        <is>
          <t>External Sewer Mains fitting</t>
        </is>
      </c>
      <c r="C775" s="327" t="inlineStr">
        <is>
          <t>ea</t>
        </is>
      </c>
      <c r="E775" s="605" t="n">
        <v>520</v>
      </c>
      <c r="F775" s="583">
        <f>E775*D775</f>
        <v/>
      </c>
    </row>
    <row r="776" ht="14.4" customHeight="1">
      <c r="B776" s="406" t="inlineStr">
        <is>
          <t>Vents Complete</t>
        </is>
      </c>
      <c r="C776" s="327" t="inlineStr">
        <is>
          <t>ea</t>
        </is>
      </c>
      <c r="E776" s="605" t="n">
        <v>230</v>
      </c>
      <c r="F776" s="583">
        <f>E776*D776</f>
        <v/>
      </c>
    </row>
    <row r="777" ht="14.4" customHeight="1">
      <c r="B777" s="406" t="inlineStr">
        <is>
          <t>Office Drainage mat</t>
        </is>
      </c>
      <c r="C777" s="327" t="inlineStr">
        <is>
          <t>ea</t>
        </is>
      </c>
      <c r="E777" s="605" t="n">
        <v>2800</v>
      </c>
      <c r="F777" s="583">
        <f>E777*D777</f>
        <v/>
      </c>
    </row>
    <row r="778" ht="14.4" customHeight="1">
      <c r="B778" s="406" t="inlineStr">
        <is>
          <t>Dock Office Drainage Mat</t>
        </is>
      </c>
      <c r="C778" s="327" t="inlineStr">
        <is>
          <t>ea</t>
        </is>
      </c>
      <c r="E778" s="605" t="n">
        <v>950</v>
      </c>
      <c r="F778" s="583">
        <f>E778*D778</f>
        <v/>
      </c>
    </row>
    <row r="779" ht="14.4" customHeight="1">
      <c r="B779" s="406" t="inlineStr">
        <is>
          <t xml:space="preserve">misc. </t>
        </is>
      </c>
      <c r="C779" s="327" t="inlineStr">
        <is>
          <t>ea</t>
        </is>
      </c>
      <c r="E779" s="605" t="n">
        <v>1250</v>
      </c>
      <c r="F779" s="583">
        <f>E779*D779</f>
        <v/>
      </c>
    </row>
    <row r="780" ht="14.4" customHeight="1">
      <c r="B780" s="406" t="inlineStr">
        <is>
          <t xml:space="preserve">Overflow Gully </t>
        </is>
      </c>
      <c r="C780" s="327" t="inlineStr">
        <is>
          <t>ea</t>
        </is>
      </c>
      <c r="D780" s="40" t="n">
        <v>1</v>
      </c>
      <c r="E780" s="610" t="n">
        <v>200</v>
      </c>
      <c r="F780" s="583">
        <f>E780*D780</f>
        <v/>
      </c>
    </row>
    <row r="781" ht="14.4" customHeight="1">
      <c r="B781" s="406" t="inlineStr">
        <is>
          <t>COS</t>
        </is>
      </c>
      <c r="C781" s="327" t="inlineStr">
        <is>
          <t>ea</t>
        </is>
      </c>
      <c r="E781" s="610" t="n">
        <v>120</v>
      </c>
      <c r="F781" s="583">
        <f>E781*D781</f>
        <v/>
      </c>
    </row>
    <row r="782" ht="14.4" customHeight="1">
      <c r="B782" s="406" t="inlineStr">
        <is>
          <t>Articulation/expansion joint hardware - H1 'P' reactive site adder (slab entries, risers, &lt;=6 m DP spacing)</t>
        </is>
      </c>
      <c r="C782" s="327" t="inlineStr">
        <is>
          <t>item</t>
        </is>
      </c>
      <c r="D782" t="n">
        <v>1</v>
      </c>
      <c r="E782" s="605" t="n">
        <v>2500</v>
      </c>
      <c r="F782" s="583">
        <f>E782*D782</f>
        <v/>
      </c>
      <c r="H782" s="540" t="inlineStr">
        <is>
          <t>NewItems #12 allowance ~25 joints @ ~$100 avg (H-NBC-300 det.1) - pending Storm Plastics RFQ (Gap #4); labour in T5-05</t>
        </is>
      </c>
    </row>
    <row r="783" ht="14.4" customHeight="1">
      <c r="B783" s="406" t="inlineStr">
        <is>
          <t>SIVEL EXPANSION JOINT</t>
        </is>
      </c>
      <c r="C783" s="327" t="inlineStr">
        <is>
          <t>ea</t>
        </is>
      </c>
      <c r="D783" s="40" t="n">
        <v>1</v>
      </c>
      <c r="E783" s="610" t="n">
        <v>100</v>
      </c>
      <c r="F783" s="583">
        <f>E783*D783</f>
        <v/>
      </c>
    </row>
    <row r="784" ht="14.4" customHeight="1">
      <c r="B784" s="437" t="inlineStr">
        <is>
          <t>FWG</t>
        </is>
      </c>
      <c r="C784" s="327" t="inlineStr">
        <is>
          <t>ea</t>
        </is>
      </c>
      <c r="D784" s="40" t="n">
        <v>1</v>
      </c>
      <c r="E784" s="610" t="n">
        <v>250</v>
      </c>
      <c r="F784" s="583">
        <f>E784*D784</f>
        <v/>
      </c>
    </row>
    <row r="785" ht="14.4" customHeight="1">
      <c r="B785" s="439" t="inlineStr">
        <is>
          <t xml:space="preserve">Basket trap </t>
        </is>
      </c>
      <c r="C785" s="440" t="inlineStr">
        <is>
          <t>ea</t>
        </is>
      </c>
      <c r="D785" s="396" t="n">
        <v>12</v>
      </c>
      <c r="E785" s="607" t="n">
        <v>250</v>
      </c>
      <c r="F785" s="608">
        <f>E785*D785</f>
        <v/>
      </c>
    </row>
    <row r="786" ht="14.4" customHeight="1">
      <c r="B786" s="409" t="inlineStr">
        <is>
          <t>Fire Collars &amp; Misc</t>
        </is>
      </c>
      <c r="C786" s="327" t="inlineStr">
        <is>
          <t>ea</t>
        </is>
      </c>
      <c r="E786" s="605" t="n">
        <v>300</v>
      </c>
      <c r="F786" s="583">
        <f>E786*D786</f>
        <v/>
      </c>
    </row>
    <row r="787" ht="14.4" customHeight="1">
      <c r="B787" s="409" t="inlineStr">
        <is>
          <t xml:space="preserve">plaster /slip trap </t>
        </is>
      </c>
      <c r="C787" s="327" t="inlineStr">
        <is>
          <t>ea</t>
        </is>
      </c>
      <c r="E787" s="610" t="n">
        <v>1200</v>
      </c>
      <c r="F787" s="583">
        <f>E787*D787</f>
        <v/>
      </c>
    </row>
    <row r="788" ht="14.4" customHeight="1">
      <c r="B788" s="409" t="inlineStr">
        <is>
          <t xml:space="preserve"> Basket Arrestors for Floor Drains</t>
        </is>
      </c>
      <c r="C788" s="405" t="inlineStr">
        <is>
          <t>ea</t>
        </is>
      </c>
      <c r="E788" s="610" t="n">
        <v>350</v>
      </c>
      <c r="F788" s="583">
        <f>E788*D788</f>
        <v/>
      </c>
    </row>
    <row r="789" ht="14.4" customHeight="1">
      <c r="B789" s="409" t="n"/>
      <c r="C789" s="405" t="n"/>
      <c r="E789" s="610" t="n"/>
      <c r="F789" s="583" t="n"/>
    </row>
    <row r="790" ht="14.4" customHeight="1">
      <c r="B790" s="406" t="n"/>
      <c r="C790" s="405" t="n"/>
      <c r="E790" s="610" t="n"/>
      <c r="F790" s="583" t="n"/>
    </row>
    <row r="791" ht="14.4" customHeight="1">
      <c r="B791" s="409" t="n"/>
      <c r="C791" s="405" t="n"/>
      <c r="E791" s="610" t="n"/>
      <c r="F791" s="583" t="n"/>
    </row>
    <row r="792"/>
    <row r="793" ht="14.4" customHeight="1">
      <c r="B793" s="324" t="inlineStr">
        <is>
          <t xml:space="preserve">Vent </t>
        </is>
      </c>
    </row>
    <row r="794" ht="14.4" customHeight="1">
      <c r="B794" s="326" t="inlineStr">
        <is>
          <t>Description</t>
        </is>
      </c>
    </row>
    <row r="795">
      <c r="B795" t="inlineStr">
        <is>
          <t>Vertical vent risers x13 (O50-O100, terminate 300 mm above roof) - height + flashing allowance</t>
        </is>
      </c>
      <c r="C795" t="inlineStr">
        <is>
          <t>EA</t>
        </is>
      </c>
      <c r="D795" t="n">
        <v>13</v>
      </c>
      <c r="E795" t="n">
        <v>95</v>
      </c>
      <c r="F795">
        <f>E795*D795</f>
        <v/>
      </c>
      <c r="H795" s="540" t="inlineStr">
        <is>
          <t>NewItems #7 allowance - ~4 m/riser + roof-colour flashing per SD8; heights from sections at Phase 6</t>
        </is>
      </c>
    </row>
    <row r="796" ht="14.4" customHeight="1">
      <c r="B796" s="406" t="inlineStr">
        <is>
          <t>PIPE DWV SN8 PVC S/WELD  100MM</t>
        </is>
      </c>
      <c r="C796" s="327" t="inlineStr">
        <is>
          <t>m</t>
        </is>
      </c>
      <c r="D796" s="40" t="n">
        <v>17.06</v>
      </c>
      <c r="E796" s="609" t="n">
        <v>9.5496</v>
      </c>
      <c r="F796" s="583">
        <f>E796*D796</f>
        <v/>
      </c>
      <c r="G796" t="n">
        <v>17</v>
      </c>
      <c r="H796" s="540" t="inlineStr">
        <is>
          <t>ADOPTED qty per QUANTITY_RECONCILIATION TPS_NBC (vent horizontal plan only - 13 vertical risers added below)</t>
        </is>
      </c>
    </row>
    <row r="797" ht="14.4" customHeight="1">
      <c r="B797" s="406" t="inlineStr">
        <is>
          <t>PIPE DWV PVC S/WELD  50mm</t>
        </is>
      </c>
      <c r="C797" s="327" t="inlineStr">
        <is>
          <t>m</t>
        </is>
      </c>
      <c r="D797" s="40" t="n">
        <v>0.7</v>
      </c>
      <c r="E797" s="609" t="n">
        <v>3.726</v>
      </c>
      <c r="F797" s="583">
        <f>E797*D797</f>
        <v/>
      </c>
      <c r="G797" t="n">
        <v>1</v>
      </c>
      <c r="H797" s="540" t="inlineStr">
        <is>
          <t>ADOPTED qty per QUANTITY_RECONCILIATION TPS_NBC</t>
        </is>
      </c>
    </row>
    <row r="798" ht="14.4" customHeight="1">
      <c r="B798" s="406" t="inlineStr">
        <is>
          <t>100MM X 90Deg Bend</t>
        </is>
      </c>
      <c r="C798" s="405" t="inlineStr">
        <is>
          <t>ea</t>
        </is>
      </c>
      <c r="D798" s="40" t="n">
        <v>12</v>
      </c>
      <c r="E798" s="609" t="n">
        <v>2.5668</v>
      </c>
      <c r="F798" s="583">
        <f>E798*D798</f>
        <v/>
      </c>
    </row>
    <row r="799" ht="14.4" customHeight="1">
      <c r="B799" s="406" t="inlineStr">
        <is>
          <t>100MM X 45Deg Bend</t>
        </is>
      </c>
      <c r="C799" s="405" t="inlineStr">
        <is>
          <t>ea</t>
        </is>
      </c>
      <c r="D799" s="40" t="n">
        <v>6</v>
      </c>
      <c r="E799" s="609" t="n">
        <v>2.33082</v>
      </c>
      <c r="F799" s="583">
        <f>E799*D799</f>
        <v/>
      </c>
    </row>
    <row r="800" ht="14.4" customHeight="1">
      <c r="B800" s="406" t="inlineStr">
        <is>
          <t xml:space="preserve">100MM * 45D PVC JUNCTION </t>
        </is>
      </c>
      <c r="C800" s="405" t="inlineStr">
        <is>
          <t>ea</t>
        </is>
      </c>
      <c r="D800" s="40" t="n">
        <v>1</v>
      </c>
      <c r="E800" s="609" t="n">
        <v>4.7886</v>
      </c>
      <c r="F800" s="583">
        <f>E800*D800</f>
        <v/>
      </c>
    </row>
    <row r="801" ht="14.4" customHeight="1">
      <c r="B801" s="406" t="inlineStr">
        <is>
          <t xml:space="preserve">DWV BEND 50 X85 DEG </t>
        </is>
      </c>
      <c r="C801" s="405" t="inlineStr">
        <is>
          <t>ea</t>
        </is>
      </c>
      <c r="D801" s="40" t="n">
        <v>1</v>
      </c>
      <c r="E801" s="609" t="n">
        <v>11.7162</v>
      </c>
      <c r="F801" s="583">
        <f>E801*D801</f>
        <v/>
      </c>
    </row>
    <row r="802" ht="14.4" customHeight="1">
      <c r="B802" s="406" t="inlineStr">
        <is>
          <t>DWV PIPE REDUCER 100 X 50mm</t>
        </is>
      </c>
      <c r="C802" s="405" t="inlineStr">
        <is>
          <t>ea</t>
        </is>
      </c>
      <c r="D802" s="40" t="n">
        <v>1</v>
      </c>
      <c r="E802" s="609" t="n">
        <v>2.6772</v>
      </c>
      <c r="F802" s="583">
        <f>E802*D802</f>
        <v/>
      </c>
    </row>
    <row r="803" ht="14.4" customHeight="1">
      <c r="B803" s="406" t="inlineStr">
        <is>
          <t xml:space="preserve">100 mm Inspection Opening </t>
        </is>
      </c>
      <c r="C803" s="327" t="inlineStr">
        <is>
          <t>ea</t>
        </is>
      </c>
      <c r="D803" s="40" t="n">
        <v>1</v>
      </c>
      <c r="E803" s="605" t="n">
        <v>50</v>
      </c>
      <c r="F803" s="583">
        <f>E803*D803</f>
        <v/>
      </c>
    </row>
    <row r="804" ht="14.4" customHeight="1">
      <c r="B804" s="38" t="inlineStr">
        <is>
          <t xml:space="preserve">	110 HDPE </t>
        </is>
      </c>
      <c r="C804" s="327" t="inlineStr">
        <is>
          <t>m</t>
        </is>
      </c>
      <c r="D804" s="40" t="n">
        <v>0</v>
      </c>
      <c r="E804" s="609">
        <f>58/5</f>
        <v/>
      </c>
      <c r="F804" s="583">
        <f>E804*D804</f>
        <v/>
      </c>
      <c r="G804" t="n">
        <v>2</v>
      </c>
      <c r="H804" s="540" t="inlineStr">
        <is>
          <t>MERGED into TW package (Opens #25): 1.98 m vent-layer stub counted once in r813 54.78 m</t>
        </is>
      </c>
    </row>
    <row r="805">
      <c r="B805" s="38" t="inlineStr">
        <is>
          <t xml:space="preserve">	110 HDPE 90 Deg Bend ( TRADE WASTE )</t>
        </is>
      </c>
      <c r="C805" s="40" t="inlineStr">
        <is>
          <t>ea</t>
        </is>
      </c>
      <c r="D805" s="40" t="n">
        <v>0</v>
      </c>
      <c r="E805" s="583" t="n">
        <v>10</v>
      </c>
      <c r="F805" s="583">
        <f>E805*D805</f>
        <v/>
      </c>
      <c r="G805" t="n">
        <v>1</v>
      </c>
      <c r="H805" s="540" t="inlineStr">
        <is>
          <t>MERGED into TW 90-bend count r814 (Opens #25)</t>
        </is>
      </c>
    </row>
    <row r="806">
      <c r="B806" s="38" t="inlineStr">
        <is>
          <t xml:space="preserve">	110 HDPE X 45 DEG (TRADE WASTE )</t>
        </is>
      </c>
      <c r="C806" s="40" t="inlineStr">
        <is>
          <t>ea</t>
        </is>
      </c>
      <c r="D806" s="40" t="n">
        <v>0</v>
      </c>
      <c r="E806" s="583" t="n">
        <v>5.16</v>
      </c>
      <c r="F806" s="583">
        <f>E806*D806</f>
        <v/>
      </c>
      <c r="G806" t="n">
        <v>1</v>
      </c>
      <c r="H806" s="540" t="inlineStr">
        <is>
          <t>MERGED into TW 45-bend count r815 (Opens #25)</t>
        </is>
      </c>
    </row>
    <row r="807">
      <c r="B807" s="408" t="inlineStr">
        <is>
          <t>Trench Drain ( spec in drawing )</t>
        </is>
      </c>
      <c r="C807" s="396" t="inlineStr">
        <is>
          <t>m</t>
        </is>
      </c>
      <c r="D807" s="396" t="n">
        <v>1</v>
      </c>
      <c r="E807" s="608" t="n">
        <v>500</v>
      </c>
      <c r="F807" s="608">
        <f>E807*D807</f>
        <v/>
      </c>
      <c r="H807" s="541" t="n"/>
      <c r="I807" s="589" t="n"/>
    </row>
    <row r="808"/>
    <row r="809" ht="14.4" customHeight="1">
      <c r="B809" s="324" t="inlineStr">
        <is>
          <t xml:space="preserve">Trade Waste </t>
        </is>
      </c>
    </row>
    <row r="810" ht="14.4" customHeight="1">
      <c r="B810" s="326" t="inlineStr">
        <is>
          <t>Description</t>
        </is>
      </c>
    </row>
    <row r="811"/>
    <row r="812"/>
    <row r="813" ht="14.4" customHeight="1">
      <c r="B813" s="38" t="inlineStr">
        <is>
          <t xml:space="preserve">	110 HDPE (TRADE WASTE DRAIN )</t>
        </is>
      </c>
      <c r="C813" s="327" t="inlineStr">
        <is>
          <t>m</t>
        </is>
      </c>
      <c r="D813" s="40" t="n">
        <v>54.78</v>
      </c>
      <c r="E813" s="609">
        <f>85/5</f>
        <v/>
      </c>
      <c r="F813" s="583">
        <f>E813*D813</f>
        <v/>
      </c>
      <c r="G813" t="n">
        <v>53</v>
      </c>
      <c r="H813" s="540" t="inlineStr">
        <is>
          <t>ADOPTED qty per QUANTITY_RECONCILIATION TPS_NBC - 52.80 TW layer + 1.98 vent-layer stub merged, counted once</t>
        </is>
      </c>
    </row>
    <row r="814" ht="15.75" customHeight="1">
      <c r="B814" s="38" t="inlineStr">
        <is>
          <t xml:space="preserve">	110 HDPE 90 Deg Bend ( TRADE WASTE )</t>
        </is>
      </c>
      <c r="C814" s="40" t="inlineStr">
        <is>
          <t>ea</t>
        </is>
      </c>
      <c r="D814" s="40" t="n">
        <v>8</v>
      </c>
      <c r="E814" s="583" t="n">
        <v>5.55</v>
      </c>
      <c r="F814" s="583">
        <f>E814*D814</f>
        <v/>
      </c>
      <c r="G814" t="n">
        <v>7</v>
      </c>
      <c r="H814" s="540" t="inlineStr">
        <is>
          <t>ADOPTED qty per QUANTITY_RECONCILIATION TPS_NBC - TW 90 bends 8 (7 + 1 vent-layer)</t>
        </is>
      </c>
    </row>
    <row r="815">
      <c r="B815" s="38" t="inlineStr">
        <is>
          <t xml:space="preserve">	110 HDPE X 45 DEG (TRADE WASTE )</t>
        </is>
      </c>
      <c r="C815" s="40" t="inlineStr">
        <is>
          <t>ea</t>
        </is>
      </c>
      <c r="D815" s="40" t="n">
        <v>24</v>
      </c>
      <c r="E815" s="583" t="n">
        <v>8.98</v>
      </c>
      <c r="F815" s="583">
        <f>E815*D815</f>
        <v/>
      </c>
      <c r="G815" t="n">
        <v>23</v>
      </c>
      <c r="H815" s="540" t="inlineStr">
        <is>
          <t>ADOPTED qty per QUANTITY_RECONCILIATION TPS_NBC - TW 45 bends 24 (23 + 1 vent-layer)</t>
        </is>
      </c>
    </row>
    <row r="816">
      <c r="B816" s="38" t="inlineStr">
        <is>
          <t xml:space="preserve">	JUNCTION 110 HDPE X 45 DEG</t>
        </is>
      </c>
      <c r="C816" s="40" t="inlineStr">
        <is>
          <t>ea</t>
        </is>
      </c>
      <c r="D816" s="40" t="n">
        <v>16</v>
      </c>
      <c r="E816" s="583" t="n">
        <v>4.73</v>
      </c>
      <c r="F816" s="583">
        <f>E816*D816</f>
        <v/>
      </c>
    </row>
    <row r="817">
      <c r="B817" s="408" t="inlineStr">
        <is>
          <t xml:space="preserve">	JUNCTION 110 HDPE X 50 HDPE 45 DEG</t>
        </is>
      </c>
      <c r="C817" s="396" t="inlineStr">
        <is>
          <t>ea</t>
        </is>
      </c>
      <c r="D817" s="396" t="n">
        <v>2</v>
      </c>
      <c r="E817" s="608" t="n">
        <v>10</v>
      </c>
      <c r="F817" s="608">
        <f>E817*D817</f>
        <v/>
      </c>
    </row>
    <row r="818">
      <c r="B818" s="38" t="inlineStr">
        <is>
          <t>100 HDPE (TRADE WASTE DRAIN )</t>
        </is>
      </c>
      <c r="C818" s="40" t="inlineStr">
        <is>
          <t>m</t>
        </is>
      </c>
      <c r="E818" s="583" t="n">
        <v>10</v>
      </c>
      <c r="F818" s="583">
        <f>E818*D818</f>
        <v/>
      </c>
    </row>
    <row r="819">
      <c r="B819" s="38" t="inlineStr">
        <is>
          <t>JUNCTION 100 HDPE X 45 DEG</t>
        </is>
      </c>
      <c r="C819" s="40" t="inlineStr">
        <is>
          <t>ea</t>
        </is>
      </c>
      <c r="E819" s="583" t="n">
        <v>4</v>
      </c>
      <c r="F819" s="583">
        <f>E819*D819</f>
        <v/>
      </c>
    </row>
    <row r="820">
      <c r="B820" s="38" t="inlineStr">
        <is>
          <t>110 HDPE  X 100 HDPE REDUCER</t>
        </is>
      </c>
      <c r="C820" s="40" t="inlineStr">
        <is>
          <t>ea</t>
        </is>
      </c>
      <c r="E820" s="583" t="n">
        <v>15</v>
      </c>
      <c r="F820" s="583">
        <f>E820*D820</f>
        <v/>
      </c>
    </row>
    <row r="821">
      <c r="B821" s="408" t="inlineStr">
        <is>
          <t>110 HDPE  X 50 HDPE REDUCER</t>
        </is>
      </c>
      <c r="C821" s="396" t="inlineStr">
        <is>
          <t>ea</t>
        </is>
      </c>
      <c r="D821" s="396" t="n">
        <v>5</v>
      </c>
      <c r="E821" s="608" t="n">
        <v>12</v>
      </c>
      <c r="F821" s="608">
        <f>E821*D821</f>
        <v/>
      </c>
    </row>
    <row r="822">
      <c r="B822" s="38" t="inlineStr">
        <is>
          <t>100 HDPE 90 Deg Bend ( TRADE WASTE )</t>
        </is>
      </c>
      <c r="C822" s="40" t="inlineStr">
        <is>
          <t>ea</t>
        </is>
      </c>
      <c r="E822" s="583" t="n">
        <v>8</v>
      </c>
      <c r="F822" s="583">
        <f>E822*D822</f>
        <v/>
      </c>
    </row>
    <row r="823">
      <c r="B823" s="38" t="inlineStr">
        <is>
          <t xml:space="preserve">	100 HDPE X 45 DEG (TRADE WASTE )</t>
        </is>
      </c>
      <c r="C823" s="40" t="inlineStr">
        <is>
          <t>ea</t>
        </is>
      </c>
      <c r="E823" s="583" t="n">
        <v>5.16</v>
      </c>
      <c r="F823" s="583">
        <f>E823*D823</f>
        <v/>
      </c>
    </row>
    <row r="824">
      <c r="B824" s="38" t="inlineStr">
        <is>
          <t xml:space="preserve">	65 HDPE (TRADE WASTE DRAIN )</t>
        </is>
      </c>
      <c r="C824" s="40" t="inlineStr">
        <is>
          <t>m</t>
        </is>
      </c>
      <c r="E824" s="583" t="n">
        <v>8</v>
      </c>
      <c r="F824" s="583">
        <f>E824*D824</f>
        <v/>
      </c>
    </row>
    <row r="825">
      <c r="B825" s="38" t="inlineStr">
        <is>
          <t xml:space="preserve">	65 HDPE X 45 DEG (TRADE WASTE )</t>
        </is>
      </c>
      <c r="C825" s="40" t="inlineStr">
        <is>
          <t>ea</t>
        </is>
      </c>
      <c r="E825" s="583" t="n">
        <v>4</v>
      </c>
      <c r="F825" s="583">
        <f>E825*D825</f>
        <v/>
      </c>
    </row>
    <row r="826">
      <c r="B826" s="38" t="inlineStr">
        <is>
          <t xml:space="preserve">	65 HDPE X 90 DEG (TRADE WASTE )</t>
        </is>
      </c>
      <c r="C826" s="40" t="inlineStr">
        <is>
          <t>ea</t>
        </is>
      </c>
      <c r="E826" s="583" t="n">
        <v>5</v>
      </c>
      <c r="F826" s="583">
        <f>E826*D826</f>
        <v/>
      </c>
    </row>
    <row r="827">
      <c r="B827" s="38" t="inlineStr">
        <is>
          <t xml:space="preserve">	50 HDPE (TRADE WASTE DRAIN )</t>
        </is>
      </c>
      <c r="C827" s="40" t="inlineStr">
        <is>
          <t>ea</t>
        </is>
      </c>
      <c r="D827" s="40" t="n">
        <v>12.47</v>
      </c>
      <c r="E827" s="583" t="n">
        <v>7</v>
      </c>
      <c r="F827" s="583">
        <f>E827*D827</f>
        <v/>
      </c>
      <c r="G827" t="n">
        <v>13</v>
      </c>
      <c r="H827" s="540" t="inlineStr">
        <is>
          <t>ADOPTED qty per QUANTITY_RECONCILIATION TPS_NBC</t>
        </is>
      </c>
    </row>
    <row r="828">
      <c r="B828" s="38" t="inlineStr">
        <is>
          <t xml:space="preserve">	50 HDPE X 90 DEG (TRADE WASTE )</t>
        </is>
      </c>
      <c r="C828" s="40" t="inlineStr">
        <is>
          <t>ea</t>
        </is>
      </c>
      <c r="D828" s="40" t="n">
        <v>9</v>
      </c>
      <c r="E828" s="583" t="n">
        <v>4</v>
      </c>
      <c r="F828" s="583">
        <f>E828*D828</f>
        <v/>
      </c>
      <c r="G828" t="n">
        <v>10</v>
      </c>
      <c r="H828" s="540" t="inlineStr">
        <is>
          <t>ADOPTED qty per QUANTITY_RECONCILIATION TPS_NBC - Geberit bend 50x88.5 = 9</t>
        </is>
      </c>
    </row>
    <row r="829">
      <c r="B829" s="38" t="inlineStr">
        <is>
          <t xml:space="preserve">	50 HDPE X 45 DEG (TRADE WASTE )</t>
        </is>
      </c>
      <c r="C829" s="40" t="inlineStr">
        <is>
          <t>ea</t>
        </is>
      </c>
      <c r="D829" s="40" t="n">
        <v>5</v>
      </c>
      <c r="E829" s="583" t="n">
        <v>3.8</v>
      </c>
      <c r="F829" s="583">
        <f>E829*D829</f>
        <v/>
      </c>
    </row>
    <row r="830">
      <c r="B830" s="38" t="inlineStr">
        <is>
          <t xml:space="preserve">	BUCKEY TRAP /SILT TRAP</t>
        </is>
      </c>
      <c r="C830" s="40" t="inlineStr">
        <is>
          <t>ea</t>
        </is>
      </c>
      <c r="D830" s="40" t="n">
        <v>1</v>
      </c>
      <c r="E830" s="583" t="n">
        <v>100</v>
      </c>
      <c r="F830" s="583">
        <f>E830*D830</f>
        <v/>
      </c>
    </row>
    <row r="831">
      <c r="B831" s="38" t="inlineStr">
        <is>
          <t xml:space="preserve">IOS TRADE WASTE </t>
        </is>
      </c>
      <c r="C831" s="40" t="inlineStr">
        <is>
          <t>ea</t>
        </is>
      </c>
      <c r="D831" s="40" t="n">
        <v>1</v>
      </c>
      <c r="E831" s="583" t="n">
        <v>25</v>
      </c>
      <c r="F831" s="583">
        <f>E831*D831</f>
        <v/>
      </c>
    </row>
    <row r="832">
      <c r="B832" s="38" t="inlineStr">
        <is>
          <t xml:space="preserve">in wall tundish </t>
        </is>
      </c>
      <c r="C832" s="40" t="inlineStr">
        <is>
          <t>ea</t>
        </is>
      </c>
      <c r="D832" s="40" t="n">
        <v>2</v>
      </c>
      <c r="E832" s="583" t="n">
        <v>75</v>
      </c>
      <c r="F832" s="583">
        <f>E832*D832</f>
        <v/>
      </c>
    </row>
    <row r="833">
      <c r="B833" s="38" t="inlineStr">
        <is>
          <t>tundish</t>
        </is>
      </c>
      <c r="C833" s="40" t="inlineStr">
        <is>
          <t>ea</t>
        </is>
      </c>
      <c r="D833" s="40" t="n">
        <v>4</v>
      </c>
      <c r="E833" s="583" t="n">
        <v>60</v>
      </c>
      <c r="F833" s="583">
        <f>E833*D833</f>
        <v/>
      </c>
    </row>
    <row r="834">
      <c r="B834" s="408" t="inlineStr">
        <is>
          <t>50mm rpzd</t>
        </is>
      </c>
      <c r="C834" s="396" t="inlineStr">
        <is>
          <t>ea</t>
        </is>
      </c>
      <c r="D834" s="396" t="n">
        <v>2</v>
      </c>
      <c r="E834" s="608" t="n">
        <v>880</v>
      </c>
      <c r="F834" s="608">
        <f>E834*D834</f>
        <v/>
      </c>
      <c r="G834" t="n">
        <v>1</v>
      </c>
      <c r="H834" s="540" t="inlineStr">
        <is>
          <t>ADOPTED qty per QUANTITY_RECONCILIATION TPS_NBC - 50mm RPZD 2 (verify vs NBC-202 positions, Opens #15)</t>
        </is>
      </c>
    </row>
    <row r="835">
      <c r="B835" s="408" t="inlineStr">
        <is>
          <t xml:space="preserve">100mm check valve </t>
        </is>
      </c>
      <c r="C835" s="396" t="inlineStr">
        <is>
          <t>ea</t>
        </is>
      </c>
      <c r="D835" s="396" t="n">
        <v>1</v>
      </c>
      <c r="E835" s="608" t="n">
        <v>1200</v>
      </c>
      <c r="F835" s="608">
        <f>E835*D835</f>
        <v/>
      </c>
    </row>
    <row r="836">
      <c r="B836" s="38" t="inlineStr">
        <is>
          <t>Geberit 4 Way Riser 110x56</t>
        </is>
      </c>
      <c r="C836" s="40" t="inlineStr">
        <is>
          <t>ea</t>
        </is>
      </c>
      <c r="D836" s="40" t="n">
        <v>6</v>
      </c>
      <c r="E836" s="583" t="n">
        <v>33</v>
      </c>
      <c r="F836" s="583">
        <f>E836*D836</f>
        <v/>
      </c>
    </row>
    <row r="837">
      <c r="B837" s="38" t="inlineStr">
        <is>
          <t>Geberit Exp Socket 110</t>
        </is>
      </c>
      <c r="C837" s="40" t="inlineStr">
        <is>
          <t>ea</t>
        </is>
      </c>
      <c r="D837" s="40" t="n">
        <v>2</v>
      </c>
      <c r="E837" s="583" t="n">
        <v>13</v>
      </c>
      <c r="F837" s="583">
        <f>E837*D837</f>
        <v/>
      </c>
    </row>
    <row r="838">
      <c r="B838" s="38" t="inlineStr">
        <is>
          <t>Geberit Adj DT Trap Bottom Hdpe 110mm</t>
        </is>
      </c>
      <c r="C838" s="40" t="inlineStr">
        <is>
          <t>ea</t>
        </is>
      </c>
      <c r="D838" s="40" t="n">
        <v>6</v>
      </c>
      <c r="E838" s="583" t="n">
        <v>41.53</v>
      </c>
      <c r="F838" s="583">
        <f>E838*D838</f>
        <v/>
      </c>
    </row>
    <row r="839">
      <c r="E839" s="583" t="n"/>
      <c r="F839" s="583" t="n"/>
    </row>
    <row r="840"/>
    <row r="841" ht="14.4" customHeight="1">
      <c r="B841" s="324" t="inlineStr">
        <is>
          <t>STORMWATER DRAINAGE</t>
        </is>
      </c>
    </row>
    <row r="842" ht="14.4" customHeight="1">
      <c r="B842" s="326" t="inlineStr">
        <is>
          <t>Description</t>
        </is>
      </c>
    </row>
    <row r="843" ht="14.4" customHeight="1">
      <c r="B843" s="323" t="n"/>
    </row>
    <row r="844" ht="14.4" customHeight="1">
      <c r="B844" s="323" t="inlineStr">
        <is>
          <t>Roof-DP in-ground connection stub to 'CONNECT TO CIVIL' (allow 2 m O100 DWV + bend + coupling)</t>
        </is>
      </c>
      <c r="C844" t="inlineStr">
        <is>
          <t>EA</t>
        </is>
      </c>
      <c r="D844" t="n">
        <v>19</v>
      </c>
      <c r="E844" t="n">
        <v>40</v>
      </c>
      <c r="F844">
        <f>E844*D844</f>
        <v/>
      </c>
      <c r="H844" s="540" t="inlineStr">
        <is>
          <t>ADOPTED 19 EA (NewItems #5; count RFI Opens #23). Stub ends at CONNECT TO CIVIL - civil beyond is TCS (L2); expansion provision &lt;=6 m spacing</t>
        </is>
      </c>
    </row>
    <row r="845" ht="14.4" customHeight="1">
      <c r="B845" s="406" t="inlineStr">
        <is>
          <t>PIPE 600MM - RIBBED</t>
        </is>
      </c>
      <c r="C845" s="327" t="inlineStr">
        <is>
          <t>m</t>
        </is>
      </c>
      <c r="E845" s="609" t="n">
        <v>165.6</v>
      </c>
      <c r="F845" s="583">
        <f>E845*D845</f>
        <v/>
      </c>
    </row>
    <row r="846" ht="14.4" customHeight="1">
      <c r="B846" s="406" t="inlineStr">
        <is>
          <t>PIPE 450MM - RIBBED</t>
        </is>
      </c>
      <c r="C846" s="327" t="inlineStr">
        <is>
          <t>m</t>
        </is>
      </c>
      <c r="E846" s="609" t="n">
        <v>89.69999999999999</v>
      </c>
      <c r="F846" s="583">
        <f>E846*D846</f>
        <v/>
      </c>
    </row>
    <row r="847" ht="14.4" customHeight="1">
      <c r="B847" s="406" t="inlineStr">
        <is>
          <t xml:space="preserve">PIPE 375MM - RIBBED BLACK MAX </t>
        </is>
      </c>
      <c r="C847" s="327" t="inlineStr">
        <is>
          <t>m</t>
        </is>
      </c>
      <c r="E847" s="609" t="n">
        <v>66.23999999999999</v>
      </c>
      <c r="F847" s="583">
        <f>E847*D847</f>
        <v/>
      </c>
    </row>
    <row r="848" ht="14.4" customHeight="1">
      <c r="B848" s="406" t="inlineStr">
        <is>
          <t xml:space="preserve">PIPE 300MM - RIBBED BLACK MAX </t>
        </is>
      </c>
      <c r="C848" s="327" t="inlineStr">
        <is>
          <t>m</t>
        </is>
      </c>
      <c r="E848" s="609" t="n">
        <v>0</v>
      </c>
      <c r="F848" s="583">
        <f>E848*D848</f>
        <v/>
      </c>
    </row>
    <row r="849" ht="14.4" customHeight="1">
      <c r="B849" s="406" t="inlineStr">
        <is>
          <t>PIPE DWV SN8 PVC S/WELD  375MM</t>
        </is>
      </c>
      <c r="C849" s="327" t="inlineStr">
        <is>
          <t>m</t>
        </is>
      </c>
      <c r="E849" s="609" t="n">
        <v>85.10459999999999</v>
      </c>
      <c r="F849" s="583">
        <f>E849*D849</f>
        <v/>
      </c>
    </row>
    <row r="850" ht="14.4" customHeight="1">
      <c r="B850" s="406" t="inlineStr">
        <is>
          <t>PIPE DWV SN8 PVC S/WELD  300MM</t>
        </is>
      </c>
      <c r="C850" s="327" t="inlineStr">
        <is>
          <t>m</t>
        </is>
      </c>
      <c r="E850" s="609" t="n">
        <v>84.17999999999999</v>
      </c>
      <c r="F850" s="583">
        <f>E850*D850</f>
        <v/>
      </c>
    </row>
    <row r="851" ht="14.4" customHeight="1">
      <c r="B851" s="323" t="inlineStr">
        <is>
          <t>PIPE DWV SN4 PVC S/WELD  300MM</t>
        </is>
      </c>
      <c r="C851" s="327" t="inlineStr">
        <is>
          <t>m</t>
        </is>
      </c>
      <c r="E851" s="609" t="n">
        <v>68.77</v>
      </c>
      <c r="F851" s="583">
        <f>E851*D851</f>
        <v/>
      </c>
    </row>
    <row r="852" ht="14.4" customHeight="1">
      <c r="B852" s="323" t="inlineStr">
        <is>
          <t>PIPE SW H/D PVC S/WELD  300MM</t>
        </is>
      </c>
      <c r="C852" s="327" t="inlineStr">
        <is>
          <t>m</t>
        </is>
      </c>
      <c r="E852" s="609" t="n">
        <v>55.2</v>
      </c>
      <c r="F852" s="583">
        <f>E852*D852</f>
        <v/>
      </c>
    </row>
    <row r="853" ht="14.4" customHeight="1">
      <c r="B853" s="406" t="inlineStr">
        <is>
          <t>PIPE DWV SN8 PVC S/WELD  225MM</t>
        </is>
      </c>
      <c r="C853" s="327" t="inlineStr">
        <is>
          <t>m</t>
        </is>
      </c>
      <c r="E853" s="609" t="n">
        <v>55.2</v>
      </c>
      <c r="F853" s="583">
        <f>E853*D853</f>
        <v/>
      </c>
    </row>
    <row r="854" ht="14.4" customHeight="1">
      <c r="B854" s="406" t="inlineStr">
        <is>
          <t>PIPE DWV SN4 PVC S/WELD  225MM</t>
        </is>
      </c>
      <c r="C854" s="327" t="inlineStr">
        <is>
          <t>m</t>
        </is>
      </c>
      <c r="E854" s="609" t="n">
        <v>42.77999999999999</v>
      </c>
      <c r="F854" s="583">
        <f>E854*D854</f>
        <v/>
      </c>
    </row>
    <row r="855" ht="14.4" customHeight="1">
      <c r="B855" s="323" t="inlineStr">
        <is>
          <t>PIPE SW H/D PVC S/WELD  225MM</t>
        </is>
      </c>
      <c r="C855" s="327" t="inlineStr">
        <is>
          <t>m</t>
        </is>
      </c>
      <c r="E855" s="609" t="n">
        <v>32.66</v>
      </c>
      <c r="F855" s="583">
        <f>E855*D855</f>
        <v/>
      </c>
    </row>
    <row r="856" ht="14.4" customHeight="1">
      <c r="B856" s="406" t="inlineStr">
        <is>
          <t>PIPE DWV SN8 PVC S/WELD  150MM</t>
        </is>
      </c>
      <c r="C856" s="327" t="inlineStr">
        <is>
          <t>m</t>
        </is>
      </c>
      <c r="E856" s="609" t="n">
        <v>19.55</v>
      </c>
      <c r="F856" s="583">
        <f>E856*D856</f>
        <v/>
      </c>
    </row>
    <row r="857" ht="14.4" customHeight="1">
      <c r="B857" s="323" t="inlineStr">
        <is>
          <t>PIPE DWV SN4 PVC S/WELD  150MM</t>
        </is>
      </c>
      <c r="C857" s="327" t="inlineStr">
        <is>
          <t>m</t>
        </is>
      </c>
      <c r="E857" s="609" t="n">
        <v>16.1</v>
      </c>
      <c r="F857" s="583">
        <f>E857*D857</f>
        <v/>
      </c>
    </row>
    <row r="858" ht="14.4" customHeight="1">
      <c r="B858" s="323" t="inlineStr">
        <is>
          <t>PIPE DWV SN8 PVC S/WELD  150MM - Suspended</t>
        </is>
      </c>
      <c r="C858" s="327" t="inlineStr">
        <is>
          <t>m</t>
        </is>
      </c>
      <c r="E858" s="609" t="n">
        <v>19.55</v>
      </c>
      <c r="F858" s="583">
        <f>E858*D858</f>
        <v/>
      </c>
    </row>
    <row r="859" ht="14.4" customHeight="1">
      <c r="B859" s="406" t="inlineStr">
        <is>
          <t>PIPE DWV SN4 PVC S/WELD  150MM</t>
        </is>
      </c>
      <c r="C859" s="405" t="inlineStr">
        <is>
          <t>m</t>
        </is>
      </c>
      <c r="E859" s="609" t="n">
        <v>16.56</v>
      </c>
      <c r="F859" s="583">
        <f>E859*D859</f>
        <v/>
      </c>
    </row>
    <row r="860" ht="14.4" customHeight="1">
      <c r="B860" s="406" t="inlineStr">
        <is>
          <t>PIPE DWV SN8 PVC S/WELD  100MM</t>
        </is>
      </c>
      <c r="C860" s="405" t="inlineStr">
        <is>
          <t>m</t>
        </is>
      </c>
      <c r="E860" s="609">
        <f>(2415.3/(83*6))*1.38</f>
        <v/>
      </c>
      <c r="F860" s="583">
        <f>E860*D860</f>
        <v/>
      </c>
    </row>
    <row r="861" ht="14.4" customHeight="1">
      <c r="B861" s="406" t="inlineStr">
        <is>
          <t>PIPE DWV SN4 PVC S/WELD  100MM</t>
        </is>
      </c>
      <c r="C861" s="405" t="inlineStr">
        <is>
          <t>m</t>
        </is>
      </c>
      <c r="E861" s="609" t="n">
        <v>6.899999999999999</v>
      </c>
      <c r="F861" s="583">
        <f>E861*D861</f>
        <v/>
      </c>
    </row>
    <row r="862" ht="14.4" customHeight="1">
      <c r="B862" s="406" t="inlineStr">
        <is>
          <t>PIPE DWV SN8 PVC S/WELD  50MM</t>
        </is>
      </c>
      <c r="C862" s="405" t="inlineStr">
        <is>
          <t>m</t>
        </is>
      </c>
      <c r="E862" s="609">
        <f>(2415.3/(83*6))*1.38</f>
        <v/>
      </c>
      <c r="F862" s="583">
        <f>E862*D862</f>
        <v/>
      </c>
    </row>
    <row r="863" ht="14.4" customHeight="1">
      <c r="B863" s="406" t="n"/>
      <c r="C863" s="405" t="n"/>
      <c r="E863" s="609" t="n">
        <v>0</v>
      </c>
      <c r="F863" s="583">
        <f>E863*D863</f>
        <v/>
      </c>
    </row>
    <row r="864" ht="14.4" customHeight="1">
      <c r="B864" s="334" t="inlineStr">
        <is>
          <t>DWV Grade Option</t>
        </is>
      </c>
      <c r="C864" s="327" t="n"/>
      <c r="E864" s="609" t="n">
        <v>0</v>
      </c>
      <c r="F864" s="583">
        <f>E864*D864</f>
        <v/>
      </c>
    </row>
    <row r="865" ht="14.4" customHeight="1">
      <c r="B865" s="406" t="n"/>
      <c r="C865" s="327" t="inlineStr">
        <is>
          <t>ea</t>
        </is>
      </c>
      <c r="E865" s="609" t="n">
        <v>0</v>
      </c>
      <c r="F865" s="583">
        <f>E865*D865</f>
        <v/>
      </c>
    </row>
    <row r="866" ht="14.4" customHeight="1">
      <c r="B866" t="inlineStr">
        <is>
          <t>600*225 Ribbed Saddle</t>
        </is>
      </c>
      <c r="C866" s="327" t="inlineStr">
        <is>
          <t>ea</t>
        </is>
      </c>
      <c r="E866" s="609" t="n">
        <v>676.1999999999999</v>
      </c>
      <c r="F866" s="583">
        <f>E866*D866</f>
        <v/>
      </c>
    </row>
    <row r="867" ht="14.4" customHeight="1">
      <c r="B867" t="inlineStr">
        <is>
          <t>600*45Deg RIBBED Bend</t>
        </is>
      </c>
      <c r="C867" s="327" t="inlineStr">
        <is>
          <t>ea</t>
        </is>
      </c>
      <c r="E867" s="609" t="n">
        <v>896.9999999999999</v>
      </c>
      <c r="F867" s="583">
        <f>E867*D867</f>
        <v/>
      </c>
    </row>
    <row r="868" ht="14.4" customHeight="1">
      <c r="B868" t="inlineStr">
        <is>
          <t>600*450 Ribbed Reducer</t>
        </is>
      </c>
      <c r="C868" s="327" t="inlineStr">
        <is>
          <t>ea</t>
        </is>
      </c>
      <c r="E868" s="609" t="n">
        <v>1518</v>
      </c>
      <c r="F868" s="583">
        <f>E868*D868</f>
        <v/>
      </c>
    </row>
    <row r="869" ht="14.4" customHeight="1">
      <c r="B869" t="inlineStr">
        <is>
          <t>450*375 Ribbed*PVC Reducer</t>
        </is>
      </c>
      <c r="C869" s="327" t="inlineStr">
        <is>
          <t>ea</t>
        </is>
      </c>
      <c r="E869" s="609" t="n">
        <v>634.8</v>
      </c>
      <c r="F869" s="583">
        <f>E869*D869</f>
        <v/>
      </c>
    </row>
    <row r="870" ht="14.4" customHeight="1">
      <c r="B870" t="inlineStr">
        <is>
          <t>450 45 Deg ribbed Bend</t>
        </is>
      </c>
      <c r="C870" s="327" t="inlineStr">
        <is>
          <t>ea</t>
        </is>
      </c>
      <c r="E870" s="609" t="n">
        <v>800.4</v>
      </c>
      <c r="F870" s="583">
        <f>E870*D870</f>
        <v/>
      </c>
    </row>
    <row r="871" ht="14.4" customHeight="1">
      <c r="B871" t="inlineStr">
        <is>
          <t>450 * 225 Ribbed Saddle</t>
        </is>
      </c>
      <c r="C871" s="327" t="inlineStr">
        <is>
          <t>ea</t>
        </is>
      </c>
      <c r="E871" s="609" t="n">
        <v>441.6</v>
      </c>
      <c r="F871" s="583">
        <f>E871*D871</f>
        <v/>
      </c>
    </row>
    <row r="872" ht="14.4" customHeight="1">
      <c r="B872" s="406" t="inlineStr">
        <is>
          <t>375mm X 45Deg Junction</t>
        </is>
      </c>
      <c r="C872" s="327" t="inlineStr">
        <is>
          <t>ea</t>
        </is>
      </c>
      <c r="E872" s="609" t="n">
        <v>579.5999999999999</v>
      </c>
      <c r="F872" s="583">
        <f>E872*D872</f>
        <v/>
      </c>
    </row>
    <row r="873" ht="14.4" customHeight="1">
      <c r="B873" s="406" t="inlineStr">
        <is>
          <t>375X300X45D PVC JUNCTION</t>
        </is>
      </c>
      <c r="C873" s="327" t="inlineStr">
        <is>
          <t>ea</t>
        </is>
      </c>
      <c r="E873" s="609" t="n">
        <v>776.0981999999999</v>
      </c>
      <c r="F873" s="583">
        <f>E873*D873</f>
        <v/>
      </c>
    </row>
    <row r="874" ht="14.4" customHeight="1">
      <c r="B874" s="406" t="inlineStr">
        <is>
          <t>375X225X45D PVC JUNCTION</t>
        </is>
      </c>
      <c r="C874" s="327" t="inlineStr">
        <is>
          <t>ea</t>
        </is>
      </c>
      <c r="E874" s="609" t="n">
        <v>777.4781999999999</v>
      </c>
      <c r="F874" s="583">
        <f>E874*D874</f>
        <v/>
      </c>
    </row>
    <row r="875" ht="14.4" customHeight="1">
      <c r="B875" s="406" t="inlineStr">
        <is>
          <t>375MM X 300MM Reducer</t>
        </is>
      </c>
      <c r="C875" s="327" t="inlineStr">
        <is>
          <t>ea</t>
        </is>
      </c>
      <c r="E875" s="609" t="n">
        <v>524.4</v>
      </c>
      <c r="F875" s="583">
        <f>E875*D875</f>
        <v/>
      </c>
    </row>
    <row r="876" ht="14.4" customHeight="1">
      <c r="B876" s="406" t="inlineStr">
        <is>
          <t>375MM X 225MM Reducer</t>
        </is>
      </c>
      <c r="C876" s="327" t="inlineStr">
        <is>
          <t>ea</t>
        </is>
      </c>
      <c r="E876" s="609" t="n">
        <v>496.8</v>
      </c>
      <c r="F876" s="583">
        <f>E876*D876</f>
        <v/>
      </c>
    </row>
    <row r="877" ht="14.4" customHeight="1">
      <c r="B877" s="406" t="inlineStr">
        <is>
          <t>375MM X 90Deg Bend</t>
        </is>
      </c>
      <c r="C877" s="327" t="inlineStr">
        <is>
          <t>ea</t>
        </is>
      </c>
      <c r="E877" s="609" t="n">
        <v>745.1999999999999</v>
      </c>
      <c r="F877" s="583">
        <f>E877*D877</f>
        <v/>
      </c>
    </row>
    <row r="878" ht="14.4" customHeight="1">
      <c r="B878" s="406" t="inlineStr">
        <is>
          <t>375MM X 45Deg Bend</t>
        </is>
      </c>
      <c r="C878" s="327" t="inlineStr">
        <is>
          <t>ea</t>
        </is>
      </c>
      <c r="E878" s="609" t="n">
        <v>621</v>
      </c>
      <c r="F878" s="583">
        <f>E878*D878</f>
        <v/>
      </c>
    </row>
    <row r="879" ht="14.4" customHeight="1">
      <c r="B879" s="406" t="inlineStr">
        <is>
          <t>300MM * 45D PVC JUNCTION</t>
        </is>
      </c>
      <c r="C879" s="327" t="inlineStr">
        <is>
          <t>ea</t>
        </is>
      </c>
      <c r="E879" s="609" t="n">
        <v>496.8</v>
      </c>
      <c r="F879" s="583">
        <f>E879*D879</f>
        <v/>
      </c>
    </row>
    <row r="880" ht="14.4" customHeight="1">
      <c r="B880" s="406" t="inlineStr">
        <is>
          <t>300X225X45D PVC JUNCTION</t>
        </is>
      </c>
      <c r="C880" s="327" t="inlineStr">
        <is>
          <t>ea</t>
        </is>
      </c>
      <c r="E880" s="609" t="n">
        <v>441.6</v>
      </c>
      <c r="F880" s="583">
        <f>E880*D880</f>
        <v/>
      </c>
    </row>
    <row r="881" ht="14.4" customHeight="1">
      <c r="B881" s="406" t="inlineStr">
        <is>
          <t>300MM X 225MM Reducer</t>
        </is>
      </c>
      <c r="C881" s="327" t="inlineStr">
        <is>
          <t>ea</t>
        </is>
      </c>
      <c r="E881" s="609" t="n">
        <v>262.2</v>
      </c>
      <c r="F881" s="583">
        <f>E881*D881</f>
        <v/>
      </c>
    </row>
    <row r="882" ht="14.4" customHeight="1">
      <c r="B882" s="406" t="inlineStr">
        <is>
          <t>300MM X 90Deg Bend</t>
        </is>
      </c>
      <c r="C882" s="327" t="inlineStr">
        <is>
          <t>ea</t>
        </is>
      </c>
      <c r="E882" s="609" t="n">
        <v>345</v>
      </c>
      <c r="F882" s="583">
        <f>E882*D882</f>
        <v/>
      </c>
    </row>
    <row r="883" ht="14.4" customHeight="1">
      <c r="B883" s="406" t="inlineStr">
        <is>
          <t>300MM X 45Deg Bend</t>
        </is>
      </c>
      <c r="C883" s="327" t="inlineStr">
        <is>
          <t>ea</t>
        </is>
      </c>
      <c r="E883" s="609" t="n">
        <v>262.2</v>
      </c>
      <c r="F883" s="583">
        <f>E883*D883</f>
        <v/>
      </c>
    </row>
    <row r="884" ht="14.4" customHeight="1">
      <c r="B884" s="406" t="inlineStr">
        <is>
          <t>300MM X 150 Junction</t>
        </is>
      </c>
      <c r="C884" s="327" t="inlineStr">
        <is>
          <t>ea</t>
        </is>
      </c>
      <c r="E884" s="609" t="n">
        <v>455.4</v>
      </c>
      <c r="F884" s="583">
        <f>E884*D884</f>
        <v/>
      </c>
    </row>
    <row r="885" ht="14.4" customHeight="1">
      <c r="B885" s="406" t="inlineStr">
        <is>
          <t>225MM * 45D PVC JUNCTION</t>
        </is>
      </c>
      <c r="C885" s="327" t="inlineStr">
        <is>
          <t>ea</t>
        </is>
      </c>
      <c r="E885" s="609" t="n">
        <v>117.645</v>
      </c>
      <c r="F885" s="583">
        <f>E885*D885</f>
        <v/>
      </c>
    </row>
    <row r="886" ht="14.4" customHeight="1">
      <c r="B886" s="406" t="inlineStr">
        <is>
          <t>225X150X45D PVC JUNCTION</t>
        </is>
      </c>
      <c r="C886" s="327" t="inlineStr">
        <is>
          <t>ea</t>
        </is>
      </c>
      <c r="E886" s="609" t="n">
        <v>289.8</v>
      </c>
      <c r="F886" s="583">
        <f>E886*D886</f>
        <v/>
      </c>
    </row>
    <row r="887" ht="14.4" customHeight="1">
      <c r="B887" s="406" t="inlineStr">
        <is>
          <t>225MM X 90Deg Bend</t>
        </is>
      </c>
      <c r="C887" s="327" t="inlineStr">
        <is>
          <t>ea</t>
        </is>
      </c>
      <c r="E887" s="609" t="n">
        <v>85.55999999999999</v>
      </c>
      <c r="F887" s="583">
        <f>E887*D887</f>
        <v/>
      </c>
    </row>
    <row r="888" ht="14.4" customHeight="1">
      <c r="B888" s="406" t="inlineStr">
        <is>
          <t>225MM X 45Deg Bend</t>
        </is>
      </c>
      <c r="C888" s="327" t="inlineStr">
        <is>
          <t>ea</t>
        </is>
      </c>
      <c r="E888" s="609" t="n">
        <v>84.17999999999999</v>
      </c>
      <c r="F888" s="583">
        <f>E888*D888</f>
        <v/>
      </c>
    </row>
    <row r="889" ht="14.4" customHeight="1">
      <c r="B889" s="406" t="inlineStr">
        <is>
          <t>225MM X 150MM Reducer</t>
        </is>
      </c>
      <c r="C889" s="405" t="inlineStr">
        <is>
          <t>ea</t>
        </is>
      </c>
      <c r="E889" s="609" t="n">
        <v>62.09999999999999</v>
      </c>
      <c r="F889" s="583">
        <f>E889*D889</f>
        <v/>
      </c>
    </row>
    <row r="890" ht="14.4" customHeight="1">
      <c r="B890" s="406" t="inlineStr">
        <is>
          <t>150 PVC DWV 45Deg Junct</t>
        </is>
      </c>
      <c r="C890" s="327" t="inlineStr">
        <is>
          <t>ea</t>
        </is>
      </c>
      <c r="E890" s="609" t="n">
        <v>24.84</v>
      </c>
      <c r="F890" s="583">
        <f>E890*D890</f>
        <v/>
      </c>
    </row>
    <row r="891" ht="14.4" customHeight="1">
      <c r="B891" s="406" t="inlineStr">
        <is>
          <t>150MM X 90Deg Bend</t>
        </is>
      </c>
      <c r="C891" s="327" t="inlineStr">
        <is>
          <t>ea</t>
        </is>
      </c>
      <c r="E891" s="609" t="n">
        <v>22.08</v>
      </c>
      <c r="F891" s="583">
        <f>E891*D891</f>
        <v/>
      </c>
    </row>
    <row r="892" ht="14.4" customHeight="1">
      <c r="B892" s="406" t="inlineStr">
        <is>
          <t>150MM X 45Deg Bend</t>
        </is>
      </c>
      <c r="C892" s="327" t="inlineStr">
        <is>
          <t>ea</t>
        </is>
      </c>
      <c r="E892" s="609" t="n">
        <v>16.56</v>
      </c>
      <c r="F892" s="583">
        <f>E892*D892</f>
        <v/>
      </c>
    </row>
    <row r="893" ht="14.4" customHeight="1">
      <c r="B893" s="406" t="inlineStr">
        <is>
          <t>150X100X45D PVC JUNCTION</t>
        </is>
      </c>
      <c r="C893" s="405" t="inlineStr">
        <is>
          <t>ea</t>
        </is>
      </c>
      <c r="E893" s="609" t="n">
        <v>22.08</v>
      </c>
      <c r="F893" s="583">
        <f>E893*D893</f>
        <v/>
      </c>
    </row>
    <row r="894" ht="14.4" customHeight="1">
      <c r="B894" s="406" t="inlineStr">
        <is>
          <t>PVC PIPE REDUCER 150X 100 mm</t>
        </is>
      </c>
      <c r="C894" s="405" t="inlineStr">
        <is>
          <t>ea</t>
        </is>
      </c>
      <c r="E894" s="609" t="n">
        <v>22.08</v>
      </c>
      <c r="F894" s="583">
        <f>E894*D894</f>
        <v/>
      </c>
    </row>
    <row r="895" ht="14.4" customHeight="1">
      <c r="B895" s="406" t="inlineStr">
        <is>
          <t xml:space="preserve">100MM * 45D PVC JUNCTION </t>
        </is>
      </c>
      <c r="C895" s="405" t="inlineStr">
        <is>
          <t>ea</t>
        </is>
      </c>
      <c r="E895" s="609" t="n">
        <v>6.486</v>
      </c>
      <c r="F895" s="583">
        <f>E895*D895</f>
        <v/>
      </c>
    </row>
    <row r="896" ht="14.4" customHeight="1">
      <c r="B896" s="406" t="inlineStr">
        <is>
          <t>100X50 X45D PVC JUNCTION</t>
        </is>
      </c>
      <c r="C896" s="405" t="inlineStr">
        <is>
          <t>ea</t>
        </is>
      </c>
      <c r="E896" s="609" t="n">
        <v>22.08</v>
      </c>
      <c r="F896" s="583">
        <f>E896*D896</f>
        <v/>
      </c>
    </row>
    <row r="897" ht="14.4" customHeight="1">
      <c r="B897" s="406" t="inlineStr">
        <is>
          <t>PVC PIPE REDUCER 100X 50 mm</t>
        </is>
      </c>
      <c r="C897" s="405" t="inlineStr">
        <is>
          <t>ea</t>
        </is>
      </c>
      <c r="E897" s="609" t="n">
        <v>22.08</v>
      </c>
      <c r="F897" s="583">
        <f>E897*D897</f>
        <v/>
      </c>
    </row>
    <row r="898" ht="14.4" customHeight="1">
      <c r="B898" s="406" t="inlineStr">
        <is>
          <t>100MM X 90Deg Bend</t>
        </is>
      </c>
      <c r="C898" s="405" t="inlineStr">
        <is>
          <t>ea</t>
        </is>
      </c>
      <c r="E898" s="609" t="n">
        <v>16.56</v>
      </c>
      <c r="F898" s="583">
        <f>E898*D898</f>
        <v/>
      </c>
    </row>
    <row r="899" ht="14.4" customHeight="1">
      <c r="B899" s="406" t="inlineStr">
        <is>
          <t>100MM X 45Deg Bend</t>
        </is>
      </c>
      <c r="C899" s="405" t="inlineStr">
        <is>
          <t>ea</t>
        </is>
      </c>
      <c r="E899" s="609" t="n">
        <v>16.56</v>
      </c>
      <c r="F899" s="583">
        <f>E899*D899</f>
        <v/>
      </c>
    </row>
    <row r="900" ht="14.4" customHeight="1">
      <c r="B900" s="406" t="inlineStr">
        <is>
          <t>50 PVC X 45D PVC JUNCTION</t>
        </is>
      </c>
      <c r="C900" s="405" t="inlineStr">
        <is>
          <t>ea</t>
        </is>
      </c>
      <c r="E900" s="609" t="n">
        <v>19.32</v>
      </c>
      <c r="F900" s="583">
        <f>E900*D900</f>
        <v/>
      </c>
    </row>
    <row r="901" ht="14.4" customHeight="1">
      <c r="B901" s="406" t="inlineStr">
        <is>
          <t>50MM X 90Deg  PVC Bend</t>
        </is>
      </c>
      <c r="C901" s="405" t="inlineStr">
        <is>
          <t>ea</t>
        </is>
      </c>
      <c r="E901" s="609" t="n">
        <v>0.8969999999999999</v>
      </c>
      <c r="F901" s="583">
        <f>E901*D901</f>
        <v/>
      </c>
    </row>
    <row r="902" ht="14.4" customHeight="1">
      <c r="B902" s="406" t="inlineStr">
        <is>
          <t>50MM X 45Deg  PVC Bend</t>
        </is>
      </c>
      <c r="C902" s="405" t="inlineStr">
        <is>
          <t>ea</t>
        </is>
      </c>
      <c r="E902" s="609" t="n">
        <v>0.8969999999999999</v>
      </c>
      <c r="F902" s="583">
        <f>E902*D902</f>
        <v/>
      </c>
    </row>
    <row r="903" ht="14.4" customHeight="1">
      <c r="B903" s="406" t="n"/>
      <c r="C903" s="405" t="n"/>
      <c r="E903" s="609" t="n">
        <v>0</v>
      </c>
      <c r="F903" s="583">
        <f>E903*D903</f>
        <v/>
      </c>
    </row>
    <row r="904" ht="14.4" customHeight="1">
      <c r="B904" s="406" t="n"/>
      <c r="C904" s="405" t="n"/>
      <c r="E904" s="609" t="n">
        <v>0</v>
      </c>
      <c r="F904" s="583">
        <f>E904*D904</f>
        <v/>
      </c>
    </row>
    <row r="905" ht="14.4" customHeight="1">
      <c r="B905" s="323" t="inlineStr">
        <is>
          <t>150mm PVC 10mm nut hanging clip</t>
        </is>
      </c>
      <c r="C905" s="327" t="inlineStr">
        <is>
          <t>ea</t>
        </is>
      </c>
      <c r="E905" s="609" t="n">
        <v>2.622</v>
      </c>
      <c r="F905" s="583">
        <f>E905*D905</f>
        <v/>
      </c>
    </row>
    <row r="906" ht="14.4" customHeight="1">
      <c r="B906" s="323" t="inlineStr">
        <is>
          <t>10mm Zinc Threaded Rod</t>
        </is>
      </c>
      <c r="C906" s="327" t="inlineStr">
        <is>
          <t>m</t>
        </is>
      </c>
      <c r="E906" s="609" t="n">
        <v>2.76</v>
      </c>
      <c r="F906" s="583">
        <f>E906*D906</f>
        <v/>
      </c>
    </row>
    <row r="907" ht="14.4" customHeight="1">
      <c r="B907" s="323" t="inlineStr">
        <is>
          <t>Glue - Blue - 4Ltr</t>
        </is>
      </c>
      <c r="C907" s="327" t="inlineStr">
        <is>
          <t>ea</t>
        </is>
      </c>
      <c r="E907" s="609" t="n">
        <v>36.432</v>
      </c>
      <c r="F907" s="583">
        <f>E907*D907</f>
        <v/>
      </c>
    </row>
    <row r="908" ht="14.4" customHeight="1">
      <c r="B908" s="323" t="inlineStr">
        <is>
          <t>Primer - Red - 4Ltr</t>
        </is>
      </c>
      <c r="C908" s="327" t="inlineStr">
        <is>
          <t>ea</t>
        </is>
      </c>
      <c r="E908" s="609" t="n">
        <v>31.74</v>
      </c>
      <c r="F908" s="583">
        <f>E908*D908</f>
        <v/>
      </c>
    </row>
    <row r="909" ht="14.4" customHeight="1">
      <c r="B909" s="323" t="n"/>
      <c r="C909" s="327" t="n"/>
      <c r="E909" s="609" t="n">
        <v>0</v>
      </c>
      <c r="F909" s="583">
        <f>E909*D909</f>
        <v/>
      </c>
    </row>
    <row r="910" ht="14.4" customHeight="1">
      <c r="B910" s="410" t="inlineStr">
        <is>
          <t>SW_RRJ (RIBBED) Fittings</t>
        </is>
      </c>
      <c r="C910" s="327" t="n"/>
      <c r="E910" s="609" t="n">
        <v>0</v>
      </c>
      <c r="F910" s="583">
        <f>E910*D910</f>
        <v/>
      </c>
    </row>
    <row r="911" ht="14.4" customHeight="1">
      <c r="B911" s="323" t="n"/>
      <c r="C911" s="327" t="n"/>
      <c r="E911" s="609" t="n">
        <v>0</v>
      </c>
      <c r="F911" s="583">
        <f>E911*D911</f>
        <v/>
      </c>
    </row>
    <row r="912" ht="14.4" customHeight="1">
      <c r="B912" s="406" t="inlineStr">
        <is>
          <t>375MM X 45Deg  Bend</t>
        </is>
      </c>
      <c r="C912" s="327" t="inlineStr">
        <is>
          <t>ea</t>
        </is>
      </c>
      <c r="E912" s="609" t="n">
        <v>362.1396</v>
      </c>
      <c r="F912" s="583">
        <f>E912*D912</f>
        <v/>
      </c>
    </row>
    <row r="913" ht="14.4" customHeight="1">
      <c r="B913" s="406" t="inlineStr">
        <is>
          <t>DN 375 X DN150 45 DEG BLACKMAX REDUCING JUNCTION (PVC FAB)</t>
        </is>
      </c>
      <c r="C913" s="327" t="inlineStr">
        <is>
          <t>ea</t>
        </is>
      </c>
      <c r="E913" s="609" t="n">
        <v>827.9999999999999</v>
      </c>
      <c r="F913" s="583">
        <f>E913*D913</f>
        <v/>
      </c>
    </row>
    <row r="914" ht="14.4" customHeight="1">
      <c r="B914" s="406" t="inlineStr">
        <is>
          <t>DN375 x dn225 BlackMax® Reducing Adaptor FF RRJ x DWV SWJ (PVC Fab)</t>
        </is>
      </c>
      <c r="C914" s="327" t="inlineStr">
        <is>
          <t>ea</t>
        </is>
      </c>
      <c r="E914" s="609" t="n">
        <v>552</v>
      </c>
      <c r="F914" s="583">
        <f>E914*D914</f>
        <v/>
      </c>
    </row>
    <row r="915" ht="14.4" customHeight="1">
      <c r="B915" s="406" t="n"/>
      <c r="C915" s="327" t="n"/>
      <c r="E915" s="609" t="n">
        <v>0</v>
      </c>
      <c r="F915" s="583">
        <f>E915*D915</f>
        <v/>
      </c>
    </row>
    <row r="916" ht="14.4" customHeight="1">
      <c r="B916" s="406" t="inlineStr">
        <is>
          <t>DN 300 X DN150 45 DEG BLACKMAX REDUCING JUNCTION (PVC FAB)</t>
        </is>
      </c>
      <c r="C916" s="327" t="inlineStr">
        <is>
          <t>ea</t>
        </is>
      </c>
      <c r="E916" s="609" t="n">
        <v>690</v>
      </c>
      <c r="F916" s="583">
        <f>E916*D916</f>
        <v/>
      </c>
    </row>
    <row r="917" ht="14.4" customHeight="1">
      <c r="B917" s="406" t="inlineStr">
        <is>
          <t xml:space="preserve">DN300 BLACK MAX 45 DEG BEND </t>
        </is>
      </c>
      <c r="C917" s="327" t="inlineStr">
        <is>
          <t>ea</t>
        </is>
      </c>
      <c r="E917" s="609" t="n">
        <v>413.9999999999999</v>
      </c>
      <c r="F917" s="583">
        <f>E917*D917</f>
        <v/>
      </c>
    </row>
    <row r="918" ht="14.4" customHeight="1">
      <c r="B918" s="406" t="inlineStr">
        <is>
          <t>DN300 x dn225 BlackMax® Reducing Adaptor FF RRJ x DWV SWJ (PVC Fab)</t>
        </is>
      </c>
      <c r="C918" s="327" t="inlineStr">
        <is>
          <t>ea</t>
        </is>
      </c>
      <c r="E918" s="609" t="n">
        <v>413.9999999999999</v>
      </c>
      <c r="F918" s="583">
        <f>E918*D918</f>
        <v/>
      </c>
    </row>
    <row r="919" ht="14.4" customHeight="1">
      <c r="B919" s="406" t="inlineStr">
        <is>
          <t xml:space="preserve">DN300 BLACK MAX 45 DEG BEND </t>
        </is>
      </c>
      <c r="C919" s="327" t="inlineStr">
        <is>
          <t>ea</t>
        </is>
      </c>
      <c r="E919" s="609" t="n">
        <v>413.9999999999999</v>
      </c>
      <c r="F919" s="583">
        <f>E919*D919</f>
        <v/>
      </c>
    </row>
    <row r="920" ht="14.4" customHeight="1">
      <c r="B920" s="406" t="inlineStr">
        <is>
          <t xml:space="preserve">SWGP 1 300 x300 x450 </t>
        </is>
      </c>
      <c r="C920" s="405" t="inlineStr">
        <is>
          <t>ea</t>
        </is>
      </c>
      <c r="E920" s="609">
        <f>89.62+37.92</f>
        <v/>
      </c>
      <c r="F920" s="583">
        <f>E920*D920</f>
        <v/>
      </c>
    </row>
    <row r="921" ht="14.4" customHeight="1">
      <c r="B921" s="406" t="inlineStr">
        <is>
          <t xml:space="preserve">SWGP 2 600x600 x600 </t>
        </is>
      </c>
      <c r="C921" s="405" t="inlineStr">
        <is>
          <t>ea</t>
        </is>
      </c>
      <c r="E921" s="609">
        <f>228+147</f>
        <v/>
      </c>
      <c r="F921" s="583">
        <f>E921*D921</f>
        <v/>
      </c>
    </row>
    <row r="922" ht="14.4" customHeight="1">
      <c r="B922" s="406" t="inlineStr">
        <is>
          <t>SWGP 4  450x450x600</t>
        </is>
      </c>
      <c r="C922" s="405" t="inlineStr">
        <is>
          <t>ea</t>
        </is>
      </c>
      <c r="E922" s="609">
        <f>166+84</f>
        <v/>
      </c>
      <c r="F922" s="583">
        <f>E922*D922</f>
        <v/>
      </c>
    </row>
    <row r="923" ht="14.4" customHeight="1">
      <c r="B923" s="406" t="inlineStr">
        <is>
          <t xml:space="preserve">150mm Cap </t>
        </is>
      </c>
      <c r="C923" s="327" t="inlineStr">
        <is>
          <t>ea</t>
        </is>
      </c>
      <c r="E923" s="609" t="n">
        <v>20.7</v>
      </c>
      <c r="F923" s="583">
        <f>E923*D923</f>
        <v/>
      </c>
    </row>
    <row r="924" ht="14.4" customHeight="1">
      <c r="B924" s="406" t="inlineStr">
        <is>
          <t xml:space="preserve">	150mm expansion coupler</t>
        </is>
      </c>
      <c r="C924" s="405" t="inlineStr">
        <is>
          <t>ea</t>
        </is>
      </c>
      <c r="E924" s="609" t="n">
        <v>110.4</v>
      </c>
      <c r="F924" s="583">
        <f>E924*D924</f>
        <v/>
      </c>
    </row>
    <row r="925" ht="14.4" customHeight="1">
      <c r="B925" s="406" t="inlineStr">
        <is>
          <t xml:space="preserve">	450X450 GRATED SW GULLY</t>
        </is>
      </c>
      <c r="C925" s="405" t="inlineStr">
        <is>
          <t>ea</t>
        </is>
      </c>
      <c r="E925" s="605" t="n">
        <v>180</v>
      </c>
      <c r="F925" s="583">
        <f>E925*D925</f>
        <v/>
      </c>
    </row>
    <row r="926"/>
    <row r="927"/>
    <row r="928" ht="14.4" customHeight="1">
      <c r="B928" s="324" t="inlineStr">
        <is>
          <t>FITOFF</t>
        </is>
      </c>
    </row>
    <row r="929"/>
    <row r="930" ht="14.4" customHeight="1">
      <c r="B930" t="inlineStr">
        <is>
          <t>Fit-Off consumable material - per adopted fixture (allow $30/EA x 93)</t>
        </is>
      </c>
      <c r="C930" s="405" t="inlineStr">
        <is>
          <t>ea</t>
        </is>
      </c>
      <c r="D930" s="40" t="n">
        <v>93</v>
      </c>
      <c r="E930" s="605" t="n">
        <v>30</v>
      </c>
      <c r="F930" s="583">
        <f>E930*D930</f>
        <v/>
      </c>
      <c r="G930" t="n">
        <v>1</v>
      </c>
      <c r="H930" s="540" t="inlineStr">
        <is>
          <t>Fit-off consumable basis re-based: 93 adopted fixtures x $30/EA allowance (was $1,800 lump)</t>
        </is>
      </c>
    </row>
    <row r="931" ht="14.4" customHeight="1">
      <c r="B931" t="inlineStr">
        <is>
          <t>Fit-Off Material; Ground &amp; First Floor -</t>
        </is>
      </c>
      <c r="C931" s="405" t="inlineStr">
        <is>
          <t>ea</t>
        </is>
      </c>
      <c r="E931" s="605" t="n">
        <v>0</v>
      </c>
      <c r="F931" s="583">
        <f>E931*D931</f>
        <v/>
      </c>
      <c r="H931" s="540" t="inlineStr">
        <is>
          <t>stray rate cleared (was 1801 with no qty)</t>
        </is>
      </c>
    </row>
    <row r="932">
      <c r="B932" t="inlineStr">
        <is>
          <t>Seismic restraint hardware - AS1170.4 EDC 2, subsoil Ce (channel/brace/strap kits)</t>
        </is>
      </c>
      <c r="C932" t="inlineStr">
        <is>
          <t>item</t>
        </is>
      </c>
      <c r="D932" t="n">
        <v>1</v>
      </c>
      <c r="E932" t="n">
        <v>3500</v>
      </c>
      <c r="F932">
        <f>E932*D932</f>
        <v/>
      </c>
      <c r="H932" s="540" t="inlineStr">
        <is>
          <t>Gap #3 allowance (~2.5% rough-in material) - RFQ nVent/Unistrut/Hilti pending; install labour T3-04/T4-07; layout drafting only (CL C7)</t>
        </is>
      </c>
    </row>
    <row r="933"/>
    <row r="934"/>
    <row r="935">
      <c r="C935" s="491" t="inlineStr">
        <is>
          <t>SUB TOTALS</t>
        </is>
      </c>
    </row>
    <row r="936">
      <c r="F936" s="583">
        <f>SUM(F15:F935)</f>
        <v/>
      </c>
    </row>
    <row r="937"/>
    <row r="938"/>
    <row r="939">
      <c r="E939" s="611" t="inlineStr">
        <is>
          <t>Contingency</t>
        </is>
      </c>
      <c r="F939" s="230" t="n">
        <v>0.12</v>
      </c>
    </row>
    <row r="940">
      <c r="E940" s="611" t="inlineStr">
        <is>
          <t>Deliveries</t>
        </is>
      </c>
      <c r="F940" s="583" t="n">
        <v>6500</v>
      </c>
    </row>
    <row r="941"/>
    <row r="942">
      <c r="C942" s="491" t="inlineStr">
        <is>
          <t>TOTALS</t>
        </is>
      </c>
    </row>
    <row r="943">
      <c r="F943" s="583">
        <f>F936+(F936*F939)+F940</f>
        <v/>
      </c>
    </row>
    <row r="944"/>
    <row r="945"/>
    <row r="946"/>
    <row r="947"/>
    <row r="948" ht="10.8" customHeight="1" thickBot="1"/>
    <row r="949" ht="15" customFormat="1" customHeight="1" s="120" thickBot="1">
      <c r="B949" s="173" t="inlineStr">
        <is>
          <t>Excavation/Quarry/Misc/ Takeoff.</t>
        </is>
      </c>
      <c r="C949" s="121" t="n"/>
      <c r="D949" s="122" t="n"/>
      <c r="E949" s="612" t="n"/>
      <c r="F949" s="612" t="n"/>
      <c r="G949" s="612" t="n"/>
      <c r="H949" s="613" t="n"/>
      <c r="K949" s="196" t="n"/>
    </row>
    <row r="950" ht="14.4" customFormat="1" customHeight="1" s="120">
      <c r="B950" s="126" t="n"/>
      <c r="C950" s="193" t="inlineStr">
        <is>
          <t>Qty</t>
        </is>
      </c>
      <c r="D950" s="193" t="inlineStr">
        <is>
          <t>Unit</t>
        </is>
      </c>
      <c r="E950" s="614" t="n"/>
      <c r="F950" s="614" t="n"/>
      <c r="G950" s="612" t="n"/>
      <c r="H950" s="613" t="n"/>
      <c r="K950" s="196" t="n"/>
    </row>
    <row r="951" ht="14.4" customFormat="1" customHeight="1" s="120">
      <c r="B951" s="411" t="inlineStr">
        <is>
          <t>Avrg Trench = .900D*.450W</t>
        </is>
      </c>
      <c r="C951" s="196">
        <f>C955</f>
        <v/>
      </c>
      <c r="D951" s="196" t="inlineStr">
        <is>
          <t>m</t>
        </is>
      </c>
      <c r="E951" s="612" t="n"/>
      <c r="F951" s="612" t="n"/>
      <c r="G951" s="612" t="n"/>
      <c r="H951" s="613" t="n"/>
      <c r="K951" s="196" t="n"/>
    </row>
    <row r="952" ht="14.4" customFormat="1" customHeight="1" s="120">
      <c r="B952" s="335" t="inlineStr">
        <is>
          <t>L/M Of Asphalt Reinstate</t>
        </is>
      </c>
      <c r="C952" s="196" t="n">
        <v>0</v>
      </c>
      <c r="D952" s="196" t="inlineStr">
        <is>
          <t>m</t>
        </is>
      </c>
      <c r="E952" s="612" t="n"/>
      <c r="F952" s="612" t="n"/>
      <c r="G952" s="612" t="n"/>
      <c r="H952" s="613" t="n"/>
      <c r="K952" s="196" t="n"/>
    </row>
    <row r="953" ht="14.4" customFormat="1" customHeight="1" s="120">
      <c r="B953" s="335" t="inlineStr">
        <is>
          <t>M2 Of Asphalt Reinstate</t>
        </is>
      </c>
      <c r="C953" s="196" t="n">
        <v>0</v>
      </c>
      <c r="D953" s="196" t="inlineStr">
        <is>
          <t>m2</t>
        </is>
      </c>
      <c r="E953" s="612" t="n"/>
      <c r="F953" s="612" t="n"/>
      <c r="G953" s="612" t="n"/>
      <c r="H953" s="613" t="n"/>
      <c r="K953" s="196" t="n"/>
    </row>
    <row r="954" ht="14.4" customFormat="1" customHeight="1" s="120">
      <c r="B954" s="335" t="inlineStr">
        <is>
          <t>L/M Of CBR Reinstate</t>
        </is>
      </c>
      <c r="C954" s="196" t="n">
        <v>0</v>
      </c>
      <c r="D954" s="196" t="inlineStr">
        <is>
          <t>m</t>
        </is>
      </c>
      <c r="E954" s="612" t="n"/>
      <c r="F954" s="612" t="n"/>
      <c r="G954" s="612" t="n"/>
      <c r="H954" s="613" t="n"/>
      <c r="K954" s="196" t="n"/>
    </row>
    <row r="955" ht="14.4" customFormat="1" customHeight="1" s="120">
      <c r="B955" s="411" t="inlineStr">
        <is>
          <t>L/M of Inground Pipe (Average Depth)</t>
        </is>
      </c>
      <c r="C955" s="412">
        <f>SUM(D366:D370)+D724+D741+D742+D813</f>
        <v/>
      </c>
      <c r="D955" s="196" t="inlineStr">
        <is>
          <t>m</t>
        </is>
      </c>
      <c r="E955" s="612" t="n"/>
      <c r="F955" s="612" t="n"/>
      <c r="G955" s="612" t="n"/>
      <c r="H955" s="613" t="n"/>
      <c r="K955" s="196" t="n"/>
    </row>
    <row r="956" ht="14.4" customFormat="1" customHeight="1" s="120">
      <c r="B956" s="411" t="inlineStr">
        <is>
          <t>L/M of Inground Pipe (Deeper Than Average Depth)</t>
        </is>
      </c>
      <c r="C956" s="337" t="n"/>
      <c r="D956" s="196" t="inlineStr">
        <is>
          <t>m</t>
        </is>
      </c>
      <c r="E956" s="612" t="n"/>
      <c r="F956" s="612" t="n"/>
      <c r="G956" s="612" t="n"/>
      <c r="H956" s="613" t="n"/>
      <c r="K956" s="196" t="n"/>
    </row>
    <row r="957" ht="14.4" customFormat="1" customHeight="1" s="120">
      <c r="B957" s="411" t="inlineStr">
        <is>
          <t>Avergage of trtenches 'Shared'…. Shared trench Factor</t>
        </is>
      </c>
      <c r="C957" s="338" t="n">
        <v>0.1</v>
      </c>
      <c r="D957" s="196" t="inlineStr">
        <is>
          <t>m</t>
        </is>
      </c>
      <c r="F957" s="612" t="n"/>
      <c r="G957" s="612" t="n"/>
      <c r="H957" s="613" t="n"/>
      <c r="K957" s="196" t="n"/>
    </row>
    <row r="958" ht="14.4" customFormat="1" customHeight="1" s="120">
      <c r="B958" s="411" t="inlineStr">
        <is>
          <t>SEWER / SW / TW - InGrnd</t>
        </is>
      </c>
      <c r="C958" s="338" t="n"/>
      <c r="D958" s="196" t="inlineStr">
        <is>
          <t>m</t>
        </is>
      </c>
      <c r="E958" s="413">
        <f>C958/(C955+C956)</f>
        <v/>
      </c>
      <c r="F958" s="612" t="n"/>
      <c r="G958" s="612" t="n"/>
      <c r="H958" s="613" t="n"/>
      <c r="K958" s="196" t="n"/>
    </row>
    <row r="959" ht="14.4" customFormat="1" customHeight="1" s="120">
      <c r="B959" s="411" t="inlineStr">
        <is>
          <t>WAT / FIRE - InGrnd</t>
        </is>
      </c>
      <c r="C959" s="338" t="n"/>
      <c r="D959" s="196" t="inlineStr">
        <is>
          <t>m</t>
        </is>
      </c>
      <c r="E959" s="413">
        <f>C959/(C955+C956)</f>
        <v/>
      </c>
      <c r="F959" s="612" t="n"/>
      <c r="G959" s="612" t="n"/>
      <c r="H959" s="613" t="n"/>
      <c r="K959" s="196" t="n"/>
    </row>
    <row r="960" ht="14.4" customFormat="1" customHeight="1" s="120">
      <c r="B960" s="411" t="inlineStr">
        <is>
          <t>SPK - InGrnd</t>
        </is>
      </c>
      <c r="C960" s="338" t="n"/>
      <c r="D960" s="196" t="inlineStr">
        <is>
          <t>m</t>
        </is>
      </c>
      <c r="E960" s="413">
        <f>C960/(C955+C956)</f>
        <v/>
      </c>
      <c r="F960" s="612" t="n"/>
      <c r="G960" s="612" t="n"/>
      <c r="H960" s="613" t="n"/>
      <c r="K960" s="196" t="n"/>
    </row>
    <row r="961" ht="14.4" customFormat="1" customHeight="1" s="120">
      <c r="B961" s="335" t="n"/>
      <c r="F961" s="612" t="n"/>
      <c r="G961" s="612" t="n"/>
      <c r="H961" s="613" t="n"/>
      <c r="K961" s="196" t="n"/>
    </row>
    <row r="962" ht="14.4" customFormat="1" customHeight="1" s="120">
      <c r="B962" s="126" t="n"/>
      <c r="E962" s="612" t="n"/>
      <c r="F962" s="612" t="n"/>
      <c r="G962" s="612" t="n"/>
      <c r="H962" s="613" t="n"/>
      <c r="K962" s="196" t="n"/>
    </row>
    <row r="963" ht="72" customFormat="1" customHeight="1" s="339">
      <c r="B963" s="340" t="n"/>
      <c r="C963" s="341" t="inlineStr">
        <is>
          <t>D</t>
        </is>
      </c>
      <c r="D963" s="341" t="inlineStr">
        <is>
          <t>W</t>
        </is>
      </c>
      <c r="E963" s="612" t="inlineStr">
        <is>
          <t>L</t>
        </is>
      </c>
      <c r="F963" s="615" t="inlineStr">
        <is>
          <t>Spoil/Compact Factor;</t>
        </is>
      </c>
      <c r="G963" s="415" t="inlineStr">
        <is>
          <t>Shared Trench Factor</t>
        </is>
      </c>
      <c r="H963" s="616" t="inlineStr">
        <is>
          <t>Total m3 - EXCAVATED</t>
        </is>
      </c>
      <c r="I963" s="343" t="inlineStr">
        <is>
          <t>Total M3 - Bed, Pipe, Cover reduction</t>
        </is>
      </c>
      <c r="J963" s="343" t="inlineStr">
        <is>
          <t>Total M3 - Backfill Req (Less Bed&amp;Pipe)</t>
        </is>
      </c>
      <c r="K963" s="343" t="inlineStr">
        <is>
          <t>Total M3 - Spoil - REMOVE</t>
        </is>
      </c>
      <c r="L963" s="415" t="inlineStr">
        <is>
          <t>TCS Load - Haulage &amp; dump rate only</t>
        </is>
      </c>
    </row>
    <row r="964" ht="14.4" customFormat="1" customHeight="1" s="120">
      <c r="B964" s="335">
        <f>B955</f>
        <v/>
      </c>
      <c r="C964" s="344" t="n">
        <v>0.95</v>
      </c>
      <c r="D964" s="344" t="n">
        <v>0.6</v>
      </c>
      <c r="E964" s="336">
        <f>C955</f>
        <v/>
      </c>
      <c r="F964" s="416" t="n">
        <v>1.3</v>
      </c>
      <c r="G964" s="345">
        <f>C957</f>
        <v/>
      </c>
      <c r="H964" s="199">
        <f>(C964*D964*E964)*F964-(C964*D964*E964*G964)</f>
        <v/>
      </c>
      <c r="I964" s="346" t="n"/>
      <c r="J964" s="346" t="n"/>
      <c r="K964" s="347" t="n"/>
    </row>
    <row r="965" ht="14.4" customFormat="1" customHeight="1" s="120">
      <c r="B965" s="411">
        <f>B956</f>
        <v/>
      </c>
      <c r="C965" s="344" t="n">
        <v>1.1</v>
      </c>
      <c r="D965" s="344" t="n">
        <v>0.5</v>
      </c>
      <c r="E965" s="336">
        <f>C956</f>
        <v/>
      </c>
      <c r="F965" s="416" t="n">
        <v>1.3</v>
      </c>
      <c r="G965" s="344" t="n">
        <v>0</v>
      </c>
      <c r="H965" s="199">
        <f>(C965*D965*E965)*F965</f>
        <v/>
      </c>
      <c r="I965" s="346" t="n"/>
      <c r="J965" s="346" t="n"/>
      <c r="K965" s="347" t="n"/>
    </row>
    <row r="966" ht="14.4" customFormat="1" customHeight="1" s="120">
      <c r="B966" s="411" t="inlineStr">
        <is>
          <t>L/M of Bed, Pipe, Cover material reduction (Average Depth)</t>
        </is>
      </c>
      <c r="C966" s="344" t="n">
        <v>0.35</v>
      </c>
      <c r="D966" s="345">
        <f>D964</f>
        <v/>
      </c>
      <c r="E966" s="345">
        <f>E964</f>
        <v/>
      </c>
      <c r="F966" s="416" t="n">
        <v>0</v>
      </c>
      <c r="G966" s="345">
        <f>C957</f>
        <v/>
      </c>
      <c r="H966" s="199" t="n"/>
      <c r="I966" s="199">
        <f>(C966*D966*E966)-(C966*D966*E966*G966)</f>
        <v/>
      </c>
      <c r="J966" s="199" t="n"/>
      <c r="K966" s="347" t="n"/>
    </row>
    <row r="967" ht="14.4" customFormat="1" customHeight="1" s="120">
      <c r="B967" s="411" t="inlineStr">
        <is>
          <t>L/M of Bed, Pipe, Cover material reduction (Deeper Than Average Depth)</t>
        </is>
      </c>
      <c r="C967" s="344" t="n">
        <v>0.2</v>
      </c>
      <c r="D967" s="345">
        <f>D965</f>
        <v/>
      </c>
      <c r="E967" s="348">
        <f>E965</f>
        <v/>
      </c>
      <c r="F967" s="416" t="n">
        <v>0</v>
      </c>
      <c r="G967" s="345">
        <f>G965</f>
        <v/>
      </c>
      <c r="H967" s="199" t="n"/>
      <c r="I967" s="199">
        <f>(C967*D967*E967)-(C967*D967*E967*G967)</f>
        <v/>
      </c>
      <c r="J967" s="199" t="n"/>
      <c r="K967" s="347" t="n"/>
    </row>
    <row r="968" ht="14.4" customFormat="1" customHeight="1" s="120">
      <c r="B968" s="411" t="inlineStr">
        <is>
          <t>L/M of BACKFILL required (Average Depth)</t>
        </is>
      </c>
      <c r="C968" s="345">
        <f>C964</f>
        <v/>
      </c>
      <c r="D968" s="345">
        <f>D964</f>
        <v/>
      </c>
      <c r="E968" s="348">
        <f>E964</f>
        <v/>
      </c>
      <c r="F968" s="416" t="n">
        <v>1.3</v>
      </c>
      <c r="G968" s="345">
        <f>C957</f>
        <v/>
      </c>
      <c r="H968" s="199" t="n"/>
      <c r="I968" s="199" t="n"/>
      <c r="J968" s="199">
        <f>(C968*D968*E968*F968)-(C968*D968*E968*G968)-I966</f>
        <v/>
      </c>
      <c r="K968" s="347" t="n"/>
    </row>
    <row r="969" ht="14.4" customFormat="1" customHeight="1" s="120">
      <c r="B969" s="411" t="inlineStr">
        <is>
          <t>L/M of BACKFILL required (Deeper Than Average Depth)</t>
        </is>
      </c>
      <c r="C969" s="345">
        <f>C965</f>
        <v/>
      </c>
      <c r="D969" s="345">
        <f>D965</f>
        <v/>
      </c>
      <c r="E969" s="345">
        <f>E965</f>
        <v/>
      </c>
      <c r="F969" s="416" t="n">
        <v>1.3</v>
      </c>
      <c r="G969" s="345">
        <f>G965</f>
        <v/>
      </c>
      <c r="H969" s="199" t="n"/>
      <c r="I969" s="199" t="n"/>
      <c r="J969" s="199">
        <f>(C969*D969*E969*F969)-(C969*D969*E969*G969)-I967</f>
        <v/>
      </c>
      <c r="K969" s="347" t="n"/>
    </row>
    <row r="970" ht="15" customFormat="1" customHeight="1" s="120" thickBot="1">
      <c r="B970" s="335" t="n"/>
      <c r="C970" s="347" t="n"/>
      <c r="D970" s="347" t="n"/>
      <c r="E970" s="347" t="n"/>
      <c r="F970" s="417" t="n"/>
      <c r="G970" s="199" t="n"/>
      <c r="H970" s="347" t="n"/>
      <c r="I970" s="346" t="n"/>
      <c r="J970" s="346" t="n"/>
      <c r="K970" s="199" t="inlineStr">
        <is>
          <t>QTY</t>
        </is>
      </c>
      <c r="L970" s="349" t="inlineStr">
        <is>
          <t>Rate</t>
        </is>
      </c>
      <c r="M970" s="349" t="inlineStr">
        <is>
          <t>Total</t>
        </is>
      </c>
    </row>
    <row r="971" ht="15" customFormat="1" customHeight="1" s="120" thickBot="1">
      <c r="B971" s="335" t="n"/>
      <c r="C971" s="347" t="n"/>
      <c r="D971" s="347" t="n"/>
      <c r="E971" s="347" t="n"/>
      <c r="F971" s="417" t="n"/>
      <c r="G971" s="199" t="n"/>
      <c r="H971" s="350">
        <f>SUM(H964:H970)</f>
        <v/>
      </c>
      <c r="I971" s="350">
        <f>SUM(I964:I970)</f>
        <v/>
      </c>
      <c r="J971" s="350">
        <f>SUM(J964:J970)</f>
        <v/>
      </c>
      <c r="K971" s="351">
        <f>H971-J971</f>
        <v/>
      </c>
      <c r="L971" s="617" t="n">
        <v>15</v>
      </c>
      <c r="M971" s="618">
        <f>K971*L971</f>
        <v/>
      </c>
      <c r="O971" s="192" t="n"/>
    </row>
    <row r="972" ht="14.4" customFormat="1" customHeight="1" s="120">
      <c r="B972" s="335" t="n"/>
      <c r="C972" s="196" t="n"/>
      <c r="D972" s="196" t="n"/>
      <c r="E972" s="196" t="n"/>
      <c r="F972" s="417" t="n"/>
      <c r="G972" s="199" t="n"/>
      <c r="H972" s="613" t="n"/>
      <c r="K972" s="196" t="n"/>
      <c r="O972" s="346" t="n"/>
    </row>
    <row r="973" ht="14.4" customFormat="1" customHeight="1" s="120">
      <c r="B973" s="335" t="n"/>
      <c r="C973" s="196" t="n"/>
      <c r="D973" s="196" t="n"/>
      <c r="E973" s="196" t="n"/>
      <c r="F973" s="417" t="n"/>
      <c r="G973" s="199" t="n"/>
      <c r="H973" s="613" t="n"/>
      <c r="K973" s="196" t="n"/>
      <c r="O973" s="346" t="n"/>
    </row>
    <row r="974" ht="14.4" customFormat="1" customHeight="1" s="120">
      <c r="B974" s="335" t="n"/>
      <c r="C974" s="196" t="n"/>
      <c r="D974" s="196" t="n"/>
      <c r="E974" s="196" t="n"/>
      <c r="F974" s="417" t="n"/>
      <c r="G974" s="199" t="n"/>
      <c r="H974" s="613" t="n"/>
      <c r="K974" s="196" t="n"/>
      <c r="O974" s="346" t="n"/>
    </row>
    <row r="975" ht="14.4" customFormat="1" customHeight="1" s="120">
      <c r="B975" s="335" t="n"/>
      <c r="C975" s="196" t="n"/>
      <c r="D975" s="196" t="n"/>
      <c r="E975" s="196" t="n"/>
      <c r="F975" s="417" t="n"/>
      <c r="G975" s="199" t="n"/>
      <c r="H975" s="613" t="n"/>
      <c r="K975" s="196" t="n"/>
      <c r="O975" s="346" t="n"/>
    </row>
    <row r="976" ht="7.2" customFormat="1" customHeight="1" s="120">
      <c r="B976" s="354" t="n"/>
      <c r="C976" s="231" t="n"/>
      <c r="D976" s="231" t="n"/>
      <c r="E976" s="231" t="n"/>
      <c r="F976" s="619" t="n"/>
      <c r="G976" s="619" t="n"/>
      <c r="H976" s="620" t="n"/>
      <c r="I976" s="231" t="n"/>
      <c r="K976" s="196" t="n"/>
    </row>
    <row r="977" ht="14.4" customFormat="1" customHeight="1" s="120">
      <c r="B977" s="126" t="inlineStr">
        <is>
          <t>Thrust Block Concrete</t>
        </is>
      </c>
      <c r="C977" s="196" t="inlineStr">
        <is>
          <t>m3/TB</t>
        </is>
      </c>
      <c r="D977" s="196" t="inlineStr">
        <is>
          <t>Qty</t>
        </is>
      </c>
      <c r="E977" s="612" t="inlineStr">
        <is>
          <t>Total m3</t>
        </is>
      </c>
      <c r="F977" s="120" t="inlineStr">
        <is>
          <t>Contingency</t>
        </is>
      </c>
      <c r="G977" s="614" t="inlineStr">
        <is>
          <t>Total m3</t>
        </is>
      </c>
      <c r="H977" s="621" t="inlineStr">
        <is>
          <t>Total Cost</t>
        </is>
      </c>
      <c r="K977" s="196" t="n"/>
    </row>
    <row r="978" ht="14.4" customFormat="1" customHeight="1" s="120">
      <c r="B978" s="335" t="n"/>
      <c r="C978" s="196" t="n">
        <v>0.1</v>
      </c>
      <c r="D978" s="338" t="n"/>
      <c r="E978" s="196">
        <f>D978*C978</f>
        <v/>
      </c>
      <c r="F978" s="417" t="n">
        <v>1.1</v>
      </c>
      <c r="G978" s="198">
        <f>E978*F978</f>
        <v/>
      </c>
      <c r="H978" s="613">
        <f>G978*E1003</f>
        <v/>
      </c>
      <c r="I978" s="622" t="n"/>
      <c r="K978" s="196" t="n"/>
    </row>
    <row r="979" ht="14.4" customFormat="1" customHeight="1" s="323">
      <c r="C979" s="327" t="n"/>
      <c r="D979" s="327" t="n"/>
      <c r="E979" s="605" t="n"/>
      <c r="F979" s="605" t="n"/>
    </row>
    <row r="980" ht="15" customFormat="1" customHeight="1" s="323" thickBot="1">
      <c r="C980" s="327" t="n"/>
      <c r="D980" s="327" t="n"/>
      <c r="E980" s="605" t="n"/>
      <c r="F980" s="605" t="n"/>
    </row>
    <row r="981" ht="15" customFormat="1" customHeight="1" s="323" thickBot="1">
      <c r="B981" s="173" t="inlineStr">
        <is>
          <t>Quarry &amp; Concrete Product</t>
        </is>
      </c>
      <c r="C981" s="121" t="n"/>
      <c r="D981" s="122" t="n"/>
      <c r="E981" s="612" t="n"/>
      <c r="F981" s="612" t="n"/>
      <c r="G981" s="612" t="n"/>
      <c r="H981" s="613" t="n"/>
      <c r="I981" s="120" t="n"/>
      <c r="J981" s="120" t="n"/>
      <c r="K981" s="120" t="n"/>
      <c r="L981" s="120" t="n"/>
      <c r="M981" s="120" t="n"/>
      <c r="N981" s="120" t="n"/>
      <c r="O981" s="120" t="n"/>
      <c r="P981" s="120" t="n"/>
    </row>
    <row r="982" ht="15" customFormat="1" customHeight="1" s="323" thickBot="1">
      <c r="B982" s="192" t="n"/>
      <c r="C982" s="120" t="n"/>
      <c r="D982" s="120" t="n"/>
      <c r="E982" s="612" t="n"/>
      <c r="F982" s="612" t="n"/>
      <c r="G982" s="612" t="n"/>
      <c r="H982" s="613" t="n"/>
      <c r="I982" s="120" t="n"/>
      <c r="J982" s="120" t="n"/>
      <c r="K982" s="120" t="n"/>
      <c r="L982" s="120" t="n"/>
      <c r="M982" s="341" t="n">
        <v>1.12</v>
      </c>
      <c r="N982" s="120" t="n"/>
      <c r="O982" s="120" t="n"/>
      <c r="P982" s="120" t="n"/>
    </row>
    <row r="983" ht="29.4" customFormat="1" customHeight="1" s="355" thickBot="1">
      <c r="B983" s="356" t="inlineStr">
        <is>
          <t>Description</t>
        </is>
      </c>
      <c r="C983" s="349" t="inlineStr">
        <is>
          <t>Unit/LM</t>
        </is>
      </c>
      <c r="D983" s="349" t="inlineStr">
        <is>
          <t>Unit</t>
        </is>
      </c>
      <c r="E983" s="614" t="inlineStr">
        <is>
          <t>Rate</t>
        </is>
      </c>
      <c r="F983" s="614" t="inlineStr">
        <is>
          <t>Rate/LM</t>
        </is>
      </c>
      <c r="G983" s="612" t="n"/>
      <c r="H983" s="612" t="n"/>
      <c r="I983" s="349" t="inlineStr">
        <is>
          <t>QTY</t>
        </is>
      </c>
      <c r="J983" s="343" t="inlineStr">
        <is>
          <t>Shared Trench Factor</t>
        </is>
      </c>
      <c r="K983" s="349" t="inlineStr">
        <is>
          <t>Total Req.</t>
        </is>
      </c>
      <c r="L983" s="349" t="inlineStr">
        <is>
          <t>Total</t>
        </is>
      </c>
      <c r="M983" s="349" t="inlineStr">
        <is>
          <t>Contingency</t>
        </is>
      </c>
      <c r="N983" s="357" t="inlineStr">
        <is>
          <t>TOTAL</t>
        </is>
      </c>
      <c r="O983" s="418" t="inlineStr">
        <is>
          <t>Drainage Use</t>
        </is>
      </c>
      <c r="P983" s="415" t="inlineStr">
        <is>
          <t>Fire/WAT Use</t>
        </is>
      </c>
      <c r="Q983" s="419" t="inlineStr">
        <is>
          <t>SPK Use</t>
        </is>
      </c>
    </row>
    <row r="984" ht="15" customFormat="1" customHeight="1" s="323" thickBot="1">
      <c r="B984" s="120" t="inlineStr">
        <is>
          <t>5-7mm Stone</t>
        </is>
      </c>
      <c r="C984" s="358" t="n">
        <v>0.203</v>
      </c>
      <c r="D984" s="359" t="inlineStr">
        <is>
          <t>Ton</t>
        </is>
      </c>
      <c r="E984" s="623">
        <f>E996</f>
        <v/>
      </c>
      <c r="F984" s="623">
        <f>E984*C984</f>
        <v/>
      </c>
      <c r="G984" s="612" t="n"/>
      <c r="H984" s="613" t="n"/>
      <c r="I984" s="361">
        <f>C984*(C955+C956)</f>
        <v/>
      </c>
      <c r="J984" s="345">
        <f>C957</f>
        <v/>
      </c>
      <c r="K984" s="362">
        <f>I984-(I984*J984)</f>
        <v/>
      </c>
      <c r="L984" s="622">
        <f>K984*E984</f>
        <v/>
      </c>
      <c r="M984" s="605">
        <f>(L984*M982)-L984</f>
        <v/>
      </c>
      <c r="N984" s="624">
        <f>L984*M982</f>
        <v/>
      </c>
      <c r="O984" s="622">
        <f>N984*E958</f>
        <v/>
      </c>
      <c r="P984" s="120" t="n"/>
      <c r="Q984" s="605" t="n"/>
      <c r="R984" s="605" t="n"/>
    </row>
    <row r="985" ht="14.4" customFormat="1" customHeight="1" s="323">
      <c r="B985" s="120" t="inlineStr">
        <is>
          <t>5-7mm Stone</t>
        </is>
      </c>
      <c r="C985" s="358" t="n">
        <v>0.14</v>
      </c>
      <c r="D985" s="196" t="inlineStr">
        <is>
          <t>m3</t>
        </is>
      </c>
      <c r="E985" s="612">
        <f>E996</f>
        <v/>
      </c>
      <c r="F985" s="612">
        <f>(E985*C985)*1.95</f>
        <v/>
      </c>
      <c r="G985" s="612" t="n"/>
      <c r="H985" s="613" t="n"/>
      <c r="I985" s="120" t="n"/>
      <c r="J985" s="120" t="n"/>
      <c r="L985" s="622" t="n"/>
      <c r="N985" s="364" t="n"/>
      <c r="O985" s="120" t="n"/>
      <c r="P985" s="120" t="n"/>
    </row>
    <row r="986" ht="14.4" customFormat="1" customHeight="1" s="323">
      <c r="B986" s="120" t="inlineStr">
        <is>
          <t>10-12mm Stone</t>
        </is>
      </c>
      <c r="C986" s="358" t="n">
        <v>0.45</v>
      </c>
      <c r="D986" s="196" t="inlineStr">
        <is>
          <t>Ton</t>
        </is>
      </c>
      <c r="E986" s="612">
        <f>E997</f>
        <v/>
      </c>
      <c r="F986" s="612">
        <f>E986*C986</f>
        <v/>
      </c>
      <c r="G986" s="612" t="n"/>
      <c r="H986" s="613" t="n"/>
      <c r="I986" s="120" t="n">
        <v>0</v>
      </c>
      <c r="J986" s="120" t="n"/>
      <c r="L986" s="622">
        <f>I986*E986</f>
        <v/>
      </c>
      <c r="N986" s="625">
        <f>L986*$L$297</f>
        <v/>
      </c>
      <c r="O986" s="120" t="n"/>
      <c r="P986" s="120" t="n"/>
    </row>
    <row r="987" ht="15" customFormat="1" customHeight="1" s="323" thickBot="1">
      <c r="B987" s="120" t="inlineStr">
        <is>
          <t>80-110mm Stone</t>
        </is>
      </c>
      <c r="C987" s="120" t="n">
        <v>0</v>
      </c>
      <c r="D987" s="196" t="inlineStr">
        <is>
          <t>Ton</t>
        </is>
      </c>
      <c r="E987" s="612">
        <f>E998</f>
        <v/>
      </c>
      <c r="F987" s="612">
        <f>E987*C987</f>
        <v/>
      </c>
      <c r="G987" s="612" t="n"/>
      <c r="H987" s="613" t="n"/>
      <c r="I987" s="120" t="n">
        <v>0</v>
      </c>
      <c r="J987" s="120" t="n"/>
      <c r="L987" s="622">
        <f>I987*E987</f>
        <v/>
      </c>
      <c r="N987" s="625">
        <f>L987*$L$297</f>
        <v/>
      </c>
      <c r="O987" s="120" t="n"/>
      <c r="P987" s="120" t="n"/>
    </row>
    <row r="988" ht="15" customFormat="1" customHeight="1" s="323" thickBot="1">
      <c r="B988" s="120" t="inlineStr">
        <is>
          <t>Medium River / Bed Sand</t>
        </is>
      </c>
      <c r="C988" s="358" t="n">
        <v>0.225</v>
      </c>
      <c r="D988" s="359" t="inlineStr">
        <is>
          <t>Ton</t>
        </is>
      </c>
      <c r="E988" s="623">
        <f>E999</f>
        <v/>
      </c>
      <c r="F988" s="623">
        <f>E988*C988</f>
        <v/>
      </c>
      <c r="G988" s="612" t="n"/>
      <c r="H988" s="613" t="n"/>
      <c r="I988" s="361">
        <f>C988*(C955+C956)</f>
        <v/>
      </c>
      <c r="J988" s="345">
        <f>C957</f>
        <v/>
      </c>
      <c r="K988" s="362">
        <f>I988-(I988*J988)</f>
        <v/>
      </c>
      <c r="L988" s="622">
        <f>K988*E988</f>
        <v/>
      </c>
      <c r="M988" s="605">
        <f>(L988*M982)-L988</f>
        <v/>
      </c>
      <c r="N988" s="624">
        <f>L988*M982</f>
        <v/>
      </c>
      <c r="O988" s="120" t="n"/>
      <c r="P988" s="622">
        <f>N988*E959</f>
        <v/>
      </c>
      <c r="Q988" s="605">
        <f>N988*E960</f>
        <v/>
      </c>
    </row>
    <row r="989" ht="14.4" customFormat="1" customHeight="1" s="323">
      <c r="B989" s="120" t="inlineStr">
        <is>
          <t>Medium River / Bed Sand</t>
        </is>
      </c>
      <c r="C989" s="358" t="n">
        <v>0.14</v>
      </c>
      <c r="D989" s="196" t="inlineStr">
        <is>
          <t>m3</t>
        </is>
      </c>
      <c r="E989" s="612">
        <f>E999</f>
        <v/>
      </c>
      <c r="F989" s="612">
        <f>(E989*C989)*1.5</f>
        <v/>
      </c>
      <c r="G989" s="612" t="n"/>
      <c r="H989" s="613" t="n"/>
      <c r="I989" s="120" t="n"/>
      <c r="J989" s="120" t="n"/>
      <c r="L989" s="622" t="n"/>
      <c r="N989" s="364" t="n"/>
      <c r="O989" s="120" t="n"/>
      <c r="P989" s="120" t="n"/>
    </row>
    <row r="990" ht="14.4" customFormat="1" customHeight="1" s="323">
      <c r="B990" s="120" t="inlineStr">
        <is>
          <t>CBR15 Road Base</t>
        </is>
      </c>
      <c r="C990" s="358" t="n">
        <v>0.36</v>
      </c>
      <c r="D990" s="196" t="inlineStr">
        <is>
          <t>Ton</t>
        </is>
      </c>
      <c r="E990" s="612">
        <f>F1000</f>
        <v/>
      </c>
      <c r="F990" s="612">
        <f>E990*C990</f>
        <v/>
      </c>
      <c r="G990" s="612" t="n"/>
      <c r="H990" s="613" t="n"/>
      <c r="I990" s="120">
        <f>C954*C990</f>
        <v/>
      </c>
      <c r="J990" s="120" t="n"/>
      <c r="L990" s="622">
        <f>I990*E990</f>
        <v/>
      </c>
      <c r="N990" s="625">
        <f>L990*$L$297</f>
        <v/>
      </c>
      <c r="O990" s="120" t="n"/>
      <c r="P990" s="120" t="n"/>
    </row>
    <row r="991" ht="14.4" customFormat="1" customHeight="1" s="323">
      <c r="B991" s="120" t="inlineStr">
        <is>
          <t>CBR45</t>
        </is>
      </c>
      <c r="C991" s="358" t="n">
        <v>0.36</v>
      </c>
      <c r="D991" s="196" t="inlineStr">
        <is>
          <t>Ton</t>
        </is>
      </c>
      <c r="E991" s="612">
        <f>F1001</f>
        <v/>
      </c>
      <c r="F991" s="612">
        <f>E991*C991</f>
        <v/>
      </c>
      <c r="G991" s="612" t="n"/>
      <c r="H991" s="613" t="n"/>
      <c r="I991" s="120">
        <f>C991*C954</f>
        <v/>
      </c>
      <c r="J991" s="120" t="n"/>
      <c r="L991" s="622">
        <f>I991*E991</f>
        <v/>
      </c>
      <c r="N991" s="625">
        <f>L991*$L$297</f>
        <v/>
      </c>
      <c r="O991" s="120" t="n"/>
      <c r="P991" s="120" t="n"/>
    </row>
    <row r="992" ht="15" customFormat="1" customHeight="1" s="323" thickBot="1">
      <c r="B992" s="120" t="inlineStr">
        <is>
          <t>LEANMIX</t>
        </is>
      </c>
      <c r="C992" s="358" t="n">
        <v>0.3</v>
      </c>
      <c r="D992" s="196" t="inlineStr">
        <is>
          <t>m3</t>
        </is>
      </c>
      <c r="E992" s="612">
        <f>N1002</f>
        <v/>
      </c>
      <c r="F992" s="612">
        <f>E992*C992</f>
        <v/>
      </c>
      <c r="G992" s="612" t="n"/>
      <c r="H992" s="613" t="n"/>
      <c r="I992" s="120">
        <f>C992*C952</f>
        <v/>
      </c>
      <c r="J992" s="120" t="n"/>
      <c r="L992" s="622">
        <f>E992*I992</f>
        <v/>
      </c>
      <c r="N992" s="626">
        <f>L992*$L$297</f>
        <v/>
      </c>
      <c r="O992" s="120" t="n"/>
      <c r="P992" s="120" t="n"/>
    </row>
    <row r="993" ht="15" customFormat="1" customHeight="1" s="323" thickBot="1">
      <c r="B993" s="120" t="n"/>
      <c r="C993" s="120" t="n"/>
      <c r="D993" s="196" t="n"/>
      <c r="E993" s="627" t="n"/>
      <c r="F993" s="627" t="n"/>
      <c r="G993" s="612" t="n"/>
      <c r="H993" s="613" t="n"/>
      <c r="I993" s="120" t="n"/>
      <c r="J993" s="120" t="n"/>
      <c r="K993" s="120" t="n"/>
      <c r="L993" s="120" t="n"/>
      <c r="M993" s="120" t="n"/>
      <c r="N993" s="120" t="n"/>
      <c r="O993" s="120" t="n"/>
      <c r="P993" s="120" t="n"/>
    </row>
    <row r="994" ht="14.4" customFormat="1" customHeight="1" s="323">
      <c r="B994" s="123" t="n"/>
      <c r="C994" s="368" t="n"/>
      <c r="D994" s="369" t="n"/>
      <c r="E994" s="628" t="inlineStr">
        <is>
          <t>TCS</t>
        </is>
      </c>
      <c r="F994" s="629" t="inlineStr">
        <is>
          <t>Q2</t>
        </is>
      </c>
      <c r="G994" s="613" t="n"/>
      <c r="H994" s="612" t="n"/>
      <c r="I994" s="612" t="n"/>
      <c r="J994" s="612" t="n"/>
      <c r="K994" s="612" t="n"/>
      <c r="L994" s="612" t="n"/>
      <c r="M994" s="612" t="n"/>
      <c r="N994" s="612" t="n"/>
      <c r="O994" s="612" t="n"/>
    </row>
    <row r="995" ht="15" customFormat="1" customHeight="1" s="323" thickBot="1">
      <c r="B995" s="372" t="inlineStr">
        <is>
          <t>Description</t>
        </is>
      </c>
      <c r="C995" s="373" t="n"/>
      <c r="D995" s="374" t="inlineStr">
        <is>
          <t>Unit</t>
        </is>
      </c>
      <c r="E995" s="630" t="inlineStr">
        <is>
          <t>Rate</t>
        </is>
      </c>
      <c r="F995" s="630" t="inlineStr">
        <is>
          <t>Rate</t>
        </is>
      </c>
      <c r="G995" s="631" t="n"/>
      <c r="H995" s="612" t="n"/>
      <c r="I995" s="613" t="n"/>
      <c r="J995" s="612" t="n"/>
      <c r="K995" s="613" t="n"/>
      <c r="L995" s="612" t="n"/>
      <c r="M995" s="613" t="n"/>
      <c r="N995" s="612" t="n"/>
      <c r="O995" s="613" t="n"/>
    </row>
    <row r="996" ht="14.4" customFormat="1" customHeight="1" s="323">
      <c r="B996" s="120" t="inlineStr">
        <is>
          <t>5-7mm Stone</t>
        </is>
      </c>
      <c r="C996" s="196" t="n"/>
      <c r="D996" s="377" t="inlineStr">
        <is>
          <t>T</t>
        </is>
      </c>
      <c r="E996" s="632" t="n">
        <v>62</v>
      </c>
      <c r="F996" s="633" t="n">
        <v>31</v>
      </c>
      <c r="G996" s="613" t="n"/>
      <c r="H996" s="612" t="n"/>
      <c r="I996" s="613" t="n"/>
      <c r="J996" s="612" t="n"/>
      <c r="K996" s="613" t="n"/>
      <c r="L996" s="612" t="n"/>
      <c r="M996" s="613" t="n"/>
      <c r="N996" s="612" t="n"/>
      <c r="O996" s="613" t="n"/>
    </row>
    <row r="997" ht="14.4" customFormat="1" customHeight="1" s="323">
      <c r="B997" s="120" t="inlineStr">
        <is>
          <t>10-12mm Stone</t>
        </is>
      </c>
      <c r="C997" s="196" t="n"/>
      <c r="D997" s="377" t="inlineStr">
        <is>
          <t>T</t>
        </is>
      </c>
      <c r="E997" s="632" t="n">
        <v>62</v>
      </c>
      <c r="F997" s="634" t="n">
        <v>39</v>
      </c>
      <c r="G997" s="613" t="n"/>
      <c r="H997" s="612" t="n"/>
      <c r="I997" s="613" t="n"/>
      <c r="J997" s="612" t="n"/>
      <c r="K997" s="613" t="n"/>
      <c r="L997" s="612" t="n"/>
      <c r="M997" s="613" t="n"/>
      <c r="N997" s="612" t="n"/>
      <c r="O997" s="613" t="n"/>
    </row>
    <row r="998" ht="14.4" customFormat="1" customHeight="1" s="323">
      <c r="B998" s="120" t="inlineStr">
        <is>
          <t>80-110mm Stone</t>
        </is>
      </c>
      <c r="C998" s="196" t="n"/>
      <c r="D998" s="377" t="inlineStr">
        <is>
          <t>T</t>
        </is>
      </c>
      <c r="E998" s="635" t="n">
        <v>25</v>
      </c>
      <c r="F998" s="634" t="n">
        <v>29</v>
      </c>
      <c r="G998" s="613" t="n"/>
      <c r="H998" s="612" t="n"/>
      <c r="I998" s="613" t="n"/>
      <c r="J998" s="636" t="n"/>
      <c r="K998" s="613" t="n"/>
      <c r="L998" s="612" t="n"/>
      <c r="M998" s="613" t="n"/>
      <c r="N998" s="612" t="n"/>
      <c r="O998" s="613" t="n"/>
    </row>
    <row r="999" ht="14.4" customFormat="1" customHeight="1" s="323">
      <c r="B999" s="120" t="inlineStr">
        <is>
          <t>Medium River / Bed Sand</t>
        </is>
      </c>
      <c r="C999" s="196" t="n"/>
      <c r="D999" s="377" t="inlineStr">
        <is>
          <t>T</t>
        </is>
      </c>
      <c r="E999" s="632" t="n">
        <v>62</v>
      </c>
      <c r="F999" s="634" t="n">
        <v>26</v>
      </c>
      <c r="G999" s="613" t="n"/>
      <c r="H999" s="612" t="n"/>
      <c r="I999" s="613" t="n"/>
      <c r="J999" s="612" t="n"/>
      <c r="K999" s="347" t="n"/>
      <c r="L999" s="636" t="n"/>
      <c r="M999" s="613" t="n"/>
      <c r="N999" s="612" t="n"/>
      <c r="O999" s="613" t="n"/>
    </row>
    <row r="1000" ht="14.4" customFormat="1" customHeight="1" s="323">
      <c r="B1000" s="120" t="inlineStr">
        <is>
          <t>CBR15 Road Base</t>
        </is>
      </c>
      <c r="C1000" s="196" t="n"/>
      <c r="D1000" s="377" t="inlineStr">
        <is>
          <t>T</t>
        </is>
      </c>
      <c r="E1000" s="635" t="n">
        <v>48</v>
      </c>
      <c r="F1000" s="634" t="n">
        <v>27</v>
      </c>
      <c r="G1000" s="613" t="n"/>
      <c r="H1000" s="612" t="n"/>
      <c r="I1000" s="613" t="n"/>
      <c r="J1000" s="612" t="n"/>
      <c r="K1000" s="347" t="n"/>
      <c r="L1000" s="636" t="n"/>
      <c r="M1000" s="613" t="n"/>
      <c r="N1000" s="612" t="n"/>
      <c r="O1000" s="613" t="n"/>
    </row>
    <row r="1001" ht="14.4" customFormat="1" customHeight="1" s="323">
      <c r="B1001" s="120" t="inlineStr">
        <is>
          <t>CBR45</t>
        </is>
      </c>
      <c r="C1001" s="196" t="n"/>
      <c r="D1001" s="377" t="inlineStr">
        <is>
          <t>T</t>
        </is>
      </c>
      <c r="E1001" s="635" t="n">
        <v>50</v>
      </c>
      <c r="F1001" s="634" t="n">
        <v>30</v>
      </c>
      <c r="G1001" s="613" t="n"/>
      <c r="H1001" s="612" t="n"/>
      <c r="I1001" s="613" t="n"/>
      <c r="J1001" s="612" t="n"/>
      <c r="K1001" s="347" t="n"/>
      <c r="L1001" s="636" t="n"/>
      <c r="M1001" s="613" t="n"/>
      <c r="N1001" s="612" t="n"/>
      <c r="O1001" s="613" t="n"/>
    </row>
    <row r="1002" ht="14.4" customFormat="1" customHeight="1" s="323">
      <c r="B1002" s="120" t="inlineStr">
        <is>
          <t>LEANMIX_20mm-12:1</t>
        </is>
      </c>
      <c r="C1002" s="196" t="n"/>
      <c r="D1002" s="377" t="inlineStr">
        <is>
          <t>M3</t>
        </is>
      </c>
      <c r="E1002" s="637" t="n">
        <v>168</v>
      </c>
      <c r="F1002" s="634" t="n">
        <v>0</v>
      </c>
      <c r="G1002" s="613" t="n"/>
      <c r="H1002" s="612" t="n"/>
      <c r="I1002" s="613" t="n"/>
      <c r="J1002" s="612" t="n"/>
      <c r="K1002" s="613" t="n"/>
      <c r="L1002" s="612" t="n"/>
      <c r="M1002" s="613" t="n"/>
      <c r="N1002" s="612" t="n"/>
      <c r="O1002" s="613" t="n"/>
    </row>
    <row r="1003" ht="15" customFormat="1" customHeight="1" s="323" thickBot="1">
      <c r="B1003" s="120" t="inlineStr">
        <is>
          <t>Concrete_25/20/80</t>
        </is>
      </c>
      <c r="C1003" s="347" t="n"/>
      <c r="D1003" s="377" t="inlineStr">
        <is>
          <t>M3</t>
        </is>
      </c>
      <c r="E1003" s="638" t="n">
        <v>153</v>
      </c>
      <c r="F1003" s="638" t="n">
        <v>0</v>
      </c>
      <c r="G1003" s="613" t="n"/>
      <c r="H1003" s="612" t="n"/>
      <c r="I1003" s="613" t="n"/>
      <c r="J1003" s="612" t="n"/>
      <c r="K1003" s="347" t="n"/>
      <c r="L1003" s="636" t="n"/>
      <c r="M1003" s="613" t="n"/>
      <c r="N1003" s="612" t="n"/>
      <c r="O1003" s="613" t="n"/>
    </row>
  </sheetData>
  <mergeCells count="6">
    <mergeCell ref="C935:E937"/>
    <mergeCell ref="B9:G9"/>
    <mergeCell ref="A6:F6"/>
    <mergeCell ref="D14:E14"/>
    <mergeCell ref="C942:E944"/>
    <mergeCell ref="J14:P14"/>
  </mergeCells>
  <printOptions gridLines="1"/>
  <pageMargins left="0.46" right="0.42" top="0.37" bottom="0.4" header="0.39" footer="0.38"/>
  <pageSetup orientation="portrait" paperSize="8" scale="80" horizontalDpi="1200" verticalDpi="12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7"/>
    <outlinePr summaryBelow="1" summaryRight="1"/>
    <pageSetUpPr/>
  </sheetPr>
  <dimension ref="A1:R924"/>
  <sheetViews>
    <sheetView tabSelected="1" topLeftCell="A122" zoomScale="115" zoomScaleNormal="115" workbookViewId="0">
      <selection activeCell="F134" sqref="F134"/>
    </sheetView>
  </sheetViews>
  <sheetFormatPr baseColWidth="8" defaultColWidth="9.21875" defaultRowHeight="10.2"/>
  <cols>
    <col width="8.21875" customWidth="1" style="38" min="1" max="1"/>
    <col width="72.21875" customWidth="1" style="38" min="2" max="2"/>
    <col width="23.5546875" customWidth="1" style="40" min="3" max="3"/>
    <col width="10.44140625" customWidth="1" style="40" min="4" max="4"/>
    <col width="17.21875" customWidth="1" style="583" min="5" max="5"/>
    <col width="14.21875" customWidth="1" style="583" min="6" max="6"/>
    <col width="9.21875" customWidth="1" style="38" min="7" max="237"/>
    <col width="8.21875" customWidth="1" style="38" min="238" max="238"/>
    <col width="70.44140625" bestFit="1" customWidth="1" style="38" min="239" max="239"/>
    <col width="11.44140625" customWidth="1" style="38" min="240" max="240"/>
    <col width="10.44140625" customWidth="1" style="38" min="241" max="241"/>
    <col width="13.21875" customWidth="1" style="38" min="242" max="242"/>
    <col width="14.21875" customWidth="1" style="38" min="243" max="243"/>
    <col width="12.21875" customWidth="1" style="38" min="244" max="244"/>
    <col width="9.21875" customWidth="1" style="38" min="245" max="493"/>
    <col width="8.21875" customWidth="1" style="38" min="494" max="494"/>
    <col width="70.44140625" bestFit="1" customWidth="1" style="38" min="495" max="495"/>
    <col width="11.44140625" customWidth="1" style="38" min="496" max="496"/>
    <col width="10.44140625" customWidth="1" style="38" min="497" max="497"/>
    <col width="13.21875" customWidth="1" style="38" min="498" max="498"/>
    <col width="14.21875" customWidth="1" style="38" min="499" max="499"/>
    <col width="12.21875" customWidth="1" style="38" min="500" max="500"/>
    <col width="9.21875" customWidth="1" style="38" min="501" max="749"/>
    <col width="8.21875" customWidth="1" style="38" min="750" max="750"/>
    <col width="70.44140625" bestFit="1" customWidth="1" style="38" min="751" max="751"/>
    <col width="11.44140625" customWidth="1" style="38" min="752" max="752"/>
    <col width="10.44140625" customWidth="1" style="38" min="753" max="753"/>
    <col width="13.21875" customWidth="1" style="38" min="754" max="754"/>
    <col width="14.21875" customWidth="1" style="38" min="755" max="755"/>
    <col width="12.21875" customWidth="1" style="38" min="756" max="756"/>
    <col width="9.21875" customWidth="1" style="38" min="757" max="1005"/>
    <col width="8.21875" customWidth="1" style="38" min="1006" max="1006"/>
    <col width="70.44140625" bestFit="1" customWidth="1" style="38" min="1007" max="1007"/>
    <col width="11.44140625" customWidth="1" style="38" min="1008" max="1008"/>
    <col width="10.44140625" customWidth="1" style="38" min="1009" max="1009"/>
    <col width="13.21875" customWidth="1" style="38" min="1010" max="1010"/>
    <col width="14.21875" customWidth="1" style="38" min="1011" max="1011"/>
    <col width="12.21875" customWidth="1" style="38" min="1012" max="1012"/>
    <col width="9.21875" customWidth="1" style="38" min="1013" max="1261"/>
    <col width="8.21875" customWidth="1" style="38" min="1262" max="1262"/>
    <col width="70.44140625" bestFit="1" customWidth="1" style="38" min="1263" max="1263"/>
    <col width="11.44140625" customWidth="1" style="38" min="1264" max="1264"/>
    <col width="10.44140625" customWidth="1" style="38" min="1265" max="1265"/>
    <col width="13.21875" customWidth="1" style="38" min="1266" max="1266"/>
    <col width="14.21875" customWidth="1" style="38" min="1267" max="1267"/>
    <col width="12.21875" customWidth="1" style="38" min="1268" max="1268"/>
    <col width="9.21875" customWidth="1" style="38" min="1269" max="1517"/>
    <col width="8.21875" customWidth="1" style="38" min="1518" max="1518"/>
    <col width="70.44140625" bestFit="1" customWidth="1" style="38" min="1519" max="1519"/>
    <col width="11.44140625" customWidth="1" style="38" min="1520" max="1520"/>
    <col width="10.44140625" customWidth="1" style="38" min="1521" max="1521"/>
    <col width="13.21875" customWidth="1" style="38" min="1522" max="1522"/>
    <col width="14.21875" customWidth="1" style="38" min="1523" max="1523"/>
    <col width="12.21875" customWidth="1" style="38" min="1524" max="1524"/>
    <col width="9.21875" customWidth="1" style="38" min="1525" max="1773"/>
    <col width="8.21875" customWidth="1" style="38" min="1774" max="1774"/>
    <col width="70.44140625" bestFit="1" customWidth="1" style="38" min="1775" max="1775"/>
    <col width="11.44140625" customWidth="1" style="38" min="1776" max="1776"/>
    <col width="10.44140625" customWidth="1" style="38" min="1777" max="1777"/>
    <col width="13.21875" customWidth="1" style="38" min="1778" max="1778"/>
    <col width="14.21875" customWidth="1" style="38" min="1779" max="1779"/>
    <col width="12.21875" customWidth="1" style="38" min="1780" max="1780"/>
    <col width="9.21875" customWidth="1" style="38" min="1781" max="2029"/>
    <col width="8.21875" customWidth="1" style="38" min="2030" max="2030"/>
    <col width="70.44140625" bestFit="1" customWidth="1" style="38" min="2031" max="2031"/>
    <col width="11.44140625" customWidth="1" style="38" min="2032" max="2032"/>
    <col width="10.44140625" customWidth="1" style="38" min="2033" max="2033"/>
    <col width="13.21875" customWidth="1" style="38" min="2034" max="2034"/>
    <col width="14.21875" customWidth="1" style="38" min="2035" max="2035"/>
    <col width="12.21875" customWidth="1" style="38" min="2036" max="2036"/>
    <col width="9.21875" customWidth="1" style="38" min="2037" max="2285"/>
    <col width="8.21875" customWidth="1" style="38" min="2286" max="2286"/>
    <col width="70.44140625" bestFit="1" customWidth="1" style="38" min="2287" max="2287"/>
    <col width="11.44140625" customWidth="1" style="38" min="2288" max="2288"/>
    <col width="10.44140625" customWidth="1" style="38" min="2289" max="2289"/>
    <col width="13.21875" customWidth="1" style="38" min="2290" max="2290"/>
    <col width="14.21875" customWidth="1" style="38" min="2291" max="2291"/>
    <col width="12.21875" customWidth="1" style="38" min="2292" max="2292"/>
    <col width="9.21875" customWidth="1" style="38" min="2293" max="2541"/>
    <col width="8.21875" customWidth="1" style="38" min="2542" max="2542"/>
    <col width="70.44140625" bestFit="1" customWidth="1" style="38" min="2543" max="2543"/>
    <col width="11.44140625" customWidth="1" style="38" min="2544" max="2544"/>
    <col width="10.44140625" customWidth="1" style="38" min="2545" max="2545"/>
    <col width="13.21875" customWidth="1" style="38" min="2546" max="2546"/>
    <col width="14.21875" customWidth="1" style="38" min="2547" max="2547"/>
    <col width="12.21875" customWidth="1" style="38" min="2548" max="2548"/>
    <col width="9.21875" customWidth="1" style="38" min="2549" max="2797"/>
    <col width="8.21875" customWidth="1" style="38" min="2798" max="2798"/>
    <col width="70.44140625" bestFit="1" customWidth="1" style="38" min="2799" max="2799"/>
    <col width="11.44140625" customWidth="1" style="38" min="2800" max="2800"/>
    <col width="10.44140625" customWidth="1" style="38" min="2801" max="2801"/>
    <col width="13.21875" customWidth="1" style="38" min="2802" max="2802"/>
    <col width="14.21875" customWidth="1" style="38" min="2803" max="2803"/>
    <col width="12.21875" customWidth="1" style="38" min="2804" max="2804"/>
    <col width="9.21875" customWidth="1" style="38" min="2805" max="3053"/>
    <col width="8.21875" customWidth="1" style="38" min="3054" max="3054"/>
    <col width="70.44140625" bestFit="1" customWidth="1" style="38" min="3055" max="3055"/>
    <col width="11.44140625" customWidth="1" style="38" min="3056" max="3056"/>
    <col width="10.44140625" customWidth="1" style="38" min="3057" max="3057"/>
    <col width="13.21875" customWidth="1" style="38" min="3058" max="3058"/>
    <col width="14.21875" customWidth="1" style="38" min="3059" max="3059"/>
    <col width="12.21875" customWidth="1" style="38" min="3060" max="3060"/>
    <col width="9.21875" customWidth="1" style="38" min="3061" max="3309"/>
    <col width="8.21875" customWidth="1" style="38" min="3310" max="3310"/>
    <col width="70.44140625" bestFit="1" customWidth="1" style="38" min="3311" max="3311"/>
    <col width="11.44140625" customWidth="1" style="38" min="3312" max="3312"/>
    <col width="10.44140625" customWidth="1" style="38" min="3313" max="3313"/>
    <col width="13.21875" customWidth="1" style="38" min="3314" max="3314"/>
    <col width="14.21875" customWidth="1" style="38" min="3315" max="3315"/>
    <col width="12.21875" customWidth="1" style="38" min="3316" max="3316"/>
    <col width="9.21875" customWidth="1" style="38" min="3317" max="3565"/>
    <col width="8.21875" customWidth="1" style="38" min="3566" max="3566"/>
    <col width="70.44140625" bestFit="1" customWidth="1" style="38" min="3567" max="3567"/>
    <col width="11.44140625" customWidth="1" style="38" min="3568" max="3568"/>
    <col width="10.44140625" customWidth="1" style="38" min="3569" max="3569"/>
    <col width="13.21875" customWidth="1" style="38" min="3570" max="3570"/>
    <col width="14.21875" customWidth="1" style="38" min="3571" max="3571"/>
    <col width="12.21875" customWidth="1" style="38" min="3572" max="3572"/>
    <col width="9.21875" customWidth="1" style="38" min="3573" max="3821"/>
    <col width="8.21875" customWidth="1" style="38" min="3822" max="3822"/>
    <col width="70.44140625" bestFit="1" customWidth="1" style="38" min="3823" max="3823"/>
    <col width="11.44140625" customWidth="1" style="38" min="3824" max="3824"/>
    <col width="10.44140625" customWidth="1" style="38" min="3825" max="3825"/>
    <col width="13.21875" customWidth="1" style="38" min="3826" max="3826"/>
    <col width="14.21875" customWidth="1" style="38" min="3827" max="3827"/>
    <col width="12.21875" customWidth="1" style="38" min="3828" max="3828"/>
    <col width="9.21875" customWidth="1" style="38" min="3829" max="4077"/>
    <col width="8.21875" customWidth="1" style="38" min="4078" max="4078"/>
    <col width="70.44140625" bestFit="1" customWidth="1" style="38" min="4079" max="4079"/>
    <col width="11.44140625" customWidth="1" style="38" min="4080" max="4080"/>
    <col width="10.44140625" customWidth="1" style="38" min="4081" max="4081"/>
    <col width="13.21875" customWidth="1" style="38" min="4082" max="4082"/>
    <col width="14.21875" customWidth="1" style="38" min="4083" max="4083"/>
    <col width="12.21875" customWidth="1" style="38" min="4084" max="4084"/>
    <col width="9.21875" customWidth="1" style="38" min="4085" max="4333"/>
    <col width="8.21875" customWidth="1" style="38" min="4334" max="4334"/>
    <col width="70.44140625" bestFit="1" customWidth="1" style="38" min="4335" max="4335"/>
    <col width="11.44140625" customWidth="1" style="38" min="4336" max="4336"/>
    <col width="10.44140625" customWidth="1" style="38" min="4337" max="4337"/>
    <col width="13.21875" customWidth="1" style="38" min="4338" max="4338"/>
    <col width="14.21875" customWidth="1" style="38" min="4339" max="4339"/>
    <col width="12.21875" customWidth="1" style="38" min="4340" max="4340"/>
    <col width="9.21875" customWidth="1" style="38" min="4341" max="4589"/>
    <col width="8.21875" customWidth="1" style="38" min="4590" max="4590"/>
    <col width="70.44140625" bestFit="1" customWidth="1" style="38" min="4591" max="4591"/>
    <col width="11.44140625" customWidth="1" style="38" min="4592" max="4592"/>
    <col width="10.44140625" customWidth="1" style="38" min="4593" max="4593"/>
    <col width="13.21875" customWidth="1" style="38" min="4594" max="4594"/>
    <col width="14.21875" customWidth="1" style="38" min="4595" max="4595"/>
    <col width="12.21875" customWidth="1" style="38" min="4596" max="4596"/>
    <col width="9.21875" customWidth="1" style="38" min="4597" max="4845"/>
    <col width="8.21875" customWidth="1" style="38" min="4846" max="4846"/>
    <col width="70.44140625" bestFit="1" customWidth="1" style="38" min="4847" max="4847"/>
    <col width="11.44140625" customWidth="1" style="38" min="4848" max="4848"/>
    <col width="10.44140625" customWidth="1" style="38" min="4849" max="4849"/>
    <col width="13.21875" customWidth="1" style="38" min="4850" max="4850"/>
    <col width="14.21875" customWidth="1" style="38" min="4851" max="4851"/>
    <col width="12.21875" customWidth="1" style="38" min="4852" max="4852"/>
    <col width="9.21875" customWidth="1" style="38" min="4853" max="5101"/>
    <col width="8.21875" customWidth="1" style="38" min="5102" max="5102"/>
    <col width="70.44140625" bestFit="1" customWidth="1" style="38" min="5103" max="5103"/>
    <col width="11.44140625" customWidth="1" style="38" min="5104" max="5104"/>
    <col width="10.44140625" customWidth="1" style="38" min="5105" max="5105"/>
    <col width="13.21875" customWidth="1" style="38" min="5106" max="5106"/>
    <col width="14.21875" customWidth="1" style="38" min="5107" max="5107"/>
    <col width="12.21875" customWidth="1" style="38" min="5108" max="5108"/>
    <col width="9.21875" customWidth="1" style="38" min="5109" max="5357"/>
    <col width="8.21875" customWidth="1" style="38" min="5358" max="5358"/>
    <col width="70.44140625" bestFit="1" customWidth="1" style="38" min="5359" max="5359"/>
    <col width="11.44140625" customWidth="1" style="38" min="5360" max="5360"/>
    <col width="10.44140625" customWidth="1" style="38" min="5361" max="5361"/>
    <col width="13.21875" customWidth="1" style="38" min="5362" max="5362"/>
    <col width="14.21875" customWidth="1" style="38" min="5363" max="5363"/>
    <col width="12.21875" customWidth="1" style="38" min="5364" max="5364"/>
    <col width="9.21875" customWidth="1" style="38" min="5365" max="5613"/>
    <col width="8.21875" customWidth="1" style="38" min="5614" max="5614"/>
    <col width="70.44140625" bestFit="1" customWidth="1" style="38" min="5615" max="5615"/>
    <col width="11.44140625" customWidth="1" style="38" min="5616" max="5616"/>
    <col width="10.44140625" customWidth="1" style="38" min="5617" max="5617"/>
    <col width="13.21875" customWidth="1" style="38" min="5618" max="5618"/>
    <col width="14.21875" customWidth="1" style="38" min="5619" max="5619"/>
    <col width="12.21875" customWidth="1" style="38" min="5620" max="5620"/>
    <col width="9.21875" customWidth="1" style="38" min="5621" max="5869"/>
    <col width="8.21875" customWidth="1" style="38" min="5870" max="5870"/>
    <col width="70.44140625" bestFit="1" customWidth="1" style="38" min="5871" max="5871"/>
    <col width="11.44140625" customWidth="1" style="38" min="5872" max="5872"/>
    <col width="10.44140625" customWidth="1" style="38" min="5873" max="5873"/>
    <col width="13.21875" customWidth="1" style="38" min="5874" max="5874"/>
    <col width="14.21875" customWidth="1" style="38" min="5875" max="5875"/>
    <col width="12.21875" customWidth="1" style="38" min="5876" max="5876"/>
    <col width="9.21875" customWidth="1" style="38" min="5877" max="6125"/>
    <col width="8.21875" customWidth="1" style="38" min="6126" max="6126"/>
    <col width="70.44140625" bestFit="1" customWidth="1" style="38" min="6127" max="6127"/>
    <col width="11.44140625" customWidth="1" style="38" min="6128" max="6128"/>
    <col width="10.44140625" customWidth="1" style="38" min="6129" max="6129"/>
    <col width="13.21875" customWidth="1" style="38" min="6130" max="6130"/>
    <col width="14.21875" customWidth="1" style="38" min="6131" max="6131"/>
    <col width="12.21875" customWidth="1" style="38" min="6132" max="6132"/>
    <col width="9.21875" customWidth="1" style="38" min="6133" max="6381"/>
    <col width="8.21875" customWidth="1" style="38" min="6382" max="6382"/>
    <col width="70.44140625" bestFit="1" customWidth="1" style="38" min="6383" max="6383"/>
    <col width="11.44140625" customWidth="1" style="38" min="6384" max="6384"/>
    <col width="10.44140625" customWidth="1" style="38" min="6385" max="6385"/>
    <col width="13.21875" customWidth="1" style="38" min="6386" max="6386"/>
    <col width="14.21875" customWidth="1" style="38" min="6387" max="6387"/>
    <col width="12.21875" customWidth="1" style="38" min="6388" max="6388"/>
    <col width="9.21875" customWidth="1" style="38" min="6389" max="6637"/>
    <col width="8.21875" customWidth="1" style="38" min="6638" max="6638"/>
    <col width="70.44140625" bestFit="1" customWidth="1" style="38" min="6639" max="6639"/>
    <col width="11.44140625" customWidth="1" style="38" min="6640" max="6640"/>
    <col width="10.44140625" customWidth="1" style="38" min="6641" max="6641"/>
    <col width="13.21875" customWidth="1" style="38" min="6642" max="6642"/>
    <col width="14.21875" customWidth="1" style="38" min="6643" max="6643"/>
    <col width="12.21875" customWidth="1" style="38" min="6644" max="6644"/>
    <col width="9.21875" customWidth="1" style="38" min="6645" max="6893"/>
    <col width="8.21875" customWidth="1" style="38" min="6894" max="6894"/>
    <col width="70.44140625" bestFit="1" customWidth="1" style="38" min="6895" max="6895"/>
    <col width="11.44140625" customWidth="1" style="38" min="6896" max="6896"/>
    <col width="10.44140625" customWidth="1" style="38" min="6897" max="6897"/>
    <col width="13.21875" customWidth="1" style="38" min="6898" max="6898"/>
    <col width="14.21875" customWidth="1" style="38" min="6899" max="6899"/>
    <col width="12.21875" customWidth="1" style="38" min="6900" max="6900"/>
    <col width="9.21875" customWidth="1" style="38" min="6901" max="7149"/>
    <col width="8.21875" customWidth="1" style="38" min="7150" max="7150"/>
    <col width="70.44140625" bestFit="1" customWidth="1" style="38" min="7151" max="7151"/>
    <col width="11.44140625" customWidth="1" style="38" min="7152" max="7152"/>
    <col width="10.44140625" customWidth="1" style="38" min="7153" max="7153"/>
    <col width="13.21875" customWidth="1" style="38" min="7154" max="7154"/>
    <col width="14.21875" customWidth="1" style="38" min="7155" max="7155"/>
    <col width="12.21875" customWidth="1" style="38" min="7156" max="7156"/>
    <col width="9.21875" customWidth="1" style="38" min="7157" max="7405"/>
    <col width="8.21875" customWidth="1" style="38" min="7406" max="7406"/>
    <col width="70.44140625" bestFit="1" customWidth="1" style="38" min="7407" max="7407"/>
    <col width="11.44140625" customWidth="1" style="38" min="7408" max="7408"/>
    <col width="10.44140625" customWidth="1" style="38" min="7409" max="7409"/>
    <col width="13.21875" customWidth="1" style="38" min="7410" max="7410"/>
    <col width="14.21875" customWidth="1" style="38" min="7411" max="7411"/>
    <col width="12.21875" customWidth="1" style="38" min="7412" max="7412"/>
    <col width="9.21875" customWidth="1" style="38" min="7413" max="7661"/>
    <col width="8.21875" customWidth="1" style="38" min="7662" max="7662"/>
    <col width="70.44140625" bestFit="1" customWidth="1" style="38" min="7663" max="7663"/>
    <col width="11.44140625" customWidth="1" style="38" min="7664" max="7664"/>
    <col width="10.44140625" customWidth="1" style="38" min="7665" max="7665"/>
    <col width="13.21875" customWidth="1" style="38" min="7666" max="7666"/>
    <col width="14.21875" customWidth="1" style="38" min="7667" max="7667"/>
    <col width="12.21875" customWidth="1" style="38" min="7668" max="7668"/>
    <col width="9.21875" customWidth="1" style="38" min="7669" max="7917"/>
    <col width="8.21875" customWidth="1" style="38" min="7918" max="7918"/>
    <col width="70.44140625" bestFit="1" customWidth="1" style="38" min="7919" max="7919"/>
    <col width="11.44140625" customWidth="1" style="38" min="7920" max="7920"/>
    <col width="10.44140625" customWidth="1" style="38" min="7921" max="7921"/>
    <col width="13.21875" customWidth="1" style="38" min="7922" max="7922"/>
    <col width="14.21875" customWidth="1" style="38" min="7923" max="7923"/>
    <col width="12.21875" customWidth="1" style="38" min="7924" max="7924"/>
    <col width="9.21875" customWidth="1" style="38" min="7925" max="8173"/>
    <col width="8.21875" customWidth="1" style="38" min="8174" max="8174"/>
    <col width="70.44140625" bestFit="1" customWidth="1" style="38" min="8175" max="8175"/>
    <col width="11.44140625" customWidth="1" style="38" min="8176" max="8176"/>
    <col width="10.44140625" customWidth="1" style="38" min="8177" max="8177"/>
    <col width="13.21875" customWidth="1" style="38" min="8178" max="8178"/>
    <col width="14.21875" customWidth="1" style="38" min="8179" max="8179"/>
    <col width="12.21875" customWidth="1" style="38" min="8180" max="8180"/>
    <col width="9.21875" customWidth="1" style="38" min="8181" max="8429"/>
    <col width="8.21875" customWidth="1" style="38" min="8430" max="8430"/>
    <col width="70.44140625" bestFit="1" customWidth="1" style="38" min="8431" max="8431"/>
    <col width="11.44140625" customWidth="1" style="38" min="8432" max="8432"/>
    <col width="10.44140625" customWidth="1" style="38" min="8433" max="8433"/>
    <col width="13.21875" customWidth="1" style="38" min="8434" max="8434"/>
    <col width="14.21875" customWidth="1" style="38" min="8435" max="8435"/>
    <col width="12.21875" customWidth="1" style="38" min="8436" max="8436"/>
    <col width="9.21875" customWidth="1" style="38" min="8437" max="8685"/>
    <col width="8.21875" customWidth="1" style="38" min="8686" max="8686"/>
    <col width="70.44140625" bestFit="1" customWidth="1" style="38" min="8687" max="8687"/>
    <col width="11.44140625" customWidth="1" style="38" min="8688" max="8688"/>
    <col width="10.44140625" customWidth="1" style="38" min="8689" max="8689"/>
    <col width="13.21875" customWidth="1" style="38" min="8690" max="8690"/>
    <col width="14.21875" customWidth="1" style="38" min="8691" max="8691"/>
    <col width="12.21875" customWidth="1" style="38" min="8692" max="8692"/>
    <col width="9.21875" customWidth="1" style="38" min="8693" max="8941"/>
    <col width="8.21875" customWidth="1" style="38" min="8942" max="8942"/>
    <col width="70.44140625" bestFit="1" customWidth="1" style="38" min="8943" max="8943"/>
    <col width="11.44140625" customWidth="1" style="38" min="8944" max="8944"/>
    <col width="10.44140625" customWidth="1" style="38" min="8945" max="8945"/>
    <col width="13.21875" customWidth="1" style="38" min="8946" max="8946"/>
    <col width="14.21875" customWidth="1" style="38" min="8947" max="8947"/>
    <col width="12.21875" customWidth="1" style="38" min="8948" max="8948"/>
    <col width="9.21875" customWidth="1" style="38" min="8949" max="9197"/>
    <col width="8.21875" customWidth="1" style="38" min="9198" max="9198"/>
    <col width="70.44140625" bestFit="1" customWidth="1" style="38" min="9199" max="9199"/>
    <col width="11.44140625" customWidth="1" style="38" min="9200" max="9200"/>
    <col width="10.44140625" customWidth="1" style="38" min="9201" max="9201"/>
    <col width="13.21875" customWidth="1" style="38" min="9202" max="9202"/>
    <col width="14.21875" customWidth="1" style="38" min="9203" max="9203"/>
    <col width="12.21875" customWidth="1" style="38" min="9204" max="9204"/>
    <col width="9.21875" customWidth="1" style="38" min="9205" max="9453"/>
    <col width="8.21875" customWidth="1" style="38" min="9454" max="9454"/>
    <col width="70.44140625" bestFit="1" customWidth="1" style="38" min="9455" max="9455"/>
    <col width="11.44140625" customWidth="1" style="38" min="9456" max="9456"/>
    <col width="10.44140625" customWidth="1" style="38" min="9457" max="9457"/>
    <col width="13.21875" customWidth="1" style="38" min="9458" max="9458"/>
    <col width="14.21875" customWidth="1" style="38" min="9459" max="9459"/>
    <col width="12.21875" customWidth="1" style="38" min="9460" max="9460"/>
    <col width="9.21875" customWidth="1" style="38" min="9461" max="9709"/>
    <col width="8.21875" customWidth="1" style="38" min="9710" max="9710"/>
    <col width="70.44140625" bestFit="1" customWidth="1" style="38" min="9711" max="9711"/>
    <col width="11.44140625" customWidth="1" style="38" min="9712" max="9712"/>
    <col width="10.44140625" customWidth="1" style="38" min="9713" max="9713"/>
    <col width="13.21875" customWidth="1" style="38" min="9714" max="9714"/>
    <col width="14.21875" customWidth="1" style="38" min="9715" max="9715"/>
    <col width="12.21875" customWidth="1" style="38" min="9716" max="9716"/>
    <col width="9.21875" customWidth="1" style="38" min="9717" max="9965"/>
    <col width="8.21875" customWidth="1" style="38" min="9966" max="9966"/>
    <col width="70.44140625" bestFit="1" customWidth="1" style="38" min="9967" max="9967"/>
    <col width="11.44140625" customWidth="1" style="38" min="9968" max="9968"/>
    <col width="10.44140625" customWidth="1" style="38" min="9969" max="9969"/>
    <col width="13.21875" customWidth="1" style="38" min="9970" max="9970"/>
    <col width="14.21875" customWidth="1" style="38" min="9971" max="9971"/>
    <col width="12.21875" customWidth="1" style="38" min="9972" max="9972"/>
    <col width="9.21875" customWidth="1" style="38" min="9973" max="10221"/>
    <col width="8.21875" customWidth="1" style="38" min="10222" max="10222"/>
    <col width="70.44140625" bestFit="1" customWidth="1" style="38" min="10223" max="10223"/>
    <col width="11.44140625" customWidth="1" style="38" min="10224" max="10224"/>
    <col width="10.44140625" customWidth="1" style="38" min="10225" max="10225"/>
    <col width="13.21875" customWidth="1" style="38" min="10226" max="10226"/>
    <col width="14.21875" customWidth="1" style="38" min="10227" max="10227"/>
    <col width="12.21875" customWidth="1" style="38" min="10228" max="10228"/>
    <col width="9.21875" customWidth="1" style="38" min="10229" max="10477"/>
    <col width="8.21875" customWidth="1" style="38" min="10478" max="10478"/>
    <col width="70.44140625" bestFit="1" customWidth="1" style="38" min="10479" max="10479"/>
    <col width="11.44140625" customWidth="1" style="38" min="10480" max="10480"/>
    <col width="10.44140625" customWidth="1" style="38" min="10481" max="10481"/>
    <col width="13.21875" customWidth="1" style="38" min="10482" max="10482"/>
    <col width="14.21875" customWidth="1" style="38" min="10483" max="10483"/>
    <col width="12.21875" customWidth="1" style="38" min="10484" max="10484"/>
    <col width="9.21875" customWidth="1" style="38" min="10485" max="10733"/>
    <col width="8.21875" customWidth="1" style="38" min="10734" max="10734"/>
    <col width="70.44140625" bestFit="1" customWidth="1" style="38" min="10735" max="10735"/>
    <col width="11.44140625" customWidth="1" style="38" min="10736" max="10736"/>
    <col width="10.44140625" customWidth="1" style="38" min="10737" max="10737"/>
    <col width="13.21875" customWidth="1" style="38" min="10738" max="10738"/>
    <col width="14.21875" customWidth="1" style="38" min="10739" max="10739"/>
    <col width="12.21875" customWidth="1" style="38" min="10740" max="10740"/>
    <col width="9.21875" customWidth="1" style="38" min="10741" max="10989"/>
    <col width="8.21875" customWidth="1" style="38" min="10990" max="10990"/>
    <col width="70.44140625" bestFit="1" customWidth="1" style="38" min="10991" max="10991"/>
    <col width="11.44140625" customWidth="1" style="38" min="10992" max="10992"/>
    <col width="10.44140625" customWidth="1" style="38" min="10993" max="10993"/>
    <col width="13.21875" customWidth="1" style="38" min="10994" max="10994"/>
    <col width="14.21875" customWidth="1" style="38" min="10995" max="10995"/>
    <col width="12.21875" customWidth="1" style="38" min="10996" max="10996"/>
    <col width="9.21875" customWidth="1" style="38" min="10997" max="11245"/>
    <col width="8.21875" customWidth="1" style="38" min="11246" max="11246"/>
    <col width="70.44140625" bestFit="1" customWidth="1" style="38" min="11247" max="11247"/>
    <col width="11.44140625" customWidth="1" style="38" min="11248" max="11248"/>
    <col width="10.44140625" customWidth="1" style="38" min="11249" max="11249"/>
    <col width="13.21875" customWidth="1" style="38" min="11250" max="11250"/>
    <col width="14.21875" customWidth="1" style="38" min="11251" max="11251"/>
    <col width="12.21875" customWidth="1" style="38" min="11252" max="11252"/>
    <col width="9.21875" customWidth="1" style="38" min="11253" max="11501"/>
    <col width="8.21875" customWidth="1" style="38" min="11502" max="11502"/>
    <col width="70.44140625" bestFit="1" customWidth="1" style="38" min="11503" max="11503"/>
    <col width="11.44140625" customWidth="1" style="38" min="11504" max="11504"/>
    <col width="10.44140625" customWidth="1" style="38" min="11505" max="11505"/>
    <col width="13.21875" customWidth="1" style="38" min="11506" max="11506"/>
    <col width="14.21875" customWidth="1" style="38" min="11507" max="11507"/>
    <col width="12.21875" customWidth="1" style="38" min="11508" max="11508"/>
    <col width="9.21875" customWidth="1" style="38" min="11509" max="11757"/>
    <col width="8.21875" customWidth="1" style="38" min="11758" max="11758"/>
    <col width="70.44140625" bestFit="1" customWidth="1" style="38" min="11759" max="11759"/>
    <col width="11.44140625" customWidth="1" style="38" min="11760" max="11760"/>
    <col width="10.44140625" customWidth="1" style="38" min="11761" max="11761"/>
    <col width="13.21875" customWidth="1" style="38" min="11762" max="11762"/>
    <col width="14.21875" customWidth="1" style="38" min="11763" max="11763"/>
    <col width="12.21875" customWidth="1" style="38" min="11764" max="11764"/>
    <col width="9.21875" customWidth="1" style="38" min="11765" max="12013"/>
    <col width="8.21875" customWidth="1" style="38" min="12014" max="12014"/>
    <col width="70.44140625" bestFit="1" customWidth="1" style="38" min="12015" max="12015"/>
    <col width="11.44140625" customWidth="1" style="38" min="12016" max="12016"/>
    <col width="10.44140625" customWidth="1" style="38" min="12017" max="12017"/>
    <col width="13.21875" customWidth="1" style="38" min="12018" max="12018"/>
    <col width="14.21875" customWidth="1" style="38" min="12019" max="12019"/>
    <col width="12.21875" customWidth="1" style="38" min="12020" max="12020"/>
    <col width="9.21875" customWidth="1" style="38" min="12021" max="12269"/>
    <col width="8.21875" customWidth="1" style="38" min="12270" max="12270"/>
    <col width="70.44140625" bestFit="1" customWidth="1" style="38" min="12271" max="12271"/>
    <col width="11.44140625" customWidth="1" style="38" min="12272" max="12272"/>
    <col width="10.44140625" customWidth="1" style="38" min="12273" max="12273"/>
    <col width="13.21875" customWidth="1" style="38" min="12274" max="12274"/>
    <col width="14.21875" customWidth="1" style="38" min="12275" max="12275"/>
    <col width="12.21875" customWidth="1" style="38" min="12276" max="12276"/>
    <col width="9.21875" customWidth="1" style="38" min="12277" max="12525"/>
    <col width="8.21875" customWidth="1" style="38" min="12526" max="12526"/>
    <col width="70.44140625" bestFit="1" customWidth="1" style="38" min="12527" max="12527"/>
    <col width="11.44140625" customWidth="1" style="38" min="12528" max="12528"/>
    <col width="10.44140625" customWidth="1" style="38" min="12529" max="12529"/>
    <col width="13.21875" customWidth="1" style="38" min="12530" max="12530"/>
    <col width="14.21875" customWidth="1" style="38" min="12531" max="12531"/>
    <col width="12.21875" customWidth="1" style="38" min="12532" max="12532"/>
    <col width="9.21875" customWidth="1" style="38" min="12533" max="12781"/>
    <col width="8.21875" customWidth="1" style="38" min="12782" max="12782"/>
    <col width="70.44140625" bestFit="1" customWidth="1" style="38" min="12783" max="12783"/>
    <col width="11.44140625" customWidth="1" style="38" min="12784" max="12784"/>
    <col width="10.44140625" customWidth="1" style="38" min="12785" max="12785"/>
    <col width="13.21875" customWidth="1" style="38" min="12786" max="12786"/>
    <col width="14.21875" customWidth="1" style="38" min="12787" max="12787"/>
    <col width="12.21875" customWidth="1" style="38" min="12788" max="12788"/>
    <col width="9.21875" customWidth="1" style="38" min="12789" max="13037"/>
    <col width="8.21875" customWidth="1" style="38" min="13038" max="13038"/>
    <col width="70.44140625" bestFit="1" customWidth="1" style="38" min="13039" max="13039"/>
    <col width="11.44140625" customWidth="1" style="38" min="13040" max="13040"/>
    <col width="10.44140625" customWidth="1" style="38" min="13041" max="13041"/>
    <col width="13.21875" customWidth="1" style="38" min="13042" max="13042"/>
    <col width="14.21875" customWidth="1" style="38" min="13043" max="13043"/>
    <col width="12.21875" customWidth="1" style="38" min="13044" max="13044"/>
    <col width="9.21875" customWidth="1" style="38" min="13045" max="13293"/>
    <col width="8.21875" customWidth="1" style="38" min="13294" max="13294"/>
    <col width="70.44140625" bestFit="1" customWidth="1" style="38" min="13295" max="13295"/>
    <col width="11.44140625" customWidth="1" style="38" min="13296" max="13296"/>
    <col width="10.44140625" customWidth="1" style="38" min="13297" max="13297"/>
    <col width="13.21875" customWidth="1" style="38" min="13298" max="13298"/>
    <col width="14.21875" customWidth="1" style="38" min="13299" max="13299"/>
    <col width="12.21875" customWidth="1" style="38" min="13300" max="13300"/>
    <col width="9.21875" customWidth="1" style="38" min="13301" max="13549"/>
    <col width="8.21875" customWidth="1" style="38" min="13550" max="13550"/>
    <col width="70.44140625" bestFit="1" customWidth="1" style="38" min="13551" max="13551"/>
    <col width="11.44140625" customWidth="1" style="38" min="13552" max="13552"/>
    <col width="10.44140625" customWidth="1" style="38" min="13553" max="13553"/>
    <col width="13.21875" customWidth="1" style="38" min="13554" max="13554"/>
    <col width="14.21875" customWidth="1" style="38" min="13555" max="13555"/>
    <col width="12.21875" customWidth="1" style="38" min="13556" max="13556"/>
    <col width="9.21875" customWidth="1" style="38" min="13557" max="13805"/>
    <col width="8.21875" customWidth="1" style="38" min="13806" max="13806"/>
    <col width="70.44140625" bestFit="1" customWidth="1" style="38" min="13807" max="13807"/>
    <col width="11.44140625" customWidth="1" style="38" min="13808" max="13808"/>
    <col width="10.44140625" customWidth="1" style="38" min="13809" max="13809"/>
    <col width="13.21875" customWidth="1" style="38" min="13810" max="13810"/>
    <col width="14.21875" customWidth="1" style="38" min="13811" max="13811"/>
    <col width="12.21875" customWidth="1" style="38" min="13812" max="13812"/>
    <col width="9.21875" customWidth="1" style="38" min="13813" max="14061"/>
    <col width="8.21875" customWidth="1" style="38" min="14062" max="14062"/>
    <col width="70.44140625" bestFit="1" customWidth="1" style="38" min="14063" max="14063"/>
    <col width="11.44140625" customWidth="1" style="38" min="14064" max="14064"/>
    <col width="10.44140625" customWidth="1" style="38" min="14065" max="14065"/>
    <col width="13.21875" customWidth="1" style="38" min="14066" max="14066"/>
    <col width="14.21875" customWidth="1" style="38" min="14067" max="14067"/>
    <col width="12.21875" customWidth="1" style="38" min="14068" max="14068"/>
    <col width="9.21875" customWidth="1" style="38" min="14069" max="14317"/>
    <col width="8.21875" customWidth="1" style="38" min="14318" max="14318"/>
    <col width="70.44140625" bestFit="1" customWidth="1" style="38" min="14319" max="14319"/>
    <col width="11.44140625" customWidth="1" style="38" min="14320" max="14320"/>
    <col width="10.44140625" customWidth="1" style="38" min="14321" max="14321"/>
    <col width="13.21875" customWidth="1" style="38" min="14322" max="14322"/>
    <col width="14.21875" customWidth="1" style="38" min="14323" max="14323"/>
    <col width="12.21875" customWidth="1" style="38" min="14324" max="14324"/>
    <col width="9.21875" customWidth="1" style="38" min="14325" max="14573"/>
    <col width="8.21875" customWidth="1" style="38" min="14574" max="14574"/>
    <col width="70.44140625" bestFit="1" customWidth="1" style="38" min="14575" max="14575"/>
    <col width="11.44140625" customWidth="1" style="38" min="14576" max="14576"/>
    <col width="10.44140625" customWidth="1" style="38" min="14577" max="14577"/>
    <col width="13.21875" customWidth="1" style="38" min="14578" max="14578"/>
    <col width="14.21875" customWidth="1" style="38" min="14579" max="14579"/>
    <col width="12.21875" customWidth="1" style="38" min="14580" max="14580"/>
    <col width="9.21875" customWidth="1" style="38" min="14581" max="14829"/>
    <col width="8.21875" customWidth="1" style="38" min="14830" max="14830"/>
    <col width="70.44140625" bestFit="1" customWidth="1" style="38" min="14831" max="14831"/>
    <col width="11.44140625" customWidth="1" style="38" min="14832" max="14832"/>
    <col width="10.44140625" customWidth="1" style="38" min="14833" max="14833"/>
    <col width="13.21875" customWidth="1" style="38" min="14834" max="14834"/>
    <col width="14.21875" customWidth="1" style="38" min="14835" max="14835"/>
    <col width="12.21875" customWidth="1" style="38" min="14836" max="14836"/>
    <col width="9.21875" customWidth="1" style="38" min="14837" max="15085"/>
    <col width="8.21875" customWidth="1" style="38" min="15086" max="15086"/>
    <col width="70.44140625" bestFit="1" customWidth="1" style="38" min="15087" max="15087"/>
    <col width="11.44140625" customWidth="1" style="38" min="15088" max="15088"/>
    <col width="10.44140625" customWidth="1" style="38" min="15089" max="15089"/>
    <col width="13.21875" customWidth="1" style="38" min="15090" max="15090"/>
    <col width="14.21875" customWidth="1" style="38" min="15091" max="15091"/>
    <col width="12.21875" customWidth="1" style="38" min="15092" max="15092"/>
    <col width="9.21875" customWidth="1" style="38" min="15093" max="15341"/>
    <col width="8.21875" customWidth="1" style="38" min="15342" max="15342"/>
    <col width="70.44140625" bestFit="1" customWidth="1" style="38" min="15343" max="15343"/>
    <col width="11.44140625" customWidth="1" style="38" min="15344" max="15344"/>
    <col width="10.44140625" customWidth="1" style="38" min="15345" max="15345"/>
    <col width="13.21875" customWidth="1" style="38" min="15346" max="15346"/>
    <col width="14.21875" customWidth="1" style="38" min="15347" max="15347"/>
    <col width="12.21875" customWidth="1" style="38" min="15348" max="15348"/>
    <col width="9.21875" customWidth="1" style="38" min="15349" max="15597"/>
    <col width="8.21875" customWidth="1" style="38" min="15598" max="15598"/>
    <col width="70.44140625" bestFit="1" customWidth="1" style="38" min="15599" max="15599"/>
    <col width="11.44140625" customWidth="1" style="38" min="15600" max="15600"/>
    <col width="10.44140625" customWidth="1" style="38" min="15601" max="15601"/>
    <col width="13.21875" customWidth="1" style="38" min="15602" max="15602"/>
    <col width="14.21875" customWidth="1" style="38" min="15603" max="15603"/>
    <col width="12.21875" customWidth="1" style="38" min="15604" max="15604"/>
    <col width="9.21875" customWidth="1" style="38" min="15605" max="15853"/>
    <col width="8.21875" customWidth="1" style="38" min="15854" max="15854"/>
    <col width="70.44140625" bestFit="1" customWidth="1" style="38" min="15855" max="15855"/>
    <col width="11.44140625" customWidth="1" style="38" min="15856" max="15856"/>
    <col width="10.44140625" customWidth="1" style="38" min="15857" max="15857"/>
    <col width="13.21875" customWidth="1" style="38" min="15858" max="15858"/>
    <col width="14.21875" customWidth="1" style="38" min="15859" max="15859"/>
    <col width="12.21875" customWidth="1" style="38" min="15860" max="15860"/>
    <col width="9.21875" customWidth="1" style="38" min="15861" max="16109"/>
    <col width="8.21875" customWidth="1" style="38" min="16110" max="16110"/>
    <col width="70.44140625" bestFit="1" customWidth="1" style="38" min="16111" max="16111"/>
    <col width="11.44140625" customWidth="1" style="38" min="16112" max="16112"/>
    <col width="10.44140625" customWidth="1" style="38" min="16113" max="16113"/>
    <col width="13.21875" customWidth="1" style="38" min="16114" max="16114"/>
    <col width="14.21875" customWidth="1" style="38" min="16115" max="16115"/>
    <col width="12.21875" customWidth="1" style="38" min="16116" max="16116"/>
    <col width="9.21875" customWidth="1" style="38" min="16117" max="16384"/>
  </cols>
  <sheetData>
    <row r="1">
      <c r="B1" s="39" t="inlineStr">
        <is>
          <t xml:space="preserve">Project: </t>
        </is>
      </c>
    </row>
    <row r="2">
      <c r="B2" s="39" t="inlineStr">
        <is>
          <t>Tricore   -</t>
        </is>
      </c>
    </row>
    <row r="3">
      <c r="B3" s="38" t="inlineStr">
        <is>
          <t>Stage 1 Version 1</t>
        </is>
      </c>
    </row>
    <row r="4" ht="13.8" customHeight="1">
      <c r="A4" s="42" t="inlineStr">
        <is>
          <t xml:space="preserve">Item  </t>
        </is>
      </c>
      <c r="B4" s="43" t="n"/>
    </row>
    <row r="5" ht="10.8" customHeight="1" thickBot="1">
      <c r="A5" s="42" t="n"/>
      <c r="B5" s="132" t="n"/>
      <c r="E5" s="583" t="n"/>
      <c r="F5" s="583" t="n"/>
    </row>
    <row r="6" ht="6" customHeight="1">
      <c r="A6" s="485" t="n"/>
    </row>
    <row r="7" customFormat="1" s="40">
      <c r="A7" s="38" t="n"/>
      <c r="B7" s="504" t="n"/>
      <c r="E7" s="583" t="n"/>
      <c r="F7" s="583" t="n"/>
    </row>
    <row r="8" customFormat="1" s="40">
      <c r="A8" s="42" t="n"/>
      <c r="B8" s="39" t="n"/>
      <c r="C8" s="42" t="n"/>
      <c r="D8" s="42" t="n"/>
      <c r="E8" s="583" t="n"/>
      <c r="F8" s="583" t="n"/>
    </row>
    <row r="9" ht="15.6" customFormat="1" customHeight="1" s="40">
      <c r="A9" s="265" t="n">
        <v>1</v>
      </c>
      <c r="B9" s="493" t="inlineStr">
        <is>
          <t xml:space="preserve">Complete - </t>
        </is>
      </c>
    </row>
    <row r="10" customFormat="1" s="40">
      <c r="A10" s="42" t="n"/>
      <c r="B10" s="39" t="n"/>
      <c r="C10" s="42" t="n"/>
      <c r="D10" s="42" t="n"/>
      <c r="E10" s="583" t="n"/>
      <c r="F10" s="583" t="n"/>
    </row>
    <row r="11" ht="10.8" customFormat="1" customHeight="1" s="40" thickBot="1">
      <c r="A11" s="42" t="n"/>
      <c r="B11" s="39" t="n"/>
      <c r="C11" s="42" t="n"/>
      <c r="D11" s="42" t="n"/>
      <c r="E11" s="583" t="n"/>
      <c r="F11" s="583" t="n"/>
    </row>
    <row r="12" ht="10.8" customFormat="1" customHeight="1" s="40" thickBot="1">
      <c r="A12" s="42" t="n"/>
      <c r="B12" s="49" t="inlineStr">
        <is>
          <t>Labour</t>
        </is>
      </c>
      <c r="C12" s="42" t="n"/>
      <c r="D12" s="42" t="n"/>
      <c r="E12" s="583" t="n"/>
      <c r="F12" s="583" t="n"/>
    </row>
    <row r="13" ht="5.25" customFormat="1" customHeight="1" s="40">
      <c r="A13" s="42" t="n"/>
      <c r="B13" s="39" t="n"/>
      <c r="C13" s="42" t="n"/>
      <c r="D13" s="42" t="n"/>
      <c r="E13" s="583" t="n"/>
      <c r="F13" s="583" t="n"/>
      <c r="G13" s="584" t="inlineStr">
        <is>
          <t>Denis qty</t>
        </is>
      </c>
      <c r="H13" s="584" t="inlineStr">
        <is>
          <t>Qty / rate source note</t>
        </is>
      </c>
    </row>
    <row r="14" ht="12.75" customFormat="1" customHeight="1" s="40">
      <c r="A14" s="38" t="n"/>
      <c r="B14" s="191" t="inlineStr">
        <is>
          <t>DAY</t>
        </is>
      </c>
      <c r="C14" s="42" t="n"/>
      <c r="D14" s="492" t="n"/>
      <c r="F14" s="583" t="n"/>
      <c r="J14" s="490" t="inlineStr">
        <is>
          <t>april 2026 direct impact Increase % (not contigency)</t>
        </is>
      </c>
    </row>
    <row r="15" customFormat="1" s="40">
      <c r="A15" s="38" t="n"/>
      <c r="B15" s="38">
        <f>'LabourProject Rates_Master'!$B$14</f>
        <v/>
      </c>
      <c r="C15" s="40" t="inlineStr">
        <is>
          <t>Day</t>
        </is>
      </c>
      <c r="D15" s="332" t="n"/>
      <c r="E15" s="583">
        <f>'LabourProject Rates_Master'!$E$15</f>
        <v/>
      </c>
      <c r="F15" s="583">
        <f>E15*D15</f>
        <v/>
      </c>
    </row>
    <row r="16" ht="11.55" customFormat="1" customHeight="1" s="40">
      <c r="A16" s="38" t="n"/>
      <c r="B16" s="38">
        <f>'LabourProject Rates_Master'!$B$23</f>
        <v/>
      </c>
      <c r="C16" s="40" t="inlineStr">
        <is>
          <t>Day</t>
        </is>
      </c>
      <c r="D16" s="332" t="n"/>
      <c r="E16" s="583">
        <f>'LabourProject Rates_Master'!$E$22</f>
        <v/>
      </c>
      <c r="F16" s="583">
        <f>E16*D16</f>
        <v/>
      </c>
      <c r="K16" s="149" t="inlineStr">
        <is>
          <t>PE Pipe &amp; Fitting</t>
        </is>
      </c>
      <c r="L16" s="230" t="n">
        <v>0.38</v>
      </c>
      <c r="M16" s="40" t="n">
        <v>1.38</v>
      </c>
    </row>
    <row r="17" ht="11.55" customFormat="1" customHeight="1" s="40">
      <c r="A17" s="42" t="n"/>
      <c r="B17" s="38">
        <f>'LabourProject Rates_Master'!$B$30</f>
        <v/>
      </c>
      <c r="C17" s="40" t="inlineStr">
        <is>
          <t>Day</t>
        </is>
      </c>
      <c r="D17" s="332" t="n"/>
      <c r="E17" s="583">
        <f>'LabourProject Rates_Master'!$E$29</f>
        <v/>
      </c>
      <c r="F17" s="583">
        <f>E17*D17</f>
        <v/>
      </c>
      <c r="K17" s="149" t="inlineStr">
        <is>
          <t>PVC Pipe &amp; Fittings</t>
        </is>
      </c>
      <c r="L17" s="230" t="n">
        <v>0.38</v>
      </c>
      <c r="M17" s="40" t="n">
        <v>1.38</v>
      </c>
    </row>
    <row r="18" ht="11.55" customFormat="1" customHeight="1" s="40">
      <c r="A18" s="42" t="n"/>
      <c r="B18" s="38">
        <f>'LabourProject Rates_Master'!$B$36</f>
        <v/>
      </c>
      <c r="C18" s="40" t="inlineStr">
        <is>
          <t>Day</t>
        </is>
      </c>
      <c r="D18" s="332" t="n">
        <v>4</v>
      </c>
      <c r="E18" s="583">
        <f>'LabourProject Rates_Master'!$E$37</f>
        <v/>
      </c>
      <c r="F18" s="583">
        <f>E18*D18</f>
        <v/>
      </c>
      <c r="H18" s="540" t="inlineStr">
        <is>
          <t>Phase 7 crew-days (1B): T1-09 PAM UG drainage 4</t>
        </is>
      </c>
      <c r="K18" s="149" t="inlineStr">
        <is>
          <t>Subby Rates</t>
        </is>
      </c>
      <c r="L18" s="230" t="n">
        <v>0.15</v>
      </c>
      <c r="M18" s="40" t="n">
        <v>1.15</v>
      </c>
    </row>
    <row r="19" customFormat="1" s="40">
      <c r="A19" s="42" t="n"/>
      <c r="B19" s="38">
        <f>'LabourProject Rates_Master'!$B$43</f>
        <v/>
      </c>
      <c r="C19" s="40" t="inlineStr">
        <is>
          <t>Day</t>
        </is>
      </c>
      <c r="D19" s="332" t="n">
        <v>4</v>
      </c>
      <c r="E19" s="583">
        <f>'LabourProject Rates_Master'!$E$44</f>
        <v/>
      </c>
      <c r="F19" s="583">
        <f>E19*D19</f>
        <v/>
      </c>
      <c r="H19" s="540" t="inlineStr">
        <is>
          <t>Phase 7 crew-days (1B): T2-09 1B site branch take-offs 4 (1B scope carried on PAM sheet as 1B roll-up collector - interface L9)</t>
        </is>
      </c>
      <c r="K19" s="149" t="inlineStr">
        <is>
          <t>Delivey Rate</t>
        </is>
      </c>
      <c r="L19" s="230" t="n">
        <v>0.2</v>
      </c>
      <c r="M19" s="40" t="n">
        <v>1.2</v>
      </c>
    </row>
    <row r="20" customFormat="1" s="40">
      <c r="A20" s="42" t="n"/>
      <c r="B20" s="38">
        <f>'LabourProject Rates_Master'!B51</f>
        <v/>
      </c>
      <c r="C20" s="40" t="inlineStr">
        <is>
          <t>Day</t>
        </is>
      </c>
      <c r="D20" s="332" t="n">
        <v>2</v>
      </c>
      <c r="E20" s="583">
        <f>'LabourProject Rates_Master'!E52</f>
        <v/>
      </c>
      <c r="F20" s="583">
        <f>E20*D20</f>
        <v/>
      </c>
      <c r="H20" s="540" t="inlineStr">
        <is>
          <t>Phase 7 crew-days (1B): T3-03 PAM vent + AG waste 2</t>
        </is>
      </c>
      <c r="K20" s="149" t="n"/>
      <c r="L20" s="230" t="n"/>
    </row>
    <row r="21" customFormat="1" s="40">
      <c r="A21" s="42" t="n"/>
      <c r="B21" s="38">
        <f>'LabourProject Rates_Master'!B59</f>
        <v/>
      </c>
      <c r="C21" s="40" t="inlineStr">
        <is>
          <t>Day</t>
        </is>
      </c>
      <c r="D21" s="332" t="n">
        <v>5</v>
      </c>
      <c r="E21" s="583">
        <f>'LabourProject Rates_Master'!E60</f>
        <v/>
      </c>
      <c r="F21" s="583">
        <f>E21*D21</f>
        <v/>
      </c>
      <c r="H21" s="540" t="inlineStr">
        <is>
          <t>Phase 7 crew-days (1B): T4-05 4 + T4-06 1</t>
        </is>
      </c>
      <c r="K21" s="149" t="n"/>
      <c r="L21" s="230" t="n"/>
    </row>
    <row r="22" customFormat="1" s="40">
      <c r="A22" s="42" t="n"/>
      <c r="B22" s="38">
        <f>'LabourProject Rates_Master'!B67</f>
        <v/>
      </c>
      <c r="C22" s="40" t="inlineStr">
        <is>
          <t>Day</t>
        </is>
      </c>
      <c r="D22" s="332" t="n">
        <v>5</v>
      </c>
      <c r="E22" s="583">
        <f>'LabourProject Rates_Master'!E68</f>
        <v/>
      </c>
      <c r="F22" s="583">
        <f>E22*D22</f>
        <v/>
      </c>
      <c r="H22" s="540" t="inlineStr">
        <is>
          <t>Phase 7 crew-days (1B): T5-03 4 + T5-04b 1 (bubbler install)</t>
        </is>
      </c>
      <c r="K22" s="149" t="n"/>
      <c r="L22" s="230" t="n"/>
    </row>
    <row r="23" customFormat="1" s="40">
      <c r="A23" s="42" t="n"/>
      <c r="B23" s="38">
        <f>'LabourProject Rates_Master'!B75</f>
        <v/>
      </c>
      <c r="C23" s="40" t="inlineStr">
        <is>
          <t>Day</t>
        </is>
      </c>
      <c r="D23" s="332" t="n"/>
      <c r="E23" s="583">
        <f>'LabourProject Rates_Master'!E76</f>
        <v/>
      </c>
      <c r="F23" s="583">
        <f>E23*D23</f>
        <v/>
      </c>
      <c r="K23" s="149" t="n"/>
      <c r="L23" s="230" t="n"/>
    </row>
    <row r="24" ht="6.6" customFormat="1" customHeight="1" s="40">
      <c r="A24" s="42" t="n"/>
      <c r="B24" s="38" t="n"/>
      <c r="E24" s="590" t="n"/>
      <c r="F24" s="583" t="n"/>
    </row>
    <row r="25" customFormat="1" s="40">
      <c r="A25" s="38" t="n"/>
      <c r="B25" s="191" t="inlineStr">
        <is>
          <t>HOUR</t>
        </is>
      </c>
      <c r="C25" s="42" t="n"/>
      <c r="D25" s="42" t="n"/>
      <c r="E25" s="583" t="n"/>
      <c r="F25" s="583" t="n"/>
    </row>
    <row r="26" customFormat="1" s="40">
      <c r="A26" s="38" t="n"/>
      <c r="B26" s="38">
        <f>'LabourProject Rates_Master'!$B$14</f>
        <v/>
      </c>
      <c r="C26" s="40" t="inlineStr">
        <is>
          <t>HR</t>
        </is>
      </c>
      <c r="D26" s="40" t="n">
        <v>168.5</v>
      </c>
      <c r="E26" s="583">
        <f>'LabourProject Rates_Master'!$E$14</f>
        <v/>
      </c>
      <c r="F26" s="583">
        <f>E26*D26</f>
        <v/>
      </c>
      <c r="H26" s="540" t="inlineStr">
        <is>
          <t>Phase 7 LH supervision - 1B activities 168.5 hr</t>
        </is>
      </c>
    </row>
    <row r="27" ht="11.55" customFormat="1" customHeight="1" s="40">
      <c r="A27" s="38" t="n"/>
      <c r="B27" s="38">
        <f>'LabourProject Rates_Master'!$B$23</f>
        <v/>
      </c>
      <c r="C27" s="40" t="inlineStr">
        <is>
          <t>HR</t>
        </is>
      </c>
      <c r="D27" s="40" t="n">
        <v>0</v>
      </c>
      <c r="E27" s="583">
        <f>'LabourProject Rates_Master'!$E$21</f>
        <v/>
      </c>
      <c r="F27" s="583">
        <f>E27*D27</f>
        <v/>
      </c>
    </row>
    <row r="28" ht="11.55" customFormat="1" customHeight="1" s="40">
      <c r="A28" s="42" t="n"/>
      <c r="B28" s="38">
        <f>'LabourProject Rates_Master'!$B$30</f>
        <v/>
      </c>
      <c r="C28" s="40" t="inlineStr">
        <is>
          <t>HR</t>
        </is>
      </c>
      <c r="D28" s="40" t="n">
        <v>0</v>
      </c>
      <c r="E28" s="583">
        <f>'LabourProject Rates_Master'!$E$28</f>
        <v/>
      </c>
      <c r="F28" s="583">
        <f>E28*D28</f>
        <v/>
      </c>
    </row>
    <row r="29" ht="11.55" customFormat="1" customHeight="1" s="40">
      <c r="A29" s="42" t="n"/>
      <c r="B29" s="38">
        <f>'LabourProject Rates_Master'!$B$36</f>
        <v/>
      </c>
      <c r="C29" s="40" t="inlineStr">
        <is>
          <t>HR</t>
        </is>
      </c>
      <c r="D29" s="40" t="n">
        <v>0</v>
      </c>
      <c r="E29" s="583">
        <f>'LabourProject Rates_Master'!$E$36</f>
        <v/>
      </c>
      <c r="F29" s="583">
        <f>E29*D29</f>
        <v/>
      </c>
    </row>
    <row r="30" customFormat="1" s="40">
      <c r="A30" s="42" t="n"/>
      <c r="B30" s="38">
        <f>'LabourProject Rates_Master'!$B$43</f>
        <v/>
      </c>
      <c r="C30" s="40" t="inlineStr">
        <is>
          <t>HR</t>
        </is>
      </c>
      <c r="D30" s="40" t="n">
        <v>0</v>
      </c>
      <c r="E30" s="583">
        <f>'LabourProject Rates_Master'!$E$43</f>
        <v/>
      </c>
      <c r="F30" s="583">
        <f>E30*D30</f>
        <v/>
      </c>
    </row>
    <row r="31" ht="7.5" customHeight="1">
      <c r="E31" s="583" t="n"/>
    </row>
    <row r="32" ht="10.8" customHeight="1" thickBot="1">
      <c r="A32" s="40" t="n"/>
      <c r="E32" s="583" t="n"/>
      <c r="F32" s="583" t="n"/>
    </row>
    <row r="33" ht="10.8" customHeight="1" thickBot="1">
      <c r="A33" s="42" t="n"/>
      <c r="B33" s="385" t="inlineStr">
        <is>
          <t>Demolition &amp; Reinstatement</t>
        </is>
      </c>
      <c r="C33" s="386" t="n"/>
      <c r="D33" s="386" t="n"/>
      <c r="E33" s="639" t="n"/>
      <c r="F33" s="639" t="n"/>
    </row>
    <row r="34">
      <c r="A34" s="40" t="n"/>
      <c r="B34" s="388" t="inlineStr">
        <is>
          <t>DEMO</t>
        </is>
      </c>
      <c r="C34" s="386" t="n"/>
      <c r="D34" s="386" t="n"/>
      <c r="E34" s="639" t="n"/>
      <c r="F34" s="639" t="n"/>
    </row>
    <row r="35">
      <c r="A35" s="40" t="n"/>
      <c r="B35" s="389">
        <f>'Misc Subbie Rates_Master'!A49</f>
        <v/>
      </c>
      <c r="C35" s="386" t="inlineStr">
        <is>
          <t>m</t>
        </is>
      </c>
      <c r="D35" s="390" t="n"/>
      <c r="E35" s="639">
        <f>'Misc Subbie Rates_Master'!D49+('Misc Subbie Rates_Master'!D49*$L$18)</f>
        <v/>
      </c>
      <c r="F35" s="639">
        <f>E35*D35</f>
        <v/>
      </c>
    </row>
    <row r="36">
      <c r="A36" s="40" t="n"/>
      <c r="B36" s="389">
        <f>'Misc Subbie Rates_Master'!A50</f>
        <v/>
      </c>
      <c r="C36" s="386" t="inlineStr">
        <is>
          <t>m</t>
        </is>
      </c>
      <c r="D36" s="386" t="n"/>
      <c r="E36" s="639">
        <f>'Misc Subbie Rates_Master'!D50+('Misc Subbie Rates_Master'!D50*$L$18)</f>
        <v/>
      </c>
      <c r="F36" s="639">
        <f>E36*D36</f>
        <v/>
      </c>
    </row>
    <row r="37">
      <c r="A37" s="40" t="n"/>
      <c r="B37" s="389" t="inlineStr">
        <is>
          <t>Con Cut Establishemnt Fee</t>
        </is>
      </c>
      <c r="C37" s="386" t="inlineStr">
        <is>
          <t>ea</t>
        </is>
      </c>
      <c r="D37" s="386" t="n"/>
      <c r="E37" s="639">
        <f>'Misc Subbie Rates_Master'!D51+('Misc Subbie Rates_Master'!D51*$L$18)</f>
        <v/>
      </c>
      <c r="F37" s="639">
        <f>E37*D37</f>
        <v/>
      </c>
    </row>
    <row r="38">
      <c r="A38" s="40" t="n"/>
      <c r="B38" s="388" t="inlineStr">
        <is>
          <t>REINSTATE - CONCRETE</t>
        </is>
      </c>
      <c r="C38" s="386" t="n"/>
      <c r="D38" s="386" t="n"/>
      <c r="E38" s="639" t="n"/>
      <c r="F38" s="639" t="n"/>
    </row>
    <row r="39">
      <c r="A39" s="40" t="n"/>
      <c r="B39" s="389">
        <f>'Misc Subbie Rates_Master'!A56</f>
        <v/>
      </c>
      <c r="C39" s="386" t="inlineStr">
        <is>
          <t>m</t>
        </is>
      </c>
      <c r="D39" s="386" t="n"/>
      <c r="E39" s="639">
        <f>'Misc Subbie Rates_Master'!D56</f>
        <v/>
      </c>
      <c r="F39" s="639">
        <f>E39*D39</f>
        <v/>
      </c>
    </row>
    <row r="40">
      <c r="A40" s="40" t="n"/>
      <c r="B40" s="389">
        <f>'Misc Subbie Rates_Master'!A57</f>
        <v/>
      </c>
      <c r="C40" s="386" t="inlineStr">
        <is>
          <t>ea</t>
        </is>
      </c>
      <c r="D40" s="386" t="n"/>
      <c r="E40" s="639">
        <f>'Misc Subbie Rates_Master'!D57</f>
        <v/>
      </c>
      <c r="F40" s="639">
        <f>E40*D40</f>
        <v/>
      </c>
    </row>
    <row r="41">
      <c r="A41" s="40" t="n"/>
      <c r="B41" s="389">
        <f>'Misc Subbie Rates_Master'!A58</f>
        <v/>
      </c>
      <c r="C41" s="386" t="inlineStr">
        <is>
          <t>lm</t>
        </is>
      </c>
      <c r="D41" s="386" t="n"/>
      <c r="E41" s="639">
        <f>'Misc Subbie Rates_Master'!D58</f>
        <v/>
      </c>
      <c r="F41" s="639">
        <f>E41*D41</f>
        <v/>
      </c>
    </row>
    <row r="42">
      <c r="A42" s="40" t="n"/>
      <c r="B42" s="389">
        <f>'Misc Subbie Rates_Master'!A59</f>
        <v/>
      </c>
      <c r="C42" s="386" t="inlineStr">
        <is>
          <t>lm</t>
        </is>
      </c>
      <c r="D42" s="386" t="n"/>
      <c r="E42" s="639">
        <f>'Misc Subbie Rates_Master'!D59</f>
        <v/>
      </c>
      <c r="F42" s="639">
        <f>E42*D42</f>
        <v/>
      </c>
    </row>
    <row r="43">
      <c r="A43" s="40" t="n"/>
      <c r="B43" s="388" t="inlineStr">
        <is>
          <t>REINSTATE - ASPHALT</t>
        </is>
      </c>
      <c r="C43" s="386" t="n"/>
      <c r="D43" s="386" t="n"/>
      <c r="E43" s="639" t="n"/>
      <c r="F43" s="639" t="n"/>
    </row>
    <row r="44">
      <c r="A44" s="40" t="n"/>
      <c r="B44" s="389">
        <f>'Misc Subbie Rates_Master'!A64</f>
        <v/>
      </c>
      <c r="C44" s="386" t="inlineStr">
        <is>
          <t>m2</t>
        </is>
      </c>
      <c r="D44" s="386" t="n"/>
      <c r="E44" s="639">
        <f>'Misc Subbie Rates_Master'!D64</f>
        <v/>
      </c>
      <c r="F44" s="639">
        <f>E44*D44</f>
        <v/>
      </c>
    </row>
    <row r="45">
      <c r="A45" s="40" t="n"/>
      <c r="B45" s="389">
        <f>'Misc Subbie Rates_Master'!A65</f>
        <v/>
      </c>
      <c r="C45" s="386" t="inlineStr">
        <is>
          <t>m2</t>
        </is>
      </c>
      <c r="D45" s="386" t="n"/>
      <c r="E45" s="639">
        <f>'Misc Subbie Rates_Master'!D65</f>
        <v/>
      </c>
      <c r="F45" s="639">
        <f>E45*D45</f>
        <v/>
      </c>
    </row>
    <row r="46">
      <c r="A46" s="40" t="n"/>
      <c r="B46" s="389">
        <f>'Misc Subbie Rates_Master'!A66</f>
        <v/>
      </c>
      <c r="C46" s="386" t="inlineStr">
        <is>
          <t>Ea</t>
        </is>
      </c>
      <c r="D46" s="386" t="n"/>
      <c r="E46" s="639">
        <f>'Misc Subbie Rates_Master'!D66</f>
        <v/>
      </c>
      <c r="F46" s="639">
        <f>E46*D46</f>
        <v/>
      </c>
    </row>
    <row r="47" ht="10.8" customHeight="1" thickBot="1">
      <c r="A47" s="40" t="n"/>
      <c r="E47" s="583" t="n"/>
      <c r="F47" s="583" t="n"/>
    </row>
    <row r="48" ht="10.8" customHeight="1" thickBot="1">
      <c r="A48" s="42" t="n"/>
      <c r="B48" s="49" t="inlineStr">
        <is>
          <t>Equipment &amp; Hire - INCL WET PLANT HIRE</t>
        </is>
      </c>
      <c r="E48" s="583" t="n"/>
      <c r="F48" s="583" t="n"/>
    </row>
    <row r="49">
      <c r="A49" s="40" t="n"/>
      <c r="E49" s="583" t="n"/>
      <c r="F49" s="583" t="n"/>
    </row>
    <row r="50">
      <c r="B50" s="283" t="inlineStr">
        <is>
          <t>PLANT HIRE - WET</t>
        </is>
      </c>
      <c r="E50" s="583" t="n"/>
      <c r="F50" s="583" t="n"/>
    </row>
    <row r="51" hidden="1">
      <c r="B51" s="38" t="inlineStr">
        <is>
          <t>1.8T Excavator</t>
        </is>
      </c>
      <c r="C51" s="40" t="inlineStr">
        <is>
          <t>Hr</t>
        </is>
      </c>
      <c r="E51" s="583">
        <f>'Misc Subbie Rates_Master'!D10</f>
        <v/>
      </c>
      <c r="F51" s="583">
        <f>E51*D51</f>
        <v/>
      </c>
    </row>
    <row r="52" hidden="1">
      <c r="B52" s="38" t="inlineStr">
        <is>
          <t xml:space="preserve"> 3-5 ton Excavator</t>
        </is>
      </c>
      <c r="C52" s="40" t="inlineStr">
        <is>
          <t>Hr</t>
        </is>
      </c>
      <c r="E52" s="583">
        <f>'Misc Subbie Rates_Master'!D11</f>
        <v/>
      </c>
      <c r="F52" s="583">
        <f>E52*D52</f>
        <v/>
      </c>
    </row>
    <row r="53" hidden="1">
      <c r="B53" s="38" t="inlineStr">
        <is>
          <t>3-5T Combo</t>
        </is>
      </c>
      <c r="C53" s="40" t="inlineStr">
        <is>
          <t>Hr</t>
        </is>
      </c>
      <c r="E53" s="583">
        <f>'Misc Subbie Rates_Master'!D12</f>
        <v/>
      </c>
      <c r="F53" s="583">
        <f>E53*D53</f>
        <v/>
      </c>
    </row>
    <row r="54" hidden="1">
      <c r="B54" s="38" t="inlineStr">
        <is>
          <t>Hammer attachment 3.5-4T</t>
        </is>
      </c>
      <c r="C54" s="40" t="inlineStr">
        <is>
          <t>Hr</t>
        </is>
      </c>
      <c r="E54" s="583">
        <f>'Misc Subbie Rates_Master'!D13</f>
        <v/>
      </c>
      <c r="F54" s="583">
        <f>E54*D54</f>
        <v/>
      </c>
    </row>
    <row r="55" hidden="1">
      <c r="B55" s="38" t="inlineStr">
        <is>
          <t>Ripper 3.5-4T</t>
        </is>
      </c>
      <c r="C55" s="40" t="inlineStr">
        <is>
          <t>Hr</t>
        </is>
      </c>
      <c r="E55" s="583">
        <f>'Misc Subbie Rates_Master'!D14</f>
        <v/>
      </c>
      <c r="F55" s="583">
        <f>E55*D55</f>
        <v/>
      </c>
    </row>
    <row r="56" hidden="1">
      <c r="B56" s="38" t="inlineStr">
        <is>
          <t>5t Excavator</t>
        </is>
      </c>
      <c r="C56" s="40" t="inlineStr">
        <is>
          <t>Hr</t>
        </is>
      </c>
      <c r="E56" s="583">
        <f>'Misc Subbie Rates_Master'!D15</f>
        <v/>
      </c>
      <c r="F56" s="583">
        <f>E56*D56</f>
        <v/>
      </c>
    </row>
    <row r="57" hidden="1">
      <c r="B57" s="38" t="inlineStr">
        <is>
          <t>Hammer attachment 5T</t>
        </is>
      </c>
      <c r="C57" s="40" t="inlineStr">
        <is>
          <t>Hr</t>
        </is>
      </c>
      <c r="E57" s="583">
        <f>'Misc Subbie Rates_Master'!D16</f>
        <v/>
      </c>
      <c r="F57" s="583">
        <f>E57*D57</f>
        <v/>
      </c>
    </row>
    <row r="58" hidden="1">
      <c r="B58" s="38" t="inlineStr">
        <is>
          <t>Skid steer</t>
        </is>
      </c>
      <c r="C58" s="40" t="inlineStr">
        <is>
          <t>Hr</t>
        </is>
      </c>
      <c r="E58" s="583">
        <f>'Misc Subbie Rates_Master'!D17</f>
        <v/>
      </c>
      <c r="F58" s="583">
        <f>E58*D58</f>
        <v/>
      </c>
    </row>
    <row r="59" hidden="1">
      <c r="B59" s="38" t="inlineStr">
        <is>
          <t>8T Excavator</t>
        </is>
      </c>
      <c r="C59" s="40" t="inlineStr">
        <is>
          <t>Hr</t>
        </is>
      </c>
      <c r="E59" s="583">
        <f>'Misc Subbie Rates_Master'!D18</f>
        <v/>
      </c>
      <c r="F59" s="583">
        <f>E59*D59</f>
        <v/>
      </c>
    </row>
    <row r="60" hidden="1">
      <c r="B60" s="38" t="inlineStr">
        <is>
          <t>Hammer attachment 8T</t>
        </is>
      </c>
      <c r="C60" s="40" t="inlineStr">
        <is>
          <t>Hr</t>
        </is>
      </c>
      <c r="E60" s="583">
        <f>'Misc Subbie Rates_Master'!D19</f>
        <v/>
      </c>
      <c r="F60" s="583">
        <f>E60*D60</f>
        <v/>
      </c>
    </row>
    <row r="61" hidden="1">
      <c r="B61" s="38" t="inlineStr">
        <is>
          <t>Ripper 8T</t>
        </is>
      </c>
      <c r="C61" s="40" t="inlineStr">
        <is>
          <t>Hr</t>
        </is>
      </c>
      <c r="E61" s="583">
        <f>'Misc Subbie Rates_Master'!D20</f>
        <v/>
      </c>
      <c r="F61" s="583">
        <f>E61*D61</f>
        <v/>
      </c>
    </row>
    <row r="62" hidden="1">
      <c r="B62" s="38" t="inlineStr">
        <is>
          <t>13-15T Excavator</t>
        </is>
      </c>
      <c r="C62" s="40" t="inlineStr">
        <is>
          <t>Hr</t>
        </is>
      </c>
      <c r="E62" s="583">
        <f>'Misc Subbie Rates_Master'!D21</f>
        <v/>
      </c>
      <c r="F62" s="583">
        <f>E62*D62</f>
        <v/>
      </c>
    </row>
    <row r="63" hidden="1">
      <c r="B63" s="38" t="inlineStr">
        <is>
          <t>Hammer attachment 14T</t>
        </is>
      </c>
      <c r="C63" s="40" t="inlineStr">
        <is>
          <t>Hr</t>
        </is>
      </c>
      <c r="E63" s="583">
        <f>'Misc Subbie Rates_Master'!D22</f>
        <v/>
      </c>
      <c r="F63" s="583">
        <f>E63*D63</f>
        <v/>
      </c>
    </row>
    <row r="64" hidden="1">
      <c r="B64" s="38" t="inlineStr">
        <is>
          <t>Ripper 14T</t>
        </is>
      </c>
      <c r="C64" s="40" t="inlineStr">
        <is>
          <t>Hr</t>
        </is>
      </c>
      <c r="E64" s="583">
        <f>'Misc Subbie Rates_Master'!D23</f>
        <v/>
      </c>
      <c r="F64" s="583">
        <f>E64*D64</f>
        <v/>
      </c>
    </row>
    <row r="65" hidden="1">
      <c r="B65" s="38" t="inlineStr">
        <is>
          <t>3000L Hydro Excavation Truck</t>
        </is>
      </c>
      <c r="C65" s="40" t="inlineStr">
        <is>
          <t>Hr</t>
        </is>
      </c>
      <c r="E65" s="583">
        <f>'Misc Subbie Rates_Master'!D24</f>
        <v/>
      </c>
      <c r="F65" s="583">
        <f>E65*D65</f>
        <v/>
      </c>
    </row>
    <row r="66" hidden="1">
      <c r="B66" s="38" t="inlineStr">
        <is>
          <t xml:space="preserve">4500L Hydro Excavation Truck </t>
        </is>
      </c>
      <c r="C66" s="40" t="inlineStr">
        <is>
          <t>Hr</t>
        </is>
      </c>
      <c r="E66" s="583">
        <f>'Misc Subbie Rates_Master'!D25</f>
        <v/>
      </c>
      <c r="F66" s="583">
        <f>E66*D66</f>
        <v/>
      </c>
    </row>
    <row r="67" hidden="1">
      <c r="B67" s="38" t="inlineStr">
        <is>
          <t>6300L Hydro Excavation Truck</t>
        </is>
      </c>
      <c r="C67" s="40" t="inlineStr">
        <is>
          <t>Hr</t>
        </is>
      </c>
      <c r="E67" s="583">
        <f>'Misc Subbie Rates_Master'!D26</f>
        <v/>
      </c>
      <c r="F67" s="583">
        <f>E67*D67</f>
        <v/>
      </c>
    </row>
    <row r="68" hidden="1">
      <c r="B68" s="38" t="inlineStr">
        <is>
          <t xml:space="preserve">Water Truck allow for water at cost </t>
        </is>
      </c>
      <c r="C68" s="40" t="inlineStr">
        <is>
          <t>Hr</t>
        </is>
      </c>
      <c r="E68" s="583">
        <f>'Misc Subbie Rates_Master'!D27</f>
        <v/>
      </c>
      <c r="F68" s="583">
        <f>E68*D68</f>
        <v/>
      </c>
    </row>
    <row r="69" hidden="1">
      <c r="B69" s="38" t="inlineStr">
        <is>
          <t>12t Body Truck Tipper</t>
        </is>
      </c>
      <c r="C69" s="40" t="inlineStr">
        <is>
          <t>Hr</t>
        </is>
      </c>
      <c r="E69" s="583">
        <f>'Misc Subbie Rates_Master'!D28</f>
        <v/>
      </c>
      <c r="F69" s="583">
        <f>E69*D69</f>
        <v/>
      </c>
    </row>
    <row r="70">
      <c r="E70" s="583" t="n"/>
      <c r="F70" s="583" t="n"/>
    </row>
    <row r="71">
      <c r="B71" s="283" t="inlineStr">
        <is>
          <t>HIRE - DRY</t>
        </is>
      </c>
      <c r="E71" s="583" t="n"/>
      <c r="F71" s="583" t="n"/>
    </row>
    <row r="72">
      <c r="A72" s="40" t="n"/>
      <c r="B72" s="201" t="inlineStr">
        <is>
          <t>Skid Steer Loader_Tracked (CAT249+)</t>
        </is>
      </c>
      <c r="C72" s="40" t="inlineStr">
        <is>
          <t>Day</t>
        </is>
      </c>
      <c r="E72" s="583">
        <f>'Equip&amp;HIRE_Master'!D4</f>
        <v/>
      </c>
      <c r="F72" s="583">
        <f>E72*D72</f>
        <v/>
      </c>
    </row>
    <row r="73">
      <c r="A73" s="40" t="n"/>
      <c r="B73" s="201" t="inlineStr">
        <is>
          <t>Skid Steer Loader_Wheeled (CAT226+)</t>
        </is>
      </c>
      <c r="C73" s="40" t="inlineStr">
        <is>
          <t>Day</t>
        </is>
      </c>
      <c r="E73" s="583">
        <f>'Equip&amp;HIRE_Master'!D5</f>
        <v/>
      </c>
      <c r="F73" s="583">
        <f>E73*D73</f>
        <v/>
      </c>
    </row>
    <row r="74">
      <c r="A74" s="40" t="n"/>
      <c r="B74" s="201" t="inlineStr">
        <is>
          <t>Mini Loader, Stand-on Type</t>
        </is>
      </c>
      <c r="C74" s="40" t="inlineStr">
        <is>
          <t>Day</t>
        </is>
      </c>
      <c r="E74" s="583">
        <f>'Equip&amp;HIRE_Master'!D6</f>
        <v/>
      </c>
      <c r="F74" s="583">
        <f>E74*D74</f>
        <v/>
      </c>
    </row>
    <row r="75" ht="6" customHeight="1">
      <c r="A75" s="40" t="n"/>
      <c r="B75" s="201" t="n"/>
      <c r="E75" s="583">
        <f>'Equip&amp;HIRE_Master'!D7</f>
        <v/>
      </c>
      <c r="F75" s="583">
        <f>E75*D75</f>
        <v/>
      </c>
    </row>
    <row r="76">
      <c r="A76" s="40" t="n"/>
      <c r="B76" s="201" t="inlineStr">
        <is>
          <t>1.5-1.8 Ton_Excavator</t>
        </is>
      </c>
      <c r="C76" s="40" t="inlineStr">
        <is>
          <t>Day</t>
        </is>
      </c>
      <c r="D76" t="n">
        <v>8</v>
      </c>
      <c r="E76" s="583">
        <f>'Equip&amp;HIRE_Master'!D8</f>
        <v/>
      </c>
      <c r="F76" s="583">
        <f>E76*D76</f>
        <v/>
      </c>
      <c r="H76" s="540" t="inlineStr">
        <is>
          <t>Phase 7 plant (1B): T1-09 4 + T2-09 4</t>
        </is>
      </c>
    </row>
    <row r="77">
      <c r="A77" s="40" t="n"/>
      <c r="B77" s="201" t="inlineStr">
        <is>
          <t>1.7-2Ton_Excavator</t>
        </is>
      </c>
      <c r="C77" s="40" t="inlineStr">
        <is>
          <t>Day</t>
        </is>
      </c>
      <c r="E77" s="583">
        <f>'Equip&amp;HIRE_Master'!D9</f>
        <v/>
      </c>
      <c r="F77" s="583">
        <f>E77*D77</f>
        <v/>
      </c>
    </row>
    <row r="78">
      <c r="A78" s="40" t="n"/>
      <c r="B78" s="201" t="inlineStr">
        <is>
          <t>3-5Ton_Excavator</t>
        </is>
      </c>
      <c r="C78" s="40" t="inlineStr">
        <is>
          <t>Day</t>
        </is>
      </c>
      <c r="E78" s="583">
        <f>'Equip&amp;HIRE_Master'!D10</f>
        <v/>
      </c>
      <c r="F78" s="583">
        <f>E78*D78</f>
        <v/>
      </c>
    </row>
    <row r="79">
      <c r="A79" s="40" t="n"/>
      <c r="B79" s="201" t="inlineStr">
        <is>
          <t>8Ton_Excavator</t>
        </is>
      </c>
      <c r="C79" s="40" t="inlineStr">
        <is>
          <t>Day</t>
        </is>
      </c>
      <c r="E79" s="583">
        <f>'Equip&amp;HIRE_Master'!D11</f>
        <v/>
      </c>
      <c r="F79" s="583">
        <f>E79*D79</f>
        <v/>
      </c>
    </row>
    <row r="80">
      <c r="A80" s="40" t="n"/>
      <c r="B80" s="201" t="inlineStr">
        <is>
          <t>10-12Ton_Excavator</t>
        </is>
      </c>
      <c r="C80" s="40" t="inlineStr">
        <is>
          <t>Day</t>
        </is>
      </c>
      <c r="E80" s="583">
        <f>'Equip&amp;HIRE_Master'!D12</f>
        <v/>
      </c>
      <c r="F80" s="583">
        <f>E80*D80</f>
        <v/>
      </c>
    </row>
    <row r="81">
      <c r="A81" s="40" t="n"/>
      <c r="B81" s="201" t="inlineStr">
        <is>
          <t>13-16Ton_Excavator</t>
        </is>
      </c>
      <c r="C81" s="40" t="inlineStr">
        <is>
          <t>Day</t>
        </is>
      </c>
      <c r="E81" s="583">
        <f>'Equip&amp;HIRE_Master'!D13</f>
        <v/>
      </c>
      <c r="F81" s="583">
        <f>E81*D81</f>
        <v/>
      </c>
    </row>
    <row r="82">
      <c r="A82" s="40" t="n"/>
      <c r="B82" s="201" t="inlineStr">
        <is>
          <t>20-24Ton_Excavator</t>
        </is>
      </c>
      <c r="C82" s="40" t="inlineStr">
        <is>
          <t>Day</t>
        </is>
      </c>
      <c r="E82" s="583">
        <f>'Equip&amp;HIRE_Master'!D14</f>
        <v/>
      </c>
      <c r="F82" s="583">
        <f>E82*D82</f>
        <v/>
      </c>
    </row>
    <row r="83" ht="6.6" customHeight="1">
      <c r="A83" s="40" t="n"/>
      <c r="B83" s="201" t="n"/>
      <c r="E83" s="583">
        <f>'Equip&amp;HIRE_Master'!D15</f>
        <v/>
      </c>
      <c r="F83" s="583">
        <f>E83*D83</f>
        <v/>
      </c>
    </row>
    <row r="84">
      <c r="A84" s="40" t="n"/>
      <c r="B84" s="201" t="inlineStr">
        <is>
          <t>Ripper_1.7-2T</t>
        </is>
      </c>
      <c r="C84" s="40" t="inlineStr">
        <is>
          <t>Day</t>
        </is>
      </c>
      <c r="E84" s="583">
        <f>'Equip&amp;HIRE_Master'!D16</f>
        <v/>
      </c>
      <c r="F84" s="583">
        <f>E84*D84</f>
        <v/>
      </c>
    </row>
    <row r="85">
      <c r="A85" s="40" t="n"/>
      <c r="B85" s="201" t="inlineStr">
        <is>
          <t>Ripper_1.5-4T</t>
        </is>
      </c>
      <c r="C85" s="40" t="inlineStr">
        <is>
          <t>Day</t>
        </is>
      </c>
      <c r="E85" s="583">
        <f>'Equip&amp;HIRE_Master'!D17</f>
        <v/>
      </c>
      <c r="F85" s="583">
        <f>E85*D85</f>
        <v/>
      </c>
    </row>
    <row r="86">
      <c r="A86" s="40" t="n"/>
      <c r="B86" s="201" t="inlineStr">
        <is>
          <t>Ripper_3-5T</t>
        </is>
      </c>
      <c r="C86" s="40" t="inlineStr">
        <is>
          <t>Day</t>
        </is>
      </c>
      <c r="E86" s="583">
        <f>'Equip&amp;HIRE_Master'!D18</f>
        <v/>
      </c>
      <c r="F86" s="583">
        <f>E86*D86</f>
        <v/>
      </c>
    </row>
    <row r="87">
      <c r="A87" s="40" t="n"/>
      <c r="B87" s="201" t="inlineStr">
        <is>
          <t>Ripper_8T</t>
        </is>
      </c>
      <c r="C87" s="40" t="inlineStr">
        <is>
          <t>Day</t>
        </is>
      </c>
      <c r="E87" s="583">
        <f>'Equip&amp;HIRE_Master'!D19</f>
        <v/>
      </c>
      <c r="F87" s="583">
        <f>E87*D87</f>
        <v/>
      </c>
    </row>
    <row r="88">
      <c r="A88" s="40" t="n"/>
      <c r="B88" s="201" t="inlineStr">
        <is>
          <t>Breaker_1.7-2T</t>
        </is>
      </c>
      <c r="C88" s="40" t="inlineStr">
        <is>
          <t>Day</t>
        </is>
      </c>
      <c r="E88" s="583">
        <f>'Equip&amp;HIRE_Master'!D20</f>
        <v/>
      </c>
      <c r="F88" s="583">
        <f>E88*D88</f>
        <v/>
      </c>
    </row>
    <row r="89">
      <c r="A89" s="40" t="n"/>
      <c r="B89" s="201" t="inlineStr">
        <is>
          <t>Breaker_3-5T</t>
        </is>
      </c>
      <c r="C89" s="40" t="inlineStr">
        <is>
          <t>Day</t>
        </is>
      </c>
      <c r="E89" s="583">
        <f>'Equip&amp;HIRE_Master'!D21</f>
        <v/>
      </c>
      <c r="F89" s="583">
        <f>E89*D89</f>
        <v/>
      </c>
    </row>
    <row r="90">
      <c r="A90" s="40" t="n"/>
      <c r="B90" s="201" t="inlineStr">
        <is>
          <t>Breaker_8T</t>
        </is>
      </c>
      <c r="C90" s="40" t="inlineStr">
        <is>
          <t>Day</t>
        </is>
      </c>
      <c r="E90" s="583">
        <f>'Equip&amp;HIRE_Master'!D22</f>
        <v/>
      </c>
      <c r="F90" s="583">
        <f>E90*D90</f>
        <v/>
      </c>
    </row>
    <row r="91">
      <c r="A91" s="40" t="n"/>
      <c r="B91" s="201" t="inlineStr">
        <is>
          <t>Breaker_10-12T</t>
        </is>
      </c>
      <c r="C91" s="40" t="inlineStr">
        <is>
          <t>Day</t>
        </is>
      </c>
      <c r="E91" s="583">
        <f>'Equip&amp;HIRE_Master'!D23</f>
        <v/>
      </c>
      <c r="F91" s="583">
        <f>E91*D91</f>
        <v/>
      </c>
    </row>
    <row r="92">
      <c r="A92" s="40" t="n"/>
      <c r="B92" s="201" t="inlineStr">
        <is>
          <t>Breaker_13-15T</t>
        </is>
      </c>
      <c r="C92" s="40" t="inlineStr">
        <is>
          <t>Day</t>
        </is>
      </c>
      <c r="E92" s="583">
        <f>'Equip&amp;HIRE_Master'!D24</f>
        <v/>
      </c>
      <c r="F92" s="583">
        <f>E92*D92</f>
        <v/>
      </c>
    </row>
    <row r="93">
      <c r="A93" s="40" t="n"/>
      <c r="B93" s="201" t="inlineStr">
        <is>
          <t>Auger Drive_10-12T</t>
        </is>
      </c>
      <c r="E93" s="583">
        <f>'Equip&amp;HIRE_Master'!D25</f>
        <v/>
      </c>
      <c r="F93" s="583">
        <f>E93*D93</f>
        <v/>
      </c>
    </row>
    <row r="94">
      <c r="A94" s="40" t="n"/>
      <c r="B94" s="201" t="inlineStr">
        <is>
          <t>300Dia Auger Drill</t>
        </is>
      </c>
      <c r="E94" s="583">
        <f>'Equip&amp;HIRE_Master'!D26</f>
        <v/>
      </c>
      <c r="F94" s="583">
        <f>E94*D94</f>
        <v/>
      </c>
    </row>
    <row r="95" ht="4.95" customHeight="1">
      <c r="A95" s="40" t="n"/>
      <c r="B95" s="201" t="n"/>
      <c r="E95" s="583">
        <f>'Equip&amp;HIRE_Master'!D27</f>
        <v/>
      </c>
      <c r="F95" s="583">
        <f>E95*D95</f>
        <v/>
      </c>
    </row>
    <row r="96">
      <c r="A96" s="40" t="n"/>
      <c r="B96" s="201" t="inlineStr">
        <is>
          <t xml:space="preserve">1.25T_Tipper Truck </t>
        </is>
      </c>
      <c r="C96" s="40" t="inlineStr">
        <is>
          <t>Day</t>
        </is>
      </c>
      <c r="E96" s="583">
        <f>'Equip&amp;HIRE_Master'!D28</f>
        <v/>
      </c>
      <c r="F96" s="583">
        <f>E96*D96</f>
        <v/>
      </c>
    </row>
    <row r="97">
      <c r="A97" s="40" t="n"/>
      <c r="B97" s="201" t="inlineStr">
        <is>
          <t>2-4T_Tipper Truck</t>
        </is>
      </c>
      <c r="C97" s="40" t="inlineStr">
        <is>
          <t>Day</t>
        </is>
      </c>
      <c r="E97" s="583">
        <f>'Equip&amp;HIRE_Master'!D29</f>
        <v/>
      </c>
      <c r="F97" s="583">
        <f>E97*D97</f>
        <v/>
      </c>
    </row>
    <row r="98">
      <c r="A98" s="40" t="n"/>
      <c r="B98" s="201" t="inlineStr">
        <is>
          <t>&lt;6T_Tipper Truck</t>
        </is>
      </c>
      <c r="C98" s="40" t="inlineStr">
        <is>
          <t>Day</t>
        </is>
      </c>
      <c r="E98" s="583">
        <f>'Equip&amp;HIRE_Master'!D30</f>
        <v/>
      </c>
      <c r="F98" s="583">
        <f>E98*D98</f>
        <v/>
      </c>
    </row>
    <row r="99" ht="4.2" customHeight="1">
      <c r="A99" s="40" t="n"/>
      <c r="B99" s="201" t="n"/>
      <c r="E99" s="583">
        <f>'Equip&amp;HIRE_Master'!D31</f>
        <v/>
      </c>
      <c r="F99" s="583">
        <f>E99*D99</f>
        <v/>
      </c>
    </row>
    <row r="100">
      <c r="A100" s="40" t="n"/>
      <c r="B100" s="201" t="inlineStr">
        <is>
          <t>&lt;10T_Articulated Site Tipper</t>
        </is>
      </c>
      <c r="C100" s="40" t="inlineStr">
        <is>
          <t>Day</t>
        </is>
      </c>
      <c r="E100" s="583">
        <f>'Equip&amp;HIRE_Master'!D32</f>
        <v/>
      </c>
      <c r="F100" s="583">
        <f>E100*D100</f>
        <v/>
      </c>
    </row>
    <row r="101">
      <c r="A101" s="40" t="n"/>
      <c r="B101" s="201" t="inlineStr">
        <is>
          <t>Upright Rammer_Wacker</t>
        </is>
      </c>
      <c r="C101" s="40" t="inlineStr">
        <is>
          <t>Day</t>
        </is>
      </c>
      <c r="D101" t="n">
        <v>4</v>
      </c>
      <c r="E101" s="583">
        <f>'Equip&amp;HIRE_Master'!D33</f>
        <v/>
      </c>
      <c r="F101" s="583">
        <f>E101*D101</f>
        <v/>
      </c>
      <c r="H101" s="540" t="inlineStr">
        <is>
          <t>Phase 7 plant (1B): T1-09 4</t>
        </is>
      </c>
    </row>
    <row r="102">
      <c r="A102" s="40" t="n"/>
      <c r="B102" s="201" t="inlineStr">
        <is>
          <t>Trench Roller_Dbl Drum_Remote</t>
        </is>
      </c>
      <c r="C102" s="40" t="inlineStr">
        <is>
          <t>Day</t>
        </is>
      </c>
      <c r="E102" s="583">
        <f>'Equip&amp;HIRE_Master'!D34</f>
        <v/>
      </c>
      <c r="F102" s="583">
        <f>E102*D102</f>
        <v/>
      </c>
    </row>
    <row r="103">
      <c r="A103" s="40" t="n"/>
      <c r="B103" s="201" t="inlineStr">
        <is>
          <t>&lt;26Ft_Scissor Lift - Diesel</t>
        </is>
      </c>
      <c r="C103" s="40" t="inlineStr">
        <is>
          <t>Day</t>
        </is>
      </c>
      <c r="E103" s="583">
        <f>'Equip&amp;HIRE_Master'!D35</f>
        <v/>
      </c>
      <c r="F103" s="583">
        <f>E103*D103</f>
        <v/>
      </c>
    </row>
    <row r="104">
      <c r="A104" s="40" t="n"/>
      <c r="B104" s="201" t="inlineStr">
        <is>
          <t>&lt;26Ft_Scissor Lift - Elec</t>
        </is>
      </c>
      <c r="C104" s="40" t="inlineStr">
        <is>
          <t>Day</t>
        </is>
      </c>
      <c r="E104" s="583">
        <f>'Equip&amp;HIRE_Master'!D36</f>
        <v/>
      </c>
      <c r="F104" s="583">
        <f>E104*D104</f>
        <v/>
      </c>
    </row>
    <row r="105">
      <c r="A105" s="40" t="n"/>
      <c r="B105" s="201" t="inlineStr">
        <is>
          <t>&lt;34Ft_Boom Lift - Diesel</t>
        </is>
      </c>
      <c r="C105" s="40" t="inlineStr">
        <is>
          <t>Day</t>
        </is>
      </c>
      <c r="E105" s="583">
        <f>'Equip&amp;HIRE_Master'!D37</f>
        <v/>
      </c>
      <c r="F105" s="583">
        <f>E105*D105</f>
        <v/>
      </c>
    </row>
    <row r="106">
      <c r="A106" s="40" t="n"/>
      <c r="B106" s="201" t="inlineStr">
        <is>
          <t>&lt;34Ft_Boom Lift - Elec</t>
        </is>
      </c>
      <c r="C106" s="40" t="inlineStr">
        <is>
          <t>Day</t>
        </is>
      </c>
      <c r="E106" s="583">
        <f>'Equip&amp;HIRE_Master'!D38</f>
        <v/>
      </c>
      <c r="F106" s="583">
        <f>E106*D106</f>
        <v/>
      </c>
    </row>
    <row r="107" ht="6" customHeight="1">
      <c r="A107" s="40" t="n"/>
      <c r="B107" s="201" t="n"/>
      <c r="E107" s="583">
        <f>'Equip&amp;HIRE_Master'!D39</f>
        <v/>
      </c>
      <c r="F107" s="583">
        <f>E107*D107</f>
        <v/>
      </c>
    </row>
    <row r="108">
      <c r="A108" s="40" t="n"/>
      <c r="B108" s="201" t="inlineStr">
        <is>
          <t>Porta Loo_No Tank</t>
        </is>
      </c>
      <c r="C108" s="40" t="inlineStr">
        <is>
          <t>Day</t>
        </is>
      </c>
      <c r="E108" s="583">
        <f>'Equip&amp;HIRE_Master'!D40</f>
        <v/>
      </c>
      <c r="F108" s="583">
        <f>E108*D108</f>
        <v/>
      </c>
    </row>
    <row r="109">
      <c r="A109" s="40" t="n"/>
      <c r="B109" s="201" t="inlineStr">
        <is>
          <t>6*3m Demantable Lunchroom - COMPLETE</t>
        </is>
      </c>
      <c r="C109" s="40" t="inlineStr">
        <is>
          <t>Day</t>
        </is>
      </c>
      <c r="E109" s="583">
        <f>'Equip&amp;HIRE_Master'!D41</f>
        <v/>
      </c>
      <c r="F109" s="583">
        <f>E109*D109</f>
        <v/>
      </c>
    </row>
    <row r="110">
      <c r="A110" s="40" t="n"/>
      <c r="B110" s="201" t="inlineStr">
        <is>
          <t>6*3m Demantable Office - COMPLETE</t>
        </is>
      </c>
      <c r="C110" s="40" t="inlineStr">
        <is>
          <t>Day</t>
        </is>
      </c>
      <c r="E110" s="583">
        <f>'Equip&amp;HIRE_Master'!D42</f>
        <v/>
      </c>
      <c r="F110" s="583">
        <f>E110*D110</f>
        <v/>
      </c>
    </row>
    <row r="111" hidden="1">
      <c r="A111" s="40" t="n"/>
      <c r="B111" s="201" t="inlineStr">
        <is>
          <t>20Ft Shipping Container</t>
        </is>
      </c>
      <c r="C111" s="40" t="inlineStr">
        <is>
          <t>Day</t>
        </is>
      </c>
      <c r="E111" s="583">
        <f>'Equip&amp;HIRE_Master'!D43</f>
        <v/>
      </c>
      <c r="F111" s="583">
        <f>E111*D111</f>
        <v/>
      </c>
    </row>
    <row r="112" hidden="1">
      <c r="A112" s="40" t="n"/>
      <c r="B112" s="201" t="inlineStr">
        <is>
          <t>Quick Cut Demo Saw</t>
        </is>
      </c>
      <c r="C112" s="40" t="inlineStr">
        <is>
          <t>Day</t>
        </is>
      </c>
      <c r="E112" s="583">
        <f>'Equip&amp;HIRE_Master'!D44</f>
        <v/>
      </c>
      <c r="F112" s="583">
        <f>E112*D112</f>
        <v/>
      </c>
    </row>
    <row r="113" hidden="1">
      <c r="A113" s="40" t="n"/>
      <c r="B113" s="201" t="inlineStr">
        <is>
          <t>Sngl Ph_6KVA Genset</t>
        </is>
      </c>
      <c r="C113" s="40" t="inlineStr">
        <is>
          <t>Day</t>
        </is>
      </c>
      <c r="E113" s="583">
        <f>'Equip&amp;HIRE_Master'!D45</f>
        <v/>
      </c>
      <c r="F113" s="583">
        <f>E113*D113</f>
        <v/>
      </c>
    </row>
    <row r="114" hidden="1">
      <c r="A114" s="40" t="n"/>
      <c r="B114" s="201" t="inlineStr">
        <is>
          <t>Diesel Air Compressor_Trailer</t>
        </is>
      </c>
      <c r="C114" s="40" t="inlineStr">
        <is>
          <t>Day</t>
        </is>
      </c>
      <c r="E114" s="583">
        <f>'Equip&amp;HIRE_Master'!D46</f>
        <v/>
      </c>
      <c r="F114" s="583">
        <f>E114*D114</f>
        <v/>
      </c>
    </row>
    <row r="115" hidden="1">
      <c r="A115" s="40" t="n"/>
      <c r="B115" s="201" t="inlineStr">
        <is>
          <t>Air Breaker - Heavy</t>
        </is>
      </c>
      <c r="C115" s="40" t="inlineStr">
        <is>
          <t>Day</t>
        </is>
      </c>
      <c r="E115" s="583">
        <f>'Equip&amp;HIRE_Master'!D47</f>
        <v/>
      </c>
      <c r="F115" s="583">
        <f>E115*D115</f>
        <v/>
      </c>
    </row>
    <row r="116" hidden="1">
      <c r="A116" s="40" t="n"/>
      <c r="B116" s="201" t="inlineStr">
        <is>
          <t>Air Hose &lt;10m</t>
        </is>
      </c>
      <c r="C116" s="40" t="inlineStr">
        <is>
          <t>Day</t>
        </is>
      </c>
      <c r="E116" s="583">
        <f>'Equip&amp;HIRE_Master'!D48</f>
        <v/>
      </c>
      <c r="F116" s="583">
        <f>E116*D116</f>
        <v/>
      </c>
    </row>
    <row r="117" hidden="1">
      <c r="A117" s="40" t="n"/>
      <c r="B117" s="201" t="inlineStr">
        <is>
          <t>Elec Breaker/Jachammer</t>
        </is>
      </c>
      <c r="C117" s="40" t="inlineStr">
        <is>
          <t>Day</t>
        </is>
      </c>
      <c r="E117" s="583">
        <f>'Equip&amp;HIRE_Master'!D49</f>
        <v/>
      </c>
      <c r="F117" s="583">
        <f>E117*D117</f>
        <v/>
      </c>
    </row>
    <row r="118" hidden="1">
      <c r="A118" s="40" t="n"/>
      <c r="B118" s="201" t="inlineStr">
        <is>
          <t>Flexdrive Motor Unit</t>
        </is>
      </c>
      <c r="C118" s="40" t="inlineStr">
        <is>
          <t>Day</t>
        </is>
      </c>
      <c r="E118" s="583">
        <f>'Equip&amp;HIRE_Master'!D50</f>
        <v/>
      </c>
      <c r="F118" s="583">
        <f>E118*D118</f>
        <v/>
      </c>
    </row>
    <row r="119" hidden="1">
      <c r="A119" s="40" t="n"/>
      <c r="B119" s="201" t="inlineStr">
        <is>
          <t>Flexdrive_Pump Shaft</t>
        </is>
      </c>
      <c r="C119" s="40" t="inlineStr">
        <is>
          <t>Day</t>
        </is>
      </c>
      <c r="E119" s="583">
        <f>'Equip&amp;HIRE_Master'!D51</f>
        <v/>
      </c>
      <c r="F119" s="583">
        <f>E119*D119</f>
        <v/>
      </c>
    </row>
    <row r="120" hidden="1">
      <c r="A120" s="40" t="n"/>
      <c r="B120" s="201" t="inlineStr">
        <is>
          <t>Temporary Power Board</t>
        </is>
      </c>
      <c r="C120" s="40" t="inlineStr">
        <is>
          <t>Day</t>
        </is>
      </c>
      <c r="E120" s="583">
        <f>'Equip&amp;HIRE_Master'!D52</f>
        <v/>
      </c>
      <c r="F120" s="583">
        <f>E120*D120</f>
        <v/>
      </c>
    </row>
    <row r="121" ht="6" customHeight="1">
      <c r="A121" s="40" t="n"/>
      <c r="B121" s="201" t="n"/>
      <c r="E121" s="583">
        <f>'Equip&amp;HIRE_Master'!D53</f>
        <v/>
      </c>
      <c r="F121" s="583">
        <f>E121*D121</f>
        <v/>
      </c>
    </row>
    <row r="122">
      <c r="A122" s="40" t="n"/>
      <c r="B122" s="201" t="inlineStr">
        <is>
          <t>Dual CabUte</t>
        </is>
      </c>
      <c r="C122" s="40" t="inlineStr">
        <is>
          <t>Day</t>
        </is>
      </c>
      <c r="E122" s="583">
        <f>'Equip&amp;HIRE_Master'!D54</f>
        <v/>
      </c>
      <c r="F122" s="583">
        <f>E122*D122</f>
        <v/>
      </c>
    </row>
    <row r="123">
      <c r="A123" s="40" t="n"/>
      <c r="B123" s="201" t="inlineStr">
        <is>
          <t xml:space="preserve">3m3 Skip Bbin </t>
        </is>
      </c>
      <c r="C123" s="40" t="inlineStr">
        <is>
          <t>per serive</t>
        </is>
      </c>
      <c r="E123" s="583">
        <f>'Equip&amp;HIRE_Master'!D55</f>
        <v/>
      </c>
      <c r="F123" s="583">
        <f>E123*D123</f>
        <v/>
      </c>
    </row>
    <row r="124">
      <c r="A124" s="40" t="n"/>
      <c r="B124" s="201" t="inlineStr">
        <is>
          <t xml:space="preserve">plus disposal </t>
        </is>
      </c>
      <c r="C124" s="40" t="inlineStr">
        <is>
          <t xml:space="preserve">Tonne </t>
        </is>
      </c>
      <c r="E124" s="583">
        <f>'Equip&amp;HIRE_Master'!D56</f>
        <v/>
      </c>
      <c r="F124" s="583">
        <f>E124*D124</f>
        <v/>
      </c>
    </row>
    <row r="125">
      <c r="A125" s="40" t="n"/>
      <c r="B125" s="201" t="inlineStr">
        <is>
          <t xml:space="preserve">site fee </t>
        </is>
      </c>
      <c r="C125" s="40" t="inlineStr">
        <is>
          <t>Week</t>
        </is>
      </c>
      <c r="E125" s="583">
        <f>'Equip&amp;HIRE_Master'!D57</f>
        <v/>
      </c>
      <c r="F125" s="583">
        <f>E125*D125</f>
        <v/>
      </c>
    </row>
    <row r="126">
      <c r="A126" s="40" t="n"/>
      <c r="B126" s="201" t="inlineStr">
        <is>
          <t>~4m3_Skip Bin</t>
        </is>
      </c>
      <c r="C126" s="40" t="inlineStr">
        <is>
          <t xml:space="preserve">per change over </t>
        </is>
      </c>
      <c r="E126" s="583">
        <f>'Equip&amp;HIRE_Master'!D58</f>
        <v/>
      </c>
      <c r="F126" s="583">
        <f>E126*D126</f>
        <v/>
      </c>
    </row>
    <row r="127">
      <c r="A127" s="40" t="n"/>
      <c r="B127" s="201" t="inlineStr">
        <is>
          <t>~6m3_Skip Bin</t>
        </is>
      </c>
      <c r="C127" s="40" t="inlineStr">
        <is>
          <t xml:space="preserve">per change over </t>
        </is>
      </c>
      <c r="E127" s="583">
        <f>'Equip&amp;HIRE_Master'!D59</f>
        <v/>
      </c>
      <c r="F127" s="583">
        <f>E127*D127</f>
        <v/>
      </c>
    </row>
    <row r="128">
      <c r="A128" s="40" t="n"/>
      <c r="B128" s="201" t="inlineStr">
        <is>
          <t xml:space="preserve">Plus disposal </t>
        </is>
      </c>
      <c r="C128" s="40" t="inlineStr">
        <is>
          <t xml:space="preserve">Tonne </t>
        </is>
      </c>
      <c r="E128" s="583">
        <f>'Equip&amp;HIRE_Master'!D60</f>
        <v/>
      </c>
      <c r="F128" s="583">
        <f>E128*D128</f>
        <v/>
      </c>
    </row>
    <row r="129">
      <c r="A129" s="40" t="n"/>
      <c r="B129" s="201" t="inlineStr">
        <is>
          <t xml:space="preserve">Site fee </t>
        </is>
      </c>
      <c r="C129" s="40" t="inlineStr">
        <is>
          <t>Week</t>
        </is>
      </c>
      <c r="E129" s="583">
        <f>'Equip&amp;HIRE_Master'!D61</f>
        <v/>
      </c>
      <c r="F129" s="583">
        <f>E129*D129</f>
        <v/>
      </c>
    </row>
    <row r="130">
      <c r="A130" s="40" t="n"/>
      <c r="B130" s="201" t="inlineStr">
        <is>
          <t>Vacuum Excavator - Vermeer VT250D</t>
        </is>
      </c>
      <c r="C130" s="40" t="inlineStr">
        <is>
          <t>Day</t>
        </is>
      </c>
      <c r="E130" s="583">
        <f>'Equip&amp;HIRE_Master'!D62</f>
        <v/>
      </c>
      <c r="F130" s="583">
        <f>E130*D130</f>
        <v/>
      </c>
    </row>
    <row r="131">
      <c r="A131" s="40" t="n"/>
      <c r="B131" s="201" t="inlineStr">
        <is>
          <t>Vac Trailer – Dry Hire</t>
        </is>
      </c>
      <c r="C131" s="40" t="inlineStr">
        <is>
          <t>Day</t>
        </is>
      </c>
      <c r="E131" s="583">
        <f>'Equip&amp;HIRE_Master'!D63</f>
        <v/>
      </c>
      <c r="F131" s="583">
        <f>E131*D131</f>
        <v/>
      </c>
    </row>
    <row r="132" ht="6" customHeight="1">
      <c r="A132" s="40" t="n"/>
      <c r="B132" s="201" t="n"/>
      <c r="E132" s="583">
        <f>'Equip&amp;HIRE_Master'!D64</f>
        <v/>
      </c>
      <c r="F132" s="583">
        <f>E132*D132</f>
        <v/>
      </c>
    </row>
    <row r="133">
      <c r="A133" s="40" t="n"/>
      <c r="B133" s="201" t="inlineStr">
        <is>
          <t>TRANSPORT_Ex BRIS - Return</t>
        </is>
      </c>
      <c r="C133" s="40" t="inlineStr">
        <is>
          <t>Day</t>
        </is>
      </c>
      <c r="E133" s="583">
        <f>'Equip&amp;HIRE_Master'!D65</f>
        <v/>
      </c>
      <c r="F133" s="583">
        <f>E133*D133</f>
        <v/>
      </c>
    </row>
    <row r="134">
      <c r="A134" s="40" t="n"/>
      <c r="B134" s="201" t="inlineStr">
        <is>
          <t>TRANSPORT_Ex ROK - Return</t>
        </is>
      </c>
      <c r="C134" s="40" t="inlineStr">
        <is>
          <t>Hour</t>
        </is>
      </c>
      <c r="E134" s="583">
        <f>'Equip&amp;HIRE_Master'!D66</f>
        <v/>
      </c>
      <c r="F134" s="583">
        <f>E134*D134</f>
        <v/>
      </c>
    </row>
    <row r="135">
      <c r="A135" s="40" t="n"/>
      <c r="B135" s="201" t="inlineStr">
        <is>
          <t>0-4T Per Hour Delivery Rate</t>
        </is>
      </c>
      <c r="C135" s="40" t="inlineStr">
        <is>
          <t>Hour</t>
        </is>
      </c>
      <c r="E135" s="583">
        <f>'Equip&amp;HIRE_Master'!D67</f>
        <v/>
      </c>
      <c r="F135" s="583">
        <f>E135*D135</f>
        <v/>
      </c>
    </row>
    <row r="136">
      <c r="A136" s="40" t="n"/>
      <c r="B136" s="201" t="inlineStr">
        <is>
          <t xml:space="preserve">5 - 9t Transport Hourly Rate </t>
        </is>
      </c>
      <c r="C136" s="40" t="inlineStr">
        <is>
          <t>Hour</t>
        </is>
      </c>
      <c r="E136" s="583">
        <f>'Equip&amp;HIRE_Master'!D68</f>
        <v/>
      </c>
      <c r="F136" s="583">
        <f>E136*D136</f>
        <v/>
      </c>
    </row>
    <row r="137">
      <c r="A137" s="40" t="n"/>
      <c r="B137" s="201" t="inlineStr">
        <is>
          <t>10 - 19t Low Loader Hourly rate - Minimum 2 Hour Charge</t>
        </is>
      </c>
      <c r="C137" s="40" t="inlineStr">
        <is>
          <t>Hour</t>
        </is>
      </c>
      <c r="E137" s="583">
        <f>'Equip&amp;HIRE_Master'!D69</f>
        <v/>
      </c>
      <c r="F137" s="583">
        <f>E137*D137</f>
        <v/>
      </c>
    </row>
    <row r="138">
      <c r="A138" s="40" t="n"/>
      <c r="E138" s="583" t="n"/>
      <c r="F138" s="583" t="n"/>
    </row>
    <row r="139">
      <c r="A139" s="40" t="n"/>
      <c r="B139" s="201" t="inlineStr">
        <is>
          <t>FUEL - Average_Candle</t>
        </is>
      </c>
      <c r="C139" s="40" t="inlineStr">
        <is>
          <t>Week</t>
        </is>
      </c>
      <c r="E139" s="583" t="n">
        <v>1850</v>
      </c>
      <c r="F139" s="583">
        <f>E139*D139</f>
        <v/>
      </c>
    </row>
    <row r="140" ht="10.8" customHeight="1" thickBot="1">
      <c r="A140" s="40" t="n"/>
      <c r="E140" s="583" t="n"/>
      <c r="F140" s="583" t="n"/>
    </row>
    <row r="141" ht="10.8" customHeight="1" thickBot="1">
      <c r="A141" s="42" t="n"/>
      <c r="B141" s="49" t="inlineStr">
        <is>
          <t xml:space="preserve">Subbies &amp; Misc </t>
        </is>
      </c>
      <c r="E141" s="583" t="n"/>
      <c r="F141" s="583" t="n"/>
    </row>
    <row r="142">
      <c r="E142" s="583" t="n"/>
      <c r="F142" s="583" t="n"/>
    </row>
    <row r="143">
      <c r="B143" s="38" t="inlineStr">
        <is>
          <t>Surveyor</t>
        </is>
      </c>
      <c r="C143" s="40" t="inlineStr">
        <is>
          <t>ea</t>
        </is>
      </c>
      <c r="E143" s="583">
        <f>'Misc Subbie Rates_Master'!D35</f>
        <v/>
      </c>
      <c r="F143" s="583">
        <f>E143*D143</f>
        <v/>
      </c>
    </row>
    <row r="144">
      <c r="B144" s="38" t="inlineStr">
        <is>
          <t>Services Locator</t>
        </is>
      </c>
      <c r="C144" s="40" t="inlineStr">
        <is>
          <t>ea</t>
        </is>
      </c>
      <c r="E144" s="583">
        <f>'Misc Subbie Rates_Master'!D42</f>
        <v/>
      </c>
      <c r="F144" s="583">
        <f>E144*D144</f>
        <v/>
      </c>
    </row>
    <row r="145">
      <c r="B145" s="38" t="inlineStr">
        <is>
          <t>Compaction Testing - TEST</t>
        </is>
      </c>
      <c r="C145" s="40" t="inlineStr">
        <is>
          <t>ea</t>
        </is>
      </c>
      <c r="E145" s="583">
        <f>'Misc Subbie Rates_Master'!D72</f>
        <v/>
      </c>
      <c r="F145" s="583">
        <f>E145*D145</f>
        <v/>
      </c>
    </row>
    <row r="146">
      <c r="B146" s="38" t="inlineStr">
        <is>
          <t>Compaction Testing - Site Establishment</t>
        </is>
      </c>
      <c r="C146" s="40" t="inlineStr">
        <is>
          <t>ea</t>
        </is>
      </c>
      <c r="E146" s="583">
        <f>'Misc Subbie Rates_Master'!D73</f>
        <v/>
      </c>
      <c r="F146" s="583">
        <f>E146*D146</f>
        <v/>
      </c>
    </row>
    <row r="147">
      <c r="C147" s="40" t="inlineStr">
        <is>
          <t>ea</t>
        </is>
      </c>
      <c r="E147" s="583" t="n"/>
      <c r="F147" s="583">
        <f>E147*D147</f>
        <v/>
      </c>
    </row>
    <row r="148">
      <c r="C148" s="40" t="inlineStr">
        <is>
          <t>ea</t>
        </is>
      </c>
      <c r="E148" s="583" t="n"/>
      <c r="F148" s="583">
        <f>E148*D148</f>
        <v/>
      </c>
    </row>
    <row r="149">
      <c r="B149" s="283" t="inlineStr">
        <is>
          <t>FIRE TESTING / CERT</t>
        </is>
      </c>
      <c r="C149" s="40" t="inlineStr">
        <is>
          <t>ea</t>
        </is>
      </c>
      <c r="E149" s="583" t="n"/>
      <c r="F149" s="583">
        <f>E149*D149</f>
        <v/>
      </c>
    </row>
    <row r="150">
      <c r="B150" s="1" t="inlineStr">
        <is>
          <t>FULL Hydro Test - Per Test (6.5Hr 1 x fitter, 1 x apprentice, 1 day Test gear)</t>
        </is>
      </c>
      <c r="C150" s="40" t="inlineStr">
        <is>
          <t>ea</t>
        </is>
      </c>
      <c r="E150" s="583">
        <f>'Misc Subbie Rates_Master'!D84</f>
        <v/>
      </c>
      <c r="F150" s="583">
        <f>E150*D150</f>
        <v/>
      </c>
    </row>
    <row r="151">
      <c r="B151" s="38" t="inlineStr">
        <is>
          <t>Provision of Form 72</t>
        </is>
      </c>
      <c r="C151" s="40" t="inlineStr">
        <is>
          <t>ea</t>
        </is>
      </c>
      <c r="E151" s="583">
        <f>'Misc Subbie Rates_Master'!D86</f>
        <v/>
      </c>
      <c r="F151" s="583">
        <f>E151*D151</f>
        <v/>
      </c>
    </row>
    <row r="152">
      <c r="B152" t="inlineStr">
        <is>
          <t>Consumables &amp; small tools - PAM/1B crews (allowance)</t>
        </is>
      </c>
      <c r="C152" t="inlineStr">
        <is>
          <t>item</t>
        </is>
      </c>
      <c r="D152" t="n">
        <v>1</v>
      </c>
      <c r="E152" s="583" t="n">
        <v>800</v>
      </c>
      <c r="F152" s="583">
        <f>E152*D152</f>
        <v/>
      </c>
      <c r="H152" s="540" t="inlineStr">
        <is>
          <t>Phase 7 consumables flag</t>
        </is>
      </c>
    </row>
    <row r="153" ht="10.8" customHeight="1" thickBot="1">
      <c r="E153" s="583" t="n"/>
      <c r="F153" s="583" t="n"/>
    </row>
    <row r="154" ht="10.8" customHeight="1" thickBot="1">
      <c r="A154" s="42" t="n"/>
      <c r="B154" s="49" t="inlineStr">
        <is>
          <t>Material - Quarry, Misc</t>
        </is>
      </c>
      <c r="E154" s="583" t="n"/>
      <c r="F154" s="583" t="n"/>
    </row>
    <row r="155">
      <c r="E155" s="583" t="n"/>
      <c r="F155" s="583" t="n"/>
    </row>
    <row r="156" hidden="1">
      <c r="B156" s="38">
        <f>'Material Rates_Master'!A185</f>
        <v/>
      </c>
      <c r="C156" s="40">
        <f>'Material Rates_Master'!B185</f>
        <v/>
      </c>
      <c r="D156">
        <f>I892</f>
        <v/>
      </c>
      <c r="E156" s="583">
        <f>'Material Rates_Master'!D185</f>
        <v/>
      </c>
      <c r="F156" s="583">
        <f>E156*D156</f>
        <v/>
      </c>
      <c r="H156" s="540" t="inlineStr">
        <is>
          <t>Bedding import = helper I892 (auto)</t>
        </is>
      </c>
    </row>
    <row r="157" hidden="1">
      <c r="B157" s="38">
        <f>'Material Rates_Master'!A186</f>
        <v/>
      </c>
      <c r="C157" s="40">
        <f>'Material Rates_Master'!B186</f>
        <v/>
      </c>
      <c r="E157" s="583">
        <f>'Material Rates_Master'!D186</f>
        <v/>
      </c>
      <c r="F157" s="583">
        <f>E157*D157</f>
        <v/>
      </c>
    </row>
    <row r="158" hidden="1">
      <c r="B158" s="38">
        <f>'Material Rates_Master'!A187</f>
        <v/>
      </c>
      <c r="C158" s="40">
        <f>'Material Rates_Master'!B187</f>
        <v/>
      </c>
      <c r="E158" s="583">
        <f>'Material Rates_Master'!D187</f>
        <v/>
      </c>
      <c r="F158" s="583">
        <f>E158*D158</f>
        <v/>
      </c>
    </row>
    <row r="159" hidden="1">
      <c r="B159" s="38">
        <f>'Material Rates_Master'!A188</f>
        <v/>
      </c>
      <c r="C159" s="40">
        <f>'Material Rates_Master'!B188</f>
        <v/>
      </c>
      <c r="E159" s="583">
        <f>'Material Rates_Master'!D188</f>
        <v/>
      </c>
      <c r="F159" s="583">
        <f>E159*D159</f>
        <v/>
      </c>
    </row>
    <row r="160" hidden="1">
      <c r="B160" s="38">
        <f>'Material Rates_Master'!A189</f>
        <v/>
      </c>
      <c r="C160" s="40">
        <f>'Material Rates_Master'!B189</f>
        <v/>
      </c>
      <c r="E160" s="583">
        <f>'Material Rates_Master'!D189</f>
        <v/>
      </c>
      <c r="F160" s="583">
        <f>E160*D160</f>
        <v/>
      </c>
    </row>
    <row r="161" hidden="1" ht="4.2" customHeight="1">
      <c r="B161" t="inlineStr">
        <is>
          <t>Spoil haulage &amp; dump (take-off helper M892 @ $15/m3)</t>
        </is>
      </c>
      <c r="C161" t="inlineStr">
        <is>
          <t>item</t>
        </is>
      </c>
      <c r="D161" t="n">
        <v>1</v>
      </c>
      <c r="E161" s="583">
        <f>M892</f>
        <v/>
      </c>
      <c r="F161" s="583">
        <f>E161*D161</f>
        <v/>
      </c>
      <c r="H161" s="540" t="inlineStr">
        <is>
          <t>Auto from helper</t>
        </is>
      </c>
    </row>
    <row r="162" hidden="1">
      <c r="B162" s="38">
        <f>'Material Rates_Master'!A193</f>
        <v/>
      </c>
      <c r="C162" s="40">
        <f>'Material Rates_Master'!B193</f>
        <v/>
      </c>
      <c r="E162" s="583">
        <f>'Material Rates_Master'!D193</f>
        <v/>
      </c>
      <c r="F162" s="583">
        <f>E162*D162</f>
        <v/>
      </c>
    </row>
    <row r="163" hidden="1">
      <c r="B163" s="38">
        <f>'Material Rates_Master'!A194</f>
        <v/>
      </c>
      <c r="C163" s="40">
        <f>'Material Rates_Master'!B194</f>
        <v/>
      </c>
      <c r="E163" s="583">
        <f>'Material Rates_Master'!D194</f>
        <v/>
      </c>
      <c r="F163" s="583">
        <f>E163*D163</f>
        <v/>
      </c>
    </row>
    <row r="164" hidden="1">
      <c r="B164" s="38">
        <f>'Material Rates_Master'!A195</f>
        <v/>
      </c>
      <c r="C164" s="40">
        <f>'Material Rates_Master'!B195</f>
        <v/>
      </c>
      <c r="E164" s="583">
        <f>'Material Rates_Master'!D195</f>
        <v/>
      </c>
      <c r="F164" s="583">
        <f>E164*D164</f>
        <v/>
      </c>
    </row>
    <row r="165" hidden="1">
      <c r="E165" s="583" t="n"/>
      <c r="F165" s="583" t="n"/>
    </row>
    <row r="166" hidden="1">
      <c r="B166" s="38" t="inlineStr">
        <is>
          <t>Valve Margin strips; Concrete slab, 1 directions sign, 3 x valve No sign.</t>
        </is>
      </c>
      <c r="C166" s="40" t="inlineStr">
        <is>
          <t>ea</t>
        </is>
      </c>
      <c r="E166" s="583" t="n">
        <v>380</v>
      </c>
      <c r="F166" s="583">
        <f>E166*D166</f>
        <v/>
      </c>
    </row>
    <row r="167">
      <c r="E167" s="583" t="n"/>
      <c r="F167" s="583" t="n"/>
    </row>
    <row r="168">
      <c r="B168" s="201" t="n"/>
      <c r="C168" s="38" t="n"/>
      <c r="D168" s="38" t="n"/>
      <c r="E168" s="38" t="n"/>
      <c r="F168" s="38" t="n"/>
    </row>
    <row r="169">
      <c r="A169" s="42" t="n"/>
      <c r="B169" s="331" t="inlineStr">
        <is>
          <t>FIRE SERVICES - INGROUND</t>
        </is>
      </c>
      <c r="E169" s="583" t="n"/>
      <c r="F169" s="583" t="n"/>
    </row>
    <row r="170">
      <c r="E170" s="583" t="n"/>
      <c r="F170" s="583" t="n"/>
    </row>
    <row r="171" ht="13.2" customHeight="1">
      <c r="A171" s="40" t="n"/>
      <c r="B171" s="299" t="inlineStr">
        <is>
          <t>200 HDPE PN16 SDR11 - REDLINE</t>
        </is>
      </c>
      <c r="C171" s="40">
        <f>'Material Rates_Master'!B5</f>
        <v/>
      </c>
      <c r="D171" s="291" t="n"/>
      <c r="E171" s="583">
        <f>'Material Rates_Master'!D5*$M$16</f>
        <v/>
      </c>
      <c r="F171" s="583">
        <f>E171*D171</f>
        <v/>
      </c>
      <c r="H171" s="541" t="n"/>
      <c r="I171" s="589" t="n"/>
      <c r="J171" s="589" t="n"/>
    </row>
    <row r="172">
      <c r="A172" s="40" t="n"/>
      <c r="B172" s="299" t="inlineStr">
        <is>
          <t>180 HDPE PN16 SDR11 - REDLINE</t>
        </is>
      </c>
      <c r="C172" s="40">
        <f>'Material Rates_Master'!B6</f>
        <v/>
      </c>
      <c r="D172" s="484" t="n"/>
      <c r="E172" s="583">
        <f>'Material Rates_Master'!D6*$M$16</f>
        <v/>
      </c>
      <c r="F172" s="583">
        <f>E172*D172</f>
        <v/>
      </c>
      <c r="H172" s="541" t="n"/>
    </row>
    <row r="173">
      <c r="A173" s="40" t="n"/>
      <c r="B173" s="299" t="inlineStr">
        <is>
          <t>125 HDPE PN16 SDR11 - REDLINE</t>
        </is>
      </c>
      <c r="C173" s="40">
        <f>'Material Rates_Master'!B7</f>
        <v/>
      </c>
      <c r="D173" s="37" t="n"/>
      <c r="E173" s="583">
        <f>'Material Rates_Master'!D7*$M$16</f>
        <v/>
      </c>
      <c r="F173" s="583">
        <f>E173*D173</f>
        <v/>
      </c>
      <c r="H173" s="541" t="n"/>
    </row>
    <row r="174">
      <c r="A174" s="40" t="n"/>
      <c r="B174" s="299" t="inlineStr">
        <is>
          <t>32 HDPE PN16 SDR11 - BLUELINE</t>
        </is>
      </c>
      <c r="C174" s="40">
        <f>'Material Rates_Master'!B8</f>
        <v/>
      </c>
      <c r="D174" s="37" t="n"/>
      <c r="E174" s="583">
        <f>'Material Rates_Master'!D8*$M$16</f>
        <v/>
      </c>
      <c r="F174" s="583">
        <f>E174*D174</f>
        <v/>
      </c>
      <c r="H174" s="541" t="n"/>
    </row>
    <row r="175" ht="4.2" customHeight="1">
      <c r="A175" s="40" t="n"/>
      <c r="B175" s="299" t="n"/>
      <c r="E175" s="583">
        <f>'Material Rates_Master'!D9*$M$16</f>
        <v/>
      </c>
      <c r="F175" s="583" t="n"/>
      <c r="H175" s="541" t="n"/>
    </row>
    <row r="176">
      <c r="A176" s="40" t="n"/>
      <c r="B176" s="299" t="inlineStr">
        <is>
          <t>200 EF Coupler</t>
        </is>
      </c>
      <c r="C176" s="40">
        <f>'Material Rates_Master'!B10</f>
        <v/>
      </c>
      <c r="D176" s="484" t="n"/>
      <c r="E176" s="583">
        <f>'Material Rates_Master'!D10*$M$16</f>
        <v/>
      </c>
      <c r="F176" s="583">
        <f>E176*D176</f>
        <v/>
      </c>
      <c r="H176" s="541" t="n"/>
    </row>
    <row r="177">
      <c r="A177" s="40" t="n"/>
      <c r="B177" s="299" t="inlineStr">
        <is>
          <t>180 EF Coupler</t>
        </is>
      </c>
      <c r="C177" s="40">
        <f>'Material Rates_Master'!B11</f>
        <v/>
      </c>
      <c r="D177" s="37" t="n"/>
      <c r="E177" s="583">
        <f>'Material Rates_Master'!D11*$M$16</f>
        <v/>
      </c>
      <c r="F177" s="583">
        <f>E177*D177</f>
        <v/>
      </c>
      <c r="H177" s="541" t="n"/>
    </row>
    <row r="178">
      <c r="A178" s="40" t="n"/>
      <c r="B178" s="299" t="inlineStr">
        <is>
          <t>125 EF Coupler</t>
        </is>
      </c>
      <c r="C178" s="40">
        <f>'Material Rates_Master'!B12</f>
        <v/>
      </c>
      <c r="D178" s="484" t="n"/>
      <c r="E178" s="583">
        <f>'Material Rates_Master'!D12*$M$16</f>
        <v/>
      </c>
      <c r="F178" s="583">
        <f>E178*D178</f>
        <v/>
      </c>
      <c r="H178" s="541" t="n"/>
    </row>
    <row r="179">
      <c r="A179" s="40" t="n"/>
      <c r="B179" s="299" t="inlineStr">
        <is>
          <t>200 EF 45DFeg Bend</t>
        </is>
      </c>
      <c r="C179" s="40">
        <f>'Material Rates_Master'!B13</f>
        <v/>
      </c>
      <c r="D179" s="484" t="n"/>
      <c r="E179" s="583">
        <f>'Material Rates_Master'!D13*$M$16</f>
        <v/>
      </c>
      <c r="F179" s="583">
        <f>E179*D179</f>
        <v/>
      </c>
      <c r="H179" s="541" t="n"/>
    </row>
    <row r="180">
      <c r="A180" s="40" t="n"/>
      <c r="B180" s="299" t="inlineStr">
        <is>
          <t>180 EF 45DFeg Bend</t>
        </is>
      </c>
      <c r="C180" s="40">
        <f>'Material Rates_Master'!B14</f>
        <v/>
      </c>
      <c r="D180" s="484" t="n"/>
      <c r="E180" s="583">
        <f>'Material Rates_Master'!D14*$M$16</f>
        <v/>
      </c>
      <c r="F180" s="583">
        <f>E180*D180</f>
        <v/>
      </c>
      <c r="H180" s="541" t="n"/>
    </row>
    <row r="181">
      <c r="A181" s="40" t="n"/>
      <c r="B181" s="299" t="inlineStr">
        <is>
          <t>125 EF 45DFeg Bend</t>
        </is>
      </c>
      <c r="C181" s="40">
        <f>'Material Rates_Master'!B15</f>
        <v/>
      </c>
      <c r="D181" s="484" t="n"/>
      <c r="E181" s="583">
        <f>'Material Rates_Master'!D15*$M$16</f>
        <v/>
      </c>
      <c r="F181" s="583">
        <f>E181*D181</f>
        <v/>
      </c>
      <c r="H181" s="541" t="n"/>
    </row>
    <row r="182">
      <c r="A182" s="40" t="n"/>
      <c r="B182" s="299" t="inlineStr">
        <is>
          <t>200 EF 90DFeg Bend</t>
        </is>
      </c>
      <c r="C182" s="40">
        <f>'Material Rates_Master'!B16</f>
        <v/>
      </c>
      <c r="D182" s="484" t="n"/>
      <c r="E182" s="583">
        <f>'Material Rates_Master'!D16*$M$16</f>
        <v/>
      </c>
      <c r="F182" s="583">
        <f>E182*D182</f>
        <v/>
      </c>
      <c r="H182" s="541" t="n"/>
    </row>
    <row r="183">
      <c r="A183" s="40" t="n"/>
      <c r="B183" s="299" t="inlineStr">
        <is>
          <t>180 EF 90DFeg Bend</t>
        </is>
      </c>
      <c r="C183" s="40">
        <f>'Material Rates_Master'!B17</f>
        <v/>
      </c>
      <c r="D183" s="484" t="n"/>
      <c r="E183" s="583">
        <f>'Material Rates_Master'!D17*$M$16</f>
        <v/>
      </c>
      <c r="F183" s="583">
        <f>E183*D183</f>
        <v/>
      </c>
      <c r="H183" s="541" t="n"/>
    </row>
    <row r="184">
      <c r="A184" s="40" t="n"/>
      <c r="B184" s="299" t="inlineStr">
        <is>
          <t>125 EF 90DFeg Bend</t>
        </is>
      </c>
      <c r="C184" s="40">
        <f>'Material Rates_Master'!B18</f>
        <v/>
      </c>
      <c r="D184" s="484" t="n"/>
      <c r="E184" s="583">
        <f>'Material Rates_Master'!D18*$M$16</f>
        <v/>
      </c>
      <c r="F184" s="583">
        <f>E184*D184</f>
        <v/>
      </c>
      <c r="H184" s="541" t="n"/>
    </row>
    <row r="185">
      <c r="A185" s="40" t="n"/>
      <c r="B185" s="299" t="inlineStr">
        <is>
          <t>200 EF TEE</t>
        </is>
      </c>
      <c r="C185" s="40">
        <f>'Material Rates_Master'!B19</f>
        <v/>
      </c>
      <c r="D185" s="484" t="n"/>
      <c r="E185" s="583">
        <f>'Material Rates_Master'!D19*$M$16</f>
        <v/>
      </c>
      <c r="F185" s="583">
        <f>E185*D185</f>
        <v/>
      </c>
      <c r="H185" s="541" t="n"/>
    </row>
    <row r="186">
      <c r="A186" s="40" t="n"/>
      <c r="B186" s="299" t="inlineStr">
        <is>
          <t>180 EF TEE</t>
        </is>
      </c>
      <c r="C186" s="40">
        <f>'Material Rates_Master'!B20</f>
        <v/>
      </c>
      <c r="D186" s="484" t="n"/>
      <c r="E186" s="583">
        <f>'Material Rates_Master'!D20*$M$16</f>
        <v/>
      </c>
      <c r="F186" s="583">
        <f>E186*D186</f>
        <v/>
      </c>
      <c r="H186" s="541" t="n"/>
    </row>
    <row r="187">
      <c r="A187" s="40" t="n"/>
      <c r="B187" s="299" t="inlineStr">
        <is>
          <t>125 EF TEE</t>
        </is>
      </c>
      <c r="C187" s="40">
        <f>'Material Rates_Master'!B21</f>
        <v/>
      </c>
      <c r="D187" s="484" t="n"/>
      <c r="E187" s="583">
        <f>'Material Rates_Master'!D21*$M$16</f>
        <v/>
      </c>
      <c r="F187" s="583">
        <f>E187*D187</f>
        <v/>
      </c>
      <c r="H187" s="541" t="n"/>
    </row>
    <row r="188">
      <c r="A188" s="40" t="n"/>
      <c r="B188" s="299" t="inlineStr">
        <is>
          <t>200*180 EF TEE</t>
        </is>
      </c>
      <c r="C188" s="40">
        <f>'Material Rates_Master'!B22</f>
        <v/>
      </c>
      <c r="D188" s="484" t="n"/>
      <c r="E188" s="583">
        <f>'Material Rates_Master'!D22*$M$16</f>
        <v/>
      </c>
      <c r="F188" s="583">
        <f>E188*D188</f>
        <v/>
      </c>
      <c r="H188" s="541" t="n"/>
    </row>
    <row r="189">
      <c r="A189" s="40" t="n"/>
      <c r="B189" s="299" t="inlineStr">
        <is>
          <t>200*125 EF TEE</t>
        </is>
      </c>
      <c r="C189" s="40">
        <f>'Material Rates_Master'!B23</f>
        <v/>
      </c>
      <c r="D189" s="484" t="n"/>
      <c r="E189" s="583">
        <f>'Material Rates_Master'!D23*$M$16</f>
        <v/>
      </c>
      <c r="F189" s="583">
        <f>E189*D189</f>
        <v/>
      </c>
      <c r="H189" s="541" t="n"/>
    </row>
    <row r="190">
      <c r="A190" s="40" t="n"/>
      <c r="B190" s="299" t="inlineStr">
        <is>
          <t>180*125 EF TEE</t>
        </is>
      </c>
      <c r="C190" s="40">
        <f>'Material Rates_Master'!B24</f>
        <v/>
      </c>
      <c r="D190" s="484" t="n"/>
      <c r="E190" s="583">
        <f>'Material Rates_Master'!D24*$M$16</f>
        <v/>
      </c>
      <c r="F190" s="583">
        <f>E190*D190</f>
        <v/>
      </c>
      <c r="H190" s="541" t="n"/>
    </row>
    <row r="191">
      <c r="A191" s="40" t="n"/>
      <c r="B191" s="299" t="inlineStr">
        <is>
          <t>200*180 EF Reducer</t>
        </is>
      </c>
      <c r="C191" s="40">
        <f>'Material Rates_Master'!B25</f>
        <v/>
      </c>
      <c r="D191" s="484" t="n"/>
      <c r="E191" s="583">
        <f>'Material Rates_Master'!D25*$M$16</f>
        <v/>
      </c>
      <c r="F191" s="583">
        <f>E191*D191</f>
        <v/>
      </c>
      <c r="H191" s="541" t="n"/>
    </row>
    <row r="192">
      <c r="A192" s="40" t="n"/>
      <c r="B192" s="299" t="inlineStr">
        <is>
          <t>180*125 EF Reducer</t>
        </is>
      </c>
      <c r="C192" s="40">
        <f>'Material Rates_Master'!B26</f>
        <v/>
      </c>
      <c r="D192" s="484" t="n"/>
      <c r="E192" s="583">
        <f>'Material Rates_Master'!D26*$M$16</f>
        <v/>
      </c>
      <c r="F192" s="583">
        <f>E192*D192</f>
        <v/>
      </c>
      <c r="H192" s="541" t="n"/>
    </row>
    <row r="193">
      <c r="A193" s="40" t="n"/>
      <c r="B193" s="299" t="inlineStr">
        <is>
          <t>200PE*8"(200m) - MaxiStub W/Backing Ring</t>
        </is>
      </c>
      <c r="C193" s="40">
        <f>'Material Rates_Master'!B27</f>
        <v/>
      </c>
      <c r="D193" s="484" t="n"/>
      <c r="E193" s="583">
        <f>'Material Rates_Master'!D27*$M$16</f>
        <v/>
      </c>
      <c r="F193" s="583">
        <f>E193*D193</f>
        <v/>
      </c>
      <c r="H193" s="541" t="n"/>
    </row>
    <row r="194">
      <c r="A194" s="40" t="n"/>
      <c r="B194" s="299" t="inlineStr">
        <is>
          <t>180PE*6"(150mm) - MaxiStub W/Backing Ring</t>
        </is>
      </c>
      <c r="C194" s="40">
        <f>'Material Rates_Master'!B28</f>
        <v/>
      </c>
      <c r="D194" s="484" t="n"/>
      <c r="E194" s="583">
        <f>'Material Rates_Master'!D28*$M$16</f>
        <v/>
      </c>
      <c r="F194" s="583">
        <f>E194*D194</f>
        <v/>
      </c>
      <c r="H194" s="541" t="n"/>
    </row>
    <row r="195">
      <c r="A195" s="40" t="n"/>
      <c r="B195" s="299" t="inlineStr">
        <is>
          <t>125PE*4" (100mm) - MaxiStub W/Backing Ring</t>
        </is>
      </c>
      <c r="C195" s="40">
        <f>'Material Rates_Master'!B29</f>
        <v/>
      </c>
      <c r="D195" s="484" t="n"/>
      <c r="E195" s="583">
        <f>'Material Rates_Master'!D29*$M$16</f>
        <v/>
      </c>
      <c r="F195" s="583">
        <f>E195*D195</f>
        <v/>
      </c>
      <c r="H195" s="541" t="n"/>
    </row>
    <row r="196">
      <c r="A196" s="40" t="n"/>
      <c r="B196" s="299" t="inlineStr">
        <is>
          <t xml:space="preserve">180mm PE x 150mm GALV ADAPTER - PLASSON Brand </t>
        </is>
      </c>
      <c r="C196" s="40">
        <f>'Material Rates_Master'!B30</f>
        <v/>
      </c>
      <c r="D196" s="484" t="n"/>
      <c r="E196" s="583">
        <f>'Material Rates_Master'!D30*$M$16</f>
        <v/>
      </c>
      <c r="F196" s="583">
        <f>E196*D196</f>
        <v/>
      </c>
      <c r="H196" s="541" t="n"/>
    </row>
    <row r="197">
      <c r="A197" s="40" t="n"/>
      <c r="B197" s="299" t="inlineStr">
        <is>
          <t xml:space="preserve">125mm PE x 100mm GALV ADAPTER - PLASSON Brand </t>
        </is>
      </c>
      <c r="C197" s="40">
        <f>'Material Rates_Master'!B31</f>
        <v/>
      </c>
      <c r="D197" s="484" t="n"/>
      <c r="E197" s="583">
        <f>'Material Rates_Master'!D31*$M$16</f>
        <v/>
      </c>
      <c r="F197" s="583">
        <f>E197*D197</f>
        <v/>
      </c>
      <c r="H197" s="541" t="n"/>
    </row>
    <row r="198" ht="6" customHeight="1">
      <c r="A198" s="40" t="n"/>
      <c r="B198" s="299" t="n"/>
      <c r="C198" s="40">
        <f>'Material Rates_Master'!B32</f>
        <v/>
      </c>
      <c r="E198" s="583">
        <f>'Material Rates_Master'!D32*$M$16</f>
        <v/>
      </c>
      <c r="F198" s="583">
        <f>E198*D198</f>
        <v/>
      </c>
      <c r="H198" s="541" t="n"/>
    </row>
    <row r="199">
      <c r="A199" s="40" t="n"/>
      <c r="B199" s="1" t="inlineStr">
        <is>
          <t>180mm PE x 150mm GALV ADAPTER</t>
        </is>
      </c>
      <c r="C199" s="40">
        <f>'Material Rates_Master'!B33</f>
        <v/>
      </c>
      <c r="E199" s="583">
        <f>'Material Rates_Master'!D33*$M$16</f>
        <v/>
      </c>
      <c r="F199" s="583">
        <f>E199*D199</f>
        <v/>
      </c>
      <c r="H199" s="541" t="n"/>
    </row>
    <row r="200">
      <c r="A200" s="40" t="n"/>
      <c r="B200" s="1" t="inlineStr">
        <is>
          <t>125mm PE x 100mm GALV ADAPTER</t>
        </is>
      </c>
      <c r="C200" s="40">
        <f>'Material Rates_Master'!B34</f>
        <v/>
      </c>
      <c r="E200" s="583">
        <f>'Material Rates_Master'!D34*$M$16</f>
        <v/>
      </c>
      <c r="F200" s="583">
        <f>E200*D200</f>
        <v/>
      </c>
      <c r="H200" s="541" t="n"/>
    </row>
    <row r="201">
      <c r="A201" s="40" t="n"/>
      <c r="B201" s="299" t="inlineStr">
        <is>
          <t>200 Long SPIG 45DFeg Bend</t>
        </is>
      </c>
      <c r="C201" s="40">
        <f>'Material Rates_Master'!B35</f>
        <v/>
      </c>
      <c r="D201" s="484" t="n"/>
      <c r="E201" s="583">
        <f>'Material Rates_Master'!D35*$M$16</f>
        <v/>
      </c>
      <c r="F201" s="583">
        <f>E201*D201</f>
        <v/>
      </c>
      <c r="H201" s="541" t="n"/>
    </row>
    <row r="202">
      <c r="A202" s="40" t="n"/>
      <c r="B202" s="299" t="inlineStr">
        <is>
          <t>180 Long SPIG 45DFeg Bend</t>
        </is>
      </c>
      <c r="C202" s="40">
        <f>'Material Rates_Master'!B36</f>
        <v/>
      </c>
      <c r="D202" s="484" t="n"/>
      <c r="E202" s="583">
        <f>'Material Rates_Master'!D36*$M$16</f>
        <v/>
      </c>
      <c r="F202" s="583">
        <f>E202*D202</f>
        <v/>
      </c>
      <c r="H202" s="541" t="n"/>
    </row>
    <row r="203">
      <c r="A203" s="40" t="n"/>
      <c r="B203" s="299" t="inlineStr">
        <is>
          <t>125 Long SPIG 45DFeg Bend</t>
        </is>
      </c>
      <c r="C203" s="40">
        <f>'Material Rates_Master'!B37</f>
        <v/>
      </c>
      <c r="D203" s="484" t="n"/>
      <c r="E203" s="583">
        <f>'Material Rates_Master'!D37*$M$16</f>
        <v/>
      </c>
      <c r="F203" s="583">
        <f>E203*D203</f>
        <v/>
      </c>
      <c r="H203" s="541" t="n"/>
    </row>
    <row r="204">
      <c r="A204" s="40" t="n"/>
      <c r="B204" s="299" t="inlineStr">
        <is>
          <t>200 Long SPIG 90DFeg Bend</t>
        </is>
      </c>
      <c r="C204" s="40">
        <f>'Material Rates_Master'!B38</f>
        <v/>
      </c>
      <c r="D204" s="484" t="n"/>
      <c r="E204" s="583">
        <f>'Material Rates_Master'!D38*$M$16</f>
        <v/>
      </c>
      <c r="F204" s="583">
        <f>E204*D204</f>
        <v/>
      </c>
      <c r="H204" s="541" t="n"/>
    </row>
    <row r="205">
      <c r="A205" s="40" t="n"/>
      <c r="B205" s="299" t="inlineStr">
        <is>
          <t>180 Long SPIG 90DFeg Bend</t>
        </is>
      </c>
      <c r="C205" s="40">
        <f>'Material Rates_Master'!B39</f>
        <v/>
      </c>
      <c r="D205" s="484" t="n"/>
      <c r="E205" s="583">
        <f>'Material Rates_Master'!D39*$M$16</f>
        <v/>
      </c>
      <c r="F205" s="583">
        <f>E205*D205</f>
        <v/>
      </c>
      <c r="H205" s="541" t="n"/>
    </row>
    <row r="206">
      <c r="A206" s="40" t="n"/>
      <c r="B206" s="299" t="inlineStr">
        <is>
          <t>125 Long SPIG 90DFeg Bend</t>
        </is>
      </c>
      <c r="C206" s="40">
        <f>'Material Rates_Master'!B40</f>
        <v/>
      </c>
      <c r="D206" s="484" t="n"/>
      <c r="E206" s="583">
        <f>'Material Rates_Master'!D40*$M$16</f>
        <v/>
      </c>
      <c r="F206" s="583">
        <f>E206*D206</f>
        <v/>
      </c>
      <c r="H206" s="541" t="n"/>
    </row>
    <row r="207">
      <c r="A207" s="40" t="n"/>
      <c r="B207" s="299" t="inlineStr">
        <is>
          <t>200 Long SPIG TEE</t>
        </is>
      </c>
      <c r="C207" s="40">
        <f>'Material Rates_Master'!B41</f>
        <v/>
      </c>
      <c r="D207" s="484" t="n"/>
      <c r="E207" s="583">
        <f>'Material Rates_Master'!D41*$M$16</f>
        <v/>
      </c>
      <c r="F207" s="583">
        <f>E207*D207</f>
        <v/>
      </c>
      <c r="H207" s="541" t="n"/>
    </row>
    <row r="208">
      <c r="A208" s="40" t="n"/>
      <c r="B208" s="299" t="inlineStr">
        <is>
          <t>180 Long SPIG TEE</t>
        </is>
      </c>
      <c r="C208" s="40">
        <f>'Material Rates_Master'!B42</f>
        <v/>
      </c>
      <c r="D208" s="484" t="n"/>
      <c r="E208" s="583">
        <f>'Material Rates_Master'!D42*$M$16</f>
        <v/>
      </c>
      <c r="F208" s="583">
        <f>E208*D208</f>
        <v/>
      </c>
      <c r="H208" s="541" t="n"/>
    </row>
    <row r="209">
      <c r="A209" s="40" t="n"/>
      <c r="B209" s="299" t="inlineStr">
        <is>
          <t>125 Long SPIG TEE</t>
        </is>
      </c>
      <c r="C209" s="40">
        <f>'Material Rates_Master'!B43</f>
        <v/>
      </c>
      <c r="D209" s="484" t="n"/>
      <c r="E209" s="583">
        <f>'Material Rates_Master'!D43*$M$16</f>
        <v/>
      </c>
      <c r="F209" s="583">
        <f>E209*D209</f>
        <v/>
      </c>
      <c r="H209" s="541" t="n"/>
    </row>
    <row r="210">
      <c r="A210" s="40" t="n"/>
      <c r="B210" s="299" t="inlineStr">
        <is>
          <t>200*180 Long SPIG TEE</t>
        </is>
      </c>
      <c r="C210" s="40">
        <f>'Material Rates_Master'!B44</f>
        <v/>
      </c>
      <c r="D210" s="484" t="n"/>
      <c r="E210" s="583">
        <f>'Material Rates_Master'!D44*$M$16</f>
        <v/>
      </c>
      <c r="F210" s="583">
        <f>E210*D210</f>
        <v/>
      </c>
      <c r="H210" s="541" t="n"/>
    </row>
    <row r="211">
      <c r="A211" s="40" t="n"/>
      <c r="B211" s="299" t="inlineStr">
        <is>
          <t>200*125 Long SPIG TEE</t>
        </is>
      </c>
      <c r="C211" s="40">
        <f>'Material Rates_Master'!B45</f>
        <v/>
      </c>
      <c r="D211" s="484" t="n"/>
      <c r="E211" s="583">
        <f>'Material Rates_Master'!D45*$M$16</f>
        <v/>
      </c>
      <c r="F211" s="583">
        <f>E211*D211</f>
        <v/>
      </c>
      <c r="H211" s="541" t="n"/>
    </row>
    <row r="212">
      <c r="A212" s="40" t="n"/>
      <c r="B212" s="299" t="inlineStr">
        <is>
          <t>180*125 Long SPIG TEE</t>
        </is>
      </c>
      <c r="C212" s="40">
        <f>'Material Rates_Master'!B46</f>
        <v/>
      </c>
      <c r="D212" s="484" t="n"/>
      <c r="E212" s="583">
        <f>'Material Rates_Master'!D46*$M$16</f>
        <v/>
      </c>
      <c r="F212" s="583">
        <f>E212*D212</f>
        <v/>
      </c>
      <c r="H212" s="541" t="n"/>
    </row>
    <row r="213">
      <c r="A213" s="40" t="n"/>
      <c r="B213" s="299" t="inlineStr">
        <is>
          <t>200*180 Long SPIG Reducer</t>
        </is>
      </c>
      <c r="C213" s="40">
        <f>'Material Rates_Master'!B47</f>
        <v/>
      </c>
      <c r="D213" s="484" t="n"/>
      <c r="E213" s="583">
        <f>'Material Rates_Master'!D47*$M$16</f>
        <v/>
      </c>
      <c r="F213" s="583">
        <f>E213*D213</f>
        <v/>
      </c>
      <c r="H213" s="541" t="n"/>
    </row>
    <row r="214">
      <c r="A214" s="40" t="n"/>
      <c r="B214" s="299" t="inlineStr">
        <is>
          <t>180*125 Long SPIG Reducer</t>
        </is>
      </c>
      <c r="C214" s="40">
        <f>'Material Rates_Master'!B48</f>
        <v/>
      </c>
      <c r="D214" s="484" t="n"/>
      <c r="E214" s="583">
        <f>'Material Rates_Master'!D48*$M$16</f>
        <v/>
      </c>
      <c r="F214" s="583">
        <f>E214*D214</f>
        <v/>
      </c>
      <c r="H214" s="541" t="n"/>
    </row>
    <row r="215" ht="6.6" customHeight="1">
      <c r="A215" s="40" t="n"/>
      <c r="B215" s="299" t="n"/>
      <c r="C215" s="40">
        <f>'Material Rates_Master'!B49</f>
        <v/>
      </c>
      <c r="E215" s="583">
        <f>'Material Rates_Master'!D49</f>
        <v/>
      </c>
      <c r="F215" s="583">
        <f>E215*D215</f>
        <v/>
      </c>
    </row>
    <row r="216">
      <c r="A216" s="40" t="n"/>
      <c r="B216" s="299" t="inlineStr">
        <is>
          <t>200 FL DICL Sluice Valve</t>
        </is>
      </c>
      <c r="C216" s="40">
        <f>'Material Rates_Master'!B50</f>
        <v/>
      </c>
      <c r="D216" s="484" t="n"/>
      <c r="E216" s="583">
        <f>'Material Rates_Master'!D50</f>
        <v/>
      </c>
      <c r="F216" s="583">
        <f>E216*D216</f>
        <v/>
      </c>
    </row>
    <row r="217">
      <c r="A217" s="40" t="n"/>
      <c r="B217" s="299" t="inlineStr">
        <is>
          <t>150 FL DICL Sluice Valve</t>
        </is>
      </c>
      <c r="C217" s="40">
        <f>'Material Rates_Master'!B51</f>
        <v/>
      </c>
      <c r="D217" s="484" t="n"/>
      <c r="E217" s="583">
        <f>'Material Rates_Master'!D51</f>
        <v/>
      </c>
      <c r="F217" s="583">
        <f>E217*D217</f>
        <v/>
      </c>
    </row>
    <row r="218">
      <c r="A218" s="40" t="n"/>
      <c r="B218" s="299" t="inlineStr">
        <is>
          <t>100 FL DICL Sluice Valve</t>
        </is>
      </c>
      <c r="C218" s="40">
        <f>'Material Rates_Master'!B52</f>
        <v/>
      </c>
      <c r="D218" s="484" t="n"/>
      <c r="E218" s="583">
        <f>'Material Rates_Master'!D52</f>
        <v/>
      </c>
      <c r="F218" s="583">
        <f>E218*D218</f>
        <v/>
      </c>
    </row>
    <row r="219">
      <c r="A219" s="40" t="n"/>
      <c r="B219" s="299" t="inlineStr">
        <is>
          <t>Valve Spindle Riser - 600Long</t>
        </is>
      </c>
      <c r="C219" s="40">
        <f>'Material Rates_Master'!B53</f>
        <v/>
      </c>
      <c r="D219" s="484" t="n"/>
      <c r="E219" s="583">
        <f>'Material Rates_Master'!D53</f>
        <v/>
      </c>
      <c r="F219" s="583">
        <f>E219*D219</f>
        <v/>
      </c>
    </row>
    <row r="220">
      <c r="A220" s="40" t="n"/>
      <c r="B220" s="299" t="inlineStr">
        <is>
          <t>Valve Box - Cast Iron Trafficable - Rectangle Type "V"</t>
        </is>
      </c>
      <c r="C220" s="40">
        <f>'Material Rates_Master'!B54</f>
        <v/>
      </c>
      <c r="D220" s="484" t="n"/>
      <c r="E220" s="583">
        <f>'Material Rates_Master'!D54</f>
        <v/>
      </c>
      <c r="F220" s="583">
        <f>E220*D220</f>
        <v/>
      </c>
    </row>
    <row r="221">
      <c r="A221" s="40" t="n"/>
      <c r="B221" s="299" t="inlineStr">
        <is>
          <t>Valve Box - Non-Trafficable - Plastic Surround with CI Drop In "V"</t>
        </is>
      </c>
      <c r="C221" s="40">
        <f>'Material Rates_Master'!B55</f>
        <v/>
      </c>
      <c r="D221" s="484" t="n"/>
      <c r="E221" s="583">
        <f>'Material Rates_Master'!D55</f>
        <v/>
      </c>
      <c r="F221" s="583">
        <f>E221*D221</f>
        <v/>
      </c>
    </row>
    <row r="222" ht="4.95" customHeight="1">
      <c r="A222" s="40" t="n"/>
      <c r="B222" s="299" t="n"/>
      <c r="C222" s="40">
        <f>'Material Rates_Master'!B56</f>
        <v/>
      </c>
      <c r="E222" s="583">
        <f>'Material Rates_Master'!D56</f>
        <v/>
      </c>
      <c r="F222" s="583">
        <f>E222*D222</f>
        <v/>
      </c>
    </row>
    <row r="223">
      <c r="A223" s="40" t="n"/>
      <c r="B223" s="299" t="inlineStr">
        <is>
          <t>200*150mm DICL FL Reducer</t>
        </is>
      </c>
      <c r="C223" s="40">
        <f>'Material Rates_Master'!B57</f>
        <v/>
      </c>
      <c r="D223" s="484" t="n"/>
      <c r="E223" s="583">
        <f>'Material Rates_Master'!D57</f>
        <v/>
      </c>
      <c r="F223" s="583">
        <f>E223*D223</f>
        <v/>
      </c>
    </row>
    <row r="224">
      <c r="A224" s="40" t="n"/>
      <c r="B224" s="299" t="inlineStr">
        <is>
          <t>200*100mm DICL FL Reducer</t>
        </is>
      </c>
      <c r="C224" s="40">
        <f>'Material Rates_Master'!B58</f>
        <v/>
      </c>
      <c r="D224" s="484" t="n"/>
      <c r="E224" s="583">
        <f>'Material Rates_Master'!D58</f>
        <v/>
      </c>
      <c r="F224" s="583">
        <f>E224*D224</f>
        <v/>
      </c>
    </row>
    <row r="225">
      <c r="A225" s="40" t="n"/>
      <c r="B225" s="299" t="inlineStr">
        <is>
          <t>150*100mm DICL FL Reducer</t>
        </is>
      </c>
      <c r="C225" s="40">
        <f>'Material Rates_Master'!B59</f>
        <v/>
      </c>
      <c r="D225" s="484" t="n"/>
      <c r="E225" s="583">
        <f>'Material Rates_Master'!D59</f>
        <v/>
      </c>
      <c r="F225" s="583">
        <f>E225*D225</f>
        <v/>
      </c>
    </row>
    <row r="226">
      <c r="A226" s="40" t="n"/>
      <c r="B226" s="299" t="inlineStr">
        <is>
          <t>150mm DICL FL * SP Adapter</t>
        </is>
      </c>
      <c r="C226" s="40">
        <f>'Material Rates_Master'!B60</f>
        <v/>
      </c>
      <c r="D226" s="484" t="n"/>
      <c r="E226" s="583">
        <f>'Material Rates_Master'!D60</f>
        <v/>
      </c>
      <c r="F226" s="583">
        <f>E226*D226</f>
        <v/>
      </c>
    </row>
    <row r="227">
      <c r="A227" s="40" t="n"/>
      <c r="B227" s="299" t="inlineStr">
        <is>
          <t>100mm DICL FL * SP Adapter</t>
        </is>
      </c>
      <c r="C227" s="40">
        <f>'Material Rates_Master'!B61</f>
        <v/>
      </c>
      <c r="D227" s="484" t="n"/>
      <c r="E227" s="583">
        <f>'Material Rates_Master'!D61</f>
        <v/>
      </c>
      <c r="F227" s="583">
        <f>E227*D227</f>
        <v/>
      </c>
    </row>
    <row r="228">
      <c r="A228" s="40" t="n"/>
      <c r="B228" s="299" t="inlineStr">
        <is>
          <t>200mm DICL FL 90Deg Bend</t>
        </is>
      </c>
      <c r="C228" s="40">
        <f>'Material Rates_Master'!B62</f>
        <v/>
      </c>
      <c r="D228" s="484" t="n"/>
      <c r="E228" s="583">
        <f>'Material Rates_Master'!D62</f>
        <v/>
      </c>
      <c r="F228" s="583">
        <f>E228*D228</f>
        <v/>
      </c>
    </row>
    <row r="229">
      <c r="A229" s="40" t="n"/>
      <c r="B229" s="299" t="inlineStr">
        <is>
          <t>150mm DICL FL 90Deg Bend</t>
        </is>
      </c>
      <c r="C229" s="40">
        <f>'Material Rates_Master'!B63</f>
        <v/>
      </c>
      <c r="D229" s="484" t="n"/>
      <c r="E229" s="583">
        <f>'Material Rates_Master'!D63</f>
        <v/>
      </c>
      <c r="F229" s="583">
        <f>E229*D229</f>
        <v/>
      </c>
    </row>
    <row r="230">
      <c r="A230" s="40" t="n"/>
      <c r="B230" s="299" t="inlineStr">
        <is>
          <t>100mm DICL FL 90Deg Bend</t>
        </is>
      </c>
      <c r="C230" s="40">
        <f>'Material Rates_Master'!B64</f>
        <v/>
      </c>
      <c r="D230" s="484" t="n"/>
      <c r="E230" s="583">
        <f>'Material Rates_Master'!D64</f>
        <v/>
      </c>
      <c r="F230" s="583">
        <f>E230*D230</f>
        <v/>
      </c>
    </row>
    <row r="231">
      <c r="A231" s="40" t="n"/>
      <c r="B231" s="299" t="inlineStr">
        <is>
          <t>200mm DICL FL TEE</t>
        </is>
      </c>
      <c r="C231" s="40">
        <f>'Material Rates_Master'!B65</f>
        <v/>
      </c>
      <c r="D231" s="484" t="n"/>
      <c r="E231" s="583">
        <f>'Material Rates_Master'!D65</f>
        <v/>
      </c>
      <c r="F231" s="583">
        <f>E231*D231</f>
        <v/>
      </c>
    </row>
    <row r="232">
      <c r="A232" s="40" t="n"/>
      <c r="B232" s="299" t="inlineStr">
        <is>
          <t>150mm DICL FL TEE</t>
        </is>
      </c>
      <c r="C232" s="40">
        <f>'Material Rates_Master'!B66</f>
        <v/>
      </c>
      <c r="D232" s="484" t="n"/>
      <c r="E232" s="583">
        <f>'Material Rates_Master'!D66</f>
        <v/>
      </c>
      <c r="F232" s="583">
        <f>E232*D232</f>
        <v/>
      </c>
    </row>
    <row r="233">
      <c r="A233" s="40" t="n"/>
      <c r="B233" s="299" t="inlineStr">
        <is>
          <t>100mm DICL FL TEE</t>
        </is>
      </c>
      <c r="C233" s="40">
        <f>'Material Rates_Master'!B67</f>
        <v/>
      </c>
      <c r="D233" s="484" t="n"/>
      <c r="E233" s="583">
        <f>'Material Rates_Master'!D67</f>
        <v/>
      </c>
      <c r="F233" s="583">
        <f>E233*D233</f>
        <v/>
      </c>
    </row>
    <row r="234">
      <c r="A234" s="40" t="n"/>
      <c r="B234" s="299" t="inlineStr">
        <is>
          <t>200*150*200 DICL FL TEE</t>
        </is>
      </c>
      <c r="C234" s="40">
        <f>'Material Rates_Master'!B68</f>
        <v/>
      </c>
      <c r="D234" s="484" t="n"/>
      <c r="E234" s="583">
        <f>'Material Rates_Master'!D68</f>
        <v/>
      </c>
      <c r="F234" s="583">
        <f>E234*D234</f>
        <v/>
      </c>
    </row>
    <row r="235">
      <c r="A235" s="40" t="n"/>
      <c r="B235" s="299" t="inlineStr">
        <is>
          <t>200*100*200 DICL FL TEE</t>
        </is>
      </c>
      <c r="C235" s="40">
        <f>'Material Rates_Master'!B69</f>
        <v/>
      </c>
      <c r="D235" s="484" t="n"/>
      <c r="E235" s="583">
        <f>'Material Rates_Master'!D69</f>
        <v/>
      </c>
      <c r="F235" s="583">
        <f>E235*D235</f>
        <v/>
      </c>
    </row>
    <row r="236">
      <c r="A236" s="40" t="n"/>
      <c r="B236" s="299" t="inlineStr">
        <is>
          <t>150-100-150 DICL FL TEE</t>
        </is>
      </c>
      <c r="C236" s="40">
        <f>'Material Rates_Master'!B70</f>
        <v/>
      </c>
      <c r="D236" s="484" t="n"/>
      <c r="E236" s="583">
        <f>'Material Rates_Master'!D70</f>
        <v/>
      </c>
      <c r="F236" s="583">
        <f>E236*D236</f>
        <v/>
      </c>
    </row>
    <row r="237">
      <c r="A237" s="40" t="n"/>
      <c r="B237" s="299" t="inlineStr">
        <is>
          <t>200mm DICL FL Pipe @ 1000</t>
        </is>
      </c>
      <c r="C237" s="40">
        <f>'Material Rates_Master'!B71</f>
        <v/>
      </c>
      <c r="D237" s="484" t="n"/>
      <c r="E237" s="583">
        <f>'Material Rates_Master'!D71</f>
        <v/>
      </c>
      <c r="F237" s="583">
        <f>E237*D237</f>
        <v/>
      </c>
    </row>
    <row r="238">
      <c r="A238" s="40" t="n"/>
      <c r="B238" s="299" t="inlineStr">
        <is>
          <t>200mm DICL FL Pipe @ 600</t>
        </is>
      </c>
      <c r="C238" s="40">
        <f>'Material Rates_Master'!B72</f>
        <v/>
      </c>
      <c r="D238" s="484" t="n"/>
      <c r="E238" s="583">
        <f>'Material Rates_Master'!D72</f>
        <v/>
      </c>
      <c r="F238" s="583">
        <f>E238*D238</f>
        <v/>
      </c>
    </row>
    <row r="239">
      <c r="A239" s="40" t="n"/>
      <c r="B239" s="299" t="inlineStr">
        <is>
          <t>200mm DICL FL Pipe @ 300</t>
        </is>
      </c>
      <c r="C239" s="40">
        <f>'Material Rates_Master'!B73</f>
        <v/>
      </c>
      <c r="D239" s="484" t="n"/>
      <c r="E239" s="583">
        <f>'Material Rates_Master'!D73</f>
        <v/>
      </c>
      <c r="F239" s="583">
        <f>E239*D239</f>
        <v/>
      </c>
    </row>
    <row r="240">
      <c r="A240" s="40" t="n"/>
      <c r="B240" s="299" t="inlineStr">
        <is>
          <t>150mm DICL FL Pipe @ 1000</t>
        </is>
      </c>
      <c r="C240" s="40">
        <f>'Material Rates_Master'!B74</f>
        <v/>
      </c>
      <c r="D240" s="484" t="n"/>
      <c r="E240" s="583">
        <f>'Material Rates_Master'!D74</f>
        <v/>
      </c>
      <c r="F240" s="583">
        <f>E240*D240</f>
        <v/>
      </c>
    </row>
    <row r="241">
      <c r="A241" s="40" t="n"/>
      <c r="B241" s="299" t="inlineStr">
        <is>
          <t>150mm DICL FL Pipe @ 600</t>
        </is>
      </c>
      <c r="C241" s="40">
        <f>'Material Rates_Master'!B75</f>
        <v/>
      </c>
      <c r="D241" s="484" t="n"/>
      <c r="E241" s="583">
        <f>'Material Rates_Master'!D75</f>
        <v/>
      </c>
      <c r="F241" s="583">
        <f>E241*D241</f>
        <v/>
      </c>
    </row>
    <row r="242">
      <c r="A242" s="40" t="n"/>
      <c r="B242" s="299" t="inlineStr">
        <is>
          <t>150mm DICL FL Pipe @ 450</t>
        </is>
      </c>
      <c r="C242" s="40">
        <f>'Material Rates_Master'!B76</f>
        <v/>
      </c>
      <c r="D242" s="484" t="n"/>
      <c r="E242" s="583">
        <f>'Material Rates_Master'!D76</f>
        <v/>
      </c>
      <c r="F242" s="583">
        <f>E242*D242</f>
        <v/>
      </c>
    </row>
    <row r="243">
      <c r="A243" s="40" t="n"/>
      <c r="B243" s="299" t="inlineStr">
        <is>
          <t>150mm DICL FL Pipe @ 300</t>
        </is>
      </c>
      <c r="C243" s="40">
        <f>'Material Rates_Master'!B77</f>
        <v/>
      </c>
      <c r="D243" s="484" t="n"/>
      <c r="E243" s="583">
        <f>'Material Rates_Master'!D77</f>
        <v/>
      </c>
      <c r="F243" s="583">
        <f>E243*D243</f>
        <v/>
      </c>
    </row>
    <row r="244">
      <c r="A244" s="40" t="n"/>
      <c r="B244" s="299" t="inlineStr">
        <is>
          <t>100mm DICL FL Pipe @ 1000</t>
        </is>
      </c>
      <c r="C244" s="40">
        <f>'Material Rates_Master'!B78</f>
        <v/>
      </c>
      <c r="D244" s="484" t="n"/>
      <c r="E244" s="583">
        <f>'Material Rates_Master'!D78</f>
        <v/>
      </c>
      <c r="F244" s="583">
        <f>E244*D244</f>
        <v/>
      </c>
    </row>
    <row r="245">
      <c r="A245" s="40" t="n"/>
      <c r="B245" s="299" t="inlineStr">
        <is>
          <t>100mm DICL FL Pipe @ 600</t>
        </is>
      </c>
      <c r="C245" s="40">
        <f>'Material Rates_Master'!B79</f>
        <v/>
      </c>
      <c r="D245" s="484" t="n"/>
      <c r="E245" s="583">
        <f>'Material Rates_Master'!D79</f>
        <v/>
      </c>
      <c r="F245" s="583">
        <f>E245*D245</f>
        <v/>
      </c>
    </row>
    <row r="246">
      <c r="A246" s="40" t="n"/>
      <c r="B246" s="299" t="inlineStr">
        <is>
          <t>100mm DICL FL Pipe @ 450</t>
        </is>
      </c>
      <c r="C246" s="40">
        <f>'Material Rates_Master'!B80</f>
        <v/>
      </c>
      <c r="D246" s="484" t="n"/>
      <c r="E246" s="583">
        <f>'Material Rates_Master'!D80</f>
        <v/>
      </c>
      <c r="F246" s="583">
        <f>E246*D246</f>
        <v/>
      </c>
    </row>
    <row r="247">
      <c r="A247" s="40" t="n"/>
      <c r="B247" s="299" t="inlineStr">
        <is>
          <t>100mm DICL FL Pipe @ 300</t>
        </is>
      </c>
      <c r="C247" s="40">
        <f>'Material Rates_Master'!B81</f>
        <v/>
      </c>
      <c r="D247" s="484" t="n"/>
      <c r="E247" s="583">
        <f>'Material Rates_Master'!D81</f>
        <v/>
      </c>
      <c r="F247" s="583">
        <f>E247*D247</f>
        <v/>
      </c>
    </row>
    <row r="248">
      <c r="A248" s="40" t="n"/>
      <c r="B248" s="299" t="inlineStr">
        <is>
          <t>150mm DICL FL Deadplate</t>
        </is>
      </c>
      <c r="C248" s="40">
        <f>'Material Rates_Master'!B82</f>
        <v/>
      </c>
      <c r="D248" s="484" t="n"/>
      <c r="E248" s="583">
        <f>'Material Rates_Master'!D82</f>
        <v/>
      </c>
      <c r="F248" s="583">
        <f>E248*D248</f>
        <v/>
      </c>
    </row>
    <row r="249">
      <c r="A249" s="40" t="n"/>
      <c r="B249" s="299" t="inlineStr">
        <is>
          <t xml:space="preserve">100mm DICL FL Deadplate </t>
        </is>
      </c>
      <c r="C249" s="40">
        <f>'Material Rates_Master'!B83</f>
        <v/>
      </c>
      <c r="D249" s="484" t="n"/>
      <c r="E249" s="583">
        <f>'Material Rates_Master'!D83</f>
        <v/>
      </c>
      <c r="F249" s="583">
        <f>E249*D249</f>
        <v/>
      </c>
    </row>
    <row r="250" ht="6.6" customHeight="1">
      <c r="A250" s="40" t="n"/>
      <c r="B250" s="299" t="n"/>
      <c r="C250" s="40">
        <f>'Material Rates_Master'!B84</f>
        <v/>
      </c>
      <c r="E250" s="583">
        <f>'Material Rates_Master'!D84</f>
        <v/>
      </c>
      <c r="F250" s="583">
        <f>E250*D250</f>
        <v/>
      </c>
    </row>
    <row r="251">
      <c r="A251" s="40" t="n"/>
      <c r="B251" s="299" t="inlineStr">
        <is>
          <t>200mm PE*DI Gasket Kit Complete</t>
        </is>
      </c>
      <c r="C251" s="40">
        <f>'Material Rates_Master'!B85</f>
        <v/>
      </c>
      <c r="D251" s="484" t="n"/>
      <c r="E251" s="583">
        <f>'Material Rates_Master'!D85</f>
        <v/>
      </c>
      <c r="F251" s="583">
        <f>E251*D251</f>
        <v/>
      </c>
    </row>
    <row r="252">
      <c r="A252" s="40" t="n"/>
      <c r="B252" s="299" t="inlineStr">
        <is>
          <t>200mm DI*DI Gasket Kit Complete</t>
        </is>
      </c>
      <c r="C252" s="40">
        <f>'Material Rates_Master'!B86</f>
        <v/>
      </c>
      <c r="D252" s="484" t="n"/>
      <c r="E252" s="583">
        <f>'Material Rates_Master'!D86</f>
        <v/>
      </c>
      <c r="F252" s="583">
        <f>E252*D252</f>
        <v/>
      </c>
    </row>
    <row r="253">
      <c r="A253" s="40" t="n"/>
      <c r="B253" s="299" t="inlineStr">
        <is>
          <t>150mm PE*DI Gasket Kit Complete</t>
        </is>
      </c>
      <c r="C253" s="40">
        <f>'Material Rates_Master'!B87</f>
        <v/>
      </c>
      <c r="D253" s="484" t="n"/>
      <c r="E253" s="583">
        <f>'Material Rates_Master'!D87</f>
        <v/>
      </c>
      <c r="F253" s="583">
        <f>E253*D253</f>
        <v/>
      </c>
    </row>
    <row r="254">
      <c r="A254" s="40" t="n"/>
      <c r="B254" s="299" t="inlineStr">
        <is>
          <t>150mm DI*DI Gasket Kit Complete</t>
        </is>
      </c>
      <c r="C254" s="40">
        <f>'Material Rates_Master'!B88</f>
        <v/>
      </c>
      <c r="D254" s="484" t="n"/>
      <c r="E254" s="583">
        <f>'Material Rates_Master'!D88</f>
        <v/>
      </c>
      <c r="F254" s="583">
        <f>E254*D254</f>
        <v/>
      </c>
    </row>
    <row r="255">
      <c r="A255" s="40" t="n"/>
      <c r="B255" s="299" t="inlineStr">
        <is>
          <t>100mm PE*DI Gasket Kit Complete</t>
        </is>
      </c>
      <c r="C255" s="40">
        <f>'Material Rates_Master'!B89</f>
        <v/>
      </c>
      <c r="D255" s="484" t="n"/>
      <c r="E255" s="583">
        <f>'Material Rates_Master'!D89</f>
        <v/>
      </c>
      <c r="F255" s="583">
        <f>E255*D255</f>
        <v/>
      </c>
    </row>
    <row r="256">
      <c r="A256" s="40" t="n"/>
      <c r="B256" s="299" t="inlineStr">
        <is>
          <t>100mm DI*DI Gasket Kit Complete</t>
        </is>
      </c>
      <c r="C256" s="40">
        <f>'Material Rates_Master'!B90</f>
        <v/>
      </c>
      <c r="D256" s="484" t="n"/>
      <c r="E256" s="583">
        <f>'Material Rates_Master'!D90</f>
        <v/>
      </c>
      <c r="F256" s="583">
        <f>E256*D256</f>
        <v/>
      </c>
    </row>
    <row r="257" ht="6.6" customHeight="1">
      <c r="A257" s="40" t="n"/>
      <c r="B257" s="299" t="n"/>
      <c r="C257" s="40">
        <f>'Material Rates_Master'!B91</f>
        <v/>
      </c>
      <c r="E257" s="583">
        <f>'Material Rates_Master'!D91</f>
        <v/>
      </c>
      <c r="F257" s="583">
        <f>E257*D257</f>
        <v/>
      </c>
    </row>
    <row r="258">
      <c r="A258" s="40" t="n"/>
      <c r="B258" s="299" t="inlineStr">
        <is>
          <t>150mm SS Gibault Adapter Coupling</t>
        </is>
      </c>
      <c r="C258" s="40">
        <f>'Material Rates_Master'!B92</f>
        <v/>
      </c>
      <c r="D258" s="484" t="n"/>
      <c r="E258" s="583">
        <f>'Material Rates_Master'!D92</f>
        <v/>
      </c>
      <c r="F258" s="583">
        <f>E258*D258</f>
        <v/>
      </c>
    </row>
    <row r="259">
      <c r="A259" s="40" t="n"/>
      <c r="B259" s="299" t="inlineStr">
        <is>
          <t>100mm SS Gibault Adapter Coupling</t>
        </is>
      </c>
      <c r="C259" s="40">
        <f>'Material Rates_Master'!B93</f>
        <v/>
      </c>
      <c r="D259" s="484" t="n"/>
      <c r="E259" s="583">
        <f>'Material Rates_Master'!D93</f>
        <v/>
      </c>
      <c r="F259" s="583">
        <f>E259*D259</f>
        <v/>
      </c>
    </row>
    <row r="260">
      <c r="A260" s="40" t="n"/>
      <c r="B260" s="299" t="inlineStr">
        <is>
          <t>180mm PE GRIPPER Adapter Coupling</t>
        </is>
      </c>
      <c r="C260" s="40">
        <f>'Material Rates_Master'!B94</f>
        <v/>
      </c>
      <c r="D260" s="484" t="n"/>
      <c r="E260" s="583">
        <f>'Material Rates_Master'!D94</f>
        <v/>
      </c>
      <c r="F260" s="583">
        <f>E260*D260</f>
        <v/>
      </c>
    </row>
    <row r="261">
      <c r="A261" s="40" t="n"/>
      <c r="B261" s="299" t="inlineStr">
        <is>
          <t>125mm PE GRIPPER Adapter Coupling</t>
        </is>
      </c>
      <c r="C261" s="40">
        <f>'Material Rates_Master'!B95</f>
        <v/>
      </c>
      <c r="D261" s="484" t="n"/>
      <c r="E261" s="583">
        <f>'Material Rates_Master'!D95</f>
        <v/>
      </c>
      <c r="F261" s="583">
        <f>E261*D261</f>
        <v/>
      </c>
    </row>
    <row r="262">
      <c r="A262" s="40" t="n"/>
      <c r="B262" s="299" t="inlineStr">
        <is>
          <t>180mm PE GRIPPER * 150FL Adapter Coupling</t>
        </is>
      </c>
      <c r="C262" s="40">
        <f>'Material Rates_Master'!B96</f>
        <v/>
      </c>
      <c r="D262" s="484" t="n"/>
      <c r="E262" s="583">
        <f>'Material Rates_Master'!D96</f>
        <v/>
      </c>
      <c r="F262" s="583">
        <f>E262*D262</f>
        <v/>
      </c>
    </row>
    <row r="263">
      <c r="A263" s="40" t="n"/>
      <c r="B263" s="299" t="inlineStr">
        <is>
          <t>125mm PE GRIPPER * 100FL Adapter Coupling</t>
        </is>
      </c>
      <c r="C263" s="40">
        <f>'Material Rates_Master'!B97</f>
        <v/>
      </c>
      <c r="D263" s="484" t="n"/>
      <c r="E263" s="583">
        <f>'Material Rates_Master'!D97</f>
        <v/>
      </c>
      <c r="F263" s="583">
        <f>E263*D263</f>
        <v/>
      </c>
    </row>
    <row r="264">
      <c r="A264" s="40" t="n"/>
      <c r="B264" s="299" t="inlineStr">
        <is>
          <t>180mm PE GRIPPER Sluice Valve</t>
        </is>
      </c>
      <c r="C264" s="40">
        <f>'Material Rates_Master'!B98</f>
        <v/>
      </c>
      <c r="D264" s="484" t="n"/>
      <c r="E264" s="583">
        <f>'Material Rates_Master'!D98</f>
        <v/>
      </c>
      <c r="F264" s="583">
        <f>E264*D264</f>
        <v/>
      </c>
    </row>
    <row r="265">
      <c r="A265" s="40" t="n"/>
      <c r="B265" s="299" t="inlineStr">
        <is>
          <t>125mm PE GRIPPER Sluice Valve</t>
        </is>
      </c>
      <c r="C265" s="40">
        <f>'Material Rates_Master'!B99</f>
        <v/>
      </c>
      <c r="D265" s="484" t="n"/>
      <c r="E265" s="583">
        <f>'Material Rates_Master'!D99</f>
        <v/>
      </c>
      <c r="F265" s="583">
        <f>E265*D265</f>
        <v/>
      </c>
    </row>
    <row r="266" ht="6.6" customHeight="1">
      <c r="A266" s="40" t="n"/>
      <c r="B266" s="299" t="n"/>
      <c r="C266" s="40">
        <f>'Material Rates_Master'!B100</f>
        <v/>
      </c>
      <c r="E266" s="583">
        <f>'Material Rates_Master'!D100</f>
        <v/>
      </c>
      <c r="F266" s="583">
        <f>E266*D266</f>
        <v/>
      </c>
    </row>
    <row r="267">
      <c r="A267" s="40" t="n"/>
      <c r="B267" s="299" t="inlineStr">
        <is>
          <t>Detectable Tape - Fire x 250m</t>
        </is>
      </c>
      <c r="C267" s="40">
        <f>'Material Rates_Master'!B101</f>
        <v/>
      </c>
      <c r="D267" s="484" t="n"/>
      <c r="E267" s="583">
        <f>'Material Rates_Master'!D101</f>
        <v/>
      </c>
      <c r="F267" s="583">
        <f>E267*D267</f>
        <v/>
      </c>
    </row>
    <row r="268">
      <c r="A268" s="40" t="n"/>
      <c r="B268" s="299" t="inlineStr">
        <is>
          <t>Alcohol Weld Wipes</t>
        </is>
      </c>
      <c r="C268" s="40">
        <f>'Material Rates_Master'!B102</f>
        <v/>
      </c>
      <c r="D268" s="484" t="n"/>
      <c r="E268" s="583">
        <f>'Material Rates_Master'!D102</f>
        <v/>
      </c>
      <c r="F268" s="583">
        <f>E268*D268</f>
        <v/>
      </c>
    </row>
    <row r="269">
      <c r="A269" s="40" t="n"/>
      <c r="B269" s="299" t="inlineStr">
        <is>
          <t>Denzo Tape 100mm roll</t>
        </is>
      </c>
      <c r="C269" s="40">
        <f>'Material Rates_Master'!B103</f>
        <v/>
      </c>
      <c r="D269" s="484" t="n"/>
      <c r="E269" s="583">
        <f>'Material Rates_Master'!D103</f>
        <v/>
      </c>
      <c r="F269" s="583">
        <f>E269*D269</f>
        <v/>
      </c>
    </row>
    <row r="270">
      <c r="A270" s="40" t="n"/>
      <c r="B270" s="299" t="inlineStr">
        <is>
          <t>Black over-wrap tape - roll</t>
        </is>
      </c>
      <c r="C270" s="40">
        <f>'Material Rates_Master'!B104</f>
        <v/>
      </c>
      <c r="D270" s="484" t="n"/>
      <c r="E270" s="583">
        <f>'Material Rates_Master'!D104</f>
        <v/>
      </c>
      <c r="F270" s="583">
        <f>E270*D270</f>
        <v/>
      </c>
    </row>
    <row r="271">
      <c r="A271" s="40" t="n"/>
      <c r="B271" s="299" t="n"/>
      <c r="E271" s="583" t="n"/>
      <c r="F271" s="583">
        <f>E271*D271</f>
        <v/>
      </c>
    </row>
    <row r="272">
      <c r="A272" s="40" t="n"/>
      <c r="B272" s="331" t="inlineStr">
        <is>
          <t>FIRE SERVICES - ABOVE GROUND</t>
        </is>
      </c>
      <c r="E272" s="583" t="n"/>
      <c r="F272" s="583">
        <f>E272*D272</f>
        <v/>
      </c>
    </row>
    <row r="273">
      <c r="A273" s="40" t="n"/>
      <c r="B273" s="300" t="inlineStr">
        <is>
          <t>Description</t>
        </is>
      </c>
      <c r="C273" s="40">
        <f>'Material Rates_Master'!B107</f>
        <v/>
      </c>
      <c r="E273" s="583" t="n"/>
      <c r="F273" s="583" t="n"/>
    </row>
    <row r="274">
      <c r="A274" s="40" t="n"/>
      <c r="B274" s="299" t="inlineStr">
        <is>
          <t>150mm MED DUTY Galv Pipe</t>
        </is>
      </c>
      <c r="C274" s="40">
        <f>'Material Rates_Master'!B108</f>
        <v/>
      </c>
      <c r="D274" s="37" t="n"/>
      <c r="E274" s="583">
        <f>'Material Rates_Master'!D108</f>
        <v/>
      </c>
      <c r="F274" s="583">
        <f>E274*D274</f>
        <v/>
      </c>
    </row>
    <row r="275">
      <c r="A275" s="40" t="n"/>
      <c r="B275" s="299" t="inlineStr">
        <is>
          <t>100mm MED DUTY Galv Pipe w/RG Ends</t>
        </is>
      </c>
      <c r="C275" s="40">
        <f>'Material Rates_Master'!B109</f>
        <v/>
      </c>
      <c r="D275" s="37" t="n"/>
      <c r="E275" s="583">
        <f>'Material Rates_Master'!D109</f>
        <v/>
      </c>
      <c r="F275" s="583">
        <f>E275*D275</f>
        <v/>
      </c>
    </row>
    <row r="276">
      <c r="A276" s="40" t="n"/>
      <c r="B276" s="299" t="inlineStr">
        <is>
          <t>100mm Class B Copper Pipe</t>
        </is>
      </c>
      <c r="C276" s="40">
        <f>'Material Rates_Master'!B110</f>
        <v/>
      </c>
      <c r="D276" s="37" t="n"/>
      <c r="E276" s="583">
        <f>'Material Rates_Master'!D110</f>
        <v/>
      </c>
      <c r="F276" s="583">
        <f>E276*D276</f>
        <v/>
      </c>
    </row>
    <row r="277">
      <c r="A277" s="40" t="n"/>
      <c r="B277" s="299" t="inlineStr">
        <is>
          <t>25mm Class B Copper Pipe</t>
        </is>
      </c>
      <c r="C277" s="40">
        <f>'Material Rates_Master'!B111</f>
        <v/>
      </c>
      <c r="D277" s="37" t="n"/>
      <c r="E277" s="583">
        <f>'Material Rates_Master'!D111</f>
        <v/>
      </c>
      <c r="F277" s="583">
        <f>E277*D277</f>
        <v/>
      </c>
    </row>
    <row r="278" ht="8.25" customHeight="1">
      <c r="A278" s="40" t="n"/>
      <c r="B278" s="299" t="n"/>
      <c r="C278" s="40">
        <f>'Material Rates_Master'!B112</f>
        <v/>
      </c>
      <c r="D278" s="37" t="n"/>
      <c r="E278" s="583">
        <f>'Material Rates_Master'!D112</f>
        <v/>
      </c>
      <c r="F278" s="583">
        <f>E278*D278</f>
        <v/>
      </c>
    </row>
    <row r="279">
      <c r="A279" s="40" t="n"/>
      <c r="B279" s="299" t="inlineStr">
        <is>
          <t>150mm Galv RG Coupling</t>
        </is>
      </c>
      <c r="C279" s="40">
        <f>'Material Rates_Master'!B113</f>
        <v/>
      </c>
      <c r="D279" s="37" t="n"/>
      <c r="E279" s="583">
        <f>'Material Rates_Master'!D113</f>
        <v/>
      </c>
      <c r="F279" s="583">
        <f>E279*D279</f>
        <v/>
      </c>
    </row>
    <row r="280">
      <c r="A280" s="40" t="n"/>
      <c r="B280" s="299" t="inlineStr">
        <is>
          <t>100mm Galv RG Coupling</t>
        </is>
      </c>
      <c r="C280" s="40">
        <f>'Material Rates_Master'!B114</f>
        <v/>
      </c>
      <c r="D280" s="37" t="n"/>
      <c r="E280" s="583">
        <f>'Material Rates_Master'!D114</f>
        <v/>
      </c>
      <c r="F280" s="583">
        <f>E280*D280</f>
        <v/>
      </c>
    </row>
    <row r="281">
      <c r="A281" s="40" t="n"/>
      <c r="B281" s="299" t="inlineStr">
        <is>
          <t>150mm Galv RG TEE</t>
        </is>
      </c>
      <c r="C281" s="40">
        <f>'Material Rates_Master'!B115</f>
        <v/>
      </c>
      <c r="D281" s="37" t="n"/>
      <c r="E281" s="583">
        <f>'Material Rates_Master'!D115</f>
        <v/>
      </c>
      <c r="F281" s="583">
        <f>E281*D281</f>
        <v/>
      </c>
    </row>
    <row r="282">
      <c r="A282" s="40" t="n"/>
      <c r="B282" s="299" t="inlineStr">
        <is>
          <t>100mm Galv RG TEE</t>
        </is>
      </c>
      <c r="C282" s="40">
        <f>'Material Rates_Master'!B116</f>
        <v/>
      </c>
      <c r="D282" s="37" t="n"/>
      <c r="E282" s="583">
        <f>'Material Rates_Master'!D116</f>
        <v/>
      </c>
      <c r="F282" s="583">
        <f>E282*D282</f>
        <v/>
      </c>
    </row>
    <row r="283">
      <c r="A283" s="40" t="n"/>
      <c r="B283" s="299" t="inlineStr">
        <is>
          <t>150mm Galv RG BEND 90Deg</t>
        </is>
      </c>
      <c r="C283" s="40">
        <f>'Material Rates_Master'!B117</f>
        <v/>
      </c>
      <c r="D283" s="37" t="n"/>
      <c r="E283" s="583">
        <f>'Material Rates_Master'!D117</f>
        <v/>
      </c>
      <c r="F283" s="583">
        <f>E283*D283</f>
        <v/>
      </c>
    </row>
    <row r="284">
      <c r="A284" s="40" t="n"/>
      <c r="B284" s="299" t="inlineStr">
        <is>
          <t>100mm Galv RG BEND 90Deg</t>
        </is>
      </c>
      <c r="C284" s="40">
        <f>'Material Rates_Master'!B118</f>
        <v/>
      </c>
      <c r="D284" s="37" t="n"/>
      <c r="E284" s="583">
        <f>'Material Rates_Master'!D118</f>
        <v/>
      </c>
      <c r="F284" s="583">
        <f>E284*D284</f>
        <v/>
      </c>
    </row>
    <row r="285">
      <c r="A285" s="40" t="n"/>
      <c r="B285" s="299" t="inlineStr">
        <is>
          <t>150mm Galv RG BEND 45Deg</t>
        </is>
      </c>
      <c r="C285" s="40">
        <f>'Material Rates_Master'!B119</f>
        <v/>
      </c>
      <c r="D285" s="37" t="n"/>
      <c r="E285" s="583">
        <f>'Material Rates_Master'!D119</f>
        <v/>
      </c>
      <c r="F285" s="583">
        <f>E285*D285</f>
        <v/>
      </c>
    </row>
    <row r="286">
      <c r="A286" s="40" t="n"/>
      <c r="B286" s="299" t="inlineStr">
        <is>
          <t>100mm Galv RG BEND 45Deg</t>
        </is>
      </c>
      <c r="C286" s="40">
        <f>'Material Rates_Master'!B120</f>
        <v/>
      </c>
      <c r="D286" s="37" t="n"/>
      <c r="E286" s="583">
        <f>'Material Rates_Master'!D120</f>
        <v/>
      </c>
      <c r="F286" s="583">
        <f>E286*D286</f>
        <v/>
      </c>
    </row>
    <row r="287">
      <c r="A287" s="40" t="n"/>
      <c r="B287" s="299" t="inlineStr">
        <is>
          <t>150mm Galv RG x 100mm FLANGE Adapt</t>
        </is>
      </c>
      <c r="C287" s="40">
        <f>'Material Rates_Master'!B121</f>
        <v/>
      </c>
      <c r="D287" s="37" t="n"/>
      <c r="E287" s="583">
        <f>'Material Rates_Master'!D121</f>
        <v/>
      </c>
      <c r="F287" s="583">
        <f>E287*D287</f>
        <v/>
      </c>
    </row>
    <row r="288">
      <c r="A288" s="40" t="n"/>
      <c r="B288" s="299" t="inlineStr">
        <is>
          <t>100mm Galv RG x 100mm FLANGE Adapt</t>
        </is>
      </c>
      <c r="C288" s="40">
        <f>'Material Rates_Master'!B122</f>
        <v/>
      </c>
      <c r="D288" s="37" t="n"/>
      <c r="E288" s="583">
        <f>'Material Rates_Master'!D122</f>
        <v/>
      </c>
      <c r="F288" s="583">
        <f>E288*D288</f>
        <v/>
      </c>
    </row>
    <row r="289">
      <c r="A289" s="40" t="n"/>
      <c r="B289" s="299" t="inlineStr">
        <is>
          <t>150mm RG Butterfly Valve Geared Wheel</t>
        </is>
      </c>
      <c r="C289" s="40">
        <f>'Material Rates_Master'!B123</f>
        <v/>
      </c>
      <c r="D289" s="37" t="n"/>
      <c r="E289" s="583">
        <f>'Material Rates_Master'!D123</f>
        <v/>
      </c>
      <c r="F289" s="583">
        <f>E289*D289</f>
        <v/>
      </c>
    </row>
    <row r="290">
      <c r="A290" s="40" t="n"/>
      <c r="B290" s="299" t="inlineStr">
        <is>
          <t>100mm RG Butterfly Valve Geared Wheel</t>
        </is>
      </c>
      <c r="C290" s="40">
        <f>'Material Rates_Master'!B124</f>
        <v/>
      </c>
      <c r="D290" s="37" t="n"/>
      <c r="E290" s="583">
        <f>'Material Rates_Master'!D124</f>
        <v/>
      </c>
      <c r="F290" s="583">
        <f>E290*D290</f>
        <v/>
      </c>
    </row>
    <row r="291" ht="5.55" customHeight="1">
      <c r="A291" s="40" t="n"/>
      <c r="B291" s="299" t="n"/>
      <c r="C291" s="40">
        <f>'Material Rates_Master'!B125</f>
        <v/>
      </c>
      <c r="D291" s="37" t="n"/>
      <c r="E291" s="583">
        <f>'Material Rates_Master'!D125</f>
        <v/>
      </c>
      <c r="F291" s="583">
        <f>E291*D291</f>
        <v/>
      </c>
    </row>
    <row r="292">
      <c r="A292" s="40" t="n"/>
      <c r="B292" s="299" t="inlineStr">
        <is>
          <t>150mm H-Pattern Booster Assembly Complete</t>
        </is>
      </c>
      <c r="C292" s="40">
        <f>'Material Rates_Master'!B126</f>
        <v/>
      </c>
      <c r="D292" s="37" t="n"/>
      <c r="E292" s="583">
        <f>'Material Rates_Master'!D126</f>
        <v/>
      </c>
      <c r="F292" s="583">
        <f>E292*D292</f>
        <v/>
      </c>
    </row>
    <row r="293">
      <c r="A293" s="40" t="n"/>
      <c r="B293" s="299" t="inlineStr">
        <is>
          <t>Booster Cabinet - Compl with doors and stickers</t>
        </is>
      </c>
      <c r="C293" s="40">
        <f>'Material Rates_Master'!B127</f>
        <v/>
      </c>
      <c r="D293" s="37" t="n"/>
      <c r="E293" s="583">
        <f>'Material Rates_Master'!D127</f>
        <v/>
      </c>
      <c r="F293" s="583">
        <f>E293*D293</f>
        <v/>
      </c>
    </row>
    <row r="294" ht="6.6" customHeight="1">
      <c r="A294" s="40" t="n"/>
      <c r="B294" s="299" t="n"/>
      <c r="C294" s="40">
        <f>'Material Rates_Master'!B128</f>
        <v/>
      </c>
      <c r="D294" s="37" t="n"/>
      <c r="E294" s="583">
        <f>'Material Rates_Master'!D128</f>
        <v/>
      </c>
      <c r="F294" s="583">
        <f>E294*D294</f>
        <v/>
      </c>
    </row>
    <row r="295">
      <c r="A295" s="40" t="n"/>
      <c r="B295" s="299" t="inlineStr">
        <is>
          <t>100mm Dual Pillar Hydrant Complete_ Flanged Base 1500 High w/landing Valves</t>
        </is>
      </c>
      <c r="C295" s="40">
        <f>'Material Rates_Master'!B129</f>
        <v/>
      </c>
      <c r="D295" s="484" t="n"/>
      <c r="E295" s="583">
        <f>'Material Rates_Master'!D129</f>
        <v/>
      </c>
      <c r="F295" s="583">
        <f>E295*D295</f>
        <v/>
      </c>
    </row>
    <row r="296">
      <c r="A296" s="40" t="n"/>
      <c r="B296" s="299" t="inlineStr">
        <is>
          <t>100mm Dual Pillar Hydrant Complete_ RG Base 1500 High w/landing Valves_OPTION</t>
        </is>
      </c>
      <c r="C296" s="40">
        <f>'Material Rates_Master'!B130</f>
        <v/>
      </c>
      <c r="D296" s="484" t="n"/>
      <c r="E296" s="583">
        <f>'Material Rates_Master'!D130</f>
        <v/>
      </c>
      <c r="F296" s="583">
        <f>E296*D296</f>
        <v/>
      </c>
    </row>
    <row r="297">
      <c r="A297" s="40" t="n"/>
      <c r="B297" s="299" t="inlineStr">
        <is>
          <t xml:space="preserve">65mm RG Landing Valve </t>
        </is>
      </c>
      <c r="C297" s="40">
        <f>'Material Rates_Master'!B131</f>
        <v/>
      </c>
      <c r="D297" s="484" t="n"/>
      <c r="E297" s="583">
        <f>'Material Rates_Master'!D131</f>
        <v/>
      </c>
      <c r="F297" s="583">
        <f>E297*D297</f>
        <v/>
      </c>
    </row>
    <row r="298">
      <c r="A298" s="40" t="n"/>
      <c r="B298" s="299" t="inlineStr">
        <is>
          <t>Red caps and chain - suit 65mm QLD Landing valve</t>
        </is>
      </c>
      <c r="C298" s="40">
        <f>'Material Rates_Master'!B132</f>
        <v/>
      </c>
      <c r="D298" s="484" t="n"/>
      <c r="E298" s="583">
        <f>'Material Rates_Master'!D132</f>
        <v/>
      </c>
      <c r="F298" s="583">
        <f>E298*D298</f>
        <v/>
      </c>
    </row>
    <row r="299">
      <c r="A299" s="40" t="n"/>
      <c r="B299" s="299" t="inlineStr">
        <is>
          <t>36m Fire Hose Reel w/25mm isolation valve</t>
        </is>
      </c>
      <c r="C299" s="40">
        <f>'Material Rates_Master'!B133</f>
        <v/>
      </c>
      <c r="D299" s="484" t="n"/>
      <c r="E299" s="583">
        <f>'Material Rates_Master'!D133</f>
        <v/>
      </c>
      <c r="F299" s="583">
        <f>E299*D299</f>
        <v/>
      </c>
    </row>
    <row r="300">
      <c r="A300" s="40" t="n"/>
      <c r="B300" s="299" t="inlineStr">
        <is>
          <t>25mm Isolation Ball Valve (for fire hose reel) valve only, with hose nozzle latch</t>
        </is>
      </c>
      <c r="C300" s="40">
        <f>'Material Rates_Master'!B134</f>
        <v/>
      </c>
      <c r="D300" s="484" t="n"/>
      <c r="E300" s="583">
        <f>'Material Rates_Master'!D134</f>
        <v/>
      </c>
      <c r="F300" s="583">
        <f>E300*D300</f>
        <v/>
      </c>
    </row>
    <row r="301" ht="6.6" customHeight="1">
      <c r="A301" s="40" t="n"/>
      <c r="B301" s="299" t="n"/>
      <c r="C301" s="40">
        <f>'Material Rates_Master'!B135</f>
        <v/>
      </c>
      <c r="D301" s="37" t="n"/>
      <c r="E301" s="583">
        <f>'Material Rates_Master'!D135</f>
        <v/>
      </c>
      <c r="F301" s="583">
        <f>E301*D301</f>
        <v/>
      </c>
    </row>
    <row r="302">
      <c r="A302" s="40" t="n"/>
      <c r="B302" s="299" t="inlineStr">
        <is>
          <t>150mm FL Testable Double Check Valve - Compl. w/Valves</t>
        </is>
      </c>
      <c r="C302" s="40">
        <f>'Material Rates_Master'!B136</f>
        <v/>
      </c>
      <c r="D302" s="37" t="n"/>
      <c r="E302" s="583">
        <f>'Material Rates_Master'!D136</f>
        <v/>
      </c>
      <c r="F302" s="583">
        <f>E302*D302</f>
        <v/>
      </c>
    </row>
    <row r="303">
      <c r="A303" s="40" t="n"/>
      <c r="B303" s="299" t="inlineStr">
        <is>
          <t>150mm FL RPZD Valve - Compl. w/Valves</t>
        </is>
      </c>
      <c r="C303" s="40">
        <f>'Material Rates_Master'!B137</f>
        <v/>
      </c>
      <c r="D303" s="37" t="n"/>
      <c r="E303" s="583">
        <f>'Material Rates_Master'!D137</f>
        <v/>
      </c>
      <c r="F303" s="583">
        <f>E303*D303</f>
        <v/>
      </c>
    </row>
    <row r="304" ht="7.2" customHeight="1">
      <c r="A304" s="40" t="n"/>
      <c r="B304" s="299" t="n"/>
      <c r="C304" s="40">
        <f>'Material Rates_Master'!B138</f>
        <v/>
      </c>
      <c r="D304" s="37" t="n"/>
      <c r="E304" s="583">
        <f>'Material Rates_Master'!D138</f>
        <v/>
      </c>
      <c r="F304" s="583">
        <f>E304*D304</f>
        <v/>
      </c>
    </row>
    <row r="305">
      <c r="A305" s="40" t="n"/>
      <c r="B305" s="299" t="inlineStr">
        <is>
          <t>100mm FL Levered Butterfly Vlave</t>
        </is>
      </c>
      <c r="C305" s="40">
        <f>'Material Rates_Master'!B139</f>
        <v/>
      </c>
      <c r="D305" s="37" t="n"/>
      <c r="E305" s="583">
        <f>'Material Rates_Master'!D139</f>
        <v/>
      </c>
      <c r="F305" s="583">
        <f>E305*D305</f>
        <v/>
      </c>
    </row>
    <row r="306">
      <c r="A306" s="40" t="n"/>
      <c r="B306" s="299" t="inlineStr">
        <is>
          <t>100mm Copper Crimp - TEE</t>
        </is>
      </c>
      <c r="C306" s="40">
        <f>'Material Rates_Master'!B140</f>
        <v/>
      </c>
      <c r="D306" s="37" t="n"/>
      <c r="E306" s="583">
        <f>'Material Rates_Master'!D140</f>
        <v/>
      </c>
      <c r="F306" s="583">
        <f>E306*D306</f>
        <v/>
      </c>
    </row>
    <row r="307">
      <c r="A307" s="40" t="n"/>
      <c r="B307" s="299" t="inlineStr">
        <is>
          <t>100mm Copper Crimp - 90Deg Bend</t>
        </is>
      </c>
      <c r="C307" s="40">
        <f>'Material Rates_Master'!B141</f>
        <v/>
      </c>
      <c r="D307" s="37" t="n"/>
      <c r="E307" s="583">
        <f>'Material Rates_Master'!D141</f>
        <v/>
      </c>
      <c r="F307" s="583">
        <f>E307*D307</f>
        <v/>
      </c>
    </row>
    <row r="308">
      <c r="A308" s="40" t="n"/>
      <c r="B308" s="299" t="inlineStr">
        <is>
          <t>100mm Copper Crimp - 45Deg Bend</t>
        </is>
      </c>
      <c r="C308" s="40">
        <f>'Material Rates_Master'!B142</f>
        <v/>
      </c>
      <c r="D308" s="37" t="n"/>
      <c r="E308" s="583">
        <f>'Material Rates_Master'!D142</f>
        <v/>
      </c>
      <c r="F308" s="583">
        <f>E308*D308</f>
        <v/>
      </c>
    </row>
    <row r="309">
      <c r="A309" s="40" t="n"/>
      <c r="B309" s="299" t="inlineStr">
        <is>
          <t>100mm Copper Crimp - Straight Socket</t>
        </is>
      </c>
      <c r="C309" s="40">
        <f>'Material Rates_Master'!B143</f>
        <v/>
      </c>
      <c r="D309" s="37" t="n"/>
      <c r="E309" s="583">
        <f>'Material Rates_Master'!D143</f>
        <v/>
      </c>
      <c r="F309" s="583">
        <f>E309*D309</f>
        <v/>
      </c>
    </row>
    <row r="310">
      <c r="A310" s="40" t="n"/>
      <c r="B310" s="299" t="inlineStr">
        <is>
          <t>100mm Copper Crimp - 100mm FL Adapter</t>
        </is>
      </c>
      <c r="C310" s="40">
        <f>'Material Rates_Master'!B144</f>
        <v/>
      </c>
      <c r="D310" s="37" t="n"/>
      <c r="E310" s="583">
        <f>'Material Rates_Master'!D144</f>
        <v/>
      </c>
      <c r="F310" s="583">
        <f>E310*D310</f>
        <v/>
      </c>
    </row>
    <row r="311">
      <c r="A311" s="40" t="n"/>
      <c r="B311" s="299" t="inlineStr">
        <is>
          <t>80mm Copper Crimp - TEE</t>
        </is>
      </c>
      <c r="C311" s="40">
        <f>'Material Rates_Master'!B145</f>
        <v/>
      </c>
      <c r="D311" s="37" t="n"/>
      <c r="E311" s="583">
        <f>'Material Rates_Master'!D145</f>
        <v/>
      </c>
      <c r="F311" s="583">
        <f>E311*D311</f>
        <v/>
      </c>
    </row>
    <row r="312">
      <c r="A312" s="40" t="n"/>
      <c r="B312" s="299" t="inlineStr">
        <is>
          <t>100mm*80mm Copper Crimp - REDUCER</t>
        </is>
      </c>
      <c r="C312" s="40">
        <f>'Material Rates_Master'!B146</f>
        <v/>
      </c>
      <c r="D312" s="37" t="n"/>
      <c r="E312" s="583">
        <f>'Material Rates_Master'!D146</f>
        <v/>
      </c>
      <c r="F312" s="583">
        <f>E312*D312</f>
        <v/>
      </c>
    </row>
    <row r="313" ht="7.2" customHeight="1">
      <c r="A313" s="40" t="n"/>
      <c r="B313" s="299" t="n"/>
      <c r="C313" s="40">
        <f>'Material Rates_Master'!B147</f>
        <v/>
      </c>
      <c r="D313" s="484" t="n"/>
      <c r="E313" s="583">
        <f>'Material Rates_Master'!D147</f>
        <v/>
      </c>
      <c r="F313" s="583">
        <f>E313*D313</f>
        <v/>
      </c>
    </row>
    <row r="314">
      <c r="A314" s="40" t="n"/>
      <c r="B314" s="299" t="inlineStr">
        <is>
          <t>32mm Fi Lockable Ball Valve</t>
        </is>
      </c>
      <c r="C314" s="40">
        <f>'Material Rates_Master'!B148</f>
        <v/>
      </c>
      <c r="D314" s="484" t="n"/>
      <c r="E314" s="583">
        <f>'Material Rates_Master'!D148</f>
        <v/>
      </c>
      <c r="F314" s="583">
        <f>E314*D314</f>
        <v/>
      </c>
    </row>
    <row r="315">
      <c r="A315" s="40" t="n"/>
      <c r="B315" s="299" t="inlineStr">
        <is>
          <t>32mm Cu Crimp * 32mi Adapt</t>
        </is>
      </c>
      <c r="C315" s="40">
        <f>'Material Rates_Master'!B149</f>
        <v/>
      </c>
      <c r="D315" s="484" t="n"/>
      <c r="E315" s="583">
        <f>'Material Rates_Master'!D149</f>
        <v/>
      </c>
      <c r="F315" s="583">
        <f>E315*D315</f>
        <v/>
      </c>
    </row>
    <row r="316">
      <c r="A316" s="40" t="n"/>
      <c r="B316" s="299" t="inlineStr">
        <is>
          <t>32mm Cu Crimp Coupling Straight</t>
        </is>
      </c>
      <c r="C316" s="40">
        <f>'Material Rates_Master'!B150</f>
        <v/>
      </c>
      <c r="D316" s="484" t="n"/>
      <c r="E316" s="583">
        <f>'Material Rates_Master'!D150</f>
        <v/>
      </c>
      <c r="F316" s="583">
        <f>E316*D316</f>
        <v/>
      </c>
    </row>
    <row r="317">
      <c r="A317" s="40" t="n"/>
      <c r="B317" s="299" t="inlineStr">
        <is>
          <t>32mm Cu Crimp 90Deg Bend</t>
        </is>
      </c>
      <c r="C317" s="40">
        <f>'Material Rates_Master'!B151</f>
        <v/>
      </c>
      <c r="D317" s="484" t="n"/>
      <c r="E317" s="583">
        <f>'Material Rates_Master'!D151</f>
        <v/>
      </c>
      <c r="F317" s="583">
        <f>E317*D317</f>
        <v/>
      </c>
    </row>
    <row r="318">
      <c r="A318" s="40" t="n"/>
      <c r="B318" s="299" t="inlineStr">
        <is>
          <t>32mm Cu Crimp 45Deg Bend</t>
        </is>
      </c>
      <c r="C318" s="40">
        <f>'Material Rates_Master'!B152</f>
        <v/>
      </c>
      <c r="D318" s="484" t="n"/>
      <c r="E318" s="583">
        <f>'Material Rates_Master'!D152</f>
        <v/>
      </c>
      <c r="F318" s="583">
        <f>E318*D318</f>
        <v/>
      </c>
    </row>
    <row r="319">
      <c r="A319" s="40" t="n"/>
      <c r="B319" s="299" t="inlineStr">
        <is>
          <t>32mm*25mm Cu Crimp Reducer</t>
        </is>
      </c>
      <c r="C319" s="40">
        <f>'Material Rates_Master'!B153</f>
        <v/>
      </c>
      <c r="D319" s="484" t="n"/>
      <c r="E319" s="583">
        <f>'Material Rates_Master'!D153</f>
        <v/>
      </c>
      <c r="F319" s="583">
        <f>E319*D319</f>
        <v/>
      </c>
    </row>
    <row r="320">
      <c r="A320" s="40" t="n"/>
      <c r="B320" s="299" t="inlineStr">
        <is>
          <t>25mm Fi Lockable Ball Valve</t>
        </is>
      </c>
      <c r="C320" s="40">
        <f>'Material Rates_Master'!B154</f>
        <v/>
      </c>
      <c r="D320" s="484" t="n"/>
      <c r="E320" s="583">
        <f>'Material Rates_Master'!D154</f>
        <v/>
      </c>
      <c r="F320" s="583">
        <f>E320*D320</f>
        <v/>
      </c>
    </row>
    <row r="321">
      <c r="A321" s="40" t="n"/>
      <c r="B321" s="299" t="inlineStr">
        <is>
          <t>25mm Cu Crimp * 25mi Adapt</t>
        </is>
      </c>
      <c r="C321" s="40">
        <f>'Material Rates_Master'!B155</f>
        <v/>
      </c>
      <c r="D321" s="484" t="n"/>
      <c r="E321" s="583">
        <f>'Material Rates_Master'!D155</f>
        <v/>
      </c>
      <c r="F321" s="583">
        <f>E321*D321</f>
        <v/>
      </c>
    </row>
    <row r="322">
      <c r="A322" s="40" t="n"/>
      <c r="B322" s="299" t="inlineStr">
        <is>
          <t>25mm Cu Crimp Coupling Straight</t>
        </is>
      </c>
      <c r="C322" s="40">
        <f>'Material Rates_Master'!B156</f>
        <v/>
      </c>
      <c r="D322" s="484" t="n"/>
      <c r="E322" s="583">
        <f>'Material Rates_Master'!D156</f>
        <v/>
      </c>
      <c r="F322" s="583">
        <f>E322*D322</f>
        <v/>
      </c>
    </row>
    <row r="323">
      <c r="A323" s="40" t="n"/>
      <c r="B323" s="299" t="inlineStr">
        <is>
          <t>25mm Cu Crimp 90Deg Bend</t>
        </is>
      </c>
      <c r="C323" s="40">
        <f>'Material Rates_Master'!B157</f>
        <v/>
      </c>
      <c r="D323" s="484" t="n"/>
      <c r="E323" s="583">
        <f>'Material Rates_Master'!D157</f>
        <v/>
      </c>
      <c r="F323" s="583">
        <f>E323*D323</f>
        <v/>
      </c>
    </row>
    <row r="324">
      <c r="A324" s="40" t="n"/>
      <c r="B324" s="299" t="inlineStr">
        <is>
          <t>25mm Cu Crimp 45Deg Bend</t>
        </is>
      </c>
      <c r="C324" s="40">
        <f>'Material Rates_Master'!B158</f>
        <v/>
      </c>
      <c r="D324" s="484" t="n"/>
      <c r="E324" s="583">
        <f>'Material Rates_Master'!D158</f>
        <v/>
      </c>
      <c r="F324" s="583">
        <f>E324*D324</f>
        <v/>
      </c>
    </row>
    <row r="325" ht="9" customHeight="1">
      <c r="A325" s="40" t="n"/>
      <c r="B325" s="299" t="n"/>
      <c r="C325" s="40">
        <f>'Material Rates_Master'!B159</f>
        <v/>
      </c>
      <c r="D325" s="484" t="n"/>
      <c r="E325" s="583">
        <f>'Material Rates_Master'!D159</f>
        <v/>
      </c>
      <c r="F325" s="583">
        <f>E325*D325</f>
        <v/>
      </c>
    </row>
    <row r="326">
      <c r="A326" s="40" t="n"/>
      <c r="B326" s="299" t="inlineStr">
        <is>
          <t>150mm Galv 2 Piece Weld-nut Bracket M12</t>
        </is>
      </c>
      <c r="C326" s="40">
        <f>'Material Rates_Master'!B160</f>
        <v/>
      </c>
      <c r="D326" s="37" t="n"/>
      <c r="E326" s="583">
        <f>'Material Rates_Master'!D160</f>
        <v/>
      </c>
      <c r="F326" s="583">
        <f>E326*D326</f>
        <v/>
      </c>
    </row>
    <row r="327">
      <c r="A327" s="40" t="n"/>
      <c r="B327" s="299" t="inlineStr">
        <is>
          <t>100mm Galv 2 Piece Weld-nut Bracket M12</t>
        </is>
      </c>
      <c r="C327" s="40">
        <f>'Material Rates_Master'!B161</f>
        <v/>
      </c>
      <c r="D327" s="37" t="n"/>
      <c r="E327" s="583">
        <f>'Material Rates_Master'!D161</f>
        <v/>
      </c>
      <c r="F327" s="583">
        <f>E327*D327</f>
        <v/>
      </c>
    </row>
    <row r="328">
      <c r="A328" s="40" t="n"/>
      <c r="B328" s="299" t="inlineStr">
        <is>
          <t>150 Galv 2 Piece Channel Clip</t>
        </is>
      </c>
      <c r="C328" s="40">
        <f>'Material Rates_Master'!B162</f>
        <v/>
      </c>
      <c r="D328" s="37" t="n"/>
      <c r="E328" s="583">
        <f>'Material Rates_Master'!D162</f>
        <v/>
      </c>
      <c r="F328" s="583">
        <f>E328*D328</f>
        <v/>
      </c>
    </row>
    <row r="329">
      <c r="A329" s="40" t="n"/>
      <c r="B329" s="299" t="inlineStr">
        <is>
          <t>100 Galv 2 Piece Channel Clip</t>
        </is>
      </c>
      <c r="C329" s="40">
        <f>'Material Rates_Master'!B163</f>
        <v/>
      </c>
      <c r="D329" s="37" t="n"/>
      <c r="E329" s="583">
        <f>'Material Rates_Master'!D163</f>
        <v/>
      </c>
      <c r="F329" s="583">
        <f>E329*D329</f>
        <v/>
      </c>
    </row>
    <row r="330">
      <c r="A330" s="40" t="n"/>
      <c r="B330" s="299" t="inlineStr">
        <is>
          <t>12mm Galv Threaded Rod</t>
        </is>
      </c>
      <c r="C330" s="40">
        <f>'Material Rates_Master'!B164</f>
        <v/>
      </c>
      <c r="D330" s="37" t="n"/>
      <c r="E330" s="583">
        <f>'Material Rates_Master'!D164</f>
        <v/>
      </c>
      <c r="F330" s="583">
        <f>E330*D330</f>
        <v/>
      </c>
    </row>
    <row r="331">
      <c r="A331" s="40" t="n"/>
      <c r="B331" s="299" t="inlineStr">
        <is>
          <t>Galv Braced Counter Lever Bracket - 450Long</t>
        </is>
      </c>
      <c r="C331" s="40">
        <f>'Material Rates_Master'!B165</f>
        <v/>
      </c>
      <c r="D331" s="37" t="n"/>
      <c r="E331" s="583">
        <f>'Material Rates_Master'!D165</f>
        <v/>
      </c>
      <c r="F331" s="583">
        <f>E331*D331</f>
        <v/>
      </c>
    </row>
    <row r="332">
      <c r="A332" s="40" t="n"/>
      <c r="B332" s="299" t="inlineStr">
        <is>
          <t>003 Padlock</t>
        </is>
      </c>
      <c r="C332" s="40">
        <f>'Material Rates_Master'!B166</f>
        <v/>
      </c>
      <c r="D332" s="37" t="n"/>
      <c r="E332" s="583">
        <f>'Material Rates_Master'!D166</f>
        <v/>
      </c>
      <c r="F332" s="583">
        <f>E332*D332</f>
        <v/>
      </c>
    </row>
    <row r="333">
      <c r="A333" s="40" t="n"/>
      <c r="B333" s="299" t="inlineStr">
        <is>
          <t>100mm DI*DI Gasket Kit Complete</t>
        </is>
      </c>
      <c r="C333" s="40">
        <f>'Material Rates_Master'!B167</f>
        <v/>
      </c>
      <c r="D333" s="37" t="n"/>
      <c r="E333" s="583">
        <f>'Material Rates_Master'!D167</f>
        <v/>
      </c>
      <c r="F333" s="583">
        <f>E333*D333</f>
        <v/>
      </c>
    </row>
    <row r="334" ht="10.95" customHeight="1">
      <c r="A334" s="40" t="n"/>
      <c r="B334" s="299" t="n"/>
      <c r="D334" s="37" t="n"/>
      <c r="E334" s="583" t="n"/>
      <c r="F334" s="583" t="n"/>
    </row>
    <row r="335">
      <c r="A335" s="40" t="n"/>
      <c r="B335" s="331" t="inlineStr">
        <is>
          <t xml:space="preserve">FIRE SERVICES - Misc. </t>
        </is>
      </c>
      <c r="D335" s="37" t="n"/>
      <c r="E335" s="583" t="n"/>
      <c r="F335" s="583" t="n"/>
    </row>
    <row r="336" ht="14.55" customHeight="1">
      <c r="A336" s="40" t="n"/>
      <c r="B336" s="300" t="inlineStr">
        <is>
          <t>Description</t>
        </is>
      </c>
      <c r="D336" s="37" t="n"/>
      <c r="E336" s="583" t="n"/>
      <c r="F336" s="583" t="n"/>
    </row>
    <row r="337">
      <c r="A337" s="40" t="n"/>
      <c r="B337" s="299" t="inlineStr">
        <is>
          <t>Decommisioning Material</t>
        </is>
      </c>
      <c r="C337" s="40">
        <f>'Material Rates_Master'!B171</f>
        <v/>
      </c>
      <c r="D337" s="37" t="n"/>
      <c r="E337" s="583" t="n">
        <v>1388</v>
      </c>
      <c r="F337" s="583">
        <f>E337*D337</f>
        <v/>
      </c>
    </row>
    <row r="338">
      <c r="A338" s="40" t="n"/>
      <c r="B338" s="299" t="inlineStr">
        <is>
          <t>Electrofusion PE Welder 25-250mmPE. Please detail Spec</t>
        </is>
      </c>
      <c r="C338" s="40">
        <f>'Material Rates_Master'!B172</f>
        <v/>
      </c>
      <c r="D338" s="37" t="n"/>
      <c r="E338" s="583">
        <f>'Material Rates_Master'!D172</f>
        <v/>
      </c>
      <c r="F338" s="583">
        <f>E338*D338</f>
        <v/>
      </c>
    </row>
    <row r="339">
      <c r="A339" s="40" t="n"/>
      <c r="B339" s="299" t="inlineStr">
        <is>
          <t>PE Butt Welder. Automatic. 125-250mmPE. Please detail Spec - HIRE</t>
        </is>
      </c>
      <c r="C339" s="40" t="inlineStr">
        <is>
          <t>WEEK</t>
        </is>
      </c>
      <c r="D339" s="37" t="n"/>
      <c r="E339" s="583" t="n">
        <v>450</v>
      </c>
      <c r="F339" s="583">
        <f>E339*D339</f>
        <v/>
      </c>
    </row>
    <row r="340">
      <c r="A340" s="40" t="n"/>
      <c r="B340" s="299" t="inlineStr">
        <is>
          <t>Hand Roll Groover. 65-150mm.</t>
        </is>
      </c>
      <c r="C340" s="40">
        <f>'Material Rates_Master'!B174</f>
        <v/>
      </c>
      <c r="D340" s="37" t="n"/>
      <c r="E340" s="583">
        <f>'Material Rates_Master'!D174</f>
        <v/>
      </c>
      <c r="F340" s="583">
        <f>E340*D340</f>
        <v/>
      </c>
    </row>
    <row r="341">
      <c r="A341" s="40" t="n"/>
      <c r="B341" s="299" t="inlineStr">
        <is>
          <t>Delivery - To Rockhampton PIPE LENGTHS as quoted</t>
        </is>
      </c>
      <c r="C341" s="40">
        <f>'Material Rates_Master'!B175</f>
        <v/>
      </c>
      <c r="D341" s="37" t="n"/>
      <c r="E341" s="583">
        <f>'Material Rates_Master'!D175</f>
        <v/>
      </c>
      <c r="F341" s="583">
        <f>E341*D341</f>
        <v/>
      </c>
    </row>
    <row r="342">
      <c r="A342" s="40" t="n"/>
      <c r="B342" s="299" t="inlineStr">
        <is>
          <t>Delivery - To Rockhampton Standard/Palletised items</t>
        </is>
      </c>
      <c r="C342" s="40">
        <f>'Material Rates_Master'!B176</f>
        <v/>
      </c>
      <c r="D342" s="37" t="n"/>
      <c r="E342" s="583">
        <f>'Material Rates_Master'!D176</f>
        <v/>
      </c>
      <c r="F342" s="583">
        <f>E342*D342</f>
        <v/>
      </c>
    </row>
    <row r="343">
      <c r="E343" s="583" t="n"/>
      <c r="F343" s="583" t="n"/>
    </row>
    <row r="344" ht="14.4" customFormat="1" customHeight="1" s="40">
      <c r="A344" s="323" t="n"/>
      <c r="B344" s="324" t="inlineStr">
        <is>
          <t>POTABLE WATER_MAINS &amp; R'Ins</t>
        </is>
      </c>
      <c r="C344" s="42" t="n"/>
      <c r="D344" s="42" t="n"/>
      <c r="E344" s="583" t="n"/>
      <c r="F344" s="583" t="n"/>
    </row>
    <row r="345" ht="14.4" customFormat="1" customHeight="1" s="40">
      <c r="A345" s="323" t="n"/>
      <c r="B345" s="326" t="inlineStr">
        <is>
          <t>Description</t>
        </is>
      </c>
      <c r="C345" s="42" t="n"/>
      <c r="D345" s="42" t="n"/>
      <c r="E345" s="583" t="n"/>
      <c r="F345" s="583" t="n"/>
    </row>
    <row r="346" ht="14.4" customFormat="1" customHeight="1" s="40">
      <c r="A346" s="323" t="n"/>
      <c r="B346" s="323" t="n"/>
      <c r="C346" s="42" t="n"/>
      <c r="D346" s="42" t="n"/>
      <c r="E346" s="583" t="n"/>
      <c r="F346" s="583" t="n"/>
    </row>
    <row r="347" ht="14.4" customFormat="1" customHeight="1" s="40">
      <c r="A347" s="323" t="n"/>
      <c r="B347" s="323" t="inlineStr">
        <is>
          <t>125 HDPE PN16 SDR11 - BLUELINE</t>
        </is>
      </c>
      <c r="C347" s="327" t="inlineStr">
        <is>
          <t>m</t>
        </is>
      </c>
      <c r="E347" s="605" t="n">
        <v>34.5</v>
      </c>
      <c r="F347" s="583">
        <f>E347*D347</f>
        <v/>
      </c>
    </row>
    <row r="348" ht="14.4" customFormat="1" customHeight="1" s="40">
      <c r="A348" s="323" t="n"/>
      <c r="B348" s="323" t="inlineStr">
        <is>
          <t xml:space="preserve">75 HDPE PE100 PN 16 -Blueline </t>
        </is>
      </c>
      <c r="C348" s="327" t="inlineStr">
        <is>
          <t>m</t>
        </is>
      </c>
      <c r="E348" s="605" t="n">
        <v>12.31</v>
      </c>
      <c r="F348" s="583">
        <f>E348*D348</f>
        <v/>
      </c>
    </row>
    <row r="349" ht="14.4" customFormat="1" customHeight="1" s="40">
      <c r="A349" s="323" t="n"/>
      <c r="B349" s="323" t="inlineStr">
        <is>
          <t xml:space="preserve">63 HDPE PE100 PN 16 -Blueline </t>
        </is>
      </c>
      <c r="C349" s="327" t="inlineStr">
        <is>
          <t>m</t>
        </is>
      </c>
      <c r="E349" s="605" t="n">
        <v>9.66</v>
      </c>
      <c r="F349" s="583">
        <f>E349*D349</f>
        <v/>
      </c>
    </row>
    <row r="350" ht="14.4" customFormat="1" customHeight="1" s="40">
      <c r="A350" s="323" t="n"/>
      <c r="B350" s="323" t="inlineStr">
        <is>
          <t>63 HDPE PN12.5 SDR11 - BLUELINE</t>
        </is>
      </c>
      <c r="C350" s="327" t="inlineStr">
        <is>
          <t>m</t>
        </is>
      </c>
      <c r="E350" s="605" t="n">
        <v>4.63</v>
      </c>
      <c r="F350" s="583">
        <f>E350*D350</f>
        <v/>
      </c>
    </row>
    <row r="351" ht="14.4" customFormat="1" customHeight="1" s="40">
      <c r="A351" s="323" t="n"/>
      <c r="B351" s="406" t="inlineStr">
        <is>
          <t>50 HDPE PE100 PN 16 - BLUELINE</t>
        </is>
      </c>
      <c r="C351" s="327" t="inlineStr">
        <is>
          <t>m</t>
        </is>
      </c>
      <c r="E351" s="605" t="n">
        <v>5.4</v>
      </c>
      <c r="F351" s="583">
        <f>E351*D351</f>
        <v/>
      </c>
    </row>
    <row r="352" ht="14.4" customFormat="1" customHeight="1" s="40">
      <c r="A352" s="323" t="n"/>
      <c r="B352" s="406" t="inlineStr">
        <is>
          <t xml:space="preserve">40 HDPE PE100 PN16 Blue Line </t>
        </is>
      </c>
      <c r="C352" s="327" t="inlineStr">
        <is>
          <t>m</t>
        </is>
      </c>
      <c r="D352" s="40" t="n">
        <v>3.27</v>
      </c>
      <c r="E352" s="605" t="n">
        <v>4.4</v>
      </c>
      <c r="F352" s="583">
        <f>E352*D352</f>
        <v/>
      </c>
      <c r="G352" t="n">
        <v>4</v>
      </c>
      <c r="H352" s="540" t="inlineStr">
        <is>
          <t>ADOPTED qty per QUANTITY_RECONCILIATION TPS_PAM</t>
        </is>
      </c>
    </row>
    <row r="353" ht="14.4" customFormat="1" customHeight="1" s="40">
      <c r="A353" s="323" t="n"/>
      <c r="B353" s="323" t="inlineStr">
        <is>
          <t>40 HDPE PN12.5 SDR11 - BLUELINE</t>
        </is>
      </c>
      <c r="C353" s="327" t="inlineStr">
        <is>
          <t>m</t>
        </is>
      </c>
      <c r="E353" s="605">
        <f>354.31/150</f>
        <v/>
      </c>
      <c r="F353" s="583">
        <f>E353*D353</f>
        <v/>
      </c>
    </row>
    <row r="354" ht="14.4" customHeight="1">
      <c r="A354" s="323" t="n"/>
      <c r="B354" s="406" t="inlineStr">
        <is>
          <t xml:space="preserve">32 HDPE PE100 PN 16 -Blueline </t>
        </is>
      </c>
      <c r="C354" s="327" t="inlineStr">
        <is>
          <t>m</t>
        </is>
      </c>
      <c r="E354" s="605" t="n">
        <v>2.1</v>
      </c>
      <c r="F354" s="583">
        <f>E354*D354</f>
        <v/>
      </c>
    </row>
    <row r="355" ht="14.4" customHeight="1">
      <c r="A355" s="323" t="n"/>
      <c r="B355" s="323" t="inlineStr">
        <is>
          <t xml:space="preserve">25 HDPE PE100 PN16 - BLUELINE </t>
        </is>
      </c>
      <c r="C355" s="327" t="inlineStr">
        <is>
          <t>m</t>
        </is>
      </c>
      <c r="E355" s="605" t="n">
        <v>1.22</v>
      </c>
      <c r="F355" s="583">
        <f>E355*D355</f>
        <v/>
      </c>
    </row>
    <row r="356" ht="14.4" customHeight="1">
      <c r="A356" s="323" t="n"/>
      <c r="B356" s="323" t="inlineStr">
        <is>
          <t>25 HDPE PN12.5 SDR11 - BLUELINE</t>
        </is>
      </c>
      <c r="C356" s="327" t="inlineStr">
        <is>
          <t>m</t>
        </is>
      </c>
      <c r="E356" s="605" t="n">
        <v>2.43</v>
      </c>
      <c r="F356" s="583">
        <f>E356*D356</f>
        <v/>
      </c>
    </row>
    <row r="357" ht="14.4" customHeight="1">
      <c r="A357" s="323" t="n"/>
      <c r="B357" s="323" t="inlineStr">
        <is>
          <t>EF COUPLER                 125MM (EA)</t>
        </is>
      </c>
      <c r="C357" s="327" t="inlineStr">
        <is>
          <t>m</t>
        </is>
      </c>
      <c r="E357" s="605" t="n">
        <v>22</v>
      </c>
      <c r="F357" s="583">
        <f>E357*D357</f>
        <v/>
      </c>
      <c r="G357" s="605" t="n"/>
    </row>
    <row r="358" ht="14.4" customHeight="1">
      <c r="A358" s="323" t="n"/>
      <c r="B358" s="323" t="inlineStr">
        <is>
          <t>TEE EQUAL PE100 E/F 125MM</t>
        </is>
      </c>
      <c r="C358" s="327" t="inlineStr">
        <is>
          <t>ea</t>
        </is>
      </c>
      <c r="E358" s="605" t="n">
        <v>57.75</v>
      </c>
      <c r="F358" s="583">
        <f>E358*D358</f>
        <v/>
      </c>
      <c r="G358" s="605" t="n"/>
    </row>
    <row r="359" ht="14.4" customHeight="1">
      <c r="A359" s="323" t="n"/>
      <c r="B359" s="323" t="inlineStr">
        <is>
          <t>TEE PE100 E/F 125*63MM</t>
        </is>
      </c>
      <c r="C359" s="327" t="inlineStr">
        <is>
          <t>ea</t>
        </is>
      </c>
      <c r="E359" s="605" t="n">
        <v>139</v>
      </c>
      <c r="F359" s="583">
        <f>E359*D359</f>
        <v/>
      </c>
      <c r="G359" s="605" t="n"/>
    </row>
    <row r="360" ht="14.4" customHeight="1">
      <c r="A360" s="323" t="n"/>
      <c r="B360" s="323" t="inlineStr">
        <is>
          <t>EF REDUCER      125 X 90MM</t>
        </is>
      </c>
      <c r="C360" s="327" t="inlineStr">
        <is>
          <t>ea</t>
        </is>
      </c>
      <c r="E360" s="605" t="n">
        <v>104.15</v>
      </c>
      <c r="F360" s="583">
        <f>E360*D360</f>
        <v/>
      </c>
      <c r="G360" s="605" t="n"/>
    </row>
    <row r="361" ht="14.4" customHeight="1">
      <c r="A361" s="323" t="n"/>
      <c r="B361" s="323" t="inlineStr">
        <is>
          <t>EF REDUCER      125 X 63MM</t>
        </is>
      </c>
      <c r="C361" s="327" t="inlineStr">
        <is>
          <t>ea</t>
        </is>
      </c>
      <c r="E361" s="605" t="n">
        <v>26.1</v>
      </c>
      <c r="F361" s="583">
        <f>E361*D361</f>
        <v/>
      </c>
      <c r="G361" s="605" t="n"/>
    </row>
    <row r="362" ht="14.4" customHeight="1">
      <c r="A362" s="323" t="n"/>
      <c r="B362" s="323" t="inlineStr">
        <is>
          <t>EF REDUCER      75 X 63MM</t>
        </is>
      </c>
      <c r="C362" s="327" t="inlineStr">
        <is>
          <t>ea</t>
        </is>
      </c>
      <c r="E362" s="605" t="n">
        <v>37.5</v>
      </c>
      <c r="F362" s="583">
        <f>E362*D362</f>
        <v/>
      </c>
      <c r="G362" s="605" t="n"/>
    </row>
    <row r="363" ht="14.4" customHeight="1">
      <c r="A363" s="323" t="n"/>
      <c r="B363" s="323" t="inlineStr">
        <is>
          <t>EF REDUCER      63 X 50MM</t>
        </is>
      </c>
      <c r="C363" s="327" t="inlineStr">
        <is>
          <t>ea</t>
        </is>
      </c>
      <c r="E363" s="605" t="n">
        <v>35.93</v>
      </c>
      <c r="F363" s="583">
        <f>E363*D363</f>
        <v/>
      </c>
      <c r="G363" s="605" t="n"/>
    </row>
    <row r="364" ht="14.4" customHeight="1">
      <c r="A364" s="323" t="n"/>
      <c r="B364" s="323" t="inlineStr">
        <is>
          <t>EF REDUCER      50 X 40MM</t>
        </is>
      </c>
      <c r="C364" s="327" t="inlineStr">
        <is>
          <t>ea</t>
        </is>
      </c>
      <c r="E364" s="605" t="n">
        <v>35</v>
      </c>
      <c r="F364" s="583">
        <f>E364*D364</f>
        <v/>
      </c>
      <c r="G364" s="605" t="n"/>
    </row>
    <row r="365" ht="14.4" customHeight="1">
      <c r="A365" s="323" t="n"/>
      <c r="B365" s="406" t="inlineStr">
        <is>
          <t>EF REDUCER      40 X 32MM</t>
        </is>
      </c>
      <c r="C365" s="327" t="inlineStr">
        <is>
          <t>ea</t>
        </is>
      </c>
      <c r="E365" s="605" t="n">
        <v>35</v>
      </c>
      <c r="F365" s="583">
        <f>E365*D365</f>
        <v/>
      </c>
      <c r="G365" s="605" t="n"/>
    </row>
    <row r="366" ht="14.4" customHeight="1">
      <c r="A366" s="323" t="n"/>
      <c r="B366" s="406" t="inlineStr">
        <is>
          <t>EF REDUCER      40 X 25MM</t>
        </is>
      </c>
      <c r="C366" s="327" t="inlineStr">
        <is>
          <t>ea</t>
        </is>
      </c>
      <c r="E366" s="605" t="n">
        <v>35</v>
      </c>
      <c r="F366" s="583">
        <f>E366*D366</f>
        <v/>
      </c>
      <c r="G366" s="605" t="n"/>
    </row>
    <row r="367" ht="14.4" customHeight="1">
      <c r="A367" s="323" t="n"/>
      <c r="B367" s="406" t="inlineStr">
        <is>
          <t>EF REDUCER      32 X 25MM</t>
        </is>
      </c>
      <c r="C367" s="327" t="inlineStr">
        <is>
          <t>ea</t>
        </is>
      </c>
      <c r="E367" s="605" t="n">
        <v>20</v>
      </c>
      <c r="F367" s="583">
        <f>E367*D367</f>
        <v/>
      </c>
      <c r="G367" s="605" t="n"/>
    </row>
    <row r="368" ht="14.4" customHeight="1">
      <c r="A368" s="323" t="n"/>
      <c r="B368" s="323" t="inlineStr">
        <is>
          <t>ELBOW PE100 E/F 125MM X 45D</t>
        </is>
      </c>
      <c r="C368" s="327" t="inlineStr">
        <is>
          <t>ea</t>
        </is>
      </c>
      <c r="E368" s="605" t="n">
        <v>50</v>
      </c>
      <c r="F368" s="583">
        <f>E368*D368</f>
        <v/>
      </c>
      <c r="G368" s="605" t="n"/>
    </row>
    <row r="369" ht="14.4" customHeight="1">
      <c r="A369" s="323" t="n"/>
      <c r="B369" s="323" t="inlineStr">
        <is>
          <t>ELBOW PE100 E/F 125MM X 90D</t>
        </is>
      </c>
      <c r="C369" s="327" t="inlineStr">
        <is>
          <t>ea</t>
        </is>
      </c>
      <c r="E369" s="605" t="n">
        <v>54</v>
      </c>
      <c r="F369" s="583">
        <f>E369*D369</f>
        <v/>
      </c>
      <c r="G369" s="605" t="n"/>
    </row>
    <row r="370" ht="14.4" customHeight="1">
      <c r="A370" s="323" t="n"/>
      <c r="B370" s="323" t="n"/>
      <c r="C370" s="327" t="n"/>
      <c r="E370" s="605" t="n"/>
      <c r="F370" s="583" t="n"/>
    </row>
    <row r="371" ht="14.4" customHeight="1">
      <c r="A371" s="323" t="n"/>
      <c r="B371" s="406" t="inlineStr">
        <is>
          <t xml:space="preserve">HDPE 63MM X 90 D ELBOW </t>
        </is>
      </c>
      <c r="C371" s="327" t="inlineStr">
        <is>
          <t>ea</t>
        </is>
      </c>
      <c r="E371" s="605" t="n">
        <v>15.55</v>
      </c>
      <c r="F371" s="583">
        <f>E371*D371</f>
        <v/>
      </c>
      <c r="G371" s="605" t="n"/>
    </row>
    <row r="372" ht="14.4" customHeight="1">
      <c r="A372" s="323" t="n"/>
      <c r="B372" s="406" t="inlineStr">
        <is>
          <t xml:space="preserve">HDPE 50MM X 90 D ELBOW </t>
        </is>
      </c>
      <c r="C372" s="327" t="inlineStr">
        <is>
          <t>ea</t>
        </is>
      </c>
      <c r="E372" s="605" t="n">
        <v>15</v>
      </c>
      <c r="F372" s="583">
        <f>E372*D372</f>
        <v/>
      </c>
      <c r="G372" s="605" t="n"/>
    </row>
    <row r="373" ht="14.4" customHeight="1">
      <c r="A373" s="323" t="n"/>
      <c r="B373" s="406" t="inlineStr">
        <is>
          <t xml:space="preserve">HDPE 40MM X 90 D ELBOW </t>
        </is>
      </c>
      <c r="C373" s="405" t="inlineStr">
        <is>
          <t>ea</t>
        </is>
      </c>
      <c r="E373" s="605" t="n">
        <v>10.87</v>
      </c>
      <c r="F373" s="583">
        <f>E373*D373</f>
        <v/>
      </c>
      <c r="G373" s="605" t="n"/>
    </row>
    <row r="374" ht="14.4" customHeight="1">
      <c r="A374" s="323" t="n"/>
      <c r="B374" s="406" t="inlineStr">
        <is>
          <t>Reducing Tee 125mm x 90mm</t>
        </is>
      </c>
      <c r="C374" s="327" t="inlineStr">
        <is>
          <t>ea</t>
        </is>
      </c>
      <c r="E374" s="605" t="n">
        <v>55</v>
      </c>
      <c r="F374" s="583">
        <f>E374*D374</f>
        <v/>
      </c>
      <c r="G374" s="605" t="n"/>
    </row>
    <row r="375" ht="14.4" customHeight="1">
      <c r="A375" s="323" t="n"/>
      <c r="B375" s="406" t="inlineStr">
        <is>
          <t>Reducing Tee 125mm x 32mm</t>
        </is>
      </c>
      <c r="C375" s="327" t="inlineStr">
        <is>
          <t>ea</t>
        </is>
      </c>
      <c r="E375" s="605" t="n">
        <v>55</v>
      </c>
      <c r="F375" s="583">
        <f>E375*D375</f>
        <v/>
      </c>
      <c r="G375" s="605" t="n"/>
    </row>
    <row r="376" ht="14.4" customHeight="1">
      <c r="A376" s="323" t="n"/>
      <c r="B376" s="406" t="inlineStr">
        <is>
          <t>Reducing Tee 75mm x 63mm</t>
        </is>
      </c>
      <c r="C376" s="327" t="inlineStr">
        <is>
          <t>ea</t>
        </is>
      </c>
      <c r="E376" s="605" t="n">
        <v>35</v>
      </c>
      <c r="F376" s="583">
        <f>E376*D376</f>
        <v/>
      </c>
      <c r="G376" s="605" t="n"/>
    </row>
    <row r="377" ht="14.4" customHeight="1">
      <c r="A377" s="323" t="n"/>
      <c r="B377" s="323" t="inlineStr">
        <is>
          <t>Reducing Tee 75mm x 50mm</t>
        </is>
      </c>
      <c r="C377" s="327" t="inlineStr">
        <is>
          <t>ea</t>
        </is>
      </c>
      <c r="E377" s="605" t="n">
        <v>35</v>
      </c>
      <c r="F377" s="583">
        <f>E377*D377</f>
        <v/>
      </c>
      <c r="G377" s="605" t="n"/>
    </row>
    <row r="378" ht="14.4" customHeight="1">
      <c r="A378" s="323" t="n"/>
      <c r="B378" s="323" t="inlineStr">
        <is>
          <t>Reducing Tee 75mm x 32mm</t>
        </is>
      </c>
      <c r="C378" s="327" t="inlineStr">
        <is>
          <t>ea</t>
        </is>
      </c>
      <c r="E378" s="605" t="n">
        <v>35</v>
      </c>
      <c r="F378" s="583">
        <f>E378*D378</f>
        <v/>
      </c>
      <c r="G378" s="605" t="n"/>
    </row>
    <row r="379" ht="14.4" customHeight="1">
      <c r="A379" s="323" t="n"/>
      <c r="B379" s="406" t="inlineStr">
        <is>
          <t>Reducing Tee 63mm x 50mm</t>
        </is>
      </c>
      <c r="C379" s="405" t="inlineStr">
        <is>
          <t>ea</t>
        </is>
      </c>
      <c r="E379" s="605" t="n">
        <v>35</v>
      </c>
      <c r="F379" s="583">
        <f>E379*D379</f>
        <v/>
      </c>
      <c r="G379" s="605" t="n"/>
    </row>
    <row r="380" ht="14.4" customHeight="1">
      <c r="A380" s="323" t="n"/>
      <c r="B380" s="323" t="inlineStr">
        <is>
          <t>Reducing Tee 63mm x 32mm</t>
        </is>
      </c>
      <c r="C380" s="327" t="inlineStr">
        <is>
          <t>ea</t>
        </is>
      </c>
      <c r="E380" s="605" t="n">
        <v>35</v>
      </c>
      <c r="F380" s="583">
        <f>E380*D380</f>
        <v/>
      </c>
      <c r="G380" s="605" t="n"/>
    </row>
    <row r="381" ht="14.4" customHeight="1">
      <c r="A381" s="323" t="n"/>
      <c r="B381" s="406" t="inlineStr">
        <is>
          <t>Reducing Tee 50mm x 40mm</t>
        </is>
      </c>
      <c r="C381" s="327" t="inlineStr">
        <is>
          <t>ea</t>
        </is>
      </c>
      <c r="E381" s="605" t="n">
        <v>35</v>
      </c>
      <c r="F381" s="583">
        <f>E381*D381</f>
        <v/>
      </c>
      <c r="G381" s="605" t="n"/>
    </row>
    <row r="382" ht="14.4" customHeight="1">
      <c r="A382" s="323" t="n"/>
      <c r="B382" s="406" t="inlineStr">
        <is>
          <t>Reducing Tee 40mm x 25mm</t>
        </is>
      </c>
      <c r="C382" s="327" t="inlineStr">
        <is>
          <t>ea</t>
        </is>
      </c>
      <c r="E382" s="605" t="n">
        <v>35</v>
      </c>
      <c r="F382" s="583">
        <f>E382*D382</f>
        <v/>
      </c>
      <c r="G382" s="605" t="n"/>
    </row>
    <row r="383" ht="14.4" customHeight="1">
      <c r="A383" s="323" t="n"/>
      <c r="B383" s="323" t="inlineStr">
        <is>
          <t>Reducing Tee 32mm x 25mm</t>
        </is>
      </c>
      <c r="C383" s="327" t="inlineStr">
        <is>
          <t>ea</t>
        </is>
      </c>
      <c r="E383" s="605" t="n">
        <v>35</v>
      </c>
      <c r="F383" s="583">
        <f>E383*D383</f>
        <v/>
      </c>
      <c r="G383" s="605" t="n"/>
    </row>
    <row r="384" ht="14.4" customHeight="1">
      <c r="A384" s="323" t="n"/>
      <c r="B384" s="323" t="inlineStr">
        <is>
          <t>EF Reducer 50mm x 25mm</t>
        </is>
      </c>
      <c r="C384" s="327" t="inlineStr">
        <is>
          <t>ea</t>
        </is>
      </c>
      <c r="E384" s="605" t="n">
        <v>26</v>
      </c>
      <c r="F384" s="583">
        <f>E384*D384</f>
        <v/>
      </c>
      <c r="G384" s="605" t="n"/>
    </row>
    <row r="385" ht="14.4" customHeight="1">
      <c r="A385" s="323" t="n"/>
      <c r="B385" s="406" t="inlineStr">
        <is>
          <t>50mm Tee</t>
        </is>
      </c>
      <c r="C385" s="327" t="inlineStr">
        <is>
          <t>ea</t>
        </is>
      </c>
      <c r="E385" s="605" t="n">
        <v>35</v>
      </c>
      <c r="F385" s="583">
        <f>E385*D385</f>
        <v/>
      </c>
      <c r="G385" s="605" t="n"/>
    </row>
    <row r="386" ht="14.4" customHeight="1">
      <c r="A386" s="323" t="n"/>
      <c r="B386" s="406" t="inlineStr">
        <is>
          <t>40mm Tee</t>
        </is>
      </c>
      <c r="C386" s="327" t="inlineStr">
        <is>
          <t>ea</t>
        </is>
      </c>
      <c r="E386" s="605" t="n">
        <v>10.87</v>
      </c>
      <c r="F386" s="583">
        <f>E386*D386</f>
        <v/>
      </c>
      <c r="G386" s="605" t="n"/>
    </row>
    <row r="387" ht="14.4" customHeight="1">
      <c r="A387" s="323" t="n"/>
      <c r="B387" s="323" t="inlineStr">
        <is>
          <t xml:space="preserve">32mm Tee </t>
        </is>
      </c>
      <c r="C387" s="327" t="inlineStr">
        <is>
          <t>ea</t>
        </is>
      </c>
      <c r="E387" s="605" t="n">
        <v>35</v>
      </c>
      <c r="F387" s="583">
        <f>E387*D387</f>
        <v/>
      </c>
      <c r="G387" s="605" t="n"/>
    </row>
    <row r="388" ht="14.4" customHeight="1">
      <c r="A388" s="323" t="n"/>
      <c r="B388" s="323" t="inlineStr">
        <is>
          <t xml:space="preserve">HDPE 32mm X 90 D ELBOW </t>
        </is>
      </c>
      <c r="C388" s="327" t="inlineStr">
        <is>
          <t>ea</t>
        </is>
      </c>
      <c r="E388" s="605" t="n">
        <v>20</v>
      </c>
      <c r="F388" s="583">
        <f>E388*D388</f>
        <v/>
      </c>
      <c r="G388" s="605" t="n"/>
    </row>
    <row r="389" ht="14.4" customHeight="1">
      <c r="A389" s="323" t="n"/>
      <c r="B389" s="406" t="inlineStr">
        <is>
          <t xml:space="preserve">HDPE 25mm X 90 D ELBOW </t>
        </is>
      </c>
      <c r="C389" s="327" t="inlineStr">
        <is>
          <t>ea</t>
        </is>
      </c>
      <c r="E389" s="605" t="n">
        <v>20</v>
      </c>
      <c r="F389" s="583">
        <f>E389*D389</f>
        <v/>
      </c>
      <c r="G389" s="605" t="n"/>
    </row>
    <row r="390" ht="14.4" customHeight="1">
      <c r="A390" s="323" t="n"/>
      <c r="B390" s="406" t="inlineStr">
        <is>
          <t xml:space="preserve">HDPE 25mm X 45 D ELBOW </t>
        </is>
      </c>
      <c r="C390" s="327" t="inlineStr">
        <is>
          <t>ea</t>
        </is>
      </c>
      <c r="E390" s="605" t="n"/>
      <c r="F390" s="583">
        <f>E390*D390</f>
        <v/>
      </c>
    </row>
    <row r="391" ht="14.4" customHeight="1">
      <c r="A391" s="323" t="n"/>
      <c r="B391" s="406" t="inlineStr">
        <is>
          <t>25mm Tee</t>
        </is>
      </c>
      <c r="C391" s="327" t="inlineStr">
        <is>
          <t>ea</t>
        </is>
      </c>
      <c r="E391" s="605" t="n">
        <v>35</v>
      </c>
      <c r="F391" s="583">
        <f>E391*D391</f>
        <v/>
      </c>
    </row>
    <row r="392" ht="14.4" customHeight="1">
      <c r="A392" s="323" t="n"/>
      <c r="B392" s="323" t="inlineStr">
        <is>
          <t>PE MAXI STUB FLANGE W/SS BK RING 125X 4" (EA)</t>
        </is>
      </c>
      <c r="C392" s="327" t="inlineStr">
        <is>
          <t>ea</t>
        </is>
      </c>
      <c r="E392" s="605" t="n">
        <v>102.5</v>
      </c>
      <c r="F392" s="583">
        <f>E392*D392</f>
        <v/>
      </c>
      <c r="G392" s="605" t="n"/>
    </row>
    <row r="393" ht="14.4" customHeight="1">
      <c r="A393" s="323" t="n"/>
      <c r="B393" s="323" t="inlineStr">
        <is>
          <t>SLUICE VALVE PN16 T/D ACC FLNGD 100MM</t>
        </is>
      </c>
      <c r="C393" s="327" t="inlineStr">
        <is>
          <t>ea</t>
        </is>
      </c>
      <c r="E393" s="605" t="n">
        <v>235</v>
      </c>
      <c r="F393" s="583">
        <f>E393*D393</f>
        <v/>
      </c>
      <c r="G393" s="605" t="n"/>
    </row>
    <row r="394" ht="14.4" customHeight="1">
      <c r="A394" s="323" t="n"/>
      <c r="B394" s="323" t="inlineStr">
        <is>
          <t>Valve Box - Cast Iron - Rectangle - Large - HD</t>
        </is>
      </c>
      <c r="C394" s="327" t="inlineStr">
        <is>
          <t>ea</t>
        </is>
      </c>
      <c r="E394" s="605" t="n">
        <v>100</v>
      </c>
      <c r="F394" s="583">
        <f>E394*D394</f>
        <v/>
      </c>
      <c r="G394" s="605" t="n"/>
    </row>
    <row r="395" ht="14.4" customHeight="1">
      <c r="A395" s="323" t="n"/>
      <c r="B395" s="323" t="inlineStr">
        <is>
          <t>SADDLE TAPPING EF 125PE X 25PE</t>
        </is>
      </c>
      <c r="C395" s="327" t="inlineStr">
        <is>
          <t>ea</t>
        </is>
      </c>
      <c r="E395" s="605" t="n">
        <v>47.41</v>
      </c>
      <c r="F395" s="583">
        <f>E395*D395</f>
        <v/>
      </c>
      <c r="G395" s="605" t="n"/>
    </row>
    <row r="396" ht="14.4" customHeight="1">
      <c r="A396" s="323" t="n"/>
      <c r="B396" s="323" t="inlineStr">
        <is>
          <t>SADDLE TAPPING EF 125PE X 32PE</t>
        </is>
      </c>
      <c r="C396" s="327" t="inlineStr">
        <is>
          <t>ea</t>
        </is>
      </c>
      <c r="E396" s="605" t="n">
        <v>41.69</v>
      </c>
      <c r="F396" s="583">
        <f>E396*D396</f>
        <v/>
      </c>
      <c r="G396" s="605" t="n"/>
    </row>
    <row r="397" ht="14.4" customHeight="1">
      <c r="A397" s="323" t="n"/>
      <c r="B397" s="323" t="inlineStr">
        <is>
          <t>SADDLE TAPPING EF 125PE X 63PE</t>
        </is>
      </c>
      <c r="C397" s="327" t="inlineStr">
        <is>
          <t>ea</t>
        </is>
      </c>
      <c r="E397" s="605" t="n">
        <v>85.55</v>
      </c>
      <c r="F397" s="583">
        <f>E397*D397</f>
        <v/>
      </c>
      <c r="G397" s="605" t="n"/>
    </row>
    <row r="398" ht="14.4" customHeight="1">
      <c r="A398" s="323" t="n"/>
      <c r="B398" s="323" t="n"/>
      <c r="C398" s="327" t="inlineStr">
        <is>
          <t>ea</t>
        </is>
      </c>
      <c r="E398" s="605" t="n"/>
      <c r="F398" s="583">
        <f>E398*D398</f>
        <v/>
      </c>
    </row>
    <row r="399" ht="14.4" customHeight="1">
      <c r="A399" s="323" t="n"/>
      <c r="B399" s="323" t="inlineStr">
        <is>
          <t>Detectable WATER Marker Tape - 250m</t>
        </is>
      </c>
      <c r="C399" s="327" t="inlineStr">
        <is>
          <t>ea</t>
        </is>
      </c>
      <c r="E399" s="605" t="n">
        <v>70</v>
      </c>
      <c r="F399" s="583">
        <f>E399*D399</f>
        <v/>
      </c>
      <c r="G399" s="605" t="n"/>
    </row>
    <row r="400" ht="14.4" customHeight="1">
      <c r="A400" s="323" t="n"/>
      <c r="B400" s="323" t="inlineStr">
        <is>
          <t>WIPES WELDING PLASSON XL (120 PK)</t>
        </is>
      </c>
      <c r="C400" s="327" t="inlineStr">
        <is>
          <t>ea</t>
        </is>
      </c>
      <c r="E400" s="605" t="n">
        <v>19</v>
      </c>
      <c r="F400" s="583">
        <f>E400*D400</f>
        <v/>
      </c>
      <c r="G400" s="605" t="n"/>
    </row>
    <row r="401" ht="14.4" customHeight="1">
      <c r="A401" s="323" t="n"/>
      <c r="B401" s="323" t="inlineStr">
        <is>
          <t>Paint Pen - WHITE</t>
        </is>
      </c>
      <c r="C401" s="327" t="inlineStr">
        <is>
          <t>ea</t>
        </is>
      </c>
      <c r="E401" s="605" t="n">
        <v>16</v>
      </c>
      <c r="F401" s="583">
        <f>E401*D401</f>
        <v/>
      </c>
      <c r="G401" s="605" t="n"/>
    </row>
    <row r="402" ht="14.4" customHeight="1">
      <c r="A402" s="323" t="n"/>
      <c r="B402" s="323" t="n"/>
      <c r="C402" s="327" t="n"/>
      <c r="E402" s="605" t="n"/>
      <c r="F402" s="583">
        <f>E402*D402</f>
        <v/>
      </c>
    </row>
    <row r="403" ht="14.4" customHeight="1">
      <c r="A403" s="323" t="n"/>
      <c r="B403" s="406" t="inlineStr">
        <is>
          <t xml:space="preserve">100 Cu Above Grnd </t>
        </is>
      </c>
      <c r="C403" s="327" t="inlineStr">
        <is>
          <t>m</t>
        </is>
      </c>
      <c r="E403" s="605">
        <f>279/6</f>
        <v/>
      </c>
      <c r="F403" s="583">
        <f>E403*D403</f>
        <v/>
      </c>
    </row>
    <row r="404" ht="14.4" customHeight="1">
      <c r="A404" s="323" t="n"/>
      <c r="B404" s="323" t="inlineStr">
        <is>
          <t>50 Cu Above Grnd</t>
        </is>
      </c>
      <c r="C404" s="327" t="inlineStr">
        <is>
          <t>m</t>
        </is>
      </c>
      <c r="E404" s="606" t="n">
        <v>32</v>
      </c>
      <c r="F404" s="583">
        <f>E404*D404</f>
        <v/>
      </c>
    </row>
    <row r="405" ht="14.4" customHeight="1">
      <c r="A405" s="323" t="n"/>
      <c r="B405" s="406" t="inlineStr">
        <is>
          <t>316SS press-fit tube 35mm (was 32 Cu) - WS2 conforming</t>
        </is>
      </c>
      <c r="C405" s="327" t="inlineStr">
        <is>
          <t>m</t>
        </is>
      </c>
      <c r="D405" s="40" t="n">
        <v>9.56</v>
      </c>
      <c r="E405" s="606">
        <f>132.03/6</f>
        <v/>
      </c>
      <c r="F405" s="583">
        <f>E405*D405</f>
        <v/>
      </c>
      <c r="G405" t="n">
        <v>10</v>
      </c>
      <c r="H405" s="540" t="inlineStr">
        <is>
          <t>ADOPTED 9.56 m; RE-RATED 316SS press-fit 35mm - WS2 conforming base (&gt;DN22); copper alternate in EBC_Alternates</t>
        </is>
      </c>
      <c r="I405" s="540" t="inlineStr">
        <is>
          <t>316SS press-fit BASE per WS2 (&gt;DN22): pipe rate = Reece Q-459014431 316 tube rate set (project quote; no &gt;35mm needed). PENDING RFQ PER GAP LIST (Gap #2). Copper alternate: EBC_Alternates.</t>
        </is>
      </c>
    </row>
    <row r="406" ht="14.4" customHeight="1">
      <c r="A406" s="323" t="n"/>
      <c r="B406" s="323" t="inlineStr">
        <is>
          <t>316SS press: 32mm x25mm reducing tee</t>
        </is>
      </c>
      <c r="C406" s="327" t="inlineStr">
        <is>
          <t>ea</t>
        </is>
      </c>
      <c r="D406" s="40" t="n">
        <v>2</v>
      </c>
      <c r="E406" s="606">
        <f>129/6*1.5</f>
        <v/>
      </c>
      <c r="F406" s="583">
        <f>E406*D406</f>
        <v/>
      </c>
      <c r="I406" s="540" t="inlineStr">
        <is>
          <t>316SS press fitting benchmark = Cu press rate x1.5 (SS press fittings 1.4-1.6x Cu per supplier curves) - pending RFQ (Gap #2)</t>
        </is>
      </c>
    </row>
    <row r="407" ht="14.4" customHeight="1">
      <c r="A407" s="323" t="n"/>
      <c r="B407" s="323" t="inlineStr">
        <is>
          <t>316SS press-fit tube 28mm (was 25 Cu) - WS2 conforming</t>
        </is>
      </c>
      <c r="C407" s="327" t="inlineStr">
        <is>
          <t>m</t>
        </is>
      </c>
      <c r="D407" s="40" t="n">
        <v>26.9</v>
      </c>
      <c r="E407" s="606">
        <f>80.63/6</f>
        <v/>
      </c>
      <c r="F407" s="583">
        <f>E407*D407</f>
        <v/>
      </c>
      <c r="G407" t="n">
        <v>27</v>
      </c>
      <c r="H407" s="540" t="inlineStr">
        <is>
          <t>ADOPTED 26.9 m; RE-RATED 316SS press-fit 28mm - WS2 conforming base (&gt;DN22)</t>
        </is>
      </c>
    </row>
    <row r="408" ht="14.4" customHeight="1">
      <c r="A408" s="323" t="n"/>
      <c r="B408" s="406" t="inlineStr">
        <is>
          <t>316SS press: B-PRESS WATER EQUAL TEE  32MM (EA)</t>
        </is>
      </c>
      <c r="C408" s="405" t="inlineStr">
        <is>
          <t>ea</t>
        </is>
      </c>
      <c r="D408" s="40" t="n">
        <v>1</v>
      </c>
      <c r="E408" s="606">
        <f>15*1.5</f>
        <v/>
      </c>
      <c r="F408" s="583">
        <f>E408*D408</f>
        <v/>
      </c>
      <c r="I408" s="540" t="inlineStr">
        <is>
          <t>316SS press fitting benchmark = Cu press rate x1.5 (SS press fittings 1.4-1.6x Cu per supplier curves) - pending RFQ (Gap #2)</t>
        </is>
      </c>
    </row>
    <row r="409" ht="14.4" customHeight="1">
      <c r="A409" s="323" t="n"/>
      <c r="B409" s="406" t="inlineStr">
        <is>
          <t>B-PRESS WATER ELBOW         90DEG X 25MM (EA)</t>
        </is>
      </c>
      <c r="C409" s="327" t="inlineStr">
        <is>
          <t>ea</t>
        </is>
      </c>
      <c r="E409" s="606" t="n">
        <v>7.17</v>
      </c>
      <c r="F409" s="583">
        <f>E409*D409</f>
        <v/>
      </c>
    </row>
    <row r="410" ht="14.4" customHeight="1">
      <c r="A410" s="323" t="n"/>
      <c r="B410" s="323" t="inlineStr">
        <is>
          <t>316SS press: B-PRESS WATER EQUAL TEE  25MM (EA)</t>
        </is>
      </c>
      <c r="C410" s="327" t="inlineStr">
        <is>
          <t>ea</t>
        </is>
      </c>
      <c r="D410" s="40" t="n">
        <v>7</v>
      </c>
      <c r="E410" s="606">
        <f>10.06*1.5</f>
        <v/>
      </c>
      <c r="F410" s="583">
        <f>E410*D410</f>
        <v/>
      </c>
      <c r="I410" s="540" t="inlineStr">
        <is>
          <t>316SS press fitting benchmark = Cu press rate x1.5 (SS press fittings 1.4-1.6x Cu per supplier curves) - pending RFQ (Gap #2)</t>
        </is>
      </c>
    </row>
    <row r="411" ht="14.4" customHeight="1">
      <c r="A411" s="323" t="n"/>
      <c r="B411" s="323" t="inlineStr">
        <is>
          <t>20 Cu Above Grnd</t>
        </is>
      </c>
      <c r="C411" s="327" t="inlineStr">
        <is>
          <t>m</t>
        </is>
      </c>
      <c r="D411" s="40" t="n">
        <v>0.96</v>
      </c>
      <c r="E411" s="606">
        <f>58.71/6</f>
        <v/>
      </c>
      <c r="F411" s="583">
        <f>E411*D411</f>
        <v/>
      </c>
      <c r="G411" t="n">
        <v>1</v>
      </c>
      <c r="H411" s="540" t="inlineStr">
        <is>
          <t>ADOPTED qty per QUANTITY_RECONCILIATION TPS_PAM - 20 Cu 0.96 m (&lt;=DN22 retained copper)</t>
        </is>
      </c>
    </row>
    <row r="412" ht="14.4" customHeight="1">
      <c r="A412" s="323" t="n"/>
      <c r="B412" s="406" t="inlineStr">
        <is>
          <t>B-PRESS WATER EQUAL TEE  20MM (EA)</t>
        </is>
      </c>
      <c r="C412" s="405" t="inlineStr">
        <is>
          <t>ea</t>
        </is>
      </c>
      <c r="E412" s="606" t="n">
        <v>5.61</v>
      </c>
      <c r="F412" s="583">
        <f>E412*D412</f>
        <v/>
      </c>
    </row>
    <row r="413" ht="14.4" customHeight="1">
      <c r="A413" s="323" t="n"/>
      <c r="B413" s="323" t="inlineStr">
        <is>
          <t>50mm Cu 10mm Nut Clip</t>
        </is>
      </c>
      <c r="C413" s="327" t="inlineStr">
        <is>
          <t>ea</t>
        </is>
      </c>
      <c r="E413" s="605" t="n">
        <v>1.4</v>
      </c>
      <c r="F413" s="583">
        <f>E413*D413</f>
        <v/>
      </c>
    </row>
    <row r="414" ht="14.4" customHeight="1">
      <c r="A414" s="323" t="n"/>
      <c r="B414" s="323" t="inlineStr">
        <is>
          <t>32mm Cu 10mm Nut Clip</t>
        </is>
      </c>
      <c r="C414" s="327" t="inlineStr">
        <is>
          <t>ea</t>
        </is>
      </c>
      <c r="E414" s="605" t="n">
        <v>1.38</v>
      </c>
      <c r="F414" s="583">
        <f>E414*D414</f>
        <v/>
      </c>
    </row>
    <row r="415" ht="14.4" customHeight="1">
      <c r="A415" s="323" t="n"/>
      <c r="B415" s="323" t="inlineStr">
        <is>
          <t>25mm Cu 10mm Nut Clip</t>
        </is>
      </c>
      <c r="C415" s="327" t="inlineStr">
        <is>
          <t>ea</t>
        </is>
      </c>
      <c r="E415" s="605" t="n">
        <v>1.32</v>
      </c>
      <c r="F415" s="583">
        <f>E415*D415</f>
        <v/>
      </c>
    </row>
    <row r="416" ht="14.4" customHeight="1">
      <c r="A416" s="323" t="n"/>
      <c r="B416" s="323" t="inlineStr">
        <is>
          <t>20mm Cu 10mm Nut Clip</t>
        </is>
      </c>
      <c r="C416" s="327" t="inlineStr">
        <is>
          <t>ea</t>
        </is>
      </c>
      <c r="E416" s="605" t="n">
        <v>1.24</v>
      </c>
      <c r="F416" s="583">
        <f>E416*D416</f>
        <v/>
      </c>
    </row>
    <row r="417" ht="14.4" customHeight="1">
      <c r="A417" s="323" t="n"/>
      <c r="B417" s="323" t="inlineStr">
        <is>
          <t>10mm Zinc Threaded Rod</t>
        </is>
      </c>
      <c r="C417" s="327" t="inlineStr">
        <is>
          <t>m</t>
        </is>
      </c>
      <c r="E417" s="605" t="n">
        <v>5.1</v>
      </c>
      <c r="F417" s="583">
        <f>E417*D417</f>
        <v/>
      </c>
    </row>
    <row r="418" ht="14.4" customHeight="1">
      <c r="A418" s="323" t="n"/>
      <c r="B418" s="323" t="n"/>
      <c r="C418" s="327" t="n"/>
      <c r="E418" s="605" t="n"/>
      <c r="F418" s="583" t="n"/>
    </row>
    <row r="419" ht="14.4" customHeight="1">
      <c r="A419" s="323" t="n"/>
      <c r="B419" s="406" t="inlineStr">
        <is>
          <t>316SS press: Kembla copper  WATER ELBOW         90DEG X 32MM (EA)</t>
        </is>
      </c>
      <c r="C419" s="405" t="inlineStr">
        <is>
          <t>EA</t>
        </is>
      </c>
      <c r="D419" s="40" t="n">
        <v>1</v>
      </c>
      <c r="E419" s="605">
        <f>14.31*1.5</f>
        <v/>
      </c>
      <c r="F419" s="583">
        <f>E419*D419</f>
        <v/>
      </c>
      <c r="G419" s="605" t="n"/>
      <c r="I419" s="540" t="inlineStr">
        <is>
          <t>316SS press fitting benchmark = Cu press rate x1.5 (SS press fittings 1.4-1.6x Cu per supplier curves) - pending RFQ (Gap #2)</t>
        </is>
      </c>
    </row>
    <row r="420" ht="14.4" customHeight="1">
      <c r="A420" s="323" t="n"/>
      <c r="B420" s="406" t="inlineStr">
        <is>
          <t xml:space="preserve">316SS press: Kembla copper  WATER ELBOW        90DEG X 25MM </t>
        </is>
      </c>
      <c r="C420" s="327" t="inlineStr">
        <is>
          <t>ea</t>
        </is>
      </c>
      <c r="D420" s="40" t="n">
        <v>15</v>
      </c>
      <c r="E420" s="605">
        <f>7.17*1.5</f>
        <v/>
      </c>
      <c r="F420" s="583">
        <f>E420*D420</f>
        <v/>
      </c>
      <c r="G420" s="605" t="n"/>
      <c r="I420" s="540" t="inlineStr">
        <is>
          <t>316SS press fitting benchmark = Cu press rate x1.5 (SS press fittings 1.4-1.6x Cu per supplier curves) - pending RFQ (Gap #2)</t>
        </is>
      </c>
    </row>
    <row r="421" ht="14.4" customHeight="1">
      <c r="A421" s="323" t="n"/>
      <c r="B421" s="406" t="inlineStr">
        <is>
          <t xml:space="preserve">Kembla copper  WATER ELBOW        90DEG X 20MM </t>
        </is>
      </c>
      <c r="C421" s="327" t="inlineStr">
        <is>
          <t>ea</t>
        </is>
      </c>
      <c r="D421" s="40" t="n">
        <v>2</v>
      </c>
      <c r="E421" s="605" t="n">
        <v>3.76</v>
      </c>
      <c r="F421" s="583">
        <f>E421*D421</f>
        <v/>
      </c>
      <c r="G421" s="605" t="n"/>
    </row>
    <row r="422" ht="14.4" customHeight="1">
      <c r="A422" s="323" t="n"/>
      <c r="B422" s="406" t="n"/>
      <c r="C422" s="327" t="n"/>
      <c r="E422" s="605" t="n"/>
      <c r="F422" s="583">
        <f>E422*D422</f>
        <v/>
      </c>
    </row>
    <row r="423" ht="14.4" customHeight="1">
      <c r="A423" s="323" t="n"/>
      <c r="B423" s="446" t="inlineStr">
        <is>
          <t>316SS press: B-PRESS WATER REDUCING COUP 25X20MM (EA)</t>
        </is>
      </c>
      <c r="C423" s="445" t="inlineStr">
        <is>
          <t>ea</t>
        </is>
      </c>
      <c r="D423" s="40" t="n">
        <v>1</v>
      </c>
      <c r="E423" s="605">
        <f>11.86*1.5</f>
        <v/>
      </c>
      <c r="F423" s="583">
        <f>E423*D423</f>
        <v/>
      </c>
      <c r="I423" s="540" t="inlineStr">
        <is>
          <t>316SS press fitting benchmark = Cu press rate x1.5 (SS press fittings 1.4-1.6x Cu per supplier curves) - pending RFQ (Gap #2)</t>
        </is>
      </c>
    </row>
    <row r="424" ht="14.4" customHeight="1">
      <c r="A424" s="323" t="n"/>
      <c r="B424" s="323" t="n"/>
      <c r="C424" s="327" t="n"/>
      <c r="E424" s="605" t="n"/>
      <c r="F424" s="583">
        <f>E424*D424</f>
        <v/>
      </c>
    </row>
    <row r="425" ht="14.4" customHeight="1">
      <c r="A425" s="323" t="n"/>
      <c r="B425" s="323" t="inlineStr">
        <is>
          <t>316SS press: 32mm Poly to 32mm Copper B Press Adapter</t>
        </is>
      </c>
      <c r="C425" s="445" t="inlineStr">
        <is>
          <t>ea</t>
        </is>
      </c>
      <c r="D425" s="40" t="n">
        <v>1</v>
      </c>
      <c r="E425" s="605">
        <f>25*1.5</f>
        <v/>
      </c>
      <c r="F425" s="583">
        <f>E425*D425</f>
        <v/>
      </c>
      <c r="I425" s="540" t="inlineStr">
        <is>
          <t>316SS press fitting benchmark = Cu press rate x1.5 (SS press fittings 1.4-1.6x Cu per supplier curves) - pending RFQ (Gap #2)</t>
        </is>
      </c>
    </row>
    <row r="426" ht="14.4" customHeight="1">
      <c r="A426" s="406" t="inlineStr">
        <is>
          <t>HIDDEN</t>
        </is>
      </c>
      <c r="B426" s="323" t="n"/>
      <c r="C426" s="327" t="n"/>
      <c r="E426" s="605" t="n"/>
      <c r="F426" s="583">
        <f>E426*D426</f>
        <v/>
      </c>
    </row>
    <row r="427" ht="14.4" customHeight="1">
      <c r="A427" s="323" t="n"/>
      <c r="B427" s="323" t="inlineStr">
        <is>
          <t>63mm E/F PE 90 Deg Elb</t>
        </is>
      </c>
      <c r="C427" s="327" t="n"/>
      <c r="E427" s="605" t="n"/>
      <c r="F427" s="583">
        <f>E427*D427</f>
        <v/>
      </c>
    </row>
    <row r="428" ht="14.4" customHeight="1">
      <c r="A428" s="323" t="n"/>
      <c r="B428" s="323" t="inlineStr">
        <is>
          <t>63mm E/F PE 45 Deg Elb</t>
        </is>
      </c>
      <c r="C428" s="327" t="inlineStr">
        <is>
          <t>ea</t>
        </is>
      </c>
      <c r="E428" s="605" t="n">
        <v>13.5</v>
      </c>
      <c r="F428" s="583">
        <f>E428*D428</f>
        <v/>
      </c>
    </row>
    <row r="429" ht="14.4" customHeight="1">
      <c r="A429" s="323" t="n"/>
      <c r="B429" s="323" t="inlineStr">
        <is>
          <t>63mm E/F PE TEE</t>
        </is>
      </c>
      <c r="C429" s="327" t="inlineStr">
        <is>
          <t>ea</t>
        </is>
      </c>
      <c r="E429" s="605" t="n">
        <v>13.5</v>
      </c>
      <c r="F429" s="583">
        <f>E429*D429</f>
        <v/>
      </c>
    </row>
    <row r="430" ht="14.4" customHeight="1">
      <c r="A430" s="323" t="n"/>
      <c r="B430" s="323" t="inlineStr">
        <is>
          <t>63x40x63 E/F PE TEE</t>
        </is>
      </c>
      <c r="C430" s="327" t="inlineStr">
        <is>
          <t>ea</t>
        </is>
      </c>
      <c r="E430" s="605" t="n">
        <v>9.5</v>
      </c>
      <c r="F430" s="583">
        <f>E430*D430</f>
        <v/>
      </c>
    </row>
    <row r="431" ht="14.4" customHeight="1">
      <c r="A431" s="323" t="n"/>
      <c r="B431" s="323" t="inlineStr">
        <is>
          <t>63x32x63 E/F PE TEE</t>
        </is>
      </c>
      <c r="C431" s="327" t="inlineStr">
        <is>
          <t>ea</t>
        </is>
      </c>
      <c r="E431" s="605" t="n">
        <v>18.5</v>
      </c>
      <c r="F431" s="583">
        <f>E431*D431</f>
        <v/>
      </c>
    </row>
    <row r="432" ht="14.4" customHeight="1">
      <c r="A432" s="323" t="n"/>
      <c r="B432" s="323" t="inlineStr">
        <is>
          <t>63x25x63 E/F PE TEE</t>
        </is>
      </c>
      <c r="C432" s="327" t="inlineStr">
        <is>
          <t>ea</t>
        </is>
      </c>
      <c r="E432" s="605" t="n">
        <v>18.5</v>
      </c>
      <c r="F432" s="583">
        <f>E432*D432</f>
        <v/>
      </c>
    </row>
    <row r="433" ht="14.4" customHeight="1">
      <c r="A433" s="323" t="n"/>
      <c r="B433" s="323" t="inlineStr">
        <is>
          <t>63mm E/F PE Coupling</t>
        </is>
      </c>
      <c r="C433" s="327" t="inlineStr">
        <is>
          <t>ea</t>
        </is>
      </c>
      <c r="E433" s="605" t="n">
        <v>6</v>
      </c>
      <c r="F433" s="583">
        <f>E433*D433</f>
        <v/>
      </c>
    </row>
    <row r="434" ht="14.4" customHeight="1">
      <c r="A434" s="323" t="n"/>
      <c r="B434" s="323" t="inlineStr">
        <is>
          <t>63x40 E/F PE Reducer Coupling</t>
        </is>
      </c>
      <c r="C434" s="327" t="inlineStr">
        <is>
          <t>ea</t>
        </is>
      </c>
      <c r="E434" s="605" t="n">
        <v>5.5</v>
      </c>
      <c r="F434" s="583">
        <f>E434*D434</f>
        <v/>
      </c>
    </row>
    <row r="435" ht="14.4" customHeight="1">
      <c r="A435" s="323" t="n"/>
      <c r="B435" s="323" t="inlineStr">
        <is>
          <t>63x32 E/F PE Reducer Coupling</t>
        </is>
      </c>
      <c r="C435" s="327" t="inlineStr">
        <is>
          <t>ea</t>
        </is>
      </c>
      <c r="E435" s="605" t="n">
        <v>17.5</v>
      </c>
      <c r="F435" s="583">
        <f>E435*D435</f>
        <v/>
      </c>
    </row>
    <row r="436" ht="14.4" customHeight="1">
      <c r="A436" s="323" t="n"/>
      <c r="B436" s="323" t="inlineStr">
        <is>
          <t>63x25 E/F PE Reducer Coupling</t>
        </is>
      </c>
      <c r="C436" s="327" t="inlineStr">
        <is>
          <t>ea</t>
        </is>
      </c>
      <c r="E436" s="605" t="n">
        <v>16.5</v>
      </c>
      <c r="F436" s="583">
        <f>E436*D436</f>
        <v/>
      </c>
    </row>
    <row r="437" ht="14.4" customHeight="1">
      <c r="A437" s="323" t="n"/>
      <c r="B437" s="323" t="inlineStr">
        <is>
          <t>63PEx50Fi E/F PE Adapter</t>
        </is>
      </c>
      <c r="C437" s="327" t="inlineStr">
        <is>
          <t>ea</t>
        </is>
      </c>
      <c r="E437" s="605" t="n">
        <v>2.5</v>
      </c>
      <c r="F437" s="583">
        <f>E437*D437</f>
        <v/>
      </c>
    </row>
    <row r="438" ht="14.4" customHeight="1">
      <c r="A438" s="323" t="n"/>
      <c r="B438" s="323" t="inlineStr">
        <is>
          <t>63PEx50Mi E/F PE Adapter</t>
        </is>
      </c>
      <c r="C438" s="327" t="inlineStr">
        <is>
          <t>ea</t>
        </is>
      </c>
      <c r="E438" s="605" t="n">
        <v>43.5</v>
      </c>
      <c r="F438" s="583">
        <f>E438*D438</f>
        <v/>
      </c>
    </row>
    <row r="439" ht="14.4" customHeight="1">
      <c r="A439" s="323" t="n"/>
      <c r="B439" s="323" t="inlineStr">
        <is>
          <t>63PEx50Fi E/F PE Tramsiton Union</t>
        </is>
      </c>
      <c r="C439" s="327" t="inlineStr">
        <is>
          <t>ea</t>
        </is>
      </c>
      <c r="E439" s="605" t="n">
        <v>43.5</v>
      </c>
      <c r="F439" s="583">
        <f>E439*D439</f>
        <v/>
      </c>
    </row>
    <row r="440" ht="14.4" customHeight="1">
      <c r="A440" s="323" t="n"/>
      <c r="B440" s="323" t="inlineStr">
        <is>
          <t>63PEx50Mi E/F PE Transition Union</t>
        </is>
      </c>
      <c r="C440" s="327" t="inlineStr">
        <is>
          <t>ea</t>
        </is>
      </c>
      <c r="E440" s="605" t="n">
        <v>45.5</v>
      </c>
      <c r="F440" s="583">
        <f>E440*D440</f>
        <v/>
      </c>
    </row>
    <row r="441" ht="14.4" customHeight="1">
      <c r="A441" s="323" t="n"/>
      <c r="B441" s="323" t="inlineStr">
        <is>
          <t>40mm E/F PE 90 Deg Elb</t>
        </is>
      </c>
      <c r="C441" s="327" t="inlineStr">
        <is>
          <t>ea</t>
        </is>
      </c>
      <c r="E441" s="605" t="n">
        <v>76</v>
      </c>
      <c r="F441" s="583">
        <f>E441*D441</f>
        <v/>
      </c>
    </row>
    <row r="442" ht="14.4" customHeight="1">
      <c r="A442" s="323" t="n"/>
      <c r="B442" s="323" t="inlineStr">
        <is>
          <t>40mm E/F PE 45 Deg Elb</t>
        </is>
      </c>
      <c r="C442" s="327" t="inlineStr">
        <is>
          <t>ea</t>
        </is>
      </c>
      <c r="E442" s="605" t="n">
        <v>11.5</v>
      </c>
      <c r="F442" s="583">
        <f>E442*D442</f>
        <v/>
      </c>
    </row>
    <row r="443" ht="14.4" customHeight="1">
      <c r="A443" s="323" t="n"/>
      <c r="B443" s="323" t="inlineStr">
        <is>
          <t>40mm E/F PE TEE</t>
        </is>
      </c>
      <c r="C443" s="327" t="inlineStr">
        <is>
          <t>ea</t>
        </is>
      </c>
      <c r="E443" s="605" t="n">
        <v>11.5</v>
      </c>
      <c r="F443" s="583">
        <f>E443*D443</f>
        <v/>
      </c>
    </row>
    <row r="444" ht="14.4" customHeight="1">
      <c r="A444" s="323" t="n"/>
      <c r="B444" s="323" t="inlineStr">
        <is>
          <t>40x32x40 E/F PE TEE</t>
        </is>
      </c>
      <c r="C444" s="327" t="inlineStr">
        <is>
          <t>ea</t>
        </is>
      </c>
      <c r="E444" s="605" t="n">
        <v>12</v>
      </c>
      <c r="F444" s="583">
        <f>E444*D444</f>
        <v/>
      </c>
    </row>
    <row r="445" ht="14.4" customHeight="1">
      <c r="A445" s="323" t="n"/>
      <c r="B445" s="323" t="inlineStr">
        <is>
          <t>40x25x40 E/F PE TEE</t>
        </is>
      </c>
      <c r="C445" s="327" t="inlineStr">
        <is>
          <t>ea</t>
        </is>
      </c>
      <c r="E445" s="605" t="n">
        <v>18.5</v>
      </c>
      <c r="F445" s="583">
        <f>E445*D445</f>
        <v/>
      </c>
    </row>
    <row r="446" ht="14.4" customHeight="1">
      <c r="A446" s="323" t="n"/>
      <c r="B446" s="323" t="inlineStr">
        <is>
          <t>40mm E/F PE Coupling</t>
        </is>
      </c>
      <c r="C446" s="327" t="inlineStr">
        <is>
          <t>ea</t>
        </is>
      </c>
      <c r="E446" s="605" t="n">
        <v>19.5</v>
      </c>
      <c r="F446" s="583">
        <f>E446*D446</f>
        <v/>
      </c>
    </row>
    <row r="447" ht="14.4" customHeight="1">
      <c r="A447" s="323" t="n"/>
      <c r="B447" s="323" t="inlineStr">
        <is>
          <t>40x32 E/F PE Reducer Coupling</t>
        </is>
      </c>
      <c r="C447" s="327" t="inlineStr">
        <is>
          <t>ea</t>
        </is>
      </c>
      <c r="E447" s="605" t="n">
        <v>4.5</v>
      </c>
      <c r="F447" s="583">
        <f>E447*D447</f>
        <v/>
      </c>
    </row>
    <row r="448" ht="14.4" customHeight="1">
      <c r="A448" s="323" t="n"/>
      <c r="B448" s="323" t="inlineStr">
        <is>
          <t>40x25 E/F PE Reducer Coupling</t>
        </is>
      </c>
      <c r="C448" s="327" t="inlineStr">
        <is>
          <t>ea</t>
        </is>
      </c>
      <c r="E448" s="605" t="n">
        <v>10.5</v>
      </c>
      <c r="F448" s="583">
        <f>E448*D448</f>
        <v/>
      </c>
    </row>
    <row r="449" ht="14.4" customHeight="1">
      <c r="A449" s="323" t="n"/>
      <c r="B449" s="323" t="inlineStr">
        <is>
          <t>40PEx32Fi E/F PE Adapter</t>
        </is>
      </c>
      <c r="C449" s="327" t="inlineStr">
        <is>
          <t>ea</t>
        </is>
      </c>
      <c r="E449" s="605" t="n">
        <v>14.5</v>
      </c>
      <c r="F449" s="583">
        <f>E449*D449</f>
        <v/>
      </c>
    </row>
    <row r="450" ht="14.4" customHeight="1">
      <c r="A450" s="323" t="n"/>
      <c r="B450" s="323" t="inlineStr">
        <is>
          <t>40PEx32Mi E/F PE Adapter</t>
        </is>
      </c>
      <c r="C450" s="327" t="inlineStr">
        <is>
          <t>ea</t>
        </is>
      </c>
      <c r="E450" s="605" t="n">
        <v>28.5</v>
      </c>
      <c r="F450" s="583">
        <f>E450*D450</f>
        <v/>
      </c>
    </row>
    <row r="451" ht="14.4" customHeight="1">
      <c r="A451" s="323" t="n"/>
      <c r="B451" s="323" t="inlineStr">
        <is>
          <t>40PEx32Fi E/F PE Tramsiton Union</t>
        </is>
      </c>
      <c r="C451" s="327" t="inlineStr">
        <is>
          <t>ea</t>
        </is>
      </c>
      <c r="E451" s="605" t="n">
        <v>29.5</v>
      </c>
      <c r="F451" s="583">
        <f>E451*D451</f>
        <v/>
      </c>
    </row>
    <row r="452" ht="14.4" customHeight="1">
      <c r="A452" s="323" t="n"/>
      <c r="B452" s="323" t="inlineStr">
        <is>
          <t>40PEx32Mi E/F PE Transition Union</t>
        </is>
      </c>
      <c r="C452" s="327" t="inlineStr">
        <is>
          <t>ea</t>
        </is>
      </c>
      <c r="E452" s="605" t="n">
        <v>36</v>
      </c>
      <c r="F452" s="583">
        <f>E452*D452</f>
        <v/>
      </c>
    </row>
    <row r="453" ht="14.4" customHeight="1">
      <c r="A453" s="323" t="n"/>
      <c r="B453" s="323" t="inlineStr">
        <is>
          <t>32mm E/F PE 90 Deg Elb</t>
        </is>
      </c>
      <c r="C453" s="327" t="inlineStr">
        <is>
          <t>ea</t>
        </is>
      </c>
      <c r="E453" s="605" t="n">
        <v>54</v>
      </c>
      <c r="F453" s="583">
        <f>E453*D453</f>
        <v/>
      </c>
    </row>
    <row r="454" ht="14.4" customHeight="1">
      <c r="A454" s="323" t="n"/>
      <c r="B454" s="323" t="inlineStr">
        <is>
          <t>32mm E/F PE 45 Deg Elb</t>
        </is>
      </c>
      <c r="C454" s="327" t="inlineStr">
        <is>
          <t>ea</t>
        </is>
      </c>
      <c r="E454" s="605" t="n">
        <v>10.5</v>
      </c>
      <c r="F454" s="583">
        <f>E454*D454</f>
        <v/>
      </c>
    </row>
    <row r="455" ht="14.4" customHeight="1">
      <c r="A455" s="323" t="n"/>
      <c r="B455" s="323" t="inlineStr">
        <is>
          <t>32mm E/F PE TEE</t>
        </is>
      </c>
      <c r="C455" s="327" t="inlineStr">
        <is>
          <t>ea</t>
        </is>
      </c>
      <c r="E455" s="605" t="n">
        <v>10</v>
      </c>
      <c r="F455" s="583">
        <f>E455*D455</f>
        <v/>
      </c>
    </row>
    <row r="456" ht="14.4" customHeight="1">
      <c r="A456" s="323" t="n"/>
      <c r="B456" s="323" t="inlineStr">
        <is>
          <t>32x25x32 E/F PE TEE</t>
        </is>
      </c>
      <c r="C456" s="327" t="inlineStr">
        <is>
          <t>ea</t>
        </is>
      </c>
      <c r="E456" s="605" t="n">
        <v>5.5</v>
      </c>
      <c r="F456" s="583">
        <f>E456*D456</f>
        <v/>
      </c>
    </row>
    <row r="457" ht="14.4" customHeight="1">
      <c r="A457" s="323" t="n"/>
      <c r="B457" s="323" t="inlineStr">
        <is>
          <t>32mm E/F PE Coupling</t>
        </is>
      </c>
      <c r="C457" s="327" t="inlineStr">
        <is>
          <t>ea</t>
        </is>
      </c>
      <c r="E457" s="605" t="n">
        <v>18</v>
      </c>
      <c r="F457" s="583">
        <f>E457*D457</f>
        <v/>
      </c>
    </row>
    <row r="458" ht="14.4" customHeight="1">
      <c r="A458" s="323" t="n"/>
      <c r="B458" s="323" t="inlineStr">
        <is>
          <t>32x25 E/F PE Reducer Coupling</t>
        </is>
      </c>
      <c r="C458" s="327" t="inlineStr">
        <is>
          <t>ea</t>
        </is>
      </c>
      <c r="E458" s="605" t="n">
        <v>4.5</v>
      </c>
      <c r="F458" s="583">
        <f>E458*D458</f>
        <v/>
      </c>
    </row>
    <row r="459" ht="14.4" customHeight="1">
      <c r="A459" s="323" t="n"/>
      <c r="B459" s="323" t="inlineStr">
        <is>
          <t>32PEx25Fi E/F PE Adapter</t>
        </is>
      </c>
      <c r="C459" s="327" t="inlineStr">
        <is>
          <t>ea</t>
        </is>
      </c>
      <c r="E459" s="605" t="n">
        <v>6.5</v>
      </c>
      <c r="F459" s="583">
        <f>E459*D459</f>
        <v/>
      </c>
    </row>
    <row r="460" ht="14.4" customHeight="1">
      <c r="A460" s="323" t="n"/>
      <c r="B460" s="323" t="inlineStr">
        <is>
          <t>32PEx25Mi E/F PE Adapter</t>
        </is>
      </c>
      <c r="C460" s="327" t="inlineStr">
        <is>
          <t>ea</t>
        </is>
      </c>
      <c r="E460" s="605" t="n">
        <v>25.5</v>
      </c>
      <c r="F460" s="583">
        <f>E460*D460</f>
        <v/>
      </c>
    </row>
    <row r="461" ht="14.4" customHeight="1">
      <c r="A461" s="323" t="n"/>
      <c r="B461" s="323" t="inlineStr">
        <is>
          <t>32mm E/F PE End Cap</t>
        </is>
      </c>
      <c r="C461" s="327" t="inlineStr">
        <is>
          <t>ea</t>
        </is>
      </c>
      <c r="E461" s="605" t="n">
        <v>22.5</v>
      </c>
      <c r="F461" s="583">
        <f>E461*D461</f>
        <v/>
      </c>
    </row>
    <row r="462" ht="14.4" customHeight="1">
      <c r="A462" s="323" t="n"/>
      <c r="B462" s="323" t="inlineStr">
        <is>
          <t>32mm E/F PE End Plug</t>
        </is>
      </c>
      <c r="C462" s="327" t="inlineStr">
        <is>
          <t>ea</t>
        </is>
      </c>
      <c r="E462" s="605" t="n">
        <v>8.5</v>
      </c>
      <c r="F462" s="583">
        <f>E462*D462</f>
        <v/>
      </c>
    </row>
    <row r="463" ht="14.4" customHeight="1">
      <c r="A463" s="323" t="n"/>
      <c r="B463" s="323" t="inlineStr">
        <is>
          <t>25mm E/F PE 90 Deg Elb</t>
        </is>
      </c>
      <c r="C463" s="327" t="inlineStr">
        <is>
          <t>ea</t>
        </is>
      </c>
      <c r="E463" s="605" t="n">
        <v>6.5</v>
      </c>
      <c r="F463" s="583">
        <f>E463*D463</f>
        <v/>
      </c>
    </row>
    <row r="464" ht="14.4" customHeight="1">
      <c r="A464" s="323" t="n"/>
      <c r="B464" s="323" t="inlineStr">
        <is>
          <t>25mm E/F PE 45 Deg Elb</t>
        </is>
      </c>
      <c r="C464" s="327" t="inlineStr">
        <is>
          <t>ea</t>
        </is>
      </c>
      <c r="E464" s="605" t="n">
        <v>10.5</v>
      </c>
      <c r="F464" s="583">
        <f>E464*D464</f>
        <v/>
      </c>
    </row>
    <row r="465" ht="14.4" customHeight="1">
      <c r="A465" s="323" t="n"/>
      <c r="B465" s="323" t="inlineStr">
        <is>
          <t>25mm E/F PE TEE</t>
        </is>
      </c>
      <c r="C465" s="327" t="inlineStr">
        <is>
          <t>ea</t>
        </is>
      </c>
      <c r="E465" s="605" t="n">
        <v>0</v>
      </c>
      <c r="F465" s="583">
        <f>E465*D465</f>
        <v/>
      </c>
    </row>
    <row r="466" ht="14.4" customHeight="1">
      <c r="A466" s="323" t="n"/>
      <c r="B466" s="323" t="inlineStr">
        <is>
          <t>25mm E/F PE Coupling</t>
        </is>
      </c>
      <c r="C466" s="327" t="inlineStr">
        <is>
          <t>ea</t>
        </is>
      </c>
      <c r="E466" s="605" t="n">
        <v>4.5</v>
      </c>
      <c r="F466" s="583">
        <f>E466*D466</f>
        <v/>
      </c>
    </row>
    <row r="467" ht="14.4" customHeight="1">
      <c r="A467" s="323" t="n"/>
      <c r="B467" s="323" t="inlineStr">
        <is>
          <t>25PEx25Fi E/F PE Adapter</t>
        </is>
      </c>
      <c r="C467" s="327" t="inlineStr">
        <is>
          <t>ea</t>
        </is>
      </c>
      <c r="E467" s="605" t="n">
        <v>4</v>
      </c>
      <c r="F467" s="583">
        <f>E467*D467</f>
        <v/>
      </c>
    </row>
    <row r="468" ht="14.4" customHeight="1">
      <c r="A468" s="323" t="n"/>
      <c r="B468" s="323" t="inlineStr">
        <is>
          <t>25PEx25Mi E/F PE Adapter</t>
        </is>
      </c>
      <c r="C468" s="327" t="inlineStr">
        <is>
          <t>ea</t>
        </is>
      </c>
      <c r="E468" s="605" t="n">
        <v>17</v>
      </c>
      <c r="F468" s="583">
        <f>E468*D468</f>
        <v/>
      </c>
    </row>
    <row r="469" ht="14.4" customHeight="1">
      <c r="A469" s="323" t="n"/>
      <c r="B469" s="323" t="inlineStr">
        <is>
          <t>25PEx20Fi E/F PE Adapter</t>
        </is>
      </c>
      <c r="C469" s="327" t="inlineStr">
        <is>
          <t>ea</t>
        </is>
      </c>
      <c r="E469" s="605" t="n">
        <v>17.5</v>
      </c>
      <c r="F469" s="583">
        <f>E469*D469</f>
        <v/>
      </c>
    </row>
    <row r="470" ht="14.4" customHeight="1">
      <c r="A470" s="323" t="n"/>
      <c r="B470" s="323" t="inlineStr">
        <is>
          <t>25PEx20Mi E/F PE Adapter</t>
        </is>
      </c>
      <c r="C470" s="327" t="inlineStr">
        <is>
          <t>ea</t>
        </is>
      </c>
      <c r="E470" s="605" t="n">
        <v>4.5</v>
      </c>
      <c r="F470" s="583">
        <f>E470*D470</f>
        <v/>
      </c>
    </row>
    <row r="471" ht="14.4" customHeight="1">
      <c r="A471" s="323" t="n"/>
      <c r="B471" s="323" t="inlineStr">
        <is>
          <t>25mm E/F PE End Cap</t>
        </is>
      </c>
      <c r="C471" s="327" t="inlineStr">
        <is>
          <t>ea</t>
        </is>
      </c>
      <c r="E471" s="605" t="n">
        <v>2</v>
      </c>
      <c r="F471" s="583">
        <f>E471*D471</f>
        <v/>
      </c>
    </row>
    <row r="472" ht="14.4" customHeight="1">
      <c r="A472" s="323" t="n"/>
      <c r="B472" s="323" t="inlineStr">
        <is>
          <t>25mm E/F PE End Plug</t>
        </is>
      </c>
      <c r="C472" s="327" t="inlineStr">
        <is>
          <t>ea</t>
        </is>
      </c>
      <c r="E472" s="605" t="n">
        <v>8.5</v>
      </c>
      <c r="F472" s="583">
        <f>E472*D472</f>
        <v/>
      </c>
    </row>
    <row r="473" ht="14.4" customHeight="1">
      <c r="A473" s="406" t="inlineStr">
        <is>
          <t>HIDDEN</t>
        </is>
      </c>
      <c r="B473" s="323" t="n"/>
      <c r="C473" s="327" t="inlineStr">
        <is>
          <t>ea</t>
        </is>
      </c>
      <c r="E473" s="605" t="n">
        <v>4</v>
      </c>
      <c r="F473" s="583">
        <f>E473*D473</f>
        <v/>
      </c>
    </row>
    <row r="474" ht="14.4" customHeight="1">
      <c r="A474" s="323" t="n"/>
      <c r="B474" s="323" t="inlineStr">
        <is>
          <t>100mm CU Crimp 90 DEG FxF Elbow</t>
        </is>
      </c>
      <c r="C474" s="327" t="n"/>
      <c r="E474" s="605" t="n"/>
      <c r="F474" s="583">
        <f>E474*D474</f>
        <v/>
      </c>
    </row>
    <row r="475" ht="14.4" customHeight="1">
      <c r="A475" s="323" t="n"/>
      <c r="B475" s="323" t="inlineStr">
        <is>
          <t>100mm CU Crimp 45 DEG FxF Elbow</t>
        </is>
      </c>
      <c r="C475" s="327" t="inlineStr">
        <is>
          <t>ea</t>
        </is>
      </c>
      <c r="E475" s="605" t="n">
        <v>137</v>
      </c>
      <c r="F475" s="583">
        <f>E475*D475</f>
        <v/>
      </c>
    </row>
    <row r="476" ht="14.4" customHeight="1">
      <c r="A476" s="323" t="n"/>
      <c r="B476" s="323" t="inlineStr">
        <is>
          <t>100mm CU Crimp Tee</t>
        </is>
      </c>
      <c r="C476" s="327" t="inlineStr">
        <is>
          <t>ea</t>
        </is>
      </c>
      <c r="E476" s="605" t="n">
        <v>139.5</v>
      </c>
      <c r="F476" s="583">
        <f>E476*D476</f>
        <v/>
      </c>
    </row>
    <row r="477" ht="14.4" customHeight="1">
      <c r="A477" s="323" t="n"/>
      <c r="B477" s="323" t="inlineStr">
        <is>
          <t>100x50x100 CU Crimp Tee</t>
        </is>
      </c>
      <c r="C477" s="327" t="inlineStr">
        <is>
          <t>ea</t>
        </is>
      </c>
      <c r="E477" s="605" t="n">
        <v>183</v>
      </c>
      <c r="F477" s="583">
        <f>E477*D477</f>
        <v/>
      </c>
    </row>
    <row r="478" ht="14.4" customHeight="1">
      <c r="A478" s="323" t="n"/>
      <c r="B478" s="323" t="inlineStr">
        <is>
          <t>100x50 CU Crimp Reducer</t>
        </is>
      </c>
      <c r="C478" s="327" t="inlineStr">
        <is>
          <t>ea</t>
        </is>
      </c>
      <c r="E478" s="605" t="n">
        <v>184.5</v>
      </c>
      <c r="F478" s="583">
        <f>E478*D478</f>
        <v/>
      </c>
    </row>
    <row r="479" ht="14.4" customHeight="1">
      <c r="A479" s="323" t="n"/>
      <c r="B479" s="323" t="inlineStr">
        <is>
          <t>100mm CU Crimp Repair Coupling</t>
        </is>
      </c>
      <c r="C479" s="327" t="inlineStr">
        <is>
          <t>ea</t>
        </is>
      </c>
      <c r="E479" s="605" t="n">
        <v>56</v>
      </c>
      <c r="F479" s="583">
        <f>E479*D479</f>
        <v/>
      </c>
    </row>
    <row r="480" ht="14.4" customHeight="1">
      <c r="A480" s="323" t="n"/>
      <c r="B480" s="323" t="inlineStr">
        <is>
          <t>100mm CU Crimp Coupling</t>
        </is>
      </c>
      <c r="C480" s="327" t="inlineStr">
        <is>
          <t>ea</t>
        </is>
      </c>
      <c r="E480" s="605" t="n">
        <v>103</v>
      </c>
      <c r="F480" s="583">
        <f>E480*D480</f>
        <v/>
      </c>
    </row>
    <row r="481" ht="14.4" customHeight="1">
      <c r="A481" s="323" t="n"/>
      <c r="B481" s="323" t="inlineStr">
        <is>
          <t>100Cu x 100Flange CU Crimp Coupling</t>
        </is>
      </c>
      <c r="C481" s="327" t="inlineStr">
        <is>
          <t>ea</t>
        </is>
      </c>
      <c r="E481" s="605" t="n">
        <v>95</v>
      </c>
      <c r="F481" s="583">
        <f>E481*D481</f>
        <v/>
      </c>
    </row>
    <row r="482" ht="14.4" customHeight="1">
      <c r="A482" s="323" t="n"/>
      <c r="B482" s="406" t="inlineStr">
        <is>
          <t>50mm CU Crimp 90 DEG FxF Elbow</t>
        </is>
      </c>
      <c r="C482" s="327" t="inlineStr">
        <is>
          <t>ea</t>
        </is>
      </c>
      <c r="E482" s="605" t="n">
        <v>45.02</v>
      </c>
      <c r="F482" s="583">
        <f>E482*D482</f>
        <v/>
      </c>
    </row>
    <row r="483" ht="14.4" customHeight="1">
      <c r="A483" s="323" t="n"/>
      <c r="B483" s="323" t="inlineStr">
        <is>
          <t>50mm CU Crimp 45 DEG FxF Elbow</t>
        </is>
      </c>
      <c r="C483" s="327" t="inlineStr">
        <is>
          <t>ea</t>
        </is>
      </c>
      <c r="E483" s="605" t="n">
        <v>33.5</v>
      </c>
      <c r="F483" s="583">
        <f>E483*D483</f>
        <v/>
      </c>
    </row>
    <row r="484" ht="14.4" customHeight="1">
      <c r="A484" s="323" t="n"/>
      <c r="B484" s="406" t="inlineStr">
        <is>
          <t>50mm CU Crimp Tee</t>
        </is>
      </c>
      <c r="C484" s="327" t="inlineStr">
        <is>
          <t>ea</t>
        </is>
      </c>
      <c r="E484" s="605" t="n">
        <v>33</v>
      </c>
      <c r="F484" s="583">
        <f>E484*D484</f>
        <v/>
      </c>
    </row>
    <row r="485" ht="14.4" customHeight="1">
      <c r="A485" s="323" t="n"/>
      <c r="B485" s="323" t="inlineStr">
        <is>
          <t>50x40x50 CU Crimp Tee</t>
        </is>
      </c>
      <c r="C485" s="327" t="inlineStr">
        <is>
          <t>ea</t>
        </is>
      </c>
      <c r="E485" s="605" t="n">
        <v>60.5</v>
      </c>
      <c r="F485" s="583">
        <f>E485*D485</f>
        <v/>
      </c>
    </row>
    <row r="486" ht="14.4" customHeight="1">
      <c r="A486" s="323" t="n"/>
      <c r="B486" s="323" t="inlineStr">
        <is>
          <t>50x40x40 CU Crimp Tee</t>
        </is>
      </c>
      <c r="C486" s="327" t="inlineStr">
        <is>
          <t>ea</t>
        </is>
      </c>
      <c r="E486" s="605" t="n">
        <v>61</v>
      </c>
      <c r="F486" s="583">
        <f>E486*D486</f>
        <v/>
      </c>
    </row>
    <row r="487" ht="14.4" customHeight="1">
      <c r="A487" s="323" t="n"/>
      <c r="B487" s="323" t="inlineStr">
        <is>
          <t>50x32x50 CU Crimp Tee</t>
        </is>
      </c>
      <c r="C487" s="327" t="inlineStr">
        <is>
          <t>ea</t>
        </is>
      </c>
      <c r="E487" s="605" t="n">
        <v>65</v>
      </c>
      <c r="F487" s="583">
        <f>E487*D487</f>
        <v/>
      </c>
    </row>
    <row r="488" ht="14.4" customHeight="1">
      <c r="A488" s="323" t="n"/>
      <c r="B488" s="323" t="inlineStr">
        <is>
          <t>50x32x32 CU Crimp Tee</t>
        </is>
      </c>
      <c r="C488" s="327" t="inlineStr">
        <is>
          <t>ea</t>
        </is>
      </c>
      <c r="E488" s="605" t="n">
        <v>65</v>
      </c>
      <c r="F488" s="583">
        <f>E488*D488</f>
        <v/>
      </c>
    </row>
    <row r="489" ht="14.4" customHeight="1">
      <c r="A489" s="323" t="n"/>
      <c r="B489" s="323" t="inlineStr">
        <is>
          <t>50x32x40 CU Crimp Tee</t>
        </is>
      </c>
      <c r="C489" s="327" t="inlineStr">
        <is>
          <t>ea</t>
        </is>
      </c>
      <c r="E489" s="605" t="n">
        <v>65</v>
      </c>
      <c r="F489" s="583">
        <f>E489*D489</f>
        <v/>
      </c>
    </row>
    <row r="490" ht="14.4" customHeight="1">
      <c r="A490" s="323" t="n"/>
      <c r="B490" s="323" t="inlineStr">
        <is>
          <t>50x25x50 CU Crimp Tee</t>
        </is>
      </c>
      <c r="C490" s="327" t="inlineStr">
        <is>
          <t>ea</t>
        </is>
      </c>
      <c r="E490" s="605" t="n">
        <v>65</v>
      </c>
      <c r="F490" s="583">
        <f>E490*D490</f>
        <v/>
      </c>
    </row>
    <row r="491" ht="14.4" customHeight="1">
      <c r="A491" s="323" t="n"/>
      <c r="B491" s="323" t="inlineStr">
        <is>
          <t>50x20x50 CU Crimp Tee</t>
        </is>
      </c>
      <c r="C491" s="327" t="inlineStr">
        <is>
          <t>ea</t>
        </is>
      </c>
      <c r="E491" s="605" t="n">
        <v>45</v>
      </c>
      <c r="F491" s="583">
        <f>E491*D491</f>
        <v/>
      </c>
    </row>
    <row r="492" ht="14.4" customHeight="1">
      <c r="A492" s="323" t="n"/>
      <c r="B492" s="323" t="inlineStr">
        <is>
          <t>50x15x50 CU Crimp Tee</t>
        </is>
      </c>
      <c r="C492" s="327" t="inlineStr">
        <is>
          <t>ea</t>
        </is>
      </c>
      <c r="E492" s="605" t="n">
        <v>55</v>
      </c>
      <c r="F492" s="583">
        <f>E492*D492</f>
        <v/>
      </c>
    </row>
    <row r="493" ht="14.4" customHeight="1">
      <c r="A493" s="323" t="n"/>
      <c r="B493" s="406" t="inlineStr">
        <is>
          <t>50x40 CU Crimp Reducer</t>
        </is>
      </c>
      <c r="C493" s="327" t="inlineStr">
        <is>
          <t>ea</t>
        </is>
      </c>
      <c r="E493" s="605" t="n">
        <v>55</v>
      </c>
      <c r="F493" s="583">
        <f>E493*D493</f>
        <v/>
      </c>
    </row>
    <row r="494" ht="14.4" customHeight="1">
      <c r="A494" s="323" t="n"/>
      <c r="B494" s="323" t="inlineStr">
        <is>
          <t>50x32 CU Crimp Reducer</t>
        </is>
      </c>
      <c r="C494" s="327" t="inlineStr">
        <is>
          <t>ea</t>
        </is>
      </c>
      <c r="E494" s="605" t="n">
        <v>21.5</v>
      </c>
      <c r="F494" s="583">
        <f>E494*D494</f>
        <v/>
      </c>
    </row>
    <row r="495" ht="14.4" customHeight="1">
      <c r="A495" s="323" t="n"/>
      <c r="B495" s="323" t="inlineStr">
        <is>
          <t>50x25 CU Crimp Reducer</t>
        </is>
      </c>
      <c r="C495" s="327" t="inlineStr">
        <is>
          <t>ea</t>
        </is>
      </c>
      <c r="E495" s="605" t="n">
        <v>25</v>
      </c>
      <c r="F495" s="583">
        <f>E495*D495</f>
        <v/>
      </c>
    </row>
    <row r="496" ht="14.4" customHeight="1">
      <c r="A496" s="323" t="n"/>
      <c r="B496" s="323" t="inlineStr">
        <is>
          <t>50x20 CU Crimp Reducer</t>
        </is>
      </c>
      <c r="C496" s="327" t="inlineStr">
        <is>
          <t>ea</t>
        </is>
      </c>
      <c r="E496" s="605" t="n">
        <v>22</v>
      </c>
      <c r="F496" s="583">
        <f>E496*D496</f>
        <v/>
      </c>
    </row>
    <row r="497" ht="14.4" customHeight="1">
      <c r="A497" s="323" t="n"/>
      <c r="B497" s="323" t="inlineStr">
        <is>
          <t>50x15 CU Crimp Reducer</t>
        </is>
      </c>
      <c r="C497" s="327" t="inlineStr">
        <is>
          <t>ea</t>
        </is>
      </c>
      <c r="E497" s="605" t="n">
        <v>22</v>
      </c>
      <c r="F497" s="583">
        <f>E497*D497</f>
        <v/>
      </c>
    </row>
    <row r="498" ht="14.4" customHeight="1">
      <c r="A498" s="323" t="n"/>
      <c r="B498" s="323" t="inlineStr">
        <is>
          <t>50Cu x 50Mi CU Crimp Adapter</t>
        </is>
      </c>
      <c r="C498" s="327" t="inlineStr">
        <is>
          <t>ea</t>
        </is>
      </c>
      <c r="E498" s="605" t="n">
        <v>22</v>
      </c>
      <c r="F498" s="583">
        <f>E498*D498</f>
        <v/>
      </c>
    </row>
    <row r="499" ht="14.4" customHeight="1">
      <c r="A499" s="323" t="n"/>
      <c r="B499" s="323" t="inlineStr">
        <is>
          <t>50Cu x 50Fi CU Crimp Adapter</t>
        </is>
      </c>
      <c r="C499" s="327" t="inlineStr">
        <is>
          <t>ea</t>
        </is>
      </c>
      <c r="E499" s="605" t="n">
        <v>78</v>
      </c>
      <c r="F499" s="583">
        <f>E499*D499</f>
        <v/>
      </c>
    </row>
    <row r="500" ht="14.4" customHeight="1">
      <c r="A500" s="323" t="n"/>
      <c r="B500" s="323" t="inlineStr">
        <is>
          <t>50mm CU Crimp Repair Coupling</t>
        </is>
      </c>
      <c r="C500" s="327" t="inlineStr">
        <is>
          <t>ea</t>
        </is>
      </c>
      <c r="E500" s="605" t="n">
        <v>89</v>
      </c>
      <c r="F500" s="583">
        <f>E500*D500</f>
        <v/>
      </c>
    </row>
    <row r="501" ht="14.4" customHeight="1">
      <c r="A501" s="323" t="n"/>
      <c r="B501" s="323" t="inlineStr">
        <is>
          <t>50mm CU Crimp Coupling</t>
        </is>
      </c>
      <c r="C501" s="327" t="inlineStr">
        <is>
          <t>ea</t>
        </is>
      </c>
      <c r="E501" s="605" t="n">
        <v>21</v>
      </c>
      <c r="F501" s="583">
        <f>E501*D501</f>
        <v/>
      </c>
    </row>
    <row r="502" ht="14.4" customHeight="1">
      <c r="A502" s="323" t="n"/>
      <c r="B502" s="323" t="inlineStr">
        <is>
          <t>50Cu x 50Flange CU Crimp Coupling</t>
        </is>
      </c>
      <c r="C502" s="327" t="inlineStr">
        <is>
          <t>ea</t>
        </is>
      </c>
      <c r="E502" s="605" t="n">
        <v>21</v>
      </c>
      <c r="F502" s="583">
        <f>E502*D502</f>
        <v/>
      </c>
    </row>
    <row r="503" ht="14.4" customHeight="1">
      <c r="A503" s="323" t="n"/>
      <c r="B503" s="323" t="inlineStr">
        <is>
          <t>50mm CU Crimp Cap</t>
        </is>
      </c>
      <c r="C503" s="327" t="inlineStr">
        <is>
          <t>ea</t>
        </is>
      </c>
      <c r="E503" s="605" t="n">
        <v>0</v>
      </c>
      <c r="F503" s="583">
        <f>E503*D503</f>
        <v/>
      </c>
    </row>
    <row r="504" ht="14.4" customHeight="1">
      <c r="A504" s="323" t="n"/>
      <c r="B504" s="323" t="inlineStr">
        <is>
          <t>50Cu x W69/Barrell Barrell Union CU Crimp</t>
        </is>
      </c>
      <c r="C504" s="327" t="inlineStr">
        <is>
          <t>ea</t>
        </is>
      </c>
      <c r="E504" s="605" t="n">
        <v>0</v>
      </c>
      <c r="F504" s="583">
        <f>E504*D504</f>
        <v/>
      </c>
    </row>
    <row r="505" ht="14.4" customHeight="1">
      <c r="A505" s="323" t="n"/>
      <c r="B505" s="406" t="inlineStr">
        <is>
          <t>40mm CU Crimp 90 DEG FxF Elbow</t>
        </is>
      </c>
      <c r="C505" s="327" t="inlineStr">
        <is>
          <t>ea</t>
        </is>
      </c>
      <c r="E505" s="605" t="n">
        <v>0</v>
      </c>
      <c r="F505" s="583">
        <f>E505*D505</f>
        <v/>
      </c>
    </row>
    <row r="506" ht="14.4" customHeight="1">
      <c r="A506" s="323" t="n"/>
      <c r="B506" s="323" t="inlineStr">
        <is>
          <t>40mm CU Crimp 45 DEG FxF Elbow</t>
        </is>
      </c>
      <c r="C506" s="327" t="inlineStr">
        <is>
          <t>ea</t>
        </is>
      </c>
      <c r="E506" s="605" t="n">
        <v>0</v>
      </c>
      <c r="F506" s="583">
        <f>E506*D506</f>
        <v/>
      </c>
    </row>
    <row r="507" ht="14.4" customHeight="1">
      <c r="A507" s="323" t="n"/>
      <c r="B507" s="323" t="inlineStr">
        <is>
          <t>40mm CU Crimp 90 DEG MxF Elbow</t>
        </is>
      </c>
      <c r="C507" s="327" t="inlineStr">
        <is>
          <t>ea</t>
        </is>
      </c>
      <c r="E507" s="605" t="n">
        <v>0</v>
      </c>
      <c r="F507" s="583">
        <f>E507*D507</f>
        <v/>
      </c>
    </row>
    <row r="508" ht="14.4" customHeight="1">
      <c r="A508" s="323" t="n"/>
      <c r="B508" s="323" t="inlineStr">
        <is>
          <t>40mm CU Crimp 45 DEG MxF Elbow</t>
        </is>
      </c>
      <c r="C508" s="327" t="inlineStr">
        <is>
          <t>ea</t>
        </is>
      </c>
      <c r="E508" s="605" t="n">
        <v>0</v>
      </c>
      <c r="F508" s="583">
        <f>E508*D508</f>
        <v/>
      </c>
    </row>
    <row r="509" ht="14.4" customHeight="1">
      <c r="A509" s="323" t="n"/>
      <c r="B509" s="323" t="inlineStr">
        <is>
          <t>40mm CU Crimp Tee</t>
        </is>
      </c>
      <c r="C509" s="327" t="inlineStr">
        <is>
          <t>ea</t>
        </is>
      </c>
      <c r="E509" s="605" t="n">
        <v>0</v>
      </c>
      <c r="F509" s="583">
        <f>E509*D509</f>
        <v/>
      </c>
    </row>
    <row r="510" ht="14.4" customHeight="1">
      <c r="A510" s="323" t="n"/>
      <c r="B510" s="323" t="inlineStr">
        <is>
          <t>40x32x40 CU Crimp Tee</t>
        </is>
      </c>
      <c r="C510" s="327" t="inlineStr">
        <is>
          <t>ea</t>
        </is>
      </c>
      <c r="E510" s="605" t="n">
        <v>0</v>
      </c>
      <c r="F510" s="583">
        <f>E510*D510</f>
        <v/>
      </c>
    </row>
    <row r="511" ht="14.4" customHeight="1">
      <c r="A511" s="323" t="n"/>
      <c r="B511" s="323" t="inlineStr">
        <is>
          <t>40x32x32 CU Crimp Tee</t>
        </is>
      </c>
      <c r="C511" s="327" t="inlineStr">
        <is>
          <t>ea</t>
        </is>
      </c>
      <c r="E511" s="605" t="n">
        <v>0</v>
      </c>
      <c r="F511" s="583">
        <f>E511*D511</f>
        <v/>
      </c>
    </row>
    <row r="512" ht="14.4" customHeight="1">
      <c r="A512" s="323" t="n"/>
      <c r="B512" s="323" t="inlineStr">
        <is>
          <t>40x32x25 CU Crimp Tee</t>
        </is>
      </c>
      <c r="C512" s="327" t="inlineStr">
        <is>
          <t>ea</t>
        </is>
      </c>
      <c r="E512" s="605" t="n">
        <v>0</v>
      </c>
      <c r="F512" s="583">
        <f>E512*D512</f>
        <v/>
      </c>
    </row>
    <row r="513" ht="14.4" customHeight="1">
      <c r="A513" s="323" t="n"/>
      <c r="B513" s="323" t="inlineStr">
        <is>
          <t>40x25x40 CU Crimp Tee</t>
        </is>
      </c>
      <c r="C513" s="327" t="inlineStr">
        <is>
          <t>ea</t>
        </is>
      </c>
      <c r="E513" s="605" t="n">
        <v>0</v>
      </c>
      <c r="F513" s="583">
        <f>E513*D513</f>
        <v/>
      </c>
    </row>
    <row r="514" ht="14.4" customHeight="1">
      <c r="A514" s="323" t="n"/>
      <c r="B514" s="323" t="inlineStr">
        <is>
          <t>40x25x20 CU Crimp Tee</t>
        </is>
      </c>
      <c r="C514" s="327" t="inlineStr">
        <is>
          <t>ea</t>
        </is>
      </c>
      <c r="E514" s="605" t="n">
        <v>0</v>
      </c>
      <c r="F514" s="583">
        <f>E514*D514</f>
        <v/>
      </c>
    </row>
    <row r="515" ht="14.4" customHeight="1">
      <c r="A515" s="323" t="n"/>
      <c r="B515" s="323" t="inlineStr">
        <is>
          <t>40x20x40 CU Crimp Tee</t>
        </is>
      </c>
      <c r="C515" s="327" t="inlineStr">
        <is>
          <t>ea</t>
        </is>
      </c>
      <c r="E515" s="605" t="n">
        <v>0</v>
      </c>
      <c r="F515" s="583">
        <f>E515*D515</f>
        <v/>
      </c>
    </row>
    <row r="516" ht="14.4" customHeight="1">
      <c r="A516" s="323" t="n"/>
      <c r="B516" s="323" t="inlineStr">
        <is>
          <t>40x15x40 CU Crimp Tee</t>
        </is>
      </c>
      <c r="C516" s="327" t="inlineStr">
        <is>
          <t>ea</t>
        </is>
      </c>
      <c r="E516" s="605" t="n">
        <v>0</v>
      </c>
      <c r="F516" s="583">
        <f>E516*D516</f>
        <v/>
      </c>
    </row>
    <row r="517" ht="14.4" customHeight="1">
      <c r="A517" s="323" t="n"/>
      <c r="B517" s="323" t="inlineStr">
        <is>
          <t>40x32 CU Crimp Reducer</t>
        </is>
      </c>
      <c r="C517" s="327" t="inlineStr">
        <is>
          <t>ea</t>
        </is>
      </c>
      <c r="E517" s="605" t="n">
        <v>0</v>
      </c>
      <c r="F517" s="583">
        <f>E517*D517</f>
        <v/>
      </c>
    </row>
    <row r="518" ht="14.4" customHeight="1">
      <c r="A518" s="323" t="n"/>
      <c r="B518" s="323" t="inlineStr">
        <is>
          <t>40x25 CU Crimp Reducer</t>
        </is>
      </c>
      <c r="C518" s="327" t="inlineStr">
        <is>
          <t>ea</t>
        </is>
      </c>
      <c r="E518" s="605" t="n">
        <v>0</v>
      </c>
      <c r="F518" s="583">
        <f>E518*D518</f>
        <v/>
      </c>
    </row>
    <row r="519" ht="14.4" customHeight="1">
      <c r="A519" s="323" t="n"/>
      <c r="B519" s="323" t="inlineStr">
        <is>
          <t>40x20 CU Crimp Reducer</t>
        </is>
      </c>
      <c r="C519" s="327" t="inlineStr">
        <is>
          <t>ea</t>
        </is>
      </c>
      <c r="E519" s="605" t="n">
        <v>0</v>
      </c>
      <c r="F519" s="583">
        <f>E519*D519</f>
        <v/>
      </c>
    </row>
    <row r="520" ht="14.4" customHeight="1">
      <c r="A520" s="323" t="n"/>
      <c r="B520" s="323" t="inlineStr">
        <is>
          <t>40x15 CU Crimp Reducer</t>
        </is>
      </c>
      <c r="C520" s="327" t="inlineStr">
        <is>
          <t>ea</t>
        </is>
      </c>
      <c r="E520" s="605" t="n">
        <v>0</v>
      </c>
      <c r="F520" s="583">
        <f>E520*D520</f>
        <v/>
      </c>
    </row>
    <row r="521" ht="14.4" customHeight="1">
      <c r="A521" s="323" t="n"/>
      <c r="B521" s="323" t="inlineStr">
        <is>
          <t>40Cu x 40Mi CU Crimp Adapter</t>
        </is>
      </c>
      <c r="C521" s="327" t="inlineStr">
        <is>
          <t>ea</t>
        </is>
      </c>
      <c r="E521" s="605" t="n">
        <v>0</v>
      </c>
      <c r="F521" s="583">
        <f>E521*D521</f>
        <v/>
      </c>
    </row>
    <row r="522" ht="14.4" customHeight="1">
      <c r="A522" s="323" t="n"/>
      <c r="B522" s="323" t="inlineStr">
        <is>
          <t>40Cu x 40Fi CU Crimp Adapter</t>
        </is>
      </c>
      <c r="C522" s="327" t="inlineStr">
        <is>
          <t>ea</t>
        </is>
      </c>
      <c r="E522" s="605" t="n">
        <v>0</v>
      </c>
      <c r="F522" s="583">
        <f>E522*D522</f>
        <v/>
      </c>
    </row>
    <row r="523" ht="14.4" customHeight="1">
      <c r="A523" s="323" t="n"/>
      <c r="B523" s="323" t="inlineStr">
        <is>
          <t>40mm CU Crimp Repair Coupling</t>
        </is>
      </c>
      <c r="C523" s="327" t="inlineStr">
        <is>
          <t>ea</t>
        </is>
      </c>
      <c r="E523" s="605" t="n">
        <v>0</v>
      </c>
      <c r="F523" s="583">
        <f>E523*D523</f>
        <v/>
      </c>
    </row>
    <row r="524" ht="14.4" customHeight="1">
      <c r="A524" s="323" t="n"/>
      <c r="B524" s="323" t="inlineStr">
        <is>
          <t>40mm CU Crimp Coupling</t>
        </is>
      </c>
      <c r="C524" s="327" t="inlineStr">
        <is>
          <t>ea</t>
        </is>
      </c>
      <c r="E524" s="605" t="n">
        <v>0</v>
      </c>
      <c r="F524" s="583">
        <f>E524*D524</f>
        <v/>
      </c>
    </row>
    <row r="525" ht="14.4" customHeight="1">
      <c r="A525" s="323" t="n"/>
      <c r="B525" s="323" t="inlineStr">
        <is>
          <t>40Cu x 40Flange CU Crimp Coupling</t>
        </is>
      </c>
      <c r="C525" s="327" t="inlineStr">
        <is>
          <t>ea</t>
        </is>
      </c>
      <c r="E525" s="605" t="n">
        <v>0</v>
      </c>
      <c r="F525" s="583">
        <f>E525*D525</f>
        <v/>
      </c>
    </row>
    <row r="526" ht="14.4" customHeight="1">
      <c r="A526" s="323" t="n"/>
      <c r="B526" s="323" t="inlineStr">
        <is>
          <t>40mm CU Crimp Cap</t>
        </is>
      </c>
      <c r="C526" s="327" t="inlineStr">
        <is>
          <t>ea</t>
        </is>
      </c>
      <c r="E526" s="605" t="n">
        <v>0</v>
      </c>
      <c r="F526" s="583">
        <f>E526*D526</f>
        <v/>
      </c>
    </row>
    <row r="527" ht="14.4" customHeight="1">
      <c r="A527" s="323" t="n"/>
      <c r="B527" s="323" t="inlineStr">
        <is>
          <t>40Cu x W69/Barrell Barrell Union CU Crimp</t>
        </is>
      </c>
      <c r="C527" s="327" t="inlineStr">
        <is>
          <t>ea</t>
        </is>
      </c>
      <c r="E527" s="605" t="n">
        <v>0</v>
      </c>
      <c r="F527" s="583">
        <f>E527*D527</f>
        <v/>
      </c>
    </row>
    <row r="528" ht="14.4" customHeight="1">
      <c r="A528" s="323" t="n"/>
      <c r="B528" s="406" t="inlineStr">
        <is>
          <t>32mm CU Crimp 90 DEG FxF Elbow</t>
        </is>
      </c>
      <c r="C528" s="327" t="inlineStr">
        <is>
          <t>ea</t>
        </is>
      </c>
      <c r="E528" s="605" t="n">
        <v>0</v>
      </c>
      <c r="F528" s="583">
        <f>E528*D528</f>
        <v/>
      </c>
    </row>
    <row r="529" ht="14.4" customHeight="1">
      <c r="A529" s="323" t="n"/>
      <c r="B529" s="323" t="inlineStr">
        <is>
          <t>32mm CU Crimp 45 DEG FxF Elbow</t>
        </is>
      </c>
      <c r="C529" s="327" t="inlineStr">
        <is>
          <t>ea</t>
        </is>
      </c>
      <c r="E529" s="605" t="n">
        <v>0</v>
      </c>
      <c r="F529" s="583">
        <f>E529*D529</f>
        <v/>
      </c>
    </row>
    <row r="530" ht="14.4" customHeight="1">
      <c r="A530" s="323" t="n"/>
      <c r="B530" s="323" t="inlineStr">
        <is>
          <t>32mm CU Crimp 90 DEG MxF Elbow</t>
        </is>
      </c>
      <c r="C530" s="327" t="inlineStr">
        <is>
          <t>ea</t>
        </is>
      </c>
      <c r="E530" s="605" t="n">
        <v>0</v>
      </c>
      <c r="F530" s="583">
        <f>E530*D530</f>
        <v/>
      </c>
    </row>
    <row r="531" ht="14.4" customHeight="1">
      <c r="A531" s="323" t="n"/>
      <c r="B531" s="406" t="inlineStr">
        <is>
          <t>32mm CU Crimp 45 DEG MxF Elbow</t>
        </is>
      </c>
      <c r="C531" s="327" t="inlineStr">
        <is>
          <t>ea</t>
        </is>
      </c>
      <c r="E531" s="605" t="n">
        <v>0</v>
      </c>
      <c r="F531" s="583">
        <f>E531*D531</f>
        <v/>
      </c>
    </row>
    <row r="532" ht="14.4" customHeight="1">
      <c r="A532" s="323" t="n"/>
      <c r="B532" s="406" t="inlineStr">
        <is>
          <t>32mm CU Crimp Tee</t>
        </is>
      </c>
      <c r="C532" s="327" t="inlineStr">
        <is>
          <t>ea</t>
        </is>
      </c>
      <c r="E532" s="605" t="n">
        <v>0</v>
      </c>
      <c r="F532" s="583">
        <f>E532*D532</f>
        <v/>
      </c>
    </row>
    <row r="533" ht="14.4" customHeight="1">
      <c r="A533" s="323" t="n"/>
      <c r="B533" s="323" t="inlineStr">
        <is>
          <t>32x25x32 CU Crimp Tee</t>
        </is>
      </c>
      <c r="C533" s="327" t="inlineStr">
        <is>
          <t>ea</t>
        </is>
      </c>
      <c r="E533" s="605" t="n">
        <v>18.54</v>
      </c>
      <c r="F533" s="583">
        <f>E533*D533</f>
        <v/>
      </c>
    </row>
    <row r="534" ht="14.4" customHeight="1">
      <c r="A534" s="323" t="n"/>
      <c r="B534" s="323" t="inlineStr">
        <is>
          <t>32x25x20 CU Crimp Tee</t>
        </is>
      </c>
      <c r="C534" s="327" t="inlineStr">
        <is>
          <t>ea</t>
        </is>
      </c>
      <c r="E534" s="605" t="n">
        <v>0</v>
      </c>
      <c r="F534" s="583">
        <f>E534*D534</f>
        <v/>
      </c>
    </row>
    <row r="535" ht="14.4" customHeight="1">
      <c r="A535" s="323" t="n"/>
      <c r="B535" s="323" t="inlineStr">
        <is>
          <t>32x20x32 CU Crimp Tee</t>
        </is>
      </c>
      <c r="C535" s="327" t="inlineStr">
        <is>
          <t>ea</t>
        </is>
      </c>
      <c r="E535" s="605" t="n">
        <v>0</v>
      </c>
      <c r="F535" s="583">
        <f>E535*D535</f>
        <v/>
      </c>
    </row>
    <row r="536" ht="14.4" customHeight="1">
      <c r="A536" s="323" t="n"/>
      <c r="B536" s="323" t="inlineStr">
        <is>
          <t>32x20x20 CU Crimp Tee</t>
        </is>
      </c>
      <c r="C536" s="327" t="inlineStr">
        <is>
          <t>ea</t>
        </is>
      </c>
      <c r="E536" s="605" t="n">
        <v>18.35</v>
      </c>
      <c r="F536" s="583">
        <f>E536*D536</f>
        <v/>
      </c>
    </row>
    <row r="537" ht="14.4" customHeight="1">
      <c r="A537" s="323" t="n"/>
      <c r="B537" s="323" t="inlineStr">
        <is>
          <t>32x20x15 CU Crimp Tee</t>
        </is>
      </c>
      <c r="C537" s="327" t="inlineStr">
        <is>
          <t>ea</t>
        </is>
      </c>
      <c r="E537" s="605" t="n">
        <v>0</v>
      </c>
      <c r="F537" s="583">
        <f>E537*D537</f>
        <v/>
      </c>
    </row>
    <row r="538" ht="14.4" customHeight="1">
      <c r="A538" s="323" t="n"/>
      <c r="B538" s="323" t="inlineStr">
        <is>
          <t>32x15x32 CU Crimp Tee</t>
        </is>
      </c>
      <c r="C538" s="327" t="inlineStr">
        <is>
          <t>ea</t>
        </is>
      </c>
      <c r="E538" s="605" t="n">
        <v>0</v>
      </c>
      <c r="F538" s="583">
        <f>E538*D538</f>
        <v/>
      </c>
    </row>
    <row r="539" ht="14.4" customHeight="1">
      <c r="A539" s="323" t="n"/>
      <c r="B539" s="323" t="inlineStr">
        <is>
          <t>32x15x25 CU Crimp Tee</t>
        </is>
      </c>
      <c r="C539" s="327" t="inlineStr">
        <is>
          <t>ea</t>
        </is>
      </c>
      <c r="E539" s="605" t="n">
        <v>0</v>
      </c>
      <c r="F539" s="583">
        <f>E539*D539</f>
        <v/>
      </c>
    </row>
    <row r="540" ht="14.4" customHeight="1">
      <c r="A540" s="323" t="n"/>
      <c r="B540" s="323" t="inlineStr">
        <is>
          <t>32x15x20 CU Crimp Tee</t>
        </is>
      </c>
      <c r="C540" s="327" t="inlineStr">
        <is>
          <t>ea</t>
        </is>
      </c>
      <c r="E540" s="605" t="n">
        <v>0</v>
      </c>
      <c r="F540" s="583">
        <f>E540*D540</f>
        <v/>
      </c>
    </row>
    <row r="541" ht="14.4" customHeight="1">
      <c r="A541" s="323" t="n"/>
      <c r="B541" s="323" t="inlineStr">
        <is>
          <t>32x15x15 CU Crimp Tee</t>
        </is>
      </c>
      <c r="C541" s="327" t="inlineStr">
        <is>
          <t>ea</t>
        </is>
      </c>
      <c r="E541" s="605" t="n">
        <v>0</v>
      </c>
      <c r="F541" s="583">
        <f>E541*D541</f>
        <v/>
      </c>
    </row>
    <row r="542" ht="14.4" customHeight="1">
      <c r="A542" s="323" t="n"/>
      <c r="B542" s="406" t="inlineStr">
        <is>
          <t>COUPLING RED CU KEMPRESS WATER 32MM X 25MM</t>
        </is>
      </c>
      <c r="C542" s="327" t="inlineStr">
        <is>
          <t>ea</t>
        </is>
      </c>
      <c r="E542" s="605" t="n">
        <v>0</v>
      </c>
      <c r="F542" s="583">
        <f>E542*D542</f>
        <v/>
      </c>
    </row>
    <row r="543" ht="14.4" customHeight="1">
      <c r="A543" s="323" t="n"/>
      <c r="B543" s="323" t="inlineStr">
        <is>
          <t>32x20 CU Crimp Reducer</t>
        </is>
      </c>
      <c r="C543" s="327" t="inlineStr">
        <is>
          <t>ea</t>
        </is>
      </c>
      <c r="E543" s="605" t="n">
        <v>16.33</v>
      </c>
      <c r="F543" s="583">
        <f>E543*D543</f>
        <v/>
      </c>
    </row>
    <row r="544" ht="14.4" customHeight="1">
      <c r="A544" s="323" t="n"/>
      <c r="B544" s="323" t="inlineStr">
        <is>
          <t>32x15 CU Crimp Reducer</t>
        </is>
      </c>
      <c r="C544" s="327" t="inlineStr">
        <is>
          <t>ea</t>
        </is>
      </c>
      <c r="E544" s="605" t="n">
        <v>0</v>
      </c>
      <c r="F544" s="583">
        <f>E544*D544</f>
        <v/>
      </c>
    </row>
    <row r="545" ht="14.4" customHeight="1">
      <c r="A545" s="323" t="n"/>
      <c r="B545" s="323" t="inlineStr">
        <is>
          <t>32Cu x 32Mi CU Crimp Adapter</t>
        </is>
      </c>
      <c r="C545" s="327" t="inlineStr">
        <is>
          <t>ea</t>
        </is>
      </c>
      <c r="E545" s="605" t="n">
        <v>0</v>
      </c>
      <c r="F545" s="583">
        <f>E545*D545</f>
        <v/>
      </c>
    </row>
    <row r="546" ht="14.4" customHeight="1">
      <c r="A546" s="323" t="n"/>
      <c r="B546" s="323" t="inlineStr">
        <is>
          <t>32Cu x 32Fi CU Crimp Adapter</t>
        </is>
      </c>
      <c r="C546" s="327" t="inlineStr">
        <is>
          <t>ea</t>
        </is>
      </c>
      <c r="E546" s="605" t="n">
        <v>0</v>
      </c>
      <c r="F546" s="583">
        <f>E546*D546</f>
        <v/>
      </c>
    </row>
    <row r="547" ht="14.4" customHeight="1">
      <c r="A547" s="323" t="n"/>
      <c r="B547" s="323" t="inlineStr">
        <is>
          <t>32mm CU Crimp Repair Coupling</t>
        </is>
      </c>
      <c r="C547" s="327" t="inlineStr">
        <is>
          <t>ea</t>
        </is>
      </c>
      <c r="E547" s="605" t="n">
        <v>0</v>
      </c>
      <c r="F547" s="583">
        <f>E547*D547</f>
        <v/>
      </c>
    </row>
    <row r="548" ht="14.4" customHeight="1">
      <c r="A548" s="323" t="n"/>
      <c r="B548" s="323" t="inlineStr">
        <is>
          <t>32mm CU Crimp Coupling</t>
        </is>
      </c>
      <c r="C548" s="327" t="inlineStr">
        <is>
          <t>ea</t>
        </is>
      </c>
      <c r="E548" s="605" t="n">
        <v>0</v>
      </c>
      <c r="F548" s="583">
        <f>E548*D548</f>
        <v/>
      </c>
    </row>
    <row r="549" ht="14.4" customHeight="1">
      <c r="A549" s="323" t="n"/>
      <c r="B549" s="323" t="inlineStr">
        <is>
          <t>32mm CU Crimp Cap</t>
        </is>
      </c>
      <c r="C549" s="327" t="inlineStr">
        <is>
          <t>ea</t>
        </is>
      </c>
      <c r="E549" s="605" t="n">
        <v>0</v>
      </c>
      <c r="F549" s="583">
        <f>E549*D549</f>
        <v/>
      </c>
    </row>
    <row r="550" ht="14.4" customHeight="1">
      <c r="A550" s="323" t="n"/>
      <c r="B550" s="323" t="inlineStr">
        <is>
          <t>32Cu x W69/Barrell Barrell Union CU Crimp</t>
        </is>
      </c>
      <c r="C550" s="327" t="inlineStr">
        <is>
          <t>ea</t>
        </is>
      </c>
      <c r="E550" s="605" t="n">
        <v>0</v>
      </c>
      <c r="F550" s="583">
        <f>E550*D550</f>
        <v/>
      </c>
    </row>
    <row r="551" ht="14.4" customHeight="1">
      <c r="A551" s="323" t="n"/>
      <c r="B551" s="323" t="inlineStr">
        <is>
          <t>25mm CU Crimp 90 DEG FxF Elbow</t>
        </is>
      </c>
      <c r="C551" s="327" t="inlineStr">
        <is>
          <t>ea</t>
        </is>
      </c>
      <c r="E551" s="605" t="n">
        <v>0</v>
      </c>
      <c r="F551" s="583">
        <f>E551*D551</f>
        <v/>
      </c>
    </row>
    <row r="552" ht="14.4" customHeight="1">
      <c r="A552" s="323" t="n"/>
      <c r="B552" s="323" t="inlineStr">
        <is>
          <t>25mm CU Crimp 45 DEG FxF Elbow</t>
        </is>
      </c>
      <c r="C552" s="327" t="inlineStr">
        <is>
          <t>ea</t>
        </is>
      </c>
      <c r="E552" s="605" t="n">
        <v>0</v>
      </c>
      <c r="F552" s="583">
        <f>E552*D552</f>
        <v/>
      </c>
    </row>
    <row r="553" ht="14.4" customHeight="1">
      <c r="A553" s="323" t="n"/>
      <c r="B553" s="323" t="inlineStr">
        <is>
          <t>25mm CU Crimp 90 DEG MxF Elbow</t>
        </is>
      </c>
      <c r="C553" s="327" t="inlineStr">
        <is>
          <t>ea</t>
        </is>
      </c>
      <c r="E553" s="605" t="n">
        <v>0</v>
      </c>
      <c r="F553" s="583">
        <f>E553*D553</f>
        <v/>
      </c>
    </row>
    <row r="554" ht="14.4" customHeight="1">
      <c r="A554" s="323" t="n"/>
      <c r="B554" s="323" t="inlineStr">
        <is>
          <t>25mm CU Crimp 45 DEG MxF Elbow</t>
        </is>
      </c>
      <c r="C554" s="327" t="inlineStr">
        <is>
          <t>ea</t>
        </is>
      </c>
      <c r="E554" s="605" t="n">
        <v>0</v>
      </c>
      <c r="F554" s="583">
        <f>E554*D554</f>
        <v/>
      </c>
    </row>
    <row r="555" ht="14.4" customHeight="1">
      <c r="A555" s="323" t="n"/>
      <c r="B555" s="323" t="inlineStr">
        <is>
          <t>25mm CU Crimp Tee</t>
        </is>
      </c>
      <c r="C555" s="327" t="inlineStr">
        <is>
          <t>ea</t>
        </is>
      </c>
      <c r="E555" s="605" t="n">
        <v>0</v>
      </c>
      <c r="F555" s="583">
        <f>E555*D555</f>
        <v/>
      </c>
    </row>
    <row r="556" ht="14.4" customHeight="1">
      <c r="A556" s="323" t="n"/>
      <c r="B556" s="323" t="inlineStr">
        <is>
          <t>25x20x25 CU Crimp Tee</t>
        </is>
      </c>
      <c r="C556" s="327" t="inlineStr">
        <is>
          <t>ea</t>
        </is>
      </c>
      <c r="E556" s="605" t="n">
        <v>0</v>
      </c>
      <c r="F556" s="583">
        <f>E556*D556</f>
        <v/>
      </c>
    </row>
    <row r="557" ht="14.4" customHeight="1">
      <c r="A557" s="323" t="n"/>
      <c r="B557" s="323" t="inlineStr">
        <is>
          <t>25x20x20 CU Crimp Tee</t>
        </is>
      </c>
      <c r="C557" s="327" t="inlineStr">
        <is>
          <t>ea</t>
        </is>
      </c>
      <c r="E557" s="605" t="n">
        <v>0</v>
      </c>
      <c r="F557" s="583">
        <f>E557*D557</f>
        <v/>
      </c>
    </row>
    <row r="558" ht="14.4" customHeight="1">
      <c r="A558" s="323" t="n"/>
      <c r="B558" s="323" t="inlineStr">
        <is>
          <t>25x20x15 CU Crimp Tee</t>
        </is>
      </c>
      <c r="C558" s="327" t="inlineStr">
        <is>
          <t>ea</t>
        </is>
      </c>
      <c r="E558" s="605" t="n">
        <v>0</v>
      </c>
      <c r="F558" s="583">
        <f>E558*D558</f>
        <v/>
      </c>
    </row>
    <row r="559" ht="14.4" customHeight="1">
      <c r="A559" s="323" t="n"/>
      <c r="B559" s="323" t="inlineStr">
        <is>
          <t>25x15x25 CU Crimp Tee</t>
        </is>
      </c>
      <c r="C559" s="327" t="inlineStr">
        <is>
          <t>ea</t>
        </is>
      </c>
      <c r="E559" s="605" t="n">
        <v>0</v>
      </c>
      <c r="F559" s="583">
        <f>E559*D559</f>
        <v/>
      </c>
    </row>
    <row r="560" ht="14.4" customHeight="1">
      <c r="A560" s="323" t="n"/>
      <c r="B560" s="323" t="inlineStr">
        <is>
          <t>25x15x20 CU Crimp Tee</t>
        </is>
      </c>
      <c r="C560" s="327" t="inlineStr">
        <is>
          <t>ea</t>
        </is>
      </c>
      <c r="E560" s="605" t="n">
        <v>0</v>
      </c>
      <c r="F560" s="583">
        <f>E560*D560</f>
        <v/>
      </c>
    </row>
    <row r="561" ht="14.4" customHeight="1">
      <c r="A561" s="323" t="n"/>
      <c r="B561" s="323" t="inlineStr">
        <is>
          <t>25x15x15 CU Crimp Tee</t>
        </is>
      </c>
      <c r="C561" s="327" t="inlineStr">
        <is>
          <t>ea</t>
        </is>
      </c>
      <c r="E561" s="605" t="n">
        <v>0</v>
      </c>
      <c r="F561" s="583">
        <f>E561*D561</f>
        <v/>
      </c>
    </row>
    <row r="562" ht="14.4" customHeight="1">
      <c r="A562" s="323" t="n"/>
      <c r="B562" s="323" t="inlineStr">
        <is>
          <t>25x20 CU Crimp Reducer</t>
        </is>
      </c>
      <c r="C562" s="327" t="inlineStr">
        <is>
          <t>ea</t>
        </is>
      </c>
      <c r="E562" s="605" t="n">
        <v>0</v>
      </c>
      <c r="F562" s="583">
        <f>E562*D562</f>
        <v/>
      </c>
    </row>
    <row r="563" ht="14.4" customHeight="1">
      <c r="A563" s="323" t="n"/>
      <c r="B563" s="323" t="inlineStr">
        <is>
          <t>25x15 CU Crimp Reducer</t>
        </is>
      </c>
      <c r="C563" s="327" t="inlineStr">
        <is>
          <t>ea</t>
        </is>
      </c>
      <c r="E563" s="605" t="n">
        <v>0</v>
      </c>
      <c r="F563" s="583">
        <f>E563*D563</f>
        <v/>
      </c>
    </row>
    <row r="564" ht="14.4" customHeight="1">
      <c r="A564" s="323" t="n"/>
      <c r="B564" s="323" t="inlineStr">
        <is>
          <t>25Cu x 25Mi CU Crimp Adapter</t>
        </is>
      </c>
      <c r="C564" s="327" t="inlineStr">
        <is>
          <t>ea</t>
        </is>
      </c>
      <c r="E564" s="605" t="n">
        <v>0</v>
      </c>
      <c r="F564" s="583">
        <f>E564*D564</f>
        <v/>
      </c>
    </row>
    <row r="565" ht="14.4" customHeight="1">
      <c r="A565" s="323" t="n"/>
      <c r="B565" s="323" t="inlineStr">
        <is>
          <t>25Cu x 25Fi CU Crimp Adapter</t>
        </is>
      </c>
      <c r="C565" s="327" t="inlineStr">
        <is>
          <t>ea</t>
        </is>
      </c>
      <c r="E565" s="605" t="n">
        <v>0</v>
      </c>
      <c r="F565" s="583">
        <f>E565*D565</f>
        <v/>
      </c>
    </row>
    <row r="566" ht="14.4" customHeight="1">
      <c r="A566" s="323" t="n"/>
      <c r="B566" s="323" t="inlineStr">
        <is>
          <t>25mm CU Crimp Repair Coupling</t>
        </is>
      </c>
      <c r="C566" s="327" t="inlineStr">
        <is>
          <t>ea</t>
        </is>
      </c>
      <c r="E566" s="605" t="n">
        <v>0</v>
      </c>
      <c r="F566" s="583">
        <f>E566*D566</f>
        <v/>
      </c>
    </row>
    <row r="567" ht="14.4" customHeight="1">
      <c r="A567" s="323" t="n"/>
      <c r="B567" s="323" t="inlineStr">
        <is>
          <t>25mm CU Crimp Coupling</t>
        </is>
      </c>
      <c r="C567" s="327" t="inlineStr">
        <is>
          <t>ea</t>
        </is>
      </c>
      <c r="E567" s="605" t="n">
        <v>0</v>
      </c>
      <c r="F567" s="583">
        <f>E567*D567</f>
        <v/>
      </c>
    </row>
    <row r="568" ht="14.4" customHeight="1">
      <c r="A568" s="323" t="n"/>
      <c r="B568" s="323" t="inlineStr">
        <is>
          <t>25mm CU Crimp Cap</t>
        </is>
      </c>
      <c r="C568" s="327" t="inlineStr">
        <is>
          <t>ea</t>
        </is>
      </c>
      <c r="E568" s="605" t="n">
        <v>0</v>
      </c>
      <c r="F568" s="583">
        <f>E568*D568</f>
        <v/>
      </c>
    </row>
    <row r="569" ht="14.4" customHeight="1">
      <c r="A569" s="323" t="n"/>
      <c r="B569" s="323" t="inlineStr">
        <is>
          <t>25Cu x W69/Barrell Barrell Union CU Crimp</t>
        </is>
      </c>
      <c r="C569" s="327" t="inlineStr">
        <is>
          <t>ea</t>
        </is>
      </c>
      <c r="E569" s="605" t="n">
        <v>0</v>
      </c>
      <c r="F569" s="583">
        <f>E569*D569</f>
        <v/>
      </c>
    </row>
    <row r="570" ht="14.4" customHeight="1">
      <c r="A570" s="323" t="n"/>
      <c r="B570" s="323" t="inlineStr">
        <is>
          <t>20mm CU Crimp 90 DEG FxF Elbow</t>
        </is>
      </c>
      <c r="C570" s="327" t="inlineStr">
        <is>
          <t>ea</t>
        </is>
      </c>
      <c r="E570" s="605" t="n">
        <v>0</v>
      </c>
      <c r="F570" s="583">
        <f>E570*D570</f>
        <v/>
      </c>
    </row>
    <row r="571" ht="14.4" customHeight="1">
      <c r="A571" s="323" t="n"/>
      <c r="B571" s="323" t="inlineStr">
        <is>
          <t>20mm CU Crimp 45 DEG FxF Elbow</t>
        </is>
      </c>
      <c r="C571" s="327" t="inlineStr">
        <is>
          <t>ea</t>
        </is>
      </c>
      <c r="E571" s="605" t="n">
        <v>0</v>
      </c>
      <c r="F571" s="583">
        <f>E571*D571</f>
        <v/>
      </c>
    </row>
    <row r="572" ht="14.4" customHeight="1">
      <c r="A572" s="323" t="n"/>
      <c r="B572" s="323" t="inlineStr">
        <is>
          <t>20mm CU Crimp 90 DEG MxF Elbow</t>
        </is>
      </c>
      <c r="C572" s="327" t="inlineStr">
        <is>
          <t>ea</t>
        </is>
      </c>
      <c r="E572" s="605" t="n">
        <v>0</v>
      </c>
      <c r="F572" s="583">
        <f>E572*D572</f>
        <v/>
      </c>
    </row>
    <row r="573" ht="14.4" customHeight="1">
      <c r="A573" s="323" t="n"/>
      <c r="B573" s="323" t="inlineStr">
        <is>
          <t>20mm CU Crimp 45 DEG MxF Elbow</t>
        </is>
      </c>
      <c r="C573" s="327" t="inlineStr">
        <is>
          <t>ea</t>
        </is>
      </c>
      <c r="E573" s="605" t="n">
        <v>0</v>
      </c>
      <c r="F573" s="583">
        <f>E573*D573</f>
        <v/>
      </c>
    </row>
    <row r="574" ht="14.4" customHeight="1">
      <c r="A574" s="323" t="n"/>
      <c r="B574" s="323" t="inlineStr">
        <is>
          <t>20mm CU Crimp Tee</t>
        </is>
      </c>
      <c r="C574" s="327" t="inlineStr">
        <is>
          <t>ea</t>
        </is>
      </c>
      <c r="E574" s="605" t="n">
        <v>0</v>
      </c>
      <c r="F574" s="583">
        <f>E574*D574</f>
        <v/>
      </c>
    </row>
    <row r="575" ht="14.4" customHeight="1">
      <c r="A575" s="323" t="n"/>
      <c r="B575" s="323" t="inlineStr">
        <is>
          <t>20x15x20 CU Crimp Tee</t>
        </is>
      </c>
      <c r="C575" s="327" t="inlineStr">
        <is>
          <t>ea</t>
        </is>
      </c>
      <c r="E575" s="605" t="n">
        <v>5.61</v>
      </c>
      <c r="F575" s="583">
        <f>E575*D575</f>
        <v/>
      </c>
    </row>
    <row r="576" ht="14.4" customHeight="1">
      <c r="A576" s="323" t="n"/>
      <c r="B576" s="323" t="inlineStr">
        <is>
          <t>20x15x15 CU Crimp Tee</t>
        </is>
      </c>
      <c r="C576" s="327" t="inlineStr">
        <is>
          <t>ea</t>
        </is>
      </c>
      <c r="E576" s="605" t="n">
        <v>0</v>
      </c>
      <c r="F576" s="583">
        <f>E576*D576</f>
        <v/>
      </c>
    </row>
    <row r="577" ht="14.4" customHeight="1">
      <c r="A577" s="323" t="n"/>
      <c r="B577" s="323" t="inlineStr">
        <is>
          <t>20x15 CU Crimp Reducer</t>
        </is>
      </c>
      <c r="C577" s="327" t="inlineStr">
        <is>
          <t>ea</t>
        </is>
      </c>
      <c r="E577" s="605" t="n">
        <v>0</v>
      </c>
      <c r="F577" s="583">
        <f>E577*D577</f>
        <v/>
      </c>
    </row>
    <row r="578" ht="14.4" customHeight="1">
      <c r="A578" s="323" t="n"/>
      <c r="B578" s="323" t="inlineStr">
        <is>
          <t>20Cu x 20Mi CU Crimp Adapter</t>
        </is>
      </c>
      <c r="C578" s="327" t="inlineStr">
        <is>
          <t>ea</t>
        </is>
      </c>
      <c r="E578" s="605" t="n">
        <v>0</v>
      </c>
      <c r="F578" s="583">
        <f>E578*D578</f>
        <v/>
      </c>
    </row>
    <row r="579" ht="14.4" customHeight="1">
      <c r="A579" s="323" t="n"/>
      <c r="B579" s="323" t="inlineStr">
        <is>
          <t>20Cu x 20Fi CU Crimp Adapter</t>
        </is>
      </c>
      <c r="C579" s="327" t="inlineStr">
        <is>
          <t>ea</t>
        </is>
      </c>
      <c r="E579" s="605" t="n">
        <v>0</v>
      </c>
      <c r="F579" s="583">
        <f>E579*D579</f>
        <v/>
      </c>
    </row>
    <row r="580" ht="14.4" customHeight="1">
      <c r="A580" s="323" t="n"/>
      <c r="B580" s="323" t="inlineStr">
        <is>
          <t>20mm CU Crimp Repair Coupling</t>
        </is>
      </c>
      <c r="C580" s="327" t="inlineStr">
        <is>
          <t>ea</t>
        </is>
      </c>
      <c r="E580" s="605" t="n">
        <v>0</v>
      </c>
      <c r="F580" s="583">
        <f>E580*D580</f>
        <v/>
      </c>
    </row>
    <row r="581" ht="14.4" customHeight="1">
      <c r="A581" s="323" t="n"/>
      <c r="B581" s="323" t="inlineStr">
        <is>
          <t>20mm CU Crimp Coupling</t>
        </is>
      </c>
      <c r="C581" s="327" t="inlineStr">
        <is>
          <t>ea</t>
        </is>
      </c>
      <c r="E581" s="605" t="n">
        <v>0</v>
      </c>
      <c r="F581" s="583">
        <f>E581*D581</f>
        <v/>
      </c>
    </row>
    <row r="582" ht="14.4" customHeight="1">
      <c r="A582" s="323" t="n"/>
      <c r="B582" s="323" t="inlineStr">
        <is>
          <t>20mm CU Crimp Cap</t>
        </is>
      </c>
      <c r="C582" s="327" t="inlineStr">
        <is>
          <t>ea</t>
        </is>
      </c>
      <c r="E582" s="605" t="n">
        <v>0</v>
      </c>
      <c r="F582" s="583">
        <f>E582*D582</f>
        <v/>
      </c>
    </row>
    <row r="583" ht="14.4" customHeight="1">
      <c r="A583" s="323" t="n"/>
      <c r="B583" s="323" t="inlineStr">
        <is>
          <t>20Cu x W69/Barrell Barrell Union CU Crimp</t>
        </is>
      </c>
      <c r="C583" s="327" t="inlineStr">
        <is>
          <t>ea</t>
        </is>
      </c>
      <c r="E583" s="605" t="n">
        <v>0</v>
      </c>
      <c r="F583" s="583">
        <f>E583*D583</f>
        <v/>
      </c>
    </row>
    <row r="584" ht="14.4" customHeight="1">
      <c r="A584" s="323" t="n"/>
      <c r="B584" s="323" t="inlineStr">
        <is>
          <t>15mm CU Crimp 90 DEG FxF Elbow</t>
        </is>
      </c>
      <c r="C584" s="327" t="inlineStr">
        <is>
          <t>ea</t>
        </is>
      </c>
      <c r="E584" s="605" t="n">
        <v>0</v>
      </c>
      <c r="F584" s="583">
        <f>E584*D584</f>
        <v/>
      </c>
    </row>
    <row r="585" ht="14.4" customHeight="1">
      <c r="A585" s="323" t="n"/>
      <c r="B585" s="323" t="inlineStr">
        <is>
          <t>15mm CU Crimp 45 DEG FxF Elbow</t>
        </is>
      </c>
      <c r="C585" s="327" t="inlineStr">
        <is>
          <t>ea</t>
        </is>
      </c>
      <c r="E585" s="605" t="n">
        <v>0</v>
      </c>
      <c r="F585" s="583">
        <f>E585*D585</f>
        <v/>
      </c>
    </row>
    <row r="586" ht="14.4" customHeight="1">
      <c r="A586" s="323" t="n"/>
      <c r="B586" s="323" t="inlineStr">
        <is>
          <t>15mm CU Crimp 90 DEG MxF Elbow</t>
        </is>
      </c>
      <c r="C586" s="327" t="inlineStr">
        <is>
          <t>ea</t>
        </is>
      </c>
      <c r="E586" s="605" t="n">
        <v>0</v>
      </c>
      <c r="F586" s="583">
        <f>E586*D586</f>
        <v/>
      </c>
    </row>
    <row r="587" ht="14.4" customHeight="1">
      <c r="A587" s="323" t="n"/>
      <c r="B587" s="323" t="inlineStr">
        <is>
          <t>15mm CU Crimp 45 DEG MxF Elbow</t>
        </is>
      </c>
      <c r="C587" s="327" t="inlineStr">
        <is>
          <t>ea</t>
        </is>
      </c>
      <c r="E587" s="605" t="n">
        <v>0</v>
      </c>
      <c r="F587" s="583">
        <f>E587*D587</f>
        <v/>
      </c>
    </row>
    <row r="588" ht="14.4" customHeight="1">
      <c r="A588" s="323" t="n"/>
      <c r="B588" s="323" t="inlineStr">
        <is>
          <t>15mm CU Crimp Tee</t>
        </is>
      </c>
      <c r="C588" s="327" t="inlineStr">
        <is>
          <t>ea</t>
        </is>
      </c>
      <c r="E588" s="605" t="n">
        <v>0</v>
      </c>
      <c r="F588" s="583">
        <f>E588*D588</f>
        <v/>
      </c>
    </row>
    <row r="589" ht="14.4" customHeight="1">
      <c r="A589" s="323" t="n"/>
      <c r="B589" s="323" t="inlineStr">
        <is>
          <t>15Cu x 15Mi CU Crimp Adapter</t>
        </is>
      </c>
      <c r="C589" s="327" t="inlineStr">
        <is>
          <t>ea</t>
        </is>
      </c>
      <c r="E589" s="605" t="n">
        <v>0</v>
      </c>
      <c r="F589" s="583">
        <f>E589*D589</f>
        <v/>
      </c>
    </row>
    <row r="590" ht="14.4" customHeight="1">
      <c r="A590" s="323" t="n"/>
      <c r="B590" s="323" t="inlineStr">
        <is>
          <t>15Cu x 15Fi CU Crimp Adapter</t>
        </is>
      </c>
      <c r="C590" s="327" t="inlineStr">
        <is>
          <t>ea</t>
        </is>
      </c>
      <c r="E590" s="605" t="n">
        <v>0</v>
      </c>
      <c r="F590" s="583">
        <f>E590*D590</f>
        <v/>
      </c>
    </row>
    <row r="591" ht="14.4" customHeight="1">
      <c r="A591" s="323" t="n"/>
      <c r="B591" s="323" t="inlineStr">
        <is>
          <t>15Cu Fi BP, wall elbow</t>
        </is>
      </c>
      <c r="C591" s="327" t="inlineStr">
        <is>
          <t>ea</t>
        </is>
      </c>
      <c r="E591" s="605" t="n">
        <v>0</v>
      </c>
      <c r="F591" s="583">
        <f>E591*D591</f>
        <v/>
      </c>
    </row>
    <row r="592" ht="14.4" customHeight="1">
      <c r="A592" s="323" t="n"/>
      <c r="B592" s="323" t="inlineStr">
        <is>
          <t>15Cu Mi BP, Wall elbow  - 90 Long</t>
        </is>
      </c>
      <c r="C592" s="327" t="inlineStr">
        <is>
          <t>ea</t>
        </is>
      </c>
      <c r="E592" s="605" t="n">
        <v>0</v>
      </c>
      <c r="F592" s="583">
        <f>E592*D592</f>
        <v/>
      </c>
    </row>
    <row r="593" ht="14.4" customHeight="1">
      <c r="A593" s="323" t="n"/>
      <c r="B593" s="323" t="inlineStr">
        <is>
          <t>15Cu Mi BP, Wall elbow  - 120+ Long</t>
        </is>
      </c>
      <c r="C593" s="327" t="inlineStr">
        <is>
          <t>ea</t>
        </is>
      </c>
      <c r="E593" s="605" t="n">
        <v>0</v>
      </c>
      <c r="F593" s="583">
        <f>E593*D593</f>
        <v/>
      </c>
    </row>
    <row r="594" ht="14.4" customHeight="1">
      <c r="A594" s="323" t="n"/>
      <c r="B594" s="323" t="inlineStr">
        <is>
          <t>15mm CU Crimp Repair Coupling</t>
        </is>
      </c>
      <c r="C594" s="327" t="inlineStr">
        <is>
          <t>ea</t>
        </is>
      </c>
      <c r="E594" s="605" t="n">
        <v>0</v>
      </c>
      <c r="F594" s="583">
        <f>E594*D594</f>
        <v/>
      </c>
    </row>
    <row r="595" ht="14.4" customHeight="1">
      <c r="A595" s="323" t="n"/>
      <c r="B595" s="323" t="inlineStr">
        <is>
          <t>15mm CU Crimp Coupling</t>
        </is>
      </c>
      <c r="C595" s="327" t="inlineStr">
        <is>
          <t>ea</t>
        </is>
      </c>
      <c r="E595" s="605" t="n">
        <v>0</v>
      </c>
      <c r="F595" s="583">
        <f>E595*D595</f>
        <v/>
      </c>
    </row>
    <row r="596" ht="14.4" customHeight="1">
      <c r="A596" s="323" t="n"/>
      <c r="B596" s="323" t="inlineStr">
        <is>
          <t>15mm CU Crimp Cap</t>
        </is>
      </c>
      <c r="C596" s="327" t="inlineStr">
        <is>
          <t>ea</t>
        </is>
      </c>
      <c r="E596" s="605" t="n">
        <v>0</v>
      </c>
      <c r="F596" s="583">
        <f>E596*D596</f>
        <v/>
      </c>
    </row>
    <row r="597" ht="14.4" customHeight="1">
      <c r="A597" s="323" t="n"/>
      <c r="B597" s="323" t="inlineStr">
        <is>
          <t>15Cu x W69/Barrell Barrell Union CU Crimp</t>
        </is>
      </c>
      <c r="C597" s="327" t="inlineStr">
        <is>
          <t>ea</t>
        </is>
      </c>
      <c r="E597" s="605" t="n">
        <v>0</v>
      </c>
      <c r="F597" s="583">
        <f>E597*D597</f>
        <v/>
      </c>
    </row>
    <row r="598" ht="14.4" customHeight="1">
      <c r="A598" s="323" t="n"/>
      <c r="B598" s="323" t="inlineStr">
        <is>
          <t>50mm Ball Valve Fi</t>
        </is>
      </c>
      <c r="C598" s="327" t="inlineStr">
        <is>
          <t>ea</t>
        </is>
      </c>
      <c r="E598" s="605" t="n">
        <v>0</v>
      </c>
      <c r="F598" s="583">
        <f>E598*D598</f>
        <v/>
      </c>
    </row>
    <row r="599" ht="14.4" customHeight="1">
      <c r="A599" s="323" t="n"/>
      <c r="B599" s="323" t="inlineStr">
        <is>
          <t>40mm Ball Valve Fi</t>
        </is>
      </c>
      <c r="C599" s="327" t="inlineStr">
        <is>
          <t>ea</t>
        </is>
      </c>
      <c r="E599" s="605" t="n">
        <v>0</v>
      </c>
      <c r="F599" s="583">
        <f>E599*D599</f>
        <v/>
      </c>
    </row>
    <row r="600" ht="14.4" customHeight="1">
      <c r="A600" s="323" t="n"/>
      <c r="B600" s="323" t="inlineStr">
        <is>
          <t>32mm Ball Valve Fi</t>
        </is>
      </c>
      <c r="C600" s="327" t="inlineStr">
        <is>
          <t>ea</t>
        </is>
      </c>
      <c r="E600" s="605" t="n">
        <v>0</v>
      </c>
      <c r="F600" s="583">
        <f>E600*D600</f>
        <v/>
      </c>
    </row>
    <row r="601" ht="14.4" customHeight="1">
      <c r="A601" s="323" t="n"/>
      <c r="B601" s="323" t="inlineStr">
        <is>
          <t>25mm Ball Valve Fi</t>
        </is>
      </c>
      <c r="C601" s="327" t="inlineStr">
        <is>
          <t>ea</t>
        </is>
      </c>
      <c r="E601" s="605" t="n">
        <v>26.25</v>
      </c>
      <c r="F601" s="583">
        <f>E601*D601</f>
        <v/>
      </c>
    </row>
    <row r="602" ht="14.4" customHeight="1">
      <c r="A602" s="323" t="n"/>
      <c r="B602" s="323" t="inlineStr">
        <is>
          <t>20mm Ball Valve Fi</t>
        </is>
      </c>
      <c r="C602" s="327" t="inlineStr">
        <is>
          <t>ea</t>
        </is>
      </c>
      <c r="E602" s="605" t="n">
        <v>0</v>
      </c>
      <c r="F602" s="583">
        <f>E602*D602</f>
        <v/>
      </c>
    </row>
    <row r="603" ht="14.4" customHeight="1">
      <c r="A603" s="323" t="n"/>
      <c r="B603" s="323" t="inlineStr">
        <is>
          <t>15mm Ball Valve Fi</t>
        </is>
      </c>
      <c r="C603" s="327" t="inlineStr">
        <is>
          <t>ea</t>
        </is>
      </c>
      <c r="E603" s="605" t="n">
        <v>0</v>
      </c>
      <c r="F603" s="583">
        <f>E603*D603</f>
        <v/>
      </c>
    </row>
    <row r="604" ht="14.4" customHeight="1">
      <c r="A604" s="323" t="n"/>
      <c r="B604" s="323" t="inlineStr">
        <is>
          <t>50mm Mi BRS Nipple</t>
        </is>
      </c>
      <c r="C604" s="327" t="inlineStr">
        <is>
          <t>ea</t>
        </is>
      </c>
      <c r="E604" s="605" t="n">
        <v>0</v>
      </c>
      <c r="F604" s="583">
        <f>E604*D604</f>
        <v/>
      </c>
    </row>
    <row r="605" ht="14.4" customHeight="1">
      <c r="A605" s="323" t="n"/>
      <c r="B605" s="323" t="inlineStr">
        <is>
          <t>50mm Fi BRS Socket</t>
        </is>
      </c>
      <c r="C605" s="327" t="inlineStr">
        <is>
          <t>ea</t>
        </is>
      </c>
      <c r="E605" s="605" t="n">
        <v>0</v>
      </c>
      <c r="F605" s="583">
        <f>E605*D605</f>
        <v/>
      </c>
    </row>
    <row r="606" ht="14.4" customHeight="1">
      <c r="A606" s="323" t="n"/>
      <c r="B606" s="323" t="inlineStr">
        <is>
          <t>50mm Mi BRS Union</t>
        </is>
      </c>
      <c r="C606" s="327" t="inlineStr">
        <is>
          <t>ea</t>
        </is>
      </c>
      <c r="E606" s="605" t="n">
        <v>0</v>
      </c>
      <c r="F606" s="583">
        <f>E606*D606</f>
        <v/>
      </c>
    </row>
    <row r="607" ht="14.4" customHeight="1">
      <c r="A607" s="323" t="n"/>
      <c r="B607" s="323" t="inlineStr">
        <is>
          <t>50mm Fi BRS Union</t>
        </is>
      </c>
      <c r="C607" s="327" t="inlineStr">
        <is>
          <t>ea</t>
        </is>
      </c>
      <c r="E607" s="605" t="n">
        <v>0</v>
      </c>
      <c r="F607" s="583">
        <f>E607*D607</f>
        <v/>
      </c>
    </row>
    <row r="608" ht="14.4" customHeight="1">
      <c r="A608" s="323" t="n"/>
      <c r="B608" s="323" t="inlineStr">
        <is>
          <t>50mm BRS Plug</t>
        </is>
      </c>
      <c r="C608" s="327" t="inlineStr">
        <is>
          <t>ea</t>
        </is>
      </c>
      <c r="E608" s="605" t="n">
        <v>0</v>
      </c>
      <c r="F608" s="583">
        <f>E608*D608</f>
        <v/>
      </c>
    </row>
    <row r="609" ht="14.4" customHeight="1">
      <c r="A609" s="323" t="n"/>
      <c r="B609" s="323" t="inlineStr">
        <is>
          <t>50mm BRS Cap</t>
        </is>
      </c>
      <c r="C609" s="327" t="inlineStr">
        <is>
          <t>ea</t>
        </is>
      </c>
      <c r="E609" s="605" t="n">
        <v>0</v>
      </c>
      <c r="F609" s="583">
        <f>E609*D609</f>
        <v/>
      </c>
    </row>
    <row r="610" ht="14.4" customHeight="1">
      <c r="A610" s="323" t="n"/>
      <c r="B610" s="323" t="inlineStr">
        <is>
          <t>40mm Mi BRS Nipple</t>
        </is>
      </c>
      <c r="C610" s="327" t="inlineStr">
        <is>
          <t>ea</t>
        </is>
      </c>
      <c r="E610" s="605" t="n">
        <v>0</v>
      </c>
      <c r="F610" s="583">
        <f>E610*D610</f>
        <v/>
      </c>
    </row>
    <row r="611" ht="14.4" customHeight="1">
      <c r="A611" s="323" t="n"/>
      <c r="B611" s="323" t="inlineStr">
        <is>
          <t>40mm Fi BRS Socket</t>
        </is>
      </c>
      <c r="C611" s="327" t="inlineStr">
        <is>
          <t>ea</t>
        </is>
      </c>
      <c r="E611" s="605" t="n">
        <v>0</v>
      </c>
      <c r="F611" s="583">
        <f>E611*D611</f>
        <v/>
      </c>
    </row>
    <row r="612" ht="14.4" customHeight="1">
      <c r="A612" s="323" t="n"/>
      <c r="B612" s="323" t="inlineStr">
        <is>
          <t>40mm Mi BRS Union</t>
        </is>
      </c>
      <c r="C612" s="327" t="inlineStr">
        <is>
          <t>ea</t>
        </is>
      </c>
      <c r="E612" s="605" t="n">
        <v>0</v>
      </c>
      <c r="F612" s="583">
        <f>E612*D612</f>
        <v/>
      </c>
    </row>
    <row r="613" ht="14.4" customHeight="1">
      <c r="A613" s="323" t="n"/>
      <c r="B613" s="323" t="inlineStr">
        <is>
          <t>40mm Fi BRS Union</t>
        </is>
      </c>
      <c r="C613" s="327" t="inlineStr">
        <is>
          <t>ea</t>
        </is>
      </c>
      <c r="E613" s="605" t="n">
        <v>0</v>
      </c>
      <c r="F613" s="583">
        <f>E613*D613</f>
        <v/>
      </c>
    </row>
    <row r="614" ht="14.4" customHeight="1">
      <c r="A614" s="323" t="n"/>
      <c r="B614" s="323" t="inlineStr">
        <is>
          <t>40mm BRS Plug</t>
        </is>
      </c>
      <c r="C614" s="327" t="inlineStr">
        <is>
          <t>ea</t>
        </is>
      </c>
      <c r="E614" s="605" t="n">
        <v>0</v>
      </c>
      <c r="F614" s="583">
        <f>E614*D614</f>
        <v/>
      </c>
    </row>
    <row r="615" ht="14.4" customHeight="1">
      <c r="A615" s="323" t="n"/>
      <c r="B615" s="323" t="inlineStr">
        <is>
          <t>40mm BRS Cap</t>
        </is>
      </c>
      <c r="C615" s="327" t="inlineStr">
        <is>
          <t>ea</t>
        </is>
      </c>
      <c r="E615" s="605" t="n">
        <v>0</v>
      </c>
      <c r="F615" s="583">
        <f>E615*D615</f>
        <v/>
      </c>
    </row>
    <row r="616" ht="14.4" customHeight="1">
      <c r="A616" s="323" t="n"/>
      <c r="B616" s="323" t="inlineStr">
        <is>
          <t>32mm Mi BRS Nipple</t>
        </is>
      </c>
      <c r="C616" s="327" t="inlineStr">
        <is>
          <t>ea</t>
        </is>
      </c>
      <c r="E616" s="605" t="n">
        <v>0</v>
      </c>
      <c r="F616" s="583">
        <f>E616*D616</f>
        <v/>
      </c>
    </row>
    <row r="617" ht="14.4" customHeight="1">
      <c r="A617" s="323" t="n"/>
      <c r="B617" s="323" t="inlineStr">
        <is>
          <t>32mm Fi BRS Socket</t>
        </is>
      </c>
      <c r="C617" s="327" t="inlineStr">
        <is>
          <t>ea</t>
        </is>
      </c>
      <c r="E617" s="605" t="n">
        <v>0</v>
      </c>
      <c r="F617" s="583">
        <f>E617*D617</f>
        <v/>
      </c>
    </row>
    <row r="618" ht="14.4" customHeight="1">
      <c r="A618" s="323" t="n"/>
      <c r="B618" s="323" t="inlineStr">
        <is>
          <t>32mm Mi BRS Union</t>
        </is>
      </c>
      <c r="C618" s="327" t="inlineStr">
        <is>
          <t>ea</t>
        </is>
      </c>
      <c r="E618" s="605" t="n">
        <v>0</v>
      </c>
      <c r="F618" s="583">
        <f>E618*D618</f>
        <v/>
      </c>
    </row>
    <row r="619" ht="14.4" customHeight="1">
      <c r="A619" s="323" t="n"/>
      <c r="B619" s="323" t="inlineStr">
        <is>
          <t>32mm Fi BRS Union</t>
        </is>
      </c>
      <c r="C619" s="327" t="inlineStr">
        <is>
          <t>ea</t>
        </is>
      </c>
      <c r="E619" s="605" t="n">
        <v>0</v>
      </c>
      <c r="F619" s="583">
        <f>E619*D619</f>
        <v/>
      </c>
    </row>
    <row r="620" ht="14.4" customHeight="1">
      <c r="A620" s="323" t="n"/>
      <c r="B620" s="323" t="inlineStr">
        <is>
          <t>32mm BRS Plug</t>
        </is>
      </c>
      <c r="C620" s="327" t="inlineStr">
        <is>
          <t>ea</t>
        </is>
      </c>
      <c r="E620" s="605" t="n">
        <v>0</v>
      </c>
      <c r="F620" s="583">
        <f>E620*D620</f>
        <v/>
      </c>
    </row>
    <row r="621" ht="14.4" customHeight="1">
      <c r="A621" s="323" t="n"/>
      <c r="B621" s="323" t="inlineStr">
        <is>
          <t>32mm BRS Cap</t>
        </is>
      </c>
      <c r="C621" s="327" t="inlineStr">
        <is>
          <t>ea</t>
        </is>
      </c>
      <c r="E621" s="605" t="n">
        <v>0</v>
      </c>
      <c r="F621" s="583">
        <f>E621*D621</f>
        <v/>
      </c>
    </row>
    <row r="622" ht="14.4" customHeight="1">
      <c r="A622" s="323" t="n"/>
      <c r="B622" s="323" t="inlineStr">
        <is>
          <t>25mm Mi BRS Nipple</t>
        </is>
      </c>
      <c r="C622" s="327" t="inlineStr">
        <is>
          <t>ea</t>
        </is>
      </c>
      <c r="E622" s="605" t="n">
        <v>0</v>
      </c>
      <c r="F622" s="583">
        <f>E622*D622</f>
        <v/>
      </c>
    </row>
    <row r="623" ht="14.4" customHeight="1">
      <c r="A623" s="323" t="n"/>
      <c r="B623" s="323" t="inlineStr">
        <is>
          <t>25mm Fi BRS Socket</t>
        </is>
      </c>
      <c r="C623" s="327" t="inlineStr">
        <is>
          <t>ea</t>
        </is>
      </c>
      <c r="E623" s="605" t="n">
        <v>0</v>
      </c>
      <c r="F623" s="583">
        <f>E623*D623</f>
        <v/>
      </c>
    </row>
    <row r="624" ht="14.4" customHeight="1">
      <c r="A624" s="323" t="n"/>
      <c r="B624" s="323" t="inlineStr">
        <is>
          <t>25mm Mi BRS Union</t>
        </is>
      </c>
      <c r="C624" s="327" t="inlineStr">
        <is>
          <t>ea</t>
        </is>
      </c>
      <c r="E624" s="605" t="n">
        <v>0</v>
      </c>
      <c r="F624" s="583">
        <f>E624*D624</f>
        <v/>
      </c>
    </row>
    <row r="625" ht="14.4" customHeight="1">
      <c r="A625" s="323" t="n"/>
      <c r="B625" s="323" t="inlineStr">
        <is>
          <t>25mm Fi BRS Union</t>
        </is>
      </c>
      <c r="C625" s="327" t="inlineStr">
        <is>
          <t>ea</t>
        </is>
      </c>
      <c r="E625" s="605" t="n">
        <v>0</v>
      </c>
      <c r="F625" s="583">
        <f>E625*D625</f>
        <v/>
      </c>
    </row>
    <row r="626" ht="14.4" customHeight="1">
      <c r="A626" s="323" t="n"/>
      <c r="B626" s="323" t="inlineStr">
        <is>
          <t>25mm BRS Plug</t>
        </is>
      </c>
      <c r="C626" s="327" t="inlineStr">
        <is>
          <t>ea</t>
        </is>
      </c>
      <c r="E626" s="605" t="n">
        <v>0</v>
      </c>
      <c r="F626" s="583">
        <f>E626*D626</f>
        <v/>
      </c>
    </row>
    <row r="627" ht="14.4" customHeight="1">
      <c r="A627" s="323" t="n"/>
      <c r="B627" s="323" t="inlineStr">
        <is>
          <t>25mm BRS Cap</t>
        </is>
      </c>
      <c r="C627" s="327" t="inlineStr">
        <is>
          <t>ea</t>
        </is>
      </c>
      <c r="E627" s="605" t="n">
        <v>0</v>
      </c>
      <c r="F627" s="583">
        <f>E627*D627</f>
        <v/>
      </c>
    </row>
    <row r="628" ht="14.4" customHeight="1">
      <c r="A628" s="323" t="n"/>
      <c r="B628" s="323" t="n"/>
      <c r="C628" s="327" t="inlineStr">
        <is>
          <t>ea</t>
        </is>
      </c>
      <c r="E628" s="605" t="n">
        <v>0</v>
      </c>
      <c r="F628" s="583">
        <f>E628*D628</f>
        <v/>
      </c>
    </row>
    <row r="629" ht="14.4" customHeight="1">
      <c r="A629" s="323" t="n"/>
      <c r="B629" s="323" t="inlineStr">
        <is>
          <t>20mm pex Pipe - Black</t>
        </is>
      </c>
      <c r="C629" s="445" t="inlineStr">
        <is>
          <t>m</t>
        </is>
      </c>
      <c r="D629" s="40" t="n">
        <v>18.86</v>
      </c>
      <c r="E629" s="605" t="n">
        <v>2.17</v>
      </c>
      <c r="F629" s="583">
        <f>E629*D629</f>
        <v/>
      </c>
      <c r="G629" t="n">
        <v>19</v>
      </c>
      <c r="H629" s="540" t="inlineStr">
        <is>
          <t>ADOPTED qty per QUANTITY_RECONCILIATION TPS_PAM</t>
        </is>
      </c>
    </row>
    <row r="630" ht="14.4" customHeight="1">
      <c r="A630" s="323" t="n"/>
      <c r="B630" s="446" t="inlineStr">
        <is>
          <t>20mm pex Pipe - Red</t>
        </is>
      </c>
      <c r="C630" s="445" t="inlineStr">
        <is>
          <t>m</t>
        </is>
      </c>
      <c r="D630" s="40" t="n">
        <v>5.89</v>
      </c>
      <c r="E630" s="605" t="n">
        <v>2.3</v>
      </c>
      <c r="F630" s="583">
        <f>E630*D630</f>
        <v/>
      </c>
      <c r="G630" t="n">
        <v>6</v>
      </c>
      <c r="H630" s="540" t="inlineStr">
        <is>
          <t>ADOPTED qty per QUANTITY_RECONCILIATION TPS_PAM</t>
        </is>
      </c>
    </row>
    <row r="631" ht="14.4" customHeight="1">
      <c r="A631" s="323" t="n"/>
      <c r="B631" s="323" t="inlineStr">
        <is>
          <t>15mm Pex pipe - Black</t>
        </is>
      </c>
      <c r="C631" s="327" t="inlineStr">
        <is>
          <t>m</t>
        </is>
      </c>
      <c r="E631" s="605" t="n">
        <v>0</v>
      </c>
      <c r="F631" s="583">
        <f>E631*D631</f>
        <v/>
      </c>
    </row>
    <row r="632" ht="14.4" customHeight="1">
      <c r="A632" s="323" t="n"/>
      <c r="B632" s="323" t="inlineStr">
        <is>
          <t>15mm Pex pipe - Red</t>
        </is>
      </c>
      <c r="C632" s="445" t="inlineStr">
        <is>
          <t>ea</t>
        </is>
      </c>
      <c r="E632" s="605" t="n">
        <v>0</v>
      </c>
      <c r="F632" s="583">
        <f>E632*D632</f>
        <v/>
      </c>
    </row>
    <row r="633" ht="14.4" customHeight="1">
      <c r="A633" s="323" t="n"/>
      <c r="B633" s="323" t="inlineStr">
        <is>
          <t>20 pex Elbow</t>
        </is>
      </c>
      <c r="C633" s="445" t="inlineStr">
        <is>
          <t>ea</t>
        </is>
      </c>
      <c r="D633" s="40" t="n">
        <v>16</v>
      </c>
      <c r="E633" s="605" t="n">
        <v>5.15</v>
      </c>
      <c r="F633" s="583">
        <f>E633*D633</f>
        <v/>
      </c>
    </row>
    <row r="634" ht="14.4" customHeight="1">
      <c r="A634" s="323" t="n"/>
      <c r="B634" s="323" t="inlineStr">
        <is>
          <t>20 Pex TEE</t>
        </is>
      </c>
      <c r="C634" s="327" t="inlineStr">
        <is>
          <t>ea</t>
        </is>
      </c>
      <c r="D634" s="40" t="n">
        <v>7</v>
      </c>
      <c r="E634" s="605" t="n">
        <v>7.49</v>
      </c>
      <c r="F634" s="583">
        <f>E634*D634</f>
        <v/>
      </c>
    </row>
    <row r="635" ht="14.4" customHeight="1">
      <c r="A635" s="323" t="n"/>
      <c r="B635" s="323" t="inlineStr">
        <is>
          <t>20x15 Pex TEE</t>
        </is>
      </c>
      <c r="C635" s="327" t="inlineStr">
        <is>
          <t>ea</t>
        </is>
      </c>
      <c r="E635" s="605" t="n">
        <v>0</v>
      </c>
      <c r="F635" s="583">
        <f>E635*D635</f>
        <v/>
      </c>
    </row>
    <row r="636" ht="14.4" customHeight="1">
      <c r="A636" s="323" t="n"/>
      <c r="B636" s="323" t="inlineStr">
        <is>
          <t>20 PEX Mi Adapter</t>
        </is>
      </c>
      <c r="C636" s="327" t="inlineStr">
        <is>
          <t>ea</t>
        </is>
      </c>
      <c r="E636" s="605" t="n">
        <v>0</v>
      </c>
      <c r="F636" s="583">
        <f>E636*D636</f>
        <v/>
      </c>
    </row>
    <row r="637" ht="14.4" customHeight="1">
      <c r="A637" s="323" t="n"/>
      <c r="B637" s="323" t="inlineStr">
        <is>
          <t>20 PEX Fi Adapter</t>
        </is>
      </c>
      <c r="C637" s="327" t="inlineStr">
        <is>
          <t>ea</t>
        </is>
      </c>
      <c r="E637" s="605" t="n">
        <v>0</v>
      </c>
      <c r="F637" s="583">
        <f>E637*D637</f>
        <v/>
      </c>
    </row>
    <row r="638" ht="14.4" customHeight="1">
      <c r="A638" s="323" t="n"/>
      <c r="B638" s="323" t="inlineStr">
        <is>
          <t>20x15 Pex Reducer</t>
        </is>
      </c>
      <c r="C638" s="327" t="inlineStr">
        <is>
          <t>ea</t>
        </is>
      </c>
      <c r="E638" s="605" t="n">
        <v>0</v>
      </c>
      <c r="F638" s="583">
        <f>E638*D638</f>
        <v/>
      </c>
    </row>
    <row r="639" ht="14.4" customHeight="1">
      <c r="A639" s="323" t="n"/>
      <c r="B639" s="446" t="inlineStr">
        <is>
          <t>PEX - 32 Cu Crimp Adapter</t>
        </is>
      </c>
      <c r="C639" s="445" t="inlineStr">
        <is>
          <t>ea</t>
        </is>
      </c>
      <c r="D639" s="40" t="n">
        <v>2</v>
      </c>
      <c r="E639" s="605" t="n">
        <v>20</v>
      </c>
      <c r="F639" s="583">
        <f>E639*D639</f>
        <v/>
      </c>
    </row>
    <row r="640" ht="14.4" customHeight="1">
      <c r="A640" s="323" t="n"/>
      <c r="B640" s="446" t="inlineStr">
        <is>
          <t>PEX - 25 Cu Crimp Adapter</t>
        </is>
      </c>
      <c r="C640" s="445" t="inlineStr">
        <is>
          <t>ea</t>
        </is>
      </c>
      <c r="D640" s="40" t="n">
        <v>1</v>
      </c>
      <c r="E640" s="605" t="n">
        <v>14</v>
      </c>
      <c r="F640" s="583">
        <f>E640*D640</f>
        <v/>
      </c>
    </row>
    <row r="641" ht="14.4" customHeight="1">
      <c r="A641" s="323" t="n"/>
      <c r="B641" s="323" t="inlineStr">
        <is>
          <t>20 PEXxCU Crimp conversion coupling</t>
        </is>
      </c>
      <c r="C641" s="327" t="inlineStr">
        <is>
          <t>ea</t>
        </is>
      </c>
      <c r="D641" s="40" t="n">
        <v>1</v>
      </c>
      <c r="E641" s="605" t="n">
        <v>10.05</v>
      </c>
      <c r="F641" s="583">
        <f>E641*D641</f>
        <v/>
      </c>
    </row>
    <row r="642" ht="14.4" customHeight="1">
      <c r="A642" s="323" t="n"/>
      <c r="B642" s="323" t="inlineStr">
        <is>
          <t>20 PEX Straight coupling</t>
        </is>
      </c>
      <c r="C642" s="327" t="inlineStr">
        <is>
          <t>ea</t>
        </is>
      </c>
      <c r="E642" s="605" t="n">
        <v>0</v>
      </c>
      <c r="F642" s="583">
        <f>E642*D642</f>
        <v/>
      </c>
    </row>
    <row r="643" ht="14.4" customHeight="1">
      <c r="A643" s="323" t="n"/>
      <c r="B643" s="323" t="inlineStr">
        <is>
          <t>15 Pex Elbow</t>
        </is>
      </c>
      <c r="C643" s="327" t="inlineStr">
        <is>
          <t>ea</t>
        </is>
      </c>
      <c r="E643" s="605" t="n">
        <v>0</v>
      </c>
      <c r="F643" s="583">
        <f>E643*D643</f>
        <v/>
      </c>
    </row>
    <row r="644" ht="14.4" customHeight="1">
      <c r="A644" s="323" t="n"/>
      <c r="B644" s="323" t="inlineStr">
        <is>
          <t>15 Pex TEE</t>
        </is>
      </c>
      <c r="C644" s="327" t="inlineStr">
        <is>
          <t>ea</t>
        </is>
      </c>
      <c r="E644" s="605" t="n">
        <v>0</v>
      </c>
      <c r="F644" s="583">
        <f>E644*D644</f>
        <v/>
      </c>
    </row>
    <row r="645" ht="14.4" customHeight="1">
      <c r="A645" s="323" t="n"/>
      <c r="B645" s="323" t="inlineStr">
        <is>
          <t>15 PEXMi Adapter</t>
        </is>
      </c>
      <c r="C645" s="327" t="inlineStr">
        <is>
          <t>ea</t>
        </is>
      </c>
      <c r="E645" s="605" t="n">
        <v>0</v>
      </c>
      <c r="F645" s="583">
        <f>E645*D645</f>
        <v/>
      </c>
    </row>
    <row r="646" ht="14.4" customHeight="1">
      <c r="A646" s="323" t="n"/>
      <c r="B646" s="323" t="inlineStr">
        <is>
          <t>15 PEX Fi Adapter</t>
        </is>
      </c>
      <c r="C646" s="327" t="inlineStr">
        <is>
          <t>ea</t>
        </is>
      </c>
      <c r="E646" s="605" t="n">
        <v>0</v>
      </c>
      <c r="F646" s="583">
        <f>E646*D646</f>
        <v/>
      </c>
    </row>
    <row r="647" ht="14.4" customHeight="1">
      <c r="A647" s="323" t="n"/>
      <c r="B647" s="323" t="inlineStr">
        <is>
          <t>15 PEX Fi BP, wall elbow</t>
        </is>
      </c>
      <c r="C647" s="327" t="inlineStr">
        <is>
          <t>ea</t>
        </is>
      </c>
      <c r="E647" s="605" t="n">
        <v>0</v>
      </c>
      <c r="F647" s="583">
        <f>E647*D647</f>
        <v/>
      </c>
    </row>
    <row r="648" ht="14.4" customHeight="1">
      <c r="A648" s="323" t="n"/>
      <c r="B648" s="323" t="inlineStr">
        <is>
          <t>15 PEX Mi BP, Wall elbow  - 90 Long</t>
        </is>
      </c>
      <c r="C648" s="327" t="inlineStr">
        <is>
          <t>ea</t>
        </is>
      </c>
      <c r="E648" s="605" t="n">
        <v>0</v>
      </c>
      <c r="F648" s="583">
        <f>E648*D648</f>
        <v/>
      </c>
    </row>
    <row r="649" ht="14.4" customHeight="1">
      <c r="A649" s="323" t="n"/>
      <c r="B649" s="323" t="inlineStr">
        <is>
          <t>15 PEX Mi BP, Wall elbow  - 120+ Long</t>
        </is>
      </c>
      <c r="C649" s="327" t="inlineStr">
        <is>
          <t>ea</t>
        </is>
      </c>
      <c r="E649" s="605" t="n">
        <v>0</v>
      </c>
      <c r="F649" s="583">
        <f>E649*D649</f>
        <v/>
      </c>
    </row>
    <row r="650" ht="14.4" customHeight="1">
      <c r="A650" s="323" t="n"/>
      <c r="B650" s="323" t="inlineStr">
        <is>
          <t>15 PEXxCU Crimp conversion coupling</t>
        </is>
      </c>
      <c r="C650" s="327" t="inlineStr">
        <is>
          <t>ea</t>
        </is>
      </c>
      <c r="E650" s="605" t="n">
        <v>0</v>
      </c>
      <c r="F650" s="583">
        <f>E650*D650</f>
        <v/>
      </c>
    </row>
    <row r="651" ht="14.4" customHeight="1">
      <c r="A651" s="323" t="n"/>
      <c r="B651" s="323" t="inlineStr">
        <is>
          <t>15 PEX Straight coupling</t>
        </is>
      </c>
      <c r="C651" s="327" t="inlineStr">
        <is>
          <t>ea</t>
        </is>
      </c>
      <c r="E651" s="605" t="n">
        <v>0</v>
      </c>
      <c r="F651" s="583">
        <f>E651*D651</f>
        <v/>
      </c>
    </row>
    <row r="652" ht="14.4" customHeight="1">
      <c r="A652" s="323" t="n"/>
      <c r="B652" s="323" t="n"/>
      <c r="C652" s="327" t="inlineStr">
        <is>
          <t>ea</t>
        </is>
      </c>
      <c r="E652" s="605" t="n">
        <v>0</v>
      </c>
      <c r="F652" s="583">
        <f>E652*D652</f>
        <v/>
      </c>
    </row>
    <row r="653" ht="14.4" customHeight="1">
      <c r="B653" s="329" t="inlineStr">
        <is>
          <t>Hose Taps Complete</t>
        </is>
      </c>
      <c r="C653" s="445" t="inlineStr">
        <is>
          <t>ea</t>
        </is>
      </c>
      <c r="D653" s="40" t="n">
        <v>1</v>
      </c>
      <c r="E653" s="605" t="n">
        <v>56</v>
      </c>
      <c r="F653" s="583">
        <f>E653*D653</f>
        <v/>
      </c>
      <c r="G653" s="605" t="n"/>
    </row>
    <row r="654" ht="14.4" customHeight="1">
      <c r="B654" t="inlineStr">
        <is>
          <t xml:space="preserve">100 FL DICL SLUICE VALVE </t>
        </is>
      </c>
      <c r="C654" s="302" t="inlineStr">
        <is>
          <t>ea</t>
        </is>
      </c>
      <c r="E654" s="605" t="n">
        <v>202.94</v>
      </c>
      <c r="F654" s="583">
        <f>E654*D654</f>
        <v/>
      </c>
      <c r="G654" s="605" t="n"/>
    </row>
    <row r="655" ht="14.4" customHeight="1">
      <c r="B655" t="inlineStr">
        <is>
          <t xml:space="preserve"> 125PE*4" (100mm) - MaxiStub W/Stainless Steel Backing Ring</t>
        </is>
      </c>
      <c r="C655" s="302" t="inlineStr">
        <is>
          <t>ea</t>
        </is>
      </c>
      <c r="E655" s="605" t="n">
        <v>92.67</v>
      </c>
      <c r="F655" s="583">
        <f>E655*D655</f>
        <v/>
      </c>
      <c r="G655" s="605" t="n"/>
    </row>
    <row r="656" ht="14.4" customHeight="1">
      <c r="B656" t="inlineStr">
        <is>
          <t>100mm PE*DI Gasket Kit Complete  Parts &amp; Labour</t>
        </is>
      </c>
      <c r="C656" s="302" t="inlineStr">
        <is>
          <t>ea</t>
        </is>
      </c>
      <c r="E656" s="605" t="n">
        <v>24.71</v>
      </c>
      <c r="F656" s="583">
        <f>E656*D656</f>
        <v/>
      </c>
      <c r="G656" s="605" t="n"/>
    </row>
    <row r="657" ht="14.4" customHeight="1">
      <c r="B657" t="inlineStr">
        <is>
          <t>100mm DI*DI Gasket Kit Complete</t>
        </is>
      </c>
      <c r="C657" s="302" t="inlineStr">
        <is>
          <t>ea</t>
        </is>
      </c>
      <c r="E657" s="605" t="n">
        <v>20</v>
      </c>
      <c r="F657" s="583">
        <f>E657*D657</f>
        <v/>
      </c>
      <c r="G657" s="605" t="n"/>
    </row>
    <row r="658" ht="14.4" customHeight="1">
      <c r="B658" t="inlineStr">
        <is>
          <t>Valve Spindle Riser - 600Long</t>
        </is>
      </c>
      <c r="C658" s="302" t="inlineStr">
        <is>
          <t>ea</t>
        </is>
      </c>
      <c r="E658" s="605" t="n">
        <v>136.94</v>
      </c>
      <c r="F658" s="583">
        <f>E658*D658</f>
        <v/>
      </c>
      <c r="G658" s="605" t="n"/>
    </row>
    <row r="659" ht="14.4" customHeight="1">
      <c r="B659" t="inlineStr">
        <is>
          <t>100mm Dual Pillar Hydrant Complete_ RG Base 1500 High w/landing Valves_OPTION</t>
        </is>
      </c>
      <c r="C659" s="302" t="inlineStr">
        <is>
          <t>ea</t>
        </is>
      </c>
      <c r="E659" s="605" t="n">
        <v>365</v>
      </c>
      <c r="F659" s="583">
        <f>E659*D659</f>
        <v/>
      </c>
      <c r="G659" s="605" t="n"/>
    </row>
    <row r="660" ht="14.4" customHeight="1">
      <c r="B660" t="inlineStr">
        <is>
          <t>125mm PE x 100mm GALV ADAPTER - Acutech Brand</t>
        </is>
      </c>
      <c r="C660" s="302" t="inlineStr">
        <is>
          <t>ea</t>
        </is>
      </c>
      <c r="E660" s="605" t="n">
        <v>201.43</v>
      </c>
      <c r="F660" s="583">
        <f>E660*D660</f>
        <v/>
      </c>
      <c r="G660" s="605" t="n"/>
    </row>
    <row r="661" ht="14.4" customHeight="1">
      <c r="B661" t="inlineStr">
        <is>
          <t>Red caps and chain - suit 65mm QLD Landing valve</t>
        </is>
      </c>
      <c r="C661" s="302" t="inlineStr">
        <is>
          <t>ea</t>
        </is>
      </c>
      <c r="E661" s="605" t="n">
        <v>5</v>
      </c>
      <c r="F661" s="583">
        <f>E661*D661</f>
        <v/>
      </c>
      <c r="G661" s="605" t="n"/>
    </row>
    <row r="662" ht="14.4" customHeight="1">
      <c r="B662" t="inlineStr">
        <is>
          <t>RPZD  32mm</t>
        </is>
      </c>
      <c r="C662" s="302" t="inlineStr">
        <is>
          <t>ea</t>
        </is>
      </c>
      <c r="E662" s="605" t="n">
        <v>853</v>
      </c>
      <c r="F662" s="583">
        <f>E662*D662</f>
        <v/>
      </c>
      <c r="G662" s="605" t="n"/>
    </row>
    <row r="663" ht="14.4" customHeight="1">
      <c r="B663" t="inlineStr">
        <is>
          <t>RPZD  20mm</t>
        </is>
      </c>
      <c r="C663" s="302" t="inlineStr">
        <is>
          <t>ea</t>
        </is>
      </c>
      <c r="E663" s="605" t="n">
        <v>503</v>
      </c>
      <c r="F663" s="583">
        <f>E663*D663</f>
        <v/>
      </c>
      <c r="G663" s="605" t="n"/>
    </row>
    <row r="664" ht="14.4" customHeight="1">
      <c r="B664" t="inlineStr">
        <is>
          <t>RPZD 100mm</t>
        </is>
      </c>
      <c r="C664" s="302" t="inlineStr">
        <is>
          <t>ea</t>
        </is>
      </c>
      <c r="E664" s="605" t="n">
        <v>1809.63</v>
      </c>
      <c r="F664" s="583">
        <f>E664*D664</f>
        <v/>
      </c>
      <c r="G664" s="605" t="n"/>
    </row>
    <row r="665" ht="14.4" customHeight="1">
      <c r="B665" s="63" t="inlineStr">
        <is>
          <t>Office - Water &amp; Rough IN</t>
        </is>
      </c>
      <c r="C665" s="302" t="inlineStr">
        <is>
          <t>ea</t>
        </is>
      </c>
      <c r="E665" s="605" t="n">
        <v>1650</v>
      </c>
      <c r="F665" s="583">
        <f>E665*D665</f>
        <v/>
      </c>
      <c r="G665" s="605" t="n"/>
    </row>
    <row r="666" ht="14.4" customHeight="1">
      <c r="B666" s="63" t="inlineStr">
        <is>
          <t>Ofice - NOGINS &amp; Fixings</t>
        </is>
      </c>
      <c r="C666" s="302" t="inlineStr">
        <is>
          <t>ea</t>
        </is>
      </c>
      <c r="E666" s="605" t="n">
        <v>160</v>
      </c>
      <c r="F666" s="583">
        <f>E666*D666</f>
        <v/>
      </c>
      <c r="G666" s="605" t="n"/>
    </row>
    <row r="667" ht="14.4" customHeight="1">
      <c r="B667" s="63" t="inlineStr">
        <is>
          <t>Safety shr fittings</t>
        </is>
      </c>
      <c r="C667" s="302" t="inlineStr">
        <is>
          <t>ea</t>
        </is>
      </c>
      <c r="E667" s="605" t="n">
        <v>750</v>
      </c>
      <c r="F667" s="583">
        <f>E667*D667</f>
        <v/>
      </c>
      <c r="G667" s="605" t="n"/>
    </row>
    <row r="668" ht="14.4" customHeight="1">
      <c r="B668" s="63" t="inlineStr">
        <is>
          <t>In Grnd Fittings misc</t>
        </is>
      </c>
      <c r="C668" s="302" t="inlineStr">
        <is>
          <t>ea</t>
        </is>
      </c>
      <c r="E668" s="605" t="n">
        <v>450</v>
      </c>
      <c r="F668" s="583">
        <f>E668*D668</f>
        <v/>
      </c>
      <c r="G668" s="605" t="n"/>
    </row>
    <row r="669" ht="14.4" customHeight="1">
      <c r="B669" s="63" t="inlineStr">
        <is>
          <t>Abv Grnd Fittings misc</t>
        </is>
      </c>
      <c r="C669" s="302" t="inlineStr">
        <is>
          <t>ea</t>
        </is>
      </c>
      <c r="E669" s="605" t="n">
        <v>1250</v>
      </c>
      <c r="F669" s="583">
        <f>E669*D669</f>
        <v/>
      </c>
      <c r="G669" s="605" t="n"/>
    </row>
    <row r="670" ht="14.4" customHeight="1">
      <c r="B670" t="inlineStr">
        <is>
          <t>HWU quickie kit</t>
        </is>
      </c>
      <c r="C670" s="302" t="inlineStr">
        <is>
          <t>ea</t>
        </is>
      </c>
      <c r="E670" s="605" t="n">
        <v>190</v>
      </c>
      <c r="F670" s="583">
        <f>E670*D670</f>
        <v/>
      </c>
      <c r="G670" s="605" t="n"/>
    </row>
    <row r="671" ht="14.4" customHeight="1">
      <c r="B671" t="inlineStr">
        <is>
          <t>TMV</t>
        </is>
      </c>
      <c r="C671" s="302" t="inlineStr">
        <is>
          <t>ea</t>
        </is>
      </c>
      <c r="E671" s="605" t="n">
        <v>412.59</v>
      </c>
      <c r="F671" s="583">
        <f>E671*D671</f>
        <v/>
      </c>
      <c r="G671" s="605" t="n"/>
    </row>
    <row r="672" ht="14.4" customHeight="1">
      <c r="B672" t="inlineStr">
        <is>
          <t xml:space="preserve">20mm Isolavtive valve </t>
        </is>
      </c>
      <c r="C672" s="302" t="inlineStr">
        <is>
          <t>ea</t>
        </is>
      </c>
      <c r="E672" s="605" t="n">
        <v>50</v>
      </c>
      <c r="F672" s="583">
        <f>E672*D672</f>
        <v/>
      </c>
      <c r="G672" s="605" t="n"/>
    </row>
    <row r="673" ht="16.8" customHeight="1">
      <c r="B673" s="330" t="inlineStr">
        <is>
          <t>450 SQ PIT</t>
        </is>
      </c>
      <c r="C673" s="302" t="inlineStr">
        <is>
          <t>ea</t>
        </is>
      </c>
      <c r="E673" s="605" t="n">
        <v>30</v>
      </c>
      <c r="F673" s="583">
        <f>E673*D673</f>
        <v/>
      </c>
      <c r="G673" s="605" t="n"/>
    </row>
    <row r="674" ht="14.4" customHeight="1">
      <c r="B674" t="inlineStr">
        <is>
          <t>Dock Office Water Mat</t>
        </is>
      </c>
      <c r="C674" s="302" t="inlineStr">
        <is>
          <t>ea</t>
        </is>
      </c>
      <c r="E674" s="605" t="n">
        <v>1850</v>
      </c>
      <c r="F674" s="583">
        <f>E674*D674</f>
        <v/>
      </c>
      <c r="G674" s="605" t="n"/>
    </row>
    <row r="675" ht="14.4" customHeight="1">
      <c r="B675" t="inlineStr">
        <is>
          <t xml:space="preserve">25mm RPZD </t>
        </is>
      </c>
      <c r="C675" s="302" t="inlineStr">
        <is>
          <t>ea</t>
        </is>
      </c>
      <c r="E675" s="605" t="n">
        <v>1800</v>
      </c>
      <c r="F675" s="583">
        <f>E675*D675</f>
        <v/>
      </c>
      <c r="G675" s="605" t="n"/>
    </row>
    <row r="676" ht="14.4" customHeight="1">
      <c r="C676" s="302" t="n"/>
      <c r="E676" s="605" t="n"/>
      <c r="F676" s="583" t="n"/>
      <c r="G676" s="605" t="n"/>
    </row>
    <row r="677" ht="14.4" customHeight="1">
      <c r="A677" s="323" t="n"/>
      <c r="B677" s="406" t="inlineStr">
        <is>
          <t xml:space="preserve">misc. </t>
        </is>
      </c>
      <c r="C677" s="302" t="inlineStr">
        <is>
          <t>ea</t>
        </is>
      </c>
      <c r="E677" s="605" t="n">
        <v>3800</v>
      </c>
      <c r="F677" s="583">
        <f>E677*D677</f>
        <v/>
      </c>
      <c r="G677" s="605" t="n"/>
    </row>
    <row r="678" ht="14.4" customHeight="1">
      <c r="A678" s="323" t="n"/>
      <c r="B678" s="406" t="inlineStr">
        <is>
          <t>150mm isolation valve in valve pit (connect to authority watermain )</t>
        </is>
      </c>
      <c r="C678" s="327" t="inlineStr">
        <is>
          <t>ea</t>
        </is>
      </c>
      <c r="E678" s="605" t="n">
        <v>371.37</v>
      </c>
      <c r="F678" s="583">
        <f>E678*D678</f>
        <v/>
      </c>
      <c r="G678" s="605" t="n"/>
    </row>
    <row r="679" ht="14.4" customHeight="1">
      <c r="A679" s="323" t="n"/>
      <c r="B679" s="406" t="inlineStr">
        <is>
          <t xml:space="preserve">25mm DCW Isolation vlave in valve pit with path box cover </t>
        </is>
      </c>
      <c r="C679" s="405" t="inlineStr">
        <is>
          <t>ea</t>
        </is>
      </c>
      <c r="E679" s="605">
        <f>430.67+38.37</f>
        <v/>
      </c>
      <c r="F679" s="583">
        <f>E679*D679</f>
        <v/>
      </c>
      <c r="G679" s="605" t="n"/>
    </row>
    <row r="680" ht="14.4" customHeight="1">
      <c r="A680" s="323" t="n"/>
      <c r="B680" s="446" t="inlineStr">
        <is>
          <t xml:space="preserve">32 domestic watre meter assembly </t>
        </is>
      </c>
      <c r="C680" s="445" t="inlineStr">
        <is>
          <t>ea</t>
        </is>
      </c>
      <c r="D680" s="40" t="n">
        <v>1</v>
      </c>
      <c r="E680" s="605">
        <f>543+46+360</f>
        <v/>
      </c>
      <c r="F680" s="583">
        <f>E680*D680</f>
        <v/>
      </c>
      <c r="G680" s="605" t="n"/>
    </row>
    <row r="681" ht="14.4" customHeight="1">
      <c r="A681" s="323" t="n"/>
      <c r="B681" s="406" t="inlineStr">
        <is>
          <t xml:space="preserve">	25mm water meter in tamper steel cage with isolative valves in both side </t>
        </is>
      </c>
      <c r="C681" s="405" t="inlineStr">
        <is>
          <t>ea</t>
        </is>
      </c>
      <c r="E681" s="605">
        <f>141.13+18.87+18.87+480.93</f>
        <v/>
      </c>
      <c r="F681" s="583">
        <f>E681*D681</f>
        <v/>
      </c>
      <c r="G681" s="605" t="n"/>
    </row>
    <row r="682" ht="14.4" customHeight="1">
      <c r="A682" s="323" t="n"/>
      <c r="B682" s="406" t="inlineStr">
        <is>
          <t>TMV in Box</t>
        </is>
      </c>
      <c r="C682" s="405" t="inlineStr">
        <is>
          <t>ea</t>
        </is>
      </c>
      <c r="D682" s="40" t="n">
        <v>1</v>
      </c>
      <c r="E682" s="605" t="n">
        <v>587.96</v>
      </c>
      <c r="F682" s="583">
        <f>E682*D682</f>
        <v/>
      </c>
    </row>
    <row r="683" ht="14.4" customHeight="1">
      <c r="A683" s="323" t="n"/>
      <c r="B683" s="406" t="inlineStr">
        <is>
          <t xml:space="preserve">100 mm Water meter </t>
        </is>
      </c>
      <c r="C683" s="327" t="inlineStr">
        <is>
          <t>ea</t>
        </is>
      </c>
      <c r="E683" s="605" t="n">
        <v>641.58</v>
      </c>
      <c r="F683" s="583">
        <f>E683*D683</f>
        <v/>
      </c>
    </row>
    <row r="684" ht="14.4" customHeight="1">
      <c r="A684" s="323" t="n"/>
      <c r="B684" s="406" t="inlineStr">
        <is>
          <t xml:space="preserve">63 Valve in Pit </t>
        </is>
      </c>
      <c r="C684" s="405" t="inlineStr">
        <is>
          <t>ea</t>
        </is>
      </c>
      <c r="E684" s="605" t="n">
        <v>80</v>
      </c>
      <c r="F684" s="583">
        <f>E684*D684</f>
        <v/>
      </c>
    </row>
    <row r="685" ht="14.4" customHeight="1">
      <c r="A685" s="323" t="n"/>
      <c r="B685" s="406" t="inlineStr">
        <is>
          <t xml:space="preserve">32 valve in pit </t>
        </is>
      </c>
      <c r="C685" s="327" t="inlineStr">
        <is>
          <t>ea</t>
        </is>
      </c>
      <c r="E685" s="605" t="n">
        <v>50</v>
      </c>
      <c r="F685" s="583">
        <f>E685*D685</f>
        <v/>
      </c>
      <c r="G685" s="605" t="n"/>
    </row>
    <row r="686" ht="14.4" customHeight="1">
      <c r="A686" s="323" t="n"/>
      <c r="B686" s="406" t="inlineStr">
        <is>
          <t xml:space="preserve">50mm control valve </t>
        </is>
      </c>
      <c r="C686" s="405" t="inlineStr">
        <is>
          <t>ea</t>
        </is>
      </c>
      <c r="E686" s="605" t="n">
        <v>31.71</v>
      </c>
      <c r="F686" s="583">
        <f>E686*D686</f>
        <v/>
      </c>
      <c r="G686" s="605" t="n"/>
    </row>
    <row r="687" ht="14.4" customHeight="1">
      <c r="A687" s="323" t="n"/>
      <c r="B687" s="406" t="inlineStr">
        <is>
          <t xml:space="preserve">TLV under basin </t>
        </is>
      </c>
      <c r="C687" s="327" t="inlineStr">
        <is>
          <t>ea</t>
        </is>
      </c>
      <c r="E687" s="605" t="n">
        <v>146.09</v>
      </c>
      <c r="F687" s="583">
        <f>E687*D687</f>
        <v/>
      </c>
      <c r="G687" s="605" t="n"/>
    </row>
    <row r="688" ht="14.4" customHeight="1">
      <c r="A688" s="323" t="n"/>
      <c r="B688" s="406" t="inlineStr">
        <is>
          <t xml:space="preserve">AUTOMATIC TRAP PRIMER </t>
        </is>
      </c>
      <c r="C688" s="327" t="inlineStr">
        <is>
          <t>ea</t>
        </is>
      </c>
      <c r="E688" s="605" t="n">
        <v>99.48999999999999</v>
      </c>
      <c r="F688" s="583">
        <f>E688*D688</f>
        <v/>
      </c>
      <c r="G688" s="605" t="n"/>
    </row>
    <row r="689" ht="14.4" customHeight="1">
      <c r="C689" s="327" t="n"/>
      <c r="E689" s="605" t="n"/>
      <c r="F689" s="583" t="n"/>
    </row>
    <row r="690"/>
    <row r="691" ht="14.4" customHeight="1">
      <c r="B691" s="324" t="inlineStr">
        <is>
          <t xml:space="preserve">SEWER DRAINAGE - </t>
        </is>
      </c>
    </row>
    <row r="692" ht="14.4" customHeight="1">
      <c r="B692" s="326" t="inlineStr">
        <is>
          <t>Description</t>
        </is>
      </c>
    </row>
    <row r="693" ht="14.4" customHeight="1">
      <c r="B693" s="323" t="n"/>
    </row>
    <row r="694" ht="14.4" customHeight="1">
      <c r="B694" s="323" t="inlineStr">
        <is>
          <t xml:space="preserve">PIPE DWV PVC S/WELD  150MM - In Grnd </t>
        </is>
      </c>
      <c r="C694" s="327" t="inlineStr">
        <is>
          <t>m</t>
        </is>
      </c>
      <c r="E694" s="609" t="n">
        <v>14.49</v>
      </c>
      <c r="F694" s="583">
        <f>E694*D694</f>
        <v/>
      </c>
    </row>
    <row r="695" ht="14.4" customHeight="1">
      <c r="B695" s="406" t="inlineStr">
        <is>
          <t>PIPE DWV SN8 PVC S/WELD  100MM</t>
        </is>
      </c>
      <c r="C695" s="327" t="inlineStr">
        <is>
          <t>m</t>
        </is>
      </c>
      <c r="D695" s="40" t="n">
        <v>61.16</v>
      </c>
      <c r="E695" s="609" t="n">
        <v>9.5496</v>
      </c>
      <c r="F695" s="583">
        <f>E695*D695</f>
        <v/>
      </c>
      <c r="G695" t="n">
        <v>62</v>
      </c>
      <c r="H695" s="540" t="inlineStr">
        <is>
          <t>ADOPTED qty per QUANTITY_RECONCILIATION TPS_PAM</t>
        </is>
      </c>
    </row>
    <row r="696" ht="14.4" customHeight="1">
      <c r="B696" s="406" t="inlineStr">
        <is>
          <t xml:space="preserve">150MM * 45D PVC JUNCTION </t>
        </is>
      </c>
      <c r="C696" s="405" t="inlineStr">
        <is>
          <t>ea</t>
        </is>
      </c>
      <c r="E696" s="609" t="n">
        <v>9.66</v>
      </c>
      <c r="F696" s="583">
        <f>E696*D696</f>
        <v/>
      </c>
    </row>
    <row r="697" ht="14.4" customHeight="1">
      <c r="B697" s="406" t="inlineStr">
        <is>
          <t xml:space="preserve">100MM * 45D PVC JUNCTION </t>
        </is>
      </c>
      <c r="C697" s="405" t="inlineStr">
        <is>
          <t>ea</t>
        </is>
      </c>
      <c r="D697" s="40" t="n">
        <v>22</v>
      </c>
      <c r="E697" s="609" t="n">
        <v>4.7886</v>
      </c>
      <c r="F697" s="583">
        <f>E697*D697</f>
        <v/>
      </c>
    </row>
    <row r="698" ht="14.4" customHeight="1">
      <c r="B698" s="406" t="inlineStr">
        <is>
          <t xml:space="preserve">150MM X 100MM 45D PVC JUNCTION </t>
        </is>
      </c>
      <c r="C698" s="405" t="inlineStr">
        <is>
          <t>ea</t>
        </is>
      </c>
      <c r="E698" s="609" t="n">
        <v>13.8</v>
      </c>
      <c r="F698" s="583">
        <f>E698*D698</f>
        <v/>
      </c>
    </row>
    <row r="699" ht="14.4" customHeight="1">
      <c r="B699" s="406" t="inlineStr">
        <is>
          <t xml:space="preserve">100*50 PVC DWV JUNCTION </t>
        </is>
      </c>
      <c r="C699" s="405" t="inlineStr">
        <is>
          <t>ea</t>
        </is>
      </c>
      <c r="E699" s="609" t="n">
        <v>6.5274</v>
      </c>
      <c r="F699" s="583">
        <f>E699*D699</f>
        <v/>
      </c>
    </row>
    <row r="700" ht="14.4" customHeight="1">
      <c r="B700" s="406" t="inlineStr">
        <is>
          <t xml:space="preserve">100MM * 65 PVC PVC JUNCTION </t>
        </is>
      </c>
      <c r="C700" s="405" t="inlineStr">
        <is>
          <t>ea</t>
        </is>
      </c>
      <c r="E700" s="609" t="n">
        <v>8.5974</v>
      </c>
      <c r="F700" s="583">
        <f>E700*D700</f>
        <v/>
      </c>
    </row>
    <row r="701" ht="14.4" customHeight="1">
      <c r="B701" s="406" t="inlineStr">
        <is>
          <t xml:space="preserve">150MM X 45 Deg Bend </t>
        </is>
      </c>
      <c r="C701" s="405" t="inlineStr">
        <is>
          <t>ea</t>
        </is>
      </c>
      <c r="E701" s="609" t="n">
        <v>6.899999999999999</v>
      </c>
      <c r="F701" s="583">
        <f>E701*D701</f>
        <v/>
      </c>
    </row>
    <row r="702" ht="14.4" customHeight="1">
      <c r="B702" s="406" t="inlineStr">
        <is>
          <t xml:space="preserve">150MM X 90 Deg Bend </t>
        </is>
      </c>
      <c r="C702" s="405" t="inlineStr">
        <is>
          <t>ea</t>
        </is>
      </c>
      <c r="E702" s="609" t="n">
        <v>6.899999999999999</v>
      </c>
      <c r="F702" s="583">
        <f>E702*D702</f>
        <v/>
      </c>
    </row>
    <row r="703" ht="14.4" customHeight="1">
      <c r="B703" s="406" t="inlineStr">
        <is>
          <t>100MM X 90Deg Bend</t>
        </is>
      </c>
      <c r="C703" s="405" t="inlineStr">
        <is>
          <t>ea</t>
        </is>
      </c>
      <c r="D703" s="40" t="n">
        <v>21</v>
      </c>
      <c r="E703" s="609" t="n">
        <v>2.5668</v>
      </c>
      <c r="F703" s="583">
        <f>E703*D703</f>
        <v/>
      </c>
    </row>
    <row r="704" ht="14.4" customHeight="1">
      <c r="B704" s="406" t="inlineStr">
        <is>
          <t>100MM X 45Deg Bend</t>
        </is>
      </c>
      <c r="C704" s="405" t="inlineStr">
        <is>
          <t>ea</t>
        </is>
      </c>
      <c r="D704" s="40" t="n">
        <v>21</v>
      </c>
      <c r="E704" s="609" t="n">
        <v>2.33082</v>
      </c>
      <c r="F704" s="583">
        <f>E704*D704</f>
        <v/>
      </c>
    </row>
    <row r="705" ht="14.4" customHeight="1">
      <c r="B705" s="406" t="inlineStr">
        <is>
          <t>DWV PIPE REDUCER 150X100mm</t>
        </is>
      </c>
      <c r="C705" s="405" t="inlineStr">
        <is>
          <t>ea</t>
        </is>
      </c>
      <c r="E705" s="609" t="n">
        <v>5.52</v>
      </c>
      <c r="F705" s="583">
        <f>E705*D705</f>
        <v/>
      </c>
    </row>
    <row r="706" ht="14.4" customHeight="1">
      <c r="B706" s="446" t="inlineStr">
        <is>
          <t>DWV PIPE REDUCER 100 X 65mm</t>
        </is>
      </c>
      <c r="C706" s="405" t="inlineStr">
        <is>
          <t>ea</t>
        </is>
      </c>
      <c r="D706" s="40" t="n">
        <v>1</v>
      </c>
      <c r="E706" s="609" t="n">
        <v>5</v>
      </c>
      <c r="F706" s="583">
        <f>E706*D706</f>
        <v/>
      </c>
    </row>
    <row r="707" ht="14.4" customHeight="1">
      <c r="B707" s="406" t="inlineStr">
        <is>
          <t>DWV PIPE REDUCER 100 X 50mm</t>
        </is>
      </c>
      <c r="C707" s="405" t="inlineStr">
        <is>
          <t>ea</t>
        </is>
      </c>
      <c r="D707" s="40" t="n">
        <v>1</v>
      </c>
      <c r="E707" s="609" t="n">
        <v>2.6772</v>
      </c>
      <c r="F707" s="583">
        <f>E707*D707</f>
        <v/>
      </c>
    </row>
    <row r="708" ht="14.4" customHeight="1">
      <c r="B708" s="323" t="inlineStr">
        <is>
          <t xml:space="preserve">PIPE DWV PVC S/WELD  100MM - In Grnd </t>
        </is>
      </c>
      <c r="C708" s="327" t="inlineStr">
        <is>
          <t>m</t>
        </is>
      </c>
      <c r="E708" s="609" t="n">
        <v>6.899999999999999</v>
      </c>
      <c r="F708" s="583">
        <f>E708*D708</f>
        <v/>
      </c>
    </row>
    <row r="709" ht="14.4" customHeight="1">
      <c r="B709" s="406" t="inlineStr">
        <is>
          <t xml:space="preserve">PIPE DWV PVC S/WELD  65MM - In Grnd </t>
        </is>
      </c>
      <c r="C709" s="327" t="inlineStr">
        <is>
          <t>m</t>
        </is>
      </c>
      <c r="E709" s="609" t="n">
        <v>5.52</v>
      </c>
      <c r="F709" s="583">
        <f>E709*D709</f>
        <v/>
      </c>
    </row>
    <row r="710" ht="14.4" customHeight="1">
      <c r="B710" s="323" t="inlineStr">
        <is>
          <t xml:space="preserve">63 HDPE PN12.5 SDR11 - BLACK or CREAM - In Grnd </t>
        </is>
      </c>
      <c r="C710" s="327" t="inlineStr">
        <is>
          <t>m</t>
        </is>
      </c>
      <c r="E710" s="609" t="n">
        <v>8.7354</v>
      </c>
      <c r="F710" s="583">
        <f>E710*D710</f>
        <v/>
      </c>
    </row>
    <row r="711" ht="14.4" customHeight="1">
      <c r="B711" s="406" t="inlineStr">
        <is>
          <t>PIPE DWV PVC S/WELD  50mm</t>
        </is>
      </c>
      <c r="C711" s="327" t="inlineStr">
        <is>
          <t>m</t>
        </is>
      </c>
      <c r="D711" s="40" t="n">
        <v>6.93</v>
      </c>
      <c r="E711" s="609" t="n">
        <v>3.726</v>
      </c>
      <c r="F711" s="583">
        <f>E711*D711</f>
        <v/>
      </c>
      <c r="G711" t="n">
        <v>7</v>
      </c>
      <c r="H711" s="540" t="inlineStr">
        <is>
          <t>ADOPTED qty per QUANTITY_RECONCILIATION TPS_PAM</t>
        </is>
      </c>
    </row>
    <row r="712" ht="14.4" customHeight="1">
      <c r="B712" s="406" t="inlineStr">
        <is>
          <t>PIPE DWV PVC S/WELD  40mm</t>
        </is>
      </c>
      <c r="C712" s="327" t="inlineStr">
        <is>
          <t>m</t>
        </is>
      </c>
      <c r="E712" s="609" t="n">
        <v>2.898</v>
      </c>
      <c r="F712" s="583">
        <f>E712*D712</f>
        <v/>
      </c>
    </row>
    <row r="713" ht="14.4" customHeight="1">
      <c r="B713" s="406" t="inlineStr">
        <is>
          <t>DWV BEND 65X 90 DEG</t>
        </is>
      </c>
      <c r="C713" s="405" t="inlineStr">
        <is>
          <t>ea</t>
        </is>
      </c>
      <c r="E713" s="609" t="n">
        <v>2.3322</v>
      </c>
      <c r="F713" s="583">
        <f>E713*D713</f>
        <v/>
      </c>
    </row>
    <row r="714" ht="14.4" customHeight="1">
      <c r="B714" s="406" t="inlineStr">
        <is>
          <t>DWV BEND 40 X 85 DEG</t>
        </is>
      </c>
      <c r="C714" s="405" t="inlineStr">
        <is>
          <t>ea</t>
        </is>
      </c>
      <c r="E714" s="609" t="n">
        <v>4.14</v>
      </c>
      <c r="F714" s="583">
        <f>E714*D714</f>
        <v/>
      </c>
    </row>
    <row r="715" ht="14.4" customHeight="1">
      <c r="B715" s="406" t="inlineStr">
        <is>
          <t>DWV BEND 50 X 45 DEG</t>
        </is>
      </c>
      <c r="C715" s="405" t="inlineStr">
        <is>
          <t>ea</t>
        </is>
      </c>
      <c r="D715" s="40" t="n">
        <v>2</v>
      </c>
      <c r="E715" s="609" t="n">
        <v>0.9384</v>
      </c>
      <c r="F715" s="583">
        <f>E715*D715</f>
        <v/>
      </c>
    </row>
    <row r="716" ht="14.4" customHeight="1">
      <c r="B716" s="406" t="inlineStr">
        <is>
          <t xml:space="preserve">DWV BEND 50 X85 DEG </t>
        </is>
      </c>
      <c r="C716" s="405" t="inlineStr">
        <is>
          <t>ea</t>
        </is>
      </c>
      <c r="D716" s="40" t="n">
        <v>4</v>
      </c>
      <c r="E716" s="609" t="n">
        <v>11.7162</v>
      </c>
      <c r="F716" s="583">
        <f>E716*D716</f>
        <v/>
      </c>
    </row>
    <row r="717" ht="14.4" customHeight="1">
      <c r="B717" s="323" t="inlineStr">
        <is>
          <t>50mm Condensate INSULATION</t>
        </is>
      </c>
      <c r="C717" s="327" t="inlineStr">
        <is>
          <t>m</t>
        </is>
      </c>
      <c r="E717" s="605" t="n">
        <v>14</v>
      </c>
      <c r="F717" s="583">
        <f>E717*D717</f>
        <v/>
      </c>
    </row>
    <row r="718" ht="14.4" customHeight="1">
      <c r="B718" s="406" t="inlineStr">
        <is>
          <t>100mm Condensate INSULATION</t>
        </is>
      </c>
      <c r="C718" s="327" t="inlineStr">
        <is>
          <t>m</t>
        </is>
      </c>
      <c r="E718" s="605" t="n">
        <v>6</v>
      </c>
      <c r="F718" s="583">
        <f>E718*D718</f>
        <v/>
      </c>
    </row>
    <row r="719" ht="14.4" customHeight="1">
      <c r="B719" s="323" t="n"/>
      <c r="C719" s="327" t="n"/>
      <c r="E719" s="327" t="n"/>
      <c r="F719" s="583">
        <f>E719*D719</f>
        <v/>
      </c>
    </row>
    <row r="720" ht="14.4" customHeight="1">
      <c r="B720" s="323" t="inlineStr">
        <is>
          <t>150mm - Gas Tight H/D Cast Iron Clearout (Peepeye)</t>
        </is>
      </c>
      <c r="C720" s="327" t="inlineStr">
        <is>
          <t>ea</t>
        </is>
      </c>
      <c r="D720" s="40" t="n">
        <v>7</v>
      </c>
      <c r="E720" s="605" t="n">
        <v>40</v>
      </c>
      <c r="F720" s="583">
        <f>E720*D720</f>
        <v/>
      </c>
      <c r="G720" t="n">
        <v>6</v>
      </c>
      <c r="H720" s="540" t="inlineStr">
        <is>
          <t>ADOPTED qty per QUANTITY_RECONCILIATION TPS_PAM - 100mm CO adopted 7 (7 'CO' annotations vs 6 counted; H002 n.15 adopt higher)</t>
        </is>
      </c>
    </row>
    <row r="721" ht="14.4" customHeight="1">
      <c r="B721" s="406" t="inlineStr">
        <is>
          <t>150mm Clear Out Cover - L/D - Brass</t>
        </is>
      </c>
      <c r="C721" s="327" t="inlineStr">
        <is>
          <t>ea</t>
        </is>
      </c>
      <c r="D721" s="40" t="n">
        <v>7</v>
      </c>
      <c r="E721" s="605" t="n">
        <v>30</v>
      </c>
      <c r="F721" s="583">
        <f>E721*D721</f>
        <v/>
      </c>
      <c r="G721" t="n">
        <v>6</v>
      </c>
      <c r="H721" s="540" t="inlineStr">
        <is>
          <t>ADOPTED qty per QUANTITY_RECONCILIATION TPS_PAM - CO covers follow CO count 7</t>
        </is>
      </c>
    </row>
    <row r="722" ht="14.4" customHeight="1">
      <c r="B722" s="323" t="inlineStr">
        <is>
          <t>100mm - Gas Tight H/D Cast Iron Clearout (Peepeye)</t>
        </is>
      </c>
      <c r="C722" s="327" t="inlineStr">
        <is>
          <t>ea</t>
        </is>
      </c>
      <c r="E722" s="605" t="n">
        <v>33</v>
      </c>
      <c r="F722" s="583">
        <f>E722*D722</f>
        <v/>
      </c>
    </row>
    <row r="723" ht="14.4" customHeight="1">
      <c r="B723" s="406" t="inlineStr">
        <is>
          <t>100mm Clear Out Cover - L/D - Brass</t>
        </is>
      </c>
      <c r="C723" s="327" t="inlineStr">
        <is>
          <t>ea</t>
        </is>
      </c>
      <c r="E723" s="605" t="n">
        <v>23.26</v>
      </c>
      <c r="F723" s="583">
        <f>E723*D723</f>
        <v/>
      </c>
    </row>
    <row r="724" ht="14.4" customHeight="1">
      <c r="B724" s="406" t="inlineStr">
        <is>
          <t xml:space="preserve">100 mm Inspection Opening </t>
        </is>
      </c>
      <c r="C724" s="327" t="inlineStr">
        <is>
          <t>ea</t>
        </is>
      </c>
      <c r="E724" s="605" t="n">
        <v>50</v>
      </c>
      <c r="F724" s="583">
        <f>E724*D724</f>
        <v/>
      </c>
    </row>
    <row r="725" ht="14.4" customHeight="1">
      <c r="B725" s="323" t="inlineStr">
        <is>
          <t>100mm Trapped point - 100mm Gully Trap</t>
        </is>
      </c>
      <c r="C725" s="327" t="inlineStr">
        <is>
          <t>ea</t>
        </is>
      </c>
      <c r="E725" s="605" t="n">
        <v>7.65</v>
      </c>
      <c r="F725" s="583">
        <f>E725*D725</f>
        <v/>
      </c>
    </row>
    <row r="726" ht="14.4" customHeight="1">
      <c r="B726" s="323" t="inlineStr">
        <is>
          <t>FWG - 100mm Gully Trap</t>
        </is>
      </c>
      <c r="C726" s="327" t="inlineStr">
        <is>
          <t>ea</t>
        </is>
      </c>
      <c r="E726" s="605" t="n">
        <v>7.65</v>
      </c>
      <c r="F726" s="583">
        <f>E726*D726</f>
        <v/>
      </c>
    </row>
    <row r="727" ht="14.4" customHeight="1">
      <c r="B727" s="323" t="inlineStr">
        <is>
          <t>FWG - 100mm 4-way Riser</t>
        </is>
      </c>
      <c r="C727" s="327" t="inlineStr">
        <is>
          <t>ea</t>
        </is>
      </c>
      <c r="D727" s="40" t="n">
        <v>2</v>
      </c>
      <c r="E727" s="605" t="n">
        <v>13.59</v>
      </c>
      <c r="F727" s="583">
        <f>E727*D727</f>
        <v/>
      </c>
    </row>
    <row r="728" ht="14.4" customHeight="1">
      <c r="B728" s="323" t="inlineStr">
        <is>
          <t>FWG - Grate - Tile Insert 100*100 Chrome Plated</t>
        </is>
      </c>
      <c r="C728" s="327" t="inlineStr">
        <is>
          <t>ea</t>
        </is>
      </c>
      <c r="E728" s="605" t="n">
        <v>0</v>
      </c>
      <c r="F728" s="583">
        <f>E728*D728</f>
        <v/>
      </c>
    </row>
    <row r="729" ht="14.4" customHeight="1">
      <c r="B729" s="323" t="inlineStr">
        <is>
          <t>In-Wall TD &amp; View Panel - SS</t>
        </is>
      </c>
      <c r="C729" s="327" t="inlineStr">
        <is>
          <t>ea</t>
        </is>
      </c>
      <c r="D729" s="40" t="n">
        <v>2</v>
      </c>
      <c r="E729" s="605" t="n">
        <v>75</v>
      </c>
      <c r="F729" s="583">
        <f>E729*D729</f>
        <v/>
      </c>
    </row>
    <row r="730" ht="14.4" customHeight="1">
      <c r="B730" s="323" t="n"/>
      <c r="C730" s="327" t="n"/>
      <c r="E730" s="323" t="n"/>
      <c r="F730" s="583">
        <f>E730*D730</f>
        <v/>
      </c>
    </row>
    <row r="731" ht="14.4" customHeight="1">
      <c r="B731" s="323" t="inlineStr">
        <is>
          <t>100mm PVC 10mm nut hanging clip</t>
        </is>
      </c>
      <c r="C731" s="327" t="inlineStr">
        <is>
          <t>ea</t>
        </is>
      </c>
      <c r="E731" s="605" t="n">
        <v>2</v>
      </c>
      <c r="F731" s="583">
        <f>E731*D731</f>
        <v/>
      </c>
    </row>
    <row r="732" ht="14.4" customHeight="1">
      <c r="B732" s="323" t="inlineStr">
        <is>
          <t>50mm PVC 10mm nut hanging clip</t>
        </is>
      </c>
      <c r="C732" s="327" t="inlineStr">
        <is>
          <t>ea</t>
        </is>
      </c>
      <c r="E732" s="605" t="n">
        <v>1.5</v>
      </c>
      <c r="F732" s="583">
        <f>E732*D732</f>
        <v/>
      </c>
    </row>
    <row r="733" ht="14.4" customHeight="1">
      <c r="B733" s="323" t="inlineStr">
        <is>
          <t>10mm Zinc Threaded Rod</t>
        </is>
      </c>
      <c r="C733" s="327" t="inlineStr">
        <is>
          <t>m</t>
        </is>
      </c>
      <c r="E733" s="605">
        <f>E622</f>
        <v/>
      </c>
      <c r="F733" s="583">
        <f>E733*D733</f>
        <v/>
      </c>
    </row>
    <row r="734" ht="14.4" customHeight="1">
      <c r="B734" s="323" t="n"/>
      <c r="C734" s="327" t="n"/>
      <c r="E734" s="605" t="n"/>
      <c r="F734" s="583">
        <f>E734*D734</f>
        <v/>
      </c>
    </row>
    <row r="735" ht="14.4" customHeight="1">
      <c r="B735" s="323" t="inlineStr">
        <is>
          <t>Glue - Blue - 4Ltr</t>
        </is>
      </c>
      <c r="C735" s="327" t="inlineStr">
        <is>
          <t>ea</t>
        </is>
      </c>
      <c r="E735" s="605" t="n">
        <v>26.4</v>
      </c>
      <c r="F735" s="583">
        <f>E735*D735</f>
        <v/>
      </c>
    </row>
    <row r="736" ht="14.4" customHeight="1">
      <c r="B736" s="323" t="inlineStr">
        <is>
          <t>Primer - Red - 4Ltr</t>
        </is>
      </c>
      <c r="C736" s="327" t="inlineStr">
        <is>
          <t>ea</t>
        </is>
      </c>
      <c r="E736" s="605" t="n">
        <v>23</v>
      </c>
      <c r="F736" s="583">
        <f>E736*D736</f>
        <v/>
      </c>
    </row>
    <row r="737" ht="14.4" customHeight="1">
      <c r="B737" s="323" t="inlineStr">
        <is>
          <t>Detectable SEWER Marker Tape - 250m</t>
        </is>
      </c>
      <c r="C737" s="327" t="inlineStr">
        <is>
          <t>ea</t>
        </is>
      </c>
      <c r="E737" s="605" t="n">
        <v>75</v>
      </c>
      <c r="F737" s="583">
        <f>E737*D737</f>
        <v/>
      </c>
    </row>
    <row r="738" ht="14.4" customHeight="1">
      <c r="B738" s="323" t="inlineStr">
        <is>
          <t xml:space="preserve">100mm AbleFlex Roll </t>
        </is>
      </c>
      <c r="C738" s="327" t="inlineStr">
        <is>
          <t>ea</t>
        </is>
      </c>
      <c r="E738" s="605" t="n">
        <v>22</v>
      </c>
      <c r="F738" s="583">
        <f>E738*D738</f>
        <v/>
      </c>
    </row>
    <row r="739" ht="14.4" customHeight="1">
      <c r="B739" s="323" t="inlineStr">
        <is>
          <t>Concrete Mix bag</t>
        </is>
      </c>
      <c r="C739" s="327" t="inlineStr">
        <is>
          <t>ea</t>
        </is>
      </c>
      <c r="E739" s="605" t="n">
        <v>10</v>
      </c>
      <c r="F739" s="583">
        <f>E739*D739</f>
        <v/>
      </c>
    </row>
    <row r="740" ht="14.4" customHeight="1">
      <c r="B740" s="323" t="n"/>
      <c r="C740" s="327" t="n"/>
      <c r="E740" s="605" t="n"/>
      <c r="F740" s="583">
        <f>E740*D740</f>
        <v/>
      </c>
    </row>
    <row r="741" ht="14.4" customHeight="1">
      <c r="B741" s="406" t="inlineStr">
        <is>
          <t>External Sewer Mains fitting</t>
        </is>
      </c>
      <c r="C741" s="327" t="inlineStr">
        <is>
          <t>ea</t>
        </is>
      </c>
      <c r="E741" s="605" t="n">
        <v>520</v>
      </c>
      <c r="F741" s="583">
        <f>E741*D741</f>
        <v/>
      </c>
    </row>
    <row r="742" ht="14.4" customHeight="1">
      <c r="B742" s="406" t="inlineStr">
        <is>
          <t>Vents Complete</t>
        </is>
      </c>
      <c r="C742" s="327" t="inlineStr">
        <is>
          <t>ea</t>
        </is>
      </c>
      <c r="E742" s="605" t="n">
        <v>230</v>
      </c>
      <c r="F742" s="583">
        <f>E742*D742</f>
        <v/>
      </c>
    </row>
    <row r="743" ht="14.4" customHeight="1">
      <c r="B743" s="406" t="inlineStr">
        <is>
          <t>Office Drainage mat</t>
        </is>
      </c>
      <c r="C743" s="327" t="inlineStr">
        <is>
          <t>ea</t>
        </is>
      </c>
      <c r="E743" s="605" t="n">
        <v>2800</v>
      </c>
      <c r="F743" s="583">
        <f>E743*D743</f>
        <v/>
      </c>
    </row>
    <row r="744" ht="14.4" customHeight="1">
      <c r="B744" s="406" t="inlineStr">
        <is>
          <t>Dock Office Drainage Mat</t>
        </is>
      </c>
      <c r="C744" s="327" t="inlineStr">
        <is>
          <t>ea</t>
        </is>
      </c>
      <c r="E744" s="605" t="n">
        <v>950</v>
      </c>
      <c r="F744" s="583">
        <f>E744*D744</f>
        <v/>
      </c>
    </row>
    <row r="745" ht="14.4" customHeight="1">
      <c r="B745" s="406" t="inlineStr">
        <is>
          <t xml:space="preserve">misc. </t>
        </is>
      </c>
      <c r="C745" s="327" t="inlineStr">
        <is>
          <t>ea</t>
        </is>
      </c>
      <c r="E745" s="605" t="n">
        <v>1250</v>
      </c>
      <c r="F745" s="583">
        <f>E745*D745</f>
        <v/>
      </c>
    </row>
    <row r="746" ht="14.4" customHeight="1">
      <c r="B746" s="406" t="inlineStr">
        <is>
          <t xml:space="preserve">Overflow Gully </t>
        </is>
      </c>
      <c r="C746" s="327" t="inlineStr">
        <is>
          <t>ea</t>
        </is>
      </c>
      <c r="D746" s="40" t="n">
        <v>1</v>
      </c>
      <c r="E746" s="610" t="n">
        <v>200</v>
      </c>
      <c r="F746" s="583">
        <f>E746*D746</f>
        <v/>
      </c>
    </row>
    <row r="747" ht="14.4" customHeight="1">
      <c r="B747" s="406" t="inlineStr">
        <is>
          <t>COS</t>
        </is>
      </c>
      <c r="C747" s="327" t="inlineStr">
        <is>
          <t>ea</t>
        </is>
      </c>
      <c r="E747" s="610" t="n">
        <v>120</v>
      </c>
      <c r="F747" s="583">
        <f>E747*D747</f>
        <v/>
      </c>
    </row>
    <row r="748" ht="14.4" customHeight="1">
      <c r="B748" s="406" t="inlineStr">
        <is>
          <t>Articulation/expansion joint hardware - H1 'P' adder (PAM)</t>
        </is>
      </c>
      <c r="C748" s="327" t="inlineStr">
        <is>
          <t>item</t>
        </is>
      </c>
      <c r="D748" t="n">
        <v>1</v>
      </c>
      <c r="E748" s="605" t="n">
        <v>750</v>
      </c>
      <c r="F748" s="583">
        <f>E748*D748</f>
        <v/>
      </c>
      <c r="H748" s="540" t="inlineStr">
        <is>
          <t>NewItems #12 allowance ~7 joints @ ~$100 - pending Storm Plastics RFQ; as NBC basis</t>
        </is>
      </c>
    </row>
    <row r="749" ht="14.4" customHeight="1">
      <c r="B749" s="406" t="inlineStr">
        <is>
          <t>SIVEL EXPANSION JOINT</t>
        </is>
      </c>
      <c r="C749" s="327" t="inlineStr">
        <is>
          <t>ea</t>
        </is>
      </c>
      <c r="D749" s="40" t="n">
        <v>1</v>
      </c>
      <c r="E749" s="610" t="n">
        <v>100</v>
      </c>
      <c r="F749" s="583">
        <f>E749*D749</f>
        <v/>
      </c>
    </row>
    <row r="750" ht="14.4" customHeight="1">
      <c r="B750" s="447" t="inlineStr">
        <is>
          <t>FWG</t>
        </is>
      </c>
      <c r="C750" s="327" t="inlineStr">
        <is>
          <t>ea</t>
        </is>
      </c>
      <c r="D750" s="40" t="n">
        <v>4</v>
      </c>
      <c r="E750" s="610" t="n">
        <v>250</v>
      </c>
      <c r="F750" s="583">
        <f>E750*D750</f>
        <v/>
      </c>
      <c r="G750" t="n">
        <v>3</v>
      </c>
      <c r="H750" s="540" t="inlineStr">
        <is>
          <t>ADOPTED qty per QUANTITY_RECONCILIATION TPS_PAM - FWG 4 drawn on H-PAM-100 (adopt higher)</t>
        </is>
      </c>
    </row>
    <row r="751" ht="14.4" customHeight="1">
      <c r="B751" s="409" t="inlineStr">
        <is>
          <t>Fire Collars &amp; Misc</t>
        </is>
      </c>
      <c r="C751" s="327" t="inlineStr">
        <is>
          <t>ea</t>
        </is>
      </c>
      <c r="E751" s="605" t="n">
        <v>300</v>
      </c>
      <c r="F751" s="583">
        <f>E751*D751</f>
        <v/>
      </c>
    </row>
    <row r="752" ht="14.4" customHeight="1">
      <c r="B752" s="409" t="inlineStr">
        <is>
          <t xml:space="preserve">plaster /slip trap </t>
        </is>
      </c>
      <c r="C752" s="327" t="inlineStr">
        <is>
          <t>ea</t>
        </is>
      </c>
      <c r="E752" s="610" t="n">
        <v>1200</v>
      </c>
      <c r="F752" s="583">
        <f>E752*D752</f>
        <v/>
      </c>
    </row>
    <row r="753" ht="14.4" customHeight="1">
      <c r="B753" s="409" t="n"/>
      <c r="C753" s="327" t="n"/>
      <c r="E753" s="610" t="n"/>
      <c r="F753" s="583" t="n"/>
    </row>
    <row r="754" ht="14.4" customHeight="1">
      <c r="B754" s="409" t="n"/>
      <c r="C754" s="327" t="n"/>
      <c r="E754" s="610" t="n"/>
      <c r="F754" s="583" t="n"/>
    </row>
    <row r="755" ht="14.4" customHeight="1">
      <c r="B755" s="324" t="inlineStr">
        <is>
          <t xml:space="preserve">Vent </t>
        </is>
      </c>
      <c r="C755" s="327" t="n"/>
      <c r="E755" s="610" t="n"/>
      <c r="F755" s="583" t="n"/>
    </row>
    <row r="756" ht="14.4" customHeight="1">
      <c r="B756" s="409" t="n"/>
      <c r="C756" s="327" t="n"/>
      <c r="E756" s="605" t="n"/>
      <c r="F756" s="583" t="n"/>
    </row>
    <row r="757" ht="14.4" customHeight="1">
      <c r="B757" s="447" t="inlineStr">
        <is>
          <t>DWV PVC PIPE 65MM SN 6</t>
        </is>
      </c>
      <c r="C757" s="445" t="inlineStr">
        <is>
          <t>m</t>
        </is>
      </c>
      <c r="D757" s="40" t="n">
        <v>1.93</v>
      </c>
      <c r="E757" s="605" t="n">
        <v>5.25</v>
      </c>
      <c r="F757" s="583">
        <f>E757*D757</f>
        <v/>
      </c>
      <c r="G757" t="n">
        <v>2</v>
      </c>
      <c r="H757" s="540" t="inlineStr">
        <is>
          <t>ADOPTED qty per QUANTITY_RECONCILIATION TPS_PAM - 65 vent horizontal 1.93 m (vertical riser added below)</t>
        </is>
      </c>
    </row>
    <row r="758" ht="15" customHeight="1">
      <c r="B758" s="38" t="inlineStr">
        <is>
          <t xml:space="preserve">DWV BEND 65X90 DEG </t>
        </is>
      </c>
      <c r="C758" s="40" t="inlineStr">
        <is>
          <t>ea</t>
        </is>
      </c>
      <c r="D758" s="40" t="n">
        <v>1</v>
      </c>
      <c r="E758" s="583" t="n">
        <v>3</v>
      </c>
      <c r="F758" s="583">
        <f>E758*D758</f>
        <v/>
      </c>
    </row>
    <row r="759" ht="16.5" customHeight="1">
      <c r="B759" s="38" t="inlineStr">
        <is>
          <t xml:space="preserve">DWV BEND  65 X 45 DEG </t>
        </is>
      </c>
      <c r="C759" s="40" t="inlineStr">
        <is>
          <t>ea</t>
        </is>
      </c>
      <c r="D759" s="40" t="n">
        <v>1</v>
      </c>
      <c r="E759" s="583" t="n">
        <v>2.5</v>
      </c>
      <c r="F759" s="583">
        <f>E759*D759</f>
        <v/>
      </c>
    </row>
    <row r="760"/>
    <row r="761">
      <c r="B761" t="inlineStr">
        <is>
          <t>Vertical vent riser O65 VP to above roof - height + flashing allowance</t>
        </is>
      </c>
      <c r="C761" t="inlineStr">
        <is>
          <t>EA</t>
        </is>
      </c>
      <c r="D761" t="n">
        <v>1</v>
      </c>
      <c r="E761" t="n">
        <v>85</v>
      </c>
      <c r="F761">
        <f>E761*D761</f>
        <v/>
      </c>
      <c r="H761" s="540" t="inlineStr">
        <is>
          <t>NewItems #8 allowance - single riser, height from section at Phase 6</t>
        </is>
      </c>
    </row>
    <row r="762"/>
    <row r="763"/>
    <row r="764" ht="14.4" customHeight="1">
      <c r="B764" s="324" t="inlineStr">
        <is>
          <t>STORMWATER DRAINAGE</t>
        </is>
      </c>
    </row>
    <row r="765" ht="14.4" customHeight="1">
      <c r="B765" s="326" t="inlineStr">
        <is>
          <t>Description</t>
        </is>
      </c>
    </row>
    <row r="766" ht="14.4" customHeight="1">
      <c r="B766" s="323" t="n"/>
    </row>
    <row r="767" ht="14.4" customHeight="1">
      <c r="B767" s="323" t="inlineStr">
        <is>
          <t>Roof-DP in-ground connection stub (allow 2 m O100 DWV + bend + coupling)</t>
        </is>
      </c>
      <c r="C767" t="inlineStr">
        <is>
          <t>EA</t>
        </is>
      </c>
      <c r="D767" t="n">
        <v>4</v>
      </c>
      <c r="E767" t="n">
        <v>40</v>
      </c>
      <c r="F767">
        <f>E767*D767</f>
        <v/>
      </c>
      <c r="H767" s="540" t="inlineStr">
        <is>
          <t>ADOPTED 4 EA (NewItems #6); PAM sheets show NO 'connect to civil' note - connection point undefined, RFI CL C8; civil beyond is TCS</t>
        </is>
      </c>
    </row>
    <row r="768" ht="14.4" customHeight="1">
      <c r="B768" s="406" t="inlineStr">
        <is>
          <t>PIPE 600MM - RIBBED</t>
        </is>
      </c>
      <c r="C768" s="327" t="inlineStr">
        <is>
          <t>m</t>
        </is>
      </c>
      <c r="E768" s="609" t="n">
        <v>165.6</v>
      </c>
      <c r="F768" s="583">
        <f>E768*D768</f>
        <v/>
      </c>
    </row>
    <row r="769" ht="14.4" customHeight="1">
      <c r="B769" s="406" t="inlineStr">
        <is>
          <t>PIPE 450MM - RIBBED</t>
        </is>
      </c>
      <c r="C769" s="327" t="inlineStr">
        <is>
          <t>m</t>
        </is>
      </c>
      <c r="E769" s="609" t="n">
        <v>89.69999999999999</v>
      </c>
      <c r="F769" s="583">
        <f>E769*D769</f>
        <v/>
      </c>
    </row>
    <row r="770" ht="14.4" customHeight="1">
      <c r="B770" s="406" t="inlineStr">
        <is>
          <t xml:space="preserve">PIPE 375MM - RIBBED BLACK MAX </t>
        </is>
      </c>
      <c r="C770" s="327" t="inlineStr">
        <is>
          <t>m</t>
        </is>
      </c>
      <c r="E770" s="609" t="n">
        <v>66.23999999999999</v>
      </c>
      <c r="F770" s="583">
        <f>E770*D770</f>
        <v/>
      </c>
    </row>
    <row r="771" ht="14.4" customHeight="1">
      <c r="B771" s="406" t="inlineStr">
        <is>
          <t xml:space="preserve">PIPE 300MM - RIBBED BLACK MAX </t>
        </is>
      </c>
      <c r="C771" s="327" t="inlineStr">
        <is>
          <t>m</t>
        </is>
      </c>
      <c r="E771" s="609" t="n">
        <v>0</v>
      </c>
      <c r="F771" s="583">
        <f>E771*D771</f>
        <v/>
      </c>
    </row>
    <row r="772" ht="14.4" customHeight="1">
      <c r="B772" s="406" t="inlineStr">
        <is>
          <t>PIPE DWV SN8 PVC S/WELD  375MM</t>
        </is>
      </c>
      <c r="C772" s="327" t="inlineStr">
        <is>
          <t>m</t>
        </is>
      </c>
      <c r="E772" s="609" t="n">
        <v>85.10459999999999</v>
      </c>
      <c r="F772" s="583">
        <f>E772*D772</f>
        <v/>
      </c>
    </row>
    <row r="773" ht="14.4" customHeight="1">
      <c r="B773" s="406" t="inlineStr">
        <is>
          <t>PIPE DWV SN8 PVC S/WELD  300MM</t>
        </is>
      </c>
      <c r="C773" s="327" t="inlineStr">
        <is>
          <t>m</t>
        </is>
      </c>
      <c r="E773" s="609" t="n">
        <v>84.17999999999999</v>
      </c>
      <c r="F773" s="583">
        <f>E773*D773</f>
        <v/>
      </c>
    </row>
    <row r="774" ht="14.4" customHeight="1">
      <c r="B774" s="323" t="inlineStr">
        <is>
          <t>PIPE DWV SN4 PVC S/WELD  300MM</t>
        </is>
      </c>
      <c r="C774" s="327" t="inlineStr">
        <is>
          <t>m</t>
        </is>
      </c>
      <c r="E774" s="609" t="n">
        <v>68.77</v>
      </c>
      <c r="F774" s="583">
        <f>E774*D774</f>
        <v/>
      </c>
    </row>
    <row r="775" ht="14.4" customHeight="1">
      <c r="B775" s="323" t="inlineStr">
        <is>
          <t>PIPE SW H/D PVC S/WELD  300MM</t>
        </is>
      </c>
      <c r="C775" s="327" t="inlineStr">
        <is>
          <t>m</t>
        </is>
      </c>
      <c r="E775" s="609" t="n">
        <v>55.2</v>
      </c>
      <c r="F775" s="583">
        <f>E775*D775</f>
        <v/>
      </c>
    </row>
    <row r="776" ht="14.4" customHeight="1">
      <c r="B776" s="406" t="inlineStr">
        <is>
          <t>PIPE DWV SN8 PVC S/WELD  225MM</t>
        </is>
      </c>
      <c r="C776" s="327" t="inlineStr">
        <is>
          <t>m</t>
        </is>
      </c>
      <c r="E776" s="609" t="n">
        <v>55.2</v>
      </c>
      <c r="F776" s="583">
        <f>E776*D776</f>
        <v/>
      </c>
    </row>
    <row r="777" ht="14.4" customHeight="1">
      <c r="B777" s="406" t="inlineStr">
        <is>
          <t>PIPE DWV SN4 PVC S/WELD  225MM</t>
        </is>
      </c>
      <c r="C777" s="327" t="inlineStr">
        <is>
          <t>m</t>
        </is>
      </c>
      <c r="E777" s="609" t="n">
        <v>42.77999999999999</v>
      </c>
      <c r="F777" s="583">
        <f>E777*D777</f>
        <v/>
      </c>
    </row>
    <row r="778" ht="14.4" customHeight="1">
      <c r="B778" s="323" t="inlineStr">
        <is>
          <t>PIPE SW H/D PVC S/WELD  225MM</t>
        </is>
      </c>
      <c r="C778" s="327" t="inlineStr">
        <is>
          <t>m</t>
        </is>
      </c>
      <c r="E778" s="609" t="n">
        <v>32.66</v>
      </c>
      <c r="F778" s="583">
        <f>E778*D778</f>
        <v/>
      </c>
    </row>
    <row r="779" ht="14.4" customHeight="1">
      <c r="B779" s="406" t="inlineStr">
        <is>
          <t>PIPE DWV SN8 PVC S/WELD  150MM</t>
        </is>
      </c>
      <c r="C779" s="327" t="inlineStr">
        <is>
          <t>m</t>
        </is>
      </c>
      <c r="E779" s="609" t="n">
        <v>19.55</v>
      </c>
      <c r="F779" s="583">
        <f>E779*D779</f>
        <v/>
      </c>
    </row>
    <row r="780" ht="14.4" customHeight="1">
      <c r="B780" s="323" t="inlineStr">
        <is>
          <t>PIPE DWV SN4 PVC S/WELD  150MM</t>
        </is>
      </c>
      <c r="C780" s="327" t="inlineStr">
        <is>
          <t>m</t>
        </is>
      </c>
      <c r="E780" s="609" t="n">
        <v>16.1</v>
      </c>
      <c r="F780" s="583">
        <f>E780*D780</f>
        <v/>
      </c>
    </row>
    <row r="781" ht="14.4" customHeight="1">
      <c r="B781" s="323" t="inlineStr">
        <is>
          <t>PIPE DWV SN8 PVC S/WELD  150MM - Suspended</t>
        </is>
      </c>
      <c r="C781" s="327" t="inlineStr">
        <is>
          <t>m</t>
        </is>
      </c>
      <c r="E781" s="609" t="n">
        <v>19.55</v>
      </c>
      <c r="F781" s="583">
        <f>E781*D781</f>
        <v/>
      </c>
    </row>
    <row r="782" ht="14.4" customHeight="1">
      <c r="B782" s="406" t="inlineStr">
        <is>
          <t>PIPE DWV SN4 PVC S/WELD  150MM</t>
        </is>
      </c>
      <c r="C782" s="405" t="inlineStr">
        <is>
          <t>m</t>
        </is>
      </c>
      <c r="E782" s="609" t="n">
        <v>16.56</v>
      </c>
      <c r="F782" s="583">
        <f>E782*D782</f>
        <v/>
      </c>
    </row>
    <row r="783" ht="14.4" customHeight="1">
      <c r="B783" s="406" t="inlineStr">
        <is>
          <t>PIPE DWV SN8 PVC S/WELD  100MM</t>
        </is>
      </c>
      <c r="C783" s="405" t="inlineStr">
        <is>
          <t>m</t>
        </is>
      </c>
      <c r="E783" s="609">
        <f>(2415.3/(83*6))*1.38</f>
        <v/>
      </c>
      <c r="F783" s="583">
        <f>E783*D783</f>
        <v/>
      </c>
    </row>
    <row r="784" ht="14.4" customHeight="1">
      <c r="B784" s="406" t="inlineStr">
        <is>
          <t>PIPE DWV SN4 PVC S/WELD  100MM</t>
        </is>
      </c>
      <c r="C784" s="405" t="inlineStr">
        <is>
          <t>m</t>
        </is>
      </c>
      <c r="E784" s="609" t="n">
        <v>6.899999999999999</v>
      </c>
      <c r="F784" s="583">
        <f>E784*D784</f>
        <v/>
      </c>
    </row>
    <row r="785" ht="14.4" customHeight="1">
      <c r="B785" s="406" t="inlineStr">
        <is>
          <t>PIPE DWV SN8 PVC S/WELD  50MM</t>
        </is>
      </c>
      <c r="C785" s="405" t="inlineStr">
        <is>
          <t>m</t>
        </is>
      </c>
      <c r="E785" s="609">
        <f>(2415.3/(83*6))*1.38</f>
        <v/>
      </c>
      <c r="F785" s="583">
        <f>E785*D785</f>
        <v/>
      </c>
    </row>
    <row r="786" ht="14.4" customHeight="1">
      <c r="B786" s="406" t="n"/>
      <c r="C786" s="405" t="n"/>
      <c r="E786" s="609" t="n">
        <v>0</v>
      </c>
      <c r="F786" s="583">
        <f>E786*D786</f>
        <v/>
      </c>
    </row>
    <row r="787" ht="14.4" customHeight="1">
      <c r="B787" s="334" t="inlineStr">
        <is>
          <t>DWV Grade Option</t>
        </is>
      </c>
      <c r="C787" s="327" t="n"/>
      <c r="E787" s="609" t="n">
        <v>0</v>
      </c>
      <c r="F787" s="583">
        <f>E787*D787</f>
        <v/>
      </c>
    </row>
    <row r="788" ht="14.4" customHeight="1">
      <c r="B788" s="406" t="n"/>
      <c r="C788" s="327" t="inlineStr">
        <is>
          <t>ea</t>
        </is>
      </c>
      <c r="E788" s="609" t="n">
        <v>0</v>
      </c>
      <c r="F788" s="583">
        <f>E788*D788</f>
        <v/>
      </c>
    </row>
    <row r="789" ht="14.4" customHeight="1">
      <c r="B789" t="inlineStr">
        <is>
          <t>600*225 Ribbed Saddle</t>
        </is>
      </c>
      <c r="C789" s="327" t="inlineStr">
        <is>
          <t>ea</t>
        </is>
      </c>
      <c r="E789" s="609" t="n">
        <v>676.1999999999999</v>
      </c>
      <c r="F789" s="583">
        <f>E789*D789</f>
        <v/>
      </c>
    </row>
    <row r="790" ht="14.4" customHeight="1">
      <c r="B790" t="inlineStr">
        <is>
          <t>600*45Deg RIBBED Bend</t>
        </is>
      </c>
      <c r="C790" s="327" t="inlineStr">
        <is>
          <t>ea</t>
        </is>
      </c>
      <c r="E790" s="609" t="n">
        <v>896.9999999999999</v>
      </c>
      <c r="F790" s="583">
        <f>E790*D790</f>
        <v/>
      </c>
    </row>
    <row r="791" ht="14.4" customHeight="1">
      <c r="B791" t="inlineStr">
        <is>
          <t>600*450 Ribbed Reducer</t>
        </is>
      </c>
      <c r="C791" s="327" t="inlineStr">
        <is>
          <t>ea</t>
        </is>
      </c>
      <c r="E791" s="609" t="n">
        <v>1518</v>
      </c>
      <c r="F791" s="583">
        <f>E791*D791</f>
        <v/>
      </c>
    </row>
    <row r="792" ht="14.4" customHeight="1">
      <c r="B792" t="inlineStr">
        <is>
          <t>450*375 Ribbed*PVC Reducer</t>
        </is>
      </c>
      <c r="C792" s="327" t="inlineStr">
        <is>
          <t>ea</t>
        </is>
      </c>
      <c r="E792" s="609" t="n">
        <v>634.8</v>
      </c>
      <c r="F792" s="583">
        <f>E792*D792</f>
        <v/>
      </c>
    </row>
    <row r="793" ht="14.4" customHeight="1">
      <c r="B793" t="inlineStr">
        <is>
          <t>450 45 Deg ribbed Bend</t>
        </is>
      </c>
      <c r="C793" s="327" t="inlineStr">
        <is>
          <t>ea</t>
        </is>
      </c>
      <c r="E793" s="609" t="n">
        <v>800.4</v>
      </c>
      <c r="F793" s="583">
        <f>E793*D793</f>
        <v/>
      </c>
    </row>
    <row r="794" ht="14.4" customHeight="1">
      <c r="B794" t="inlineStr">
        <is>
          <t>450 * 225 Ribbed Saddle</t>
        </is>
      </c>
      <c r="C794" s="327" t="inlineStr">
        <is>
          <t>ea</t>
        </is>
      </c>
      <c r="E794" s="609" t="n">
        <v>441.6</v>
      </c>
      <c r="F794" s="583">
        <f>E794*D794</f>
        <v/>
      </c>
    </row>
    <row r="795" ht="14.4" customHeight="1">
      <c r="B795" s="406" t="inlineStr">
        <is>
          <t>375mm X 45Deg Junction</t>
        </is>
      </c>
      <c r="C795" s="327" t="inlineStr">
        <is>
          <t>ea</t>
        </is>
      </c>
      <c r="E795" s="609" t="n">
        <v>579.5999999999999</v>
      </c>
      <c r="F795" s="583">
        <f>E795*D795</f>
        <v/>
      </c>
    </row>
    <row r="796" ht="14.4" customHeight="1">
      <c r="B796" s="406" t="inlineStr">
        <is>
          <t>375X300X45D PVC JUNCTION</t>
        </is>
      </c>
      <c r="C796" s="327" t="inlineStr">
        <is>
          <t>ea</t>
        </is>
      </c>
      <c r="E796" s="609" t="n">
        <v>776.0981999999999</v>
      </c>
      <c r="F796" s="583">
        <f>E796*D796</f>
        <v/>
      </c>
    </row>
    <row r="797" ht="14.4" customHeight="1">
      <c r="B797" s="406" t="inlineStr">
        <is>
          <t>375X225X45D PVC JUNCTION</t>
        </is>
      </c>
      <c r="C797" s="327" t="inlineStr">
        <is>
          <t>ea</t>
        </is>
      </c>
      <c r="E797" s="609" t="n">
        <v>777.4781999999999</v>
      </c>
      <c r="F797" s="583">
        <f>E797*D797</f>
        <v/>
      </c>
    </row>
    <row r="798" ht="14.4" customHeight="1">
      <c r="B798" s="406" t="inlineStr">
        <is>
          <t>375MM X 300MM Reducer</t>
        </is>
      </c>
      <c r="C798" s="327" t="inlineStr">
        <is>
          <t>ea</t>
        </is>
      </c>
      <c r="E798" s="609" t="n">
        <v>524.4</v>
      </c>
      <c r="F798" s="583">
        <f>E798*D798</f>
        <v/>
      </c>
    </row>
    <row r="799" ht="14.4" customHeight="1">
      <c r="B799" s="406" t="inlineStr">
        <is>
          <t>375MM X 225MM Reducer</t>
        </is>
      </c>
      <c r="C799" s="327" t="inlineStr">
        <is>
          <t>ea</t>
        </is>
      </c>
      <c r="E799" s="609" t="n">
        <v>496.8</v>
      </c>
      <c r="F799" s="583">
        <f>E799*D799</f>
        <v/>
      </c>
    </row>
    <row r="800" ht="14.4" customHeight="1">
      <c r="B800" s="406" t="inlineStr">
        <is>
          <t>375MM X 90Deg Bend</t>
        </is>
      </c>
      <c r="C800" s="327" t="inlineStr">
        <is>
          <t>ea</t>
        </is>
      </c>
      <c r="E800" s="609" t="n">
        <v>745.1999999999999</v>
      </c>
      <c r="F800" s="583">
        <f>E800*D800</f>
        <v/>
      </c>
    </row>
    <row r="801" ht="14.4" customHeight="1">
      <c r="B801" s="406" t="inlineStr">
        <is>
          <t>375MM X 45Deg Bend</t>
        </is>
      </c>
      <c r="C801" s="327" t="inlineStr">
        <is>
          <t>ea</t>
        </is>
      </c>
      <c r="E801" s="609" t="n">
        <v>621</v>
      </c>
      <c r="F801" s="583">
        <f>E801*D801</f>
        <v/>
      </c>
    </row>
    <row r="802" ht="14.4" customHeight="1">
      <c r="B802" s="406" t="inlineStr">
        <is>
          <t>300MM * 45D PVC JUNCTION</t>
        </is>
      </c>
      <c r="C802" s="327" t="inlineStr">
        <is>
          <t>ea</t>
        </is>
      </c>
      <c r="E802" s="609" t="n">
        <v>496.8</v>
      </c>
      <c r="F802" s="583">
        <f>E802*D802</f>
        <v/>
      </c>
    </row>
    <row r="803" ht="14.4" customHeight="1">
      <c r="B803" s="406" t="inlineStr">
        <is>
          <t>300X225X45D PVC JUNCTION</t>
        </is>
      </c>
      <c r="C803" s="327" t="inlineStr">
        <is>
          <t>ea</t>
        </is>
      </c>
      <c r="E803" s="609" t="n">
        <v>441.6</v>
      </c>
      <c r="F803" s="583">
        <f>E803*D803</f>
        <v/>
      </c>
    </row>
    <row r="804" ht="14.4" customHeight="1">
      <c r="B804" s="406" t="inlineStr">
        <is>
          <t>300MM X 225MM Reducer</t>
        </is>
      </c>
      <c r="C804" s="327" t="inlineStr">
        <is>
          <t>ea</t>
        </is>
      </c>
      <c r="E804" s="609" t="n">
        <v>262.2</v>
      </c>
      <c r="F804" s="583">
        <f>E804*D804</f>
        <v/>
      </c>
    </row>
    <row r="805" ht="14.4" customHeight="1">
      <c r="B805" s="406" t="inlineStr">
        <is>
          <t>300MM X 90Deg Bend</t>
        </is>
      </c>
      <c r="C805" s="327" t="inlineStr">
        <is>
          <t>ea</t>
        </is>
      </c>
      <c r="E805" s="609" t="n">
        <v>345</v>
      </c>
      <c r="F805" s="583">
        <f>E805*D805</f>
        <v/>
      </c>
    </row>
    <row r="806" ht="14.4" customHeight="1">
      <c r="B806" s="406" t="inlineStr">
        <is>
          <t>300MM X 45Deg Bend</t>
        </is>
      </c>
      <c r="C806" s="327" t="inlineStr">
        <is>
          <t>ea</t>
        </is>
      </c>
      <c r="E806" s="609" t="n">
        <v>262.2</v>
      </c>
      <c r="F806" s="583">
        <f>E806*D806</f>
        <v/>
      </c>
    </row>
    <row r="807" ht="14.4" customHeight="1">
      <c r="B807" s="406" t="inlineStr">
        <is>
          <t>300MM X 150 Junction</t>
        </is>
      </c>
      <c r="C807" s="327" t="inlineStr">
        <is>
          <t>ea</t>
        </is>
      </c>
      <c r="E807" s="609" t="n">
        <v>455.4</v>
      </c>
      <c r="F807" s="583">
        <f>E807*D807</f>
        <v/>
      </c>
    </row>
    <row r="808" ht="14.4" customHeight="1">
      <c r="B808" s="406" t="inlineStr">
        <is>
          <t>225MM * 45D PVC JUNCTION</t>
        </is>
      </c>
      <c r="C808" s="327" t="inlineStr">
        <is>
          <t>ea</t>
        </is>
      </c>
      <c r="E808" s="609" t="n">
        <v>117.645</v>
      </c>
      <c r="F808" s="583">
        <f>E808*D808</f>
        <v/>
      </c>
    </row>
    <row r="809" ht="14.4" customHeight="1">
      <c r="B809" s="406" t="inlineStr">
        <is>
          <t>225X150X45D PVC JUNCTION</t>
        </is>
      </c>
      <c r="C809" s="327" t="inlineStr">
        <is>
          <t>ea</t>
        </is>
      </c>
      <c r="E809" s="609" t="n">
        <v>289.8</v>
      </c>
      <c r="F809" s="583">
        <f>E809*D809</f>
        <v/>
      </c>
    </row>
    <row r="810" ht="14.4" customHeight="1">
      <c r="B810" s="406" t="inlineStr">
        <is>
          <t>225MM X 90Deg Bend</t>
        </is>
      </c>
      <c r="C810" s="327" t="inlineStr">
        <is>
          <t>ea</t>
        </is>
      </c>
      <c r="E810" s="609" t="n">
        <v>85.55999999999999</v>
      </c>
      <c r="F810" s="583">
        <f>E810*D810</f>
        <v/>
      </c>
    </row>
    <row r="811" ht="14.4" customHeight="1">
      <c r="B811" s="406" t="inlineStr">
        <is>
          <t>225MM X 45Deg Bend</t>
        </is>
      </c>
      <c r="C811" s="327" t="inlineStr">
        <is>
          <t>ea</t>
        </is>
      </c>
      <c r="E811" s="609" t="n">
        <v>84.17999999999999</v>
      </c>
      <c r="F811" s="583">
        <f>E811*D811</f>
        <v/>
      </c>
    </row>
    <row r="812" ht="14.4" customHeight="1">
      <c r="B812" s="406" t="inlineStr">
        <is>
          <t>225MM X 150MM Reducer</t>
        </is>
      </c>
      <c r="C812" s="405" t="inlineStr">
        <is>
          <t>ea</t>
        </is>
      </c>
      <c r="E812" s="609" t="n">
        <v>62.09999999999999</v>
      </c>
      <c r="F812" s="583">
        <f>E812*D812</f>
        <v/>
      </c>
    </row>
    <row r="813" ht="14.4" customHeight="1">
      <c r="B813" s="406" t="inlineStr">
        <is>
          <t>150 PVC DWV 45Deg Junct</t>
        </is>
      </c>
      <c r="C813" s="327" t="inlineStr">
        <is>
          <t>ea</t>
        </is>
      </c>
      <c r="E813" s="609" t="n">
        <v>24.84</v>
      </c>
      <c r="F813" s="583">
        <f>E813*D813</f>
        <v/>
      </c>
    </row>
    <row r="814" ht="14.4" customHeight="1">
      <c r="B814" s="406" t="inlineStr">
        <is>
          <t>150MM X 90Deg Bend</t>
        </is>
      </c>
      <c r="C814" s="327" t="inlineStr">
        <is>
          <t>ea</t>
        </is>
      </c>
      <c r="E814" s="609" t="n">
        <v>22.08</v>
      </c>
      <c r="F814" s="583">
        <f>E814*D814</f>
        <v/>
      </c>
    </row>
    <row r="815" ht="14.4" customHeight="1">
      <c r="B815" s="406" t="inlineStr">
        <is>
          <t>150MM X 45Deg Bend</t>
        </is>
      </c>
      <c r="C815" s="327" t="inlineStr">
        <is>
          <t>ea</t>
        </is>
      </c>
      <c r="E815" s="609" t="n">
        <v>16.56</v>
      </c>
      <c r="F815" s="583">
        <f>E815*D815</f>
        <v/>
      </c>
    </row>
    <row r="816" ht="14.4" customHeight="1">
      <c r="B816" s="406" t="inlineStr">
        <is>
          <t>150X100X45D PVC JUNCTION</t>
        </is>
      </c>
      <c r="C816" s="405" t="inlineStr">
        <is>
          <t>ea</t>
        </is>
      </c>
      <c r="E816" s="609" t="n">
        <v>22.08</v>
      </c>
      <c r="F816" s="583">
        <f>E816*D816</f>
        <v/>
      </c>
    </row>
    <row r="817" ht="14.4" customHeight="1">
      <c r="B817" s="406" t="inlineStr">
        <is>
          <t>PVC PIPE REDUCER 150X 100 mm</t>
        </is>
      </c>
      <c r="C817" s="405" t="inlineStr">
        <is>
          <t>ea</t>
        </is>
      </c>
      <c r="E817" s="609" t="n">
        <v>22.08</v>
      </c>
      <c r="F817" s="583">
        <f>E817*D817</f>
        <v/>
      </c>
    </row>
    <row r="818" ht="14.4" customHeight="1">
      <c r="B818" s="406" t="inlineStr">
        <is>
          <t xml:space="preserve">100MM * 45D PVC JUNCTION </t>
        </is>
      </c>
      <c r="C818" s="405" t="inlineStr">
        <is>
          <t>ea</t>
        </is>
      </c>
      <c r="E818" s="609" t="n">
        <v>6.486</v>
      </c>
      <c r="F818" s="583">
        <f>E818*D818</f>
        <v/>
      </c>
    </row>
    <row r="819" ht="14.4" customHeight="1">
      <c r="B819" s="406" t="inlineStr">
        <is>
          <t>100X50 X45D PVC JUNCTION</t>
        </is>
      </c>
      <c r="C819" s="405" t="inlineStr">
        <is>
          <t>ea</t>
        </is>
      </c>
      <c r="E819" s="609" t="n">
        <v>22.08</v>
      </c>
      <c r="F819" s="583">
        <f>E819*D819</f>
        <v/>
      </c>
    </row>
    <row r="820" ht="14.4" customHeight="1">
      <c r="B820" s="406" t="inlineStr">
        <is>
          <t>PVC PIPE REDUCER 100X 50 mm</t>
        </is>
      </c>
      <c r="C820" s="405" t="inlineStr">
        <is>
          <t>ea</t>
        </is>
      </c>
      <c r="E820" s="609" t="n">
        <v>22.08</v>
      </c>
      <c r="F820" s="583">
        <f>E820*D820</f>
        <v/>
      </c>
    </row>
    <row r="821" ht="14.4" customHeight="1">
      <c r="B821" s="406" t="inlineStr">
        <is>
          <t>100MM X 90Deg Bend</t>
        </is>
      </c>
      <c r="C821" s="405" t="inlineStr">
        <is>
          <t>ea</t>
        </is>
      </c>
      <c r="E821" s="609" t="n">
        <v>16.56</v>
      </c>
      <c r="F821" s="583">
        <f>E821*D821</f>
        <v/>
      </c>
    </row>
    <row r="822" ht="14.4" customHeight="1">
      <c r="B822" s="406" t="inlineStr">
        <is>
          <t>100MM X 45Deg Bend</t>
        </is>
      </c>
      <c r="C822" s="405" t="inlineStr">
        <is>
          <t>ea</t>
        </is>
      </c>
      <c r="E822" s="609" t="n">
        <v>16.56</v>
      </c>
      <c r="F822" s="583">
        <f>E822*D822</f>
        <v/>
      </c>
    </row>
    <row r="823" ht="14.4" customHeight="1">
      <c r="B823" s="406" t="inlineStr">
        <is>
          <t>50 PVC X 45D PVC JUNCTION</t>
        </is>
      </c>
      <c r="C823" s="405" t="inlineStr">
        <is>
          <t>ea</t>
        </is>
      </c>
      <c r="E823" s="609" t="n">
        <v>19.32</v>
      </c>
      <c r="F823" s="583">
        <f>E823*D823</f>
        <v/>
      </c>
    </row>
    <row r="824" ht="14.4" customHeight="1">
      <c r="B824" s="406" t="inlineStr">
        <is>
          <t>50MM X 90Deg  PVC Bend</t>
        </is>
      </c>
      <c r="C824" s="405" t="inlineStr">
        <is>
          <t>ea</t>
        </is>
      </c>
      <c r="E824" s="609" t="n">
        <v>0.8969999999999999</v>
      </c>
      <c r="F824" s="583">
        <f>E824*D824</f>
        <v/>
      </c>
    </row>
    <row r="825" ht="14.4" customHeight="1">
      <c r="B825" s="406" t="inlineStr">
        <is>
          <t>50MM X 45Deg  PVC Bend</t>
        </is>
      </c>
      <c r="C825" s="405" t="inlineStr">
        <is>
          <t>ea</t>
        </is>
      </c>
      <c r="E825" s="609" t="n">
        <v>0.8969999999999999</v>
      </c>
      <c r="F825" s="583">
        <f>E825*D825</f>
        <v/>
      </c>
    </row>
    <row r="826" ht="14.4" customHeight="1">
      <c r="B826" s="406" t="n"/>
      <c r="C826" s="405" t="n"/>
      <c r="E826" s="609" t="n">
        <v>0</v>
      </c>
      <c r="F826" s="583">
        <f>E826*D826</f>
        <v/>
      </c>
    </row>
    <row r="827" ht="14.4" customHeight="1">
      <c r="B827" s="406" t="n"/>
      <c r="C827" s="405" t="n"/>
      <c r="E827" s="609" t="n">
        <v>0</v>
      </c>
      <c r="F827" s="583">
        <f>E827*D827</f>
        <v/>
      </c>
    </row>
    <row r="828" ht="14.4" customHeight="1">
      <c r="B828" s="323" t="inlineStr">
        <is>
          <t>150mm PVC 10mm nut hanging clip</t>
        </is>
      </c>
      <c r="C828" s="327" t="inlineStr">
        <is>
          <t>ea</t>
        </is>
      </c>
      <c r="E828" s="609" t="n">
        <v>2.622</v>
      </c>
      <c r="F828" s="583">
        <f>E828*D828</f>
        <v/>
      </c>
    </row>
    <row r="829" ht="14.4" customHeight="1">
      <c r="B829" s="323" t="inlineStr">
        <is>
          <t>10mm Zinc Threaded Rod</t>
        </is>
      </c>
      <c r="C829" s="327" t="inlineStr">
        <is>
          <t>m</t>
        </is>
      </c>
      <c r="E829" s="609" t="n">
        <v>2.76</v>
      </c>
      <c r="F829" s="583">
        <f>E829*D829</f>
        <v/>
      </c>
    </row>
    <row r="830" ht="14.4" customHeight="1">
      <c r="B830" s="323" t="inlineStr">
        <is>
          <t>Glue - Blue - 4Ltr</t>
        </is>
      </c>
      <c r="C830" s="327" t="inlineStr">
        <is>
          <t>ea</t>
        </is>
      </c>
      <c r="E830" s="609" t="n">
        <v>36.432</v>
      </c>
      <c r="F830" s="583">
        <f>E830*D830</f>
        <v/>
      </c>
    </row>
    <row r="831" ht="14.4" customHeight="1">
      <c r="B831" s="323" t="inlineStr">
        <is>
          <t>Primer - Red - 4Ltr</t>
        </is>
      </c>
      <c r="C831" s="327" t="inlineStr">
        <is>
          <t>ea</t>
        </is>
      </c>
      <c r="E831" s="609" t="n">
        <v>31.74</v>
      </c>
      <c r="F831" s="583">
        <f>E831*D831</f>
        <v/>
      </c>
    </row>
    <row r="832" ht="14.4" customHeight="1">
      <c r="B832" s="323" t="n"/>
      <c r="C832" s="327" t="n"/>
      <c r="E832" s="609" t="n">
        <v>0</v>
      </c>
      <c r="F832" s="583">
        <f>E832*D832</f>
        <v/>
      </c>
    </row>
    <row r="833" ht="14.4" customHeight="1">
      <c r="B833" s="410" t="inlineStr">
        <is>
          <t>SW_RRJ (RIBBED) Fittings</t>
        </is>
      </c>
      <c r="C833" s="327" t="n"/>
      <c r="E833" s="609" t="n">
        <v>0</v>
      </c>
      <c r="F833" s="583">
        <f>E833*D833</f>
        <v/>
      </c>
    </row>
    <row r="834" ht="14.4" customHeight="1">
      <c r="B834" s="323" t="n"/>
      <c r="C834" s="327" t="n"/>
      <c r="E834" s="609" t="n">
        <v>0</v>
      </c>
      <c r="F834" s="583">
        <f>E834*D834</f>
        <v/>
      </c>
    </row>
    <row r="835" ht="14.4" customHeight="1">
      <c r="B835" s="406" t="inlineStr">
        <is>
          <t>375MM X 45Deg  Bend</t>
        </is>
      </c>
      <c r="C835" s="327" t="inlineStr">
        <is>
          <t>ea</t>
        </is>
      </c>
      <c r="E835" s="609" t="n">
        <v>362.1396</v>
      </c>
      <c r="F835" s="583">
        <f>E835*D835</f>
        <v/>
      </c>
    </row>
    <row r="836" ht="14.4" customHeight="1">
      <c r="B836" s="406" t="inlineStr">
        <is>
          <t>DN 375 X DN150 45 DEG BLACKMAX REDUCING JUNCTION (PVC FAB)</t>
        </is>
      </c>
      <c r="C836" s="327" t="inlineStr">
        <is>
          <t>ea</t>
        </is>
      </c>
      <c r="E836" s="609" t="n">
        <v>827.9999999999999</v>
      </c>
      <c r="F836" s="583">
        <f>E836*D836</f>
        <v/>
      </c>
    </row>
    <row r="837" ht="14.4" customHeight="1">
      <c r="B837" s="406" t="inlineStr">
        <is>
          <t>DN375 x dn225 BlackMax® Reducing Adaptor FF RRJ x DWV SWJ (PVC Fab)</t>
        </is>
      </c>
      <c r="C837" s="327" t="inlineStr">
        <is>
          <t>ea</t>
        </is>
      </c>
      <c r="E837" s="609" t="n">
        <v>552</v>
      </c>
      <c r="F837" s="583">
        <f>E837*D837</f>
        <v/>
      </c>
    </row>
    <row r="838" ht="14.4" customHeight="1">
      <c r="B838" s="406" t="n"/>
      <c r="C838" s="327" t="n"/>
      <c r="E838" s="609" t="n">
        <v>0</v>
      </c>
      <c r="F838" s="583">
        <f>E838*D838</f>
        <v/>
      </c>
    </row>
    <row r="839" ht="14.4" customHeight="1">
      <c r="B839" s="406" t="inlineStr">
        <is>
          <t>DN 300 X DN150 45 DEG BLACKMAX REDUCING JUNCTION (PVC FAB)</t>
        </is>
      </c>
      <c r="C839" s="327" t="inlineStr">
        <is>
          <t>ea</t>
        </is>
      </c>
      <c r="E839" s="609" t="n">
        <v>690</v>
      </c>
      <c r="F839" s="583">
        <f>E839*D839</f>
        <v/>
      </c>
    </row>
    <row r="840" ht="14.4" customHeight="1">
      <c r="B840" s="406" t="inlineStr">
        <is>
          <t xml:space="preserve">DN300 BLACK MAX 45 DEG BEND </t>
        </is>
      </c>
      <c r="C840" s="327" t="inlineStr">
        <is>
          <t>ea</t>
        </is>
      </c>
      <c r="E840" s="609" t="n">
        <v>413.9999999999999</v>
      </c>
      <c r="F840" s="583">
        <f>E840*D840</f>
        <v/>
      </c>
    </row>
    <row r="841" ht="14.4" customHeight="1">
      <c r="B841" s="406" t="inlineStr">
        <is>
          <t>DN300 x dn225 BlackMax® Reducing Adaptor FF RRJ x DWV SWJ (PVC Fab)</t>
        </is>
      </c>
      <c r="C841" s="327" t="inlineStr">
        <is>
          <t>ea</t>
        </is>
      </c>
      <c r="E841" s="609" t="n">
        <v>413.9999999999999</v>
      </c>
      <c r="F841" s="583">
        <f>E841*D841</f>
        <v/>
      </c>
    </row>
    <row r="842" ht="14.4" customHeight="1">
      <c r="B842" s="406" t="inlineStr">
        <is>
          <t xml:space="preserve">DN300 BLACK MAX 45 DEG BEND </t>
        </is>
      </c>
      <c r="C842" s="327" t="inlineStr">
        <is>
          <t>ea</t>
        </is>
      </c>
      <c r="E842" s="609" t="n">
        <v>413.9999999999999</v>
      </c>
      <c r="F842" s="583">
        <f>E842*D842</f>
        <v/>
      </c>
    </row>
    <row r="843" ht="14.4" customHeight="1">
      <c r="B843" s="406" t="n"/>
      <c r="C843" s="327" t="inlineStr">
        <is>
          <t>ea</t>
        </is>
      </c>
      <c r="E843" s="609" t="n">
        <v>0</v>
      </c>
      <c r="F843" s="583">
        <f>E843*D843</f>
        <v/>
      </c>
    </row>
    <row r="844" ht="14.4" customHeight="1">
      <c r="B844" s="406" t="inlineStr">
        <is>
          <t xml:space="preserve">150mm Cap </t>
        </is>
      </c>
      <c r="C844" s="327" t="inlineStr">
        <is>
          <t>ea</t>
        </is>
      </c>
      <c r="E844" s="609" t="n">
        <v>20.7</v>
      </c>
      <c r="F844" s="583">
        <f>E844*D844</f>
        <v/>
      </c>
    </row>
    <row r="845" ht="14.4" customHeight="1">
      <c r="B845" s="406" t="inlineStr">
        <is>
          <t xml:space="preserve">	150mm expansion coupler</t>
        </is>
      </c>
      <c r="C845" s="405" t="inlineStr">
        <is>
          <t>ea</t>
        </is>
      </c>
      <c r="E845" s="609" t="n">
        <v>110.4</v>
      </c>
      <c r="F845" s="583">
        <f>E845*D845</f>
        <v/>
      </c>
    </row>
    <row r="846" ht="14.4" customHeight="1">
      <c r="B846" s="406" t="inlineStr">
        <is>
          <t xml:space="preserve">	450X450 GRATED SW GULLY</t>
        </is>
      </c>
      <c r="C846" s="405" t="inlineStr">
        <is>
          <t>ea</t>
        </is>
      </c>
      <c r="E846" s="605" t="n">
        <v>180</v>
      </c>
      <c r="F846" s="583">
        <f>E846*D846</f>
        <v/>
      </c>
    </row>
    <row r="847"/>
    <row r="848"/>
    <row r="849" ht="14.4" customHeight="1">
      <c r="B849" s="324" t="inlineStr">
        <is>
          <t>FITOFF</t>
        </is>
      </c>
    </row>
    <row r="850"/>
    <row r="851" ht="14.4" customHeight="1">
      <c r="B851" t="inlineStr">
        <is>
          <t>Fit-Off consumable material - per adopted fixture (allow $30/EA x 15)</t>
        </is>
      </c>
      <c r="C851" s="405" t="inlineStr">
        <is>
          <t>ea</t>
        </is>
      </c>
      <c r="D851" t="n">
        <v>15</v>
      </c>
      <c r="E851" s="605" t="n">
        <v>30</v>
      </c>
      <c r="F851" s="583">
        <f>E851*D851</f>
        <v/>
      </c>
      <c r="G851" t="inlineStr">
        <is>
          <t>-</t>
        </is>
      </c>
      <c r="H851" s="540" t="inlineStr">
        <is>
          <t>Fit-off consumable basis: 15 adopted PAM fixtures x $30/EA</t>
        </is>
      </c>
    </row>
    <row r="852" ht="14.4" customHeight="1">
      <c r="B852" t="inlineStr">
        <is>
          <t>Fit-Off Material; Ground &amp; First Floor -</t>
        </is>
      </c>
      <c r="C852" s="405" t="inlineStr">
        <is>
          <t>ea</t>
        </is>
      </c>
      <c r="E852" s="605" t="n">
        <v>0</v>
      </c>
      <c r="F852" s="583">
        <f>E852*D852</f>
        <v/>
      </c>
    </row>
    <row r="853">
      <c r="B853" t="inlineStr">
        <is>
          <t>Seismic restraint hardware - AS1170.4 EDC 2 (PAM minor - HWU strap + hanger braces)</t>
        </is>
      </c>
      <c r="C853" t="inlineStr">
        <is>
          <t>item</t>
        </is>
      </c>
      <c r="D853" t="n">
        <v>1</v>
      </c>
      <c r="E853" t="n">
        <v>500</v>
      </c>
      <c r="F853">
        <f>E853*D853</f>
        <v/>
      </c>
      <c r="H853" s="540" t="inlineStr">
        <is>
          <t>Gap #3 allowance; install within rough-in/fit-off days; layout drafting only (CL C7)</t>
        </is>
      </c>
    </row>
    <row r="854"/>
    <row r="855"/>
    <row r="856">
      <c r="C856" s="491" t="inlineStr">
        <is>
          <t>SUB TOTALS</t>
        </is>
      </c>
    </row>
    <row r="857">
      <c r="F857" s="583">
        <f>SUM(F15:F856)</f>
        <v/>
      </c>
    </row>
    <row r="858"/>
    <row r="859"/>
    <row r="860">
      <c r="E860" s="611" t="inlineStr">
        <is>
          <t>Contingency</t>
        </is>
      </c>
      <c r="F860" s="392" t="n">
        <v>1.18</v>
      </c>
    </row>
    <row r="861">
      <c r="E861" s="640" t="inlineStr">
        <is>
          <t>Deliveries</t>
        </is>
      </c>
      <c r="F861" s="608" t="n">
        <v>2500</v>
      </c>
    </row>
    <row r="862"/>
    <row r="863">
      <c r="C863" s="491" t="inlineStr">
        <is>
          <t>TOTALS</t>
        </is>
      </c>
    </row>
    <row r="864">
      <c r="F864" s="583">
        <f>F857*F860+F861</f>
        <v/>
      </c>
    </row>
    <row r="865"/>
    <row r="866"/>
    <row r="867"/>
    <row r="868"/>
    <row r="869" ht="10.8" customHeight="1" thickBot="1"/>
    <row r="870" ht="15" customFormat="1" customHeight="1" s="120" thickBot="1">
      <c r="B870" s="173" t="inlineStr">
        <is>
          <t>Excavation/Quarry/Misc/ Takeoff.</t>
        </is>
      </c>
      <c r="C870" s="121" t="n"/>
      <c r="D870" s="122" t="n"/>
      <c r="E870" s="612" t="n"/>
      <c r="F870" s="612" t="n"/>
      <c r="G870" s="612" t="n"/>
      <c r="H870" s="613" t="n"/>
      <c r="K870" s="196" t="n"/>
    </row>
    <row r="871" ht="14.4" customFormat="1" customHeight="1" s="120">
      <c r="B871" s="126" t="n"/>
      <c r="C871" s="193" t="inlineStr">
        <is>
          <t>Qty</t>
        </is>
      </c>
      <c r="D871" s="193" t="inlineStr">
        <is>
          <t>Unit</t>
        </is>
      </c>
      <c r="E871" s="614" t="n"/>
      <c r="F871" s="614" t="n"/>
      <c r="G871" s="612" t="n"/>
      <c r="H871" s="613" t="n"/>
      <c r="K871" s="196" t="n"/>
    </row>
    <row r="872" ht="14.4" customFormat="1" customHeight="1" s="120">
      <c r="B872" s="411" t="inlineStr">
        <is>
          <t>Avrg Trench = .900D*.450W</t>
        </is>
      </c>
      <c r="C872" s="196">
        <f>C876</f>
        <v/>
      </c>
      <c r="D872" s="196" t="inlineStr">
        <is>
          <t>m</t>
        </is>
      </c>
      <c r="E872" s="612" t="n"/>
      <c r="F872" s="612" t="n"/>
      <c r="G872" s="612" t="n"/>
      <c r="H872" s="613" t="n"/>
      <c r="K872" s="196" t="n"/>
    </row>
    <row r="873" ht="14.4" customFormat="1" customHeight="1" s="120">
      <c r="B873" s="335" t="inlineStr">
        <is>
          <t>L/M Of Asphalt Reinstate</t>
        </is>
      </c>
      <c r="C873" s="196" t="n">
        <v>0</v>
      </c>
      <c r="D873" s="196" t="inlineStr">
        <is>
          <t>m</t>
        </is>
      </c>
      <c r="E873" s="612" t="n"/>
      <c r="F873" s="612" t="n"/>
      <c r="G873" s="612" t="n"/>
      <c r="H873" s="613" t="n"/>
      <c r="K873" s="196" t="n"/>
    </row>
    <row r="874" ht="14.4" customFormat="1" customHeight="1" s="120">
      <c r="B874" s="335" t="inlineStr">
        <is>
          <t>M2 Of Asphalt Reinstate</t>
        </is>
      </c>
      <c r="C874" s="196" t="n">
        <v>0</v>
      </c>
      <c r="D874" s="196" t="inlineStr">
        <is>
          <t>m2</t>
        </is>
      </c>
      <c r="E874" s="612" t="n"/>
      <c r="F874" s="612" t="n"/>
      <c r="G874" s="612" t="n"/>
      <c r="H874" s="613" t="n"/>
      <c r="K874" s="196" t="n"/>
    </row>
    <row r="875" ht="14.4" customFormat="1" customHeight="1" s="120">
      <c r="B875" s="335" t="inlineStr">
        <is>
          <t>L/M Of CBR Reinstate</t>
        </is>
      </c>
      <c r="C875" s="196" t="n">
        <v>0</v>
      </c>
      <c r="D875" s="196" t="inlineStr">
        <is>
          <t>m</t>
        </is>
      </c>
      <c r="E875" s="612" t="n"/>
      <c r="F875" s="612" t="n"/>
      <c r="G875" s="612" t="n"/>
      <c r="H875" s="613" t="n"/>
      <c r="K875" s="196" t="n"/>
    </row>
    <row r="876" ht="14.4" customFormat="1" customHeight="1" s="120">
      <c r="B876" s="411" t="inlineStr">
        <is>
          <t>L/M of Inground Pipe (Average Depth)</t>
        </is>
      </c>
      <c r="C876" s="412">
        <f>D352+D695+D711</f>
        <v/>
      </c>
      <c r="D876" s="196" t="inlineStr">
        <is>
          <t>m</t>
        </is>
      </c>
      <c r="E876" s="612" t="n"/>
      <c r="F876" s="612" t="n"/>
      <c r="G876" s="612" t="n"/>
      <c r="H876" s="613" t="n"/>
      <c r="K876" s="196" t="n"/>
    </row>
    <row r="877" ht="14.4" customFormat="1" customHeight="1" s="120">
      <c r="B877" s="411" t="inlineStr">
        <is>
          <t>L/M of Inground Pipe (Deeper Than Average Depth)</t>
        </is>
      </c>
      <c r="C877" s="337" t="n"/>
      <c r="D877" s="196" t="inlineStr">
        <is>
          <t>m</t>
        </is>
      </c>
      <c r="E877" s="612" t="n"/>
      <c r="F877" s="612" t="n"/>
      <c r="G877" s="612" t="n"/>
      <c r="H877" s="613" t="n"/>
      <c r="K877" s="196" t="n"/>
    </row>
    <row r="878" ht="14.4" customFormat="1" customHeight="1" s="120">
      <c r="B878" s="411" t="inlineStr">
        <is>
          <t>Avergage of trtenches 'Shared'…. Shared trench Factor</t>
        </is>
      </c>
      <c r="C878" s="338" t="n">
        <v>0.1</v>
      </c>
      <c r="D878" s="196" t="inlineStr">
        <is>
          <t>m</t>
        </is>
      </c>
      <c r="F878" s="612" t="n"/>
      <c r="G878" s="612" t="n"/>
      <c r="H878" s="613" t="n"/>
      <c r="K878" s="196" t="n"/>
    </row>
    <row r="879" ht="14.4" customFormat="1" customHeight="1" s="120">
      <c r="B879" s="411" t="inlineStr">
        <is>
          <t>SEWER / SW / TW - InGrnd</t>
        </is>
      </c>
      <c r="C879" s="338" t="n"/>
      <c r="D879" s="196" t="inlineStr">
        <is>
          <t>m</t>
        </is>
      </c>
      <c r="E879" s="413">
        <f>C879/(C876+C877)</f>
        <v/>
      </c>
      <c r="F879" s="612" t="n"/>
      <c r="G879" s="612" t="n"/>
      <c r="H879" s="613" t="n"/>
      <c r="K879" s="196" t="n"/>
    </row>
    <row r="880" ht="14.4" customFormat="1" customHeight="1" s="120">
      <c r="B880" s="411" t="inlineStr">
        <is>
          <t>WAT / FIRE - InGrnd</t>
        </is>
      </c>
      <c r="C880" s="338" t="n"/>
      <c r="D880" s="196" t="inlineStr">
        <is>
          <t>m</t>
        </is>
      </c>
      <c r="E880" s="413">
        <f>C880/(C876+C877)</f>
        <v/>
      </c>
      <c r="F880" s="612" t="n"/>
      <c r="G880" s="612" t="n"/>
      <c r="H880" s="613" t="n"/>
      <c r="K880" s="196" t="n"/>
    </row>
    <row r="881" ht="14.4" customFormat="1" customHeight="1" s="120">
      <c r="B881" s="411" t="inlineStr">
        <is>
          <t>SPK - InGrnd</t>
        </is>
      </c>
      <c r="C881" s="338" t="n"/>
      <c r="D881" s="196" t="inlineStr">
        <is>
          <t>m</t>
        </is>
      </c>
      <c r="E881" s="413">
        <f>C881/(C876+C877)</f>
        <v/>
      </c>
      <c r="F881" s="612" t="n"/>
      <c r="G881" s="612" t="n"/>
      <c r="H881" s="613" t="n"/>
      <c r="K881" s="196" t="n"/>
    </row>
    <row r="882" ht="14.4" customFormat="1" customHeight="1" s="120">
      <c r="B882" s="335" t="n"/>
      <c r="F882" s="612" t="n"/>
      <c r="G882" s="612" t="n"/>
      <c r="H882" s="613" t="n"/>
      <c r="K882" s="196" t="n"/>
    </row>
    <row r="883" ht="14.4" customFormat="1" customHeight="1" s="120">
      <c r="B883" s="126" t="n"/>
      <c r="E883" s="612" t="n"/>
      <c r="F883" s="612" t="n"/>
      <c r="G883" s="612" t="n"/>
      <c r="H883" s="613" t="n"/>
      <c r="K883" s="196" t="n"/>
    </row>
    <row r="884" ht="72" customFormat="1" customHeight="1" s="339">
      <c r="B884" s="340" t="n"/>
      <c r="C884" s="341" t="inlineStr">
        <is>
          <t>D</t>
        </is>
      </c>
      <c r="D884" s="341" t="inlineStr">
        <is>
          <t>W</t>
        </is>
      </c>
      <c r="E884" s="612" t="inlineStr">
        <is>
          <t>L</t>
        </is>
      </c>
      <c r="F884" s="615" t="inlineStr">
        <is>
          <t>Spoil/Compact Factor;</t>
        </is>
      </c>
      <c r="G884" s="415" t="inlineStr">
        <is>
          <t>Shared Trench Factor</t>
        </is>
      </c>
      <c r="H884" s="616" t="inlineStr">
        <is>
          <t>Total m3 - EXCAVATED</t>
        </is>
      </c>
      <c r="I884" s="343" t="inlineStr">
        <is>
          <t>Total M3 - Bed, Pipe, Cover reduction</t>
        </is>
      </c>
      <c r="J884" s="343" t="inlineStr">
        <is>
          <t>Total M3 - Backfill Req (Less Bed&amp;Pipe)</t>
        </is>
      </c>
      <c r="K884" s="343" t="inlineStr">
        <is>
          <t>Total M3 - Spoil - REMOVE</t>
        </is>
      </c>
      <c r="L884" s="415" t="inlineStr">
        <is>
          <t>TCS Load - Haulage &amp; dump rate only</t>
        </is>
      </c>
    </row>
    <row r="885" ht="14.4" customFormat="1" customHeight="1" s="120">
      <c r="B885" s="335">
        <f>B876</f>
        <v/>
      </c>
      <c r="C885" s="344" t="n">
        <v>0.95</v>
      </c>
      <c r="D885" s="344" t="n">
        <v>0.6</v>
      </c>
      <c r="E885" s="336">
        <f>C876</f>
        <v/>
      </c>
      <c r="F885" s="416" t="n">
        <v>1.3</v>
      </c>
      <c r="G885" s="345">
        <f>C878</f>
        <v/>
      </c>
      <c r="H885" s="199">
        <f>(C885*D885*E885)*F885-(C885*D885*E885*G885)</f>
        <v/>
      </c>
      <c r="I885" s="346" t="n"/>
      <c r="J885" s="346" t="n"/>
      <c r="K885" s="347" t="n"/>
    </row>
    <row r="886" ht="14.4" customFormat="1" customHeight="1" s="120">
      <c r="B886" s="411">
        <f>B877</f>
        <v/>
      </c>
      <c r="C886" s="344" t="n">
        <v>1.1</v>
      </c>
      <c r="D886" s="344" t="n">
        <v>0.5</v>
      </c>
      <c r="E886" s="336">
        <f>C877</f>
        <v/>
      </c>
      <c r="F886" s="416" t="n">
        <v>1.3</v>
      </c>
      <c r="G886" s="344" t="n">
        <v>0</v>
      </c>
      <c r="H886" s="199">
        <f>(C886*D886*E886)*F886</f>
        <v/>
      </c>
      <c r="I886" s="346" t="n"/>
      <c r="J886" s="346" t="n"/>
      <c r="K886" s="347" t="n"/>
    </row>
    <row r="887" ht="14.4" customFormat="1" customHeight="1" s="120">
      <c r="B887" s="411" t="inlineStr">
        <is>
          <t>L/M of Bed, Pipe, Cover material reduction (Average Depth)</t>
        </is>
      </c>
      <c r="C887" s="344" t="n">
        <v>0.35</v>
      </c>
      <c r="D887" s="345">
        <f>D885</f>
        <v/>
      </c>
      <c r="E887" s="345">
        <f>E885</f>
        <v/>
      </c>
      <c r="F887" s="416" t="n">
        <v>0</v>
      </c>
      <c r="G887" s="345">
        <f>C878</f>
        <v/>
      </c>
      <c r="H887" s="199" t="n"/>
      <c r="I887" s="199">
        <f>(C887*D887*E887)-(C887*D887*E887*G887)</f>
        <v/>
      </c>
      <c r="J887" s="199" t="n"/>
      <c r="K887" s="347" t="n"/>
    </row>
    <row r="888" ht="14.4" customFormat="1" customHeight="1" s="120">
      <c r="B888" s="411" t="inlineStr">
        <is>
          <t>L/M of Bed, Pipe, Cover material reduction (Deeper Than Average Depth)</t>
        </is>
      </c>
      <c r="C888" s="344" t="n">
        <v>0.2</v>
      </c>
      <c r="D888" s="345">
        <f>D886</f>
        <v/>
      </c>
      <c r="E888" s="348">
        <f>E886</f>
        <v/>
      </c>
      <c r="F888" s="416" t="n">
        <v>0</v>
      </c>
      <c r="G888" s="345">
        <f>G886</f>
        <v/>
      </c>
      <c r="H888" s="199" t="n"/>
      <c r="I888" s="199">
        <f>(C888*D888*E888)-(C888*D888*E888*G888)</f>
        <v/>
      </c>
      <c r="J888" s="199" t="n"/>
      <c r="K888" s="347" t="n"/>
    </row>
    <row r="889" ht="14.4" customFormat="1" customHeight="1" s="120">
      <c r="B889" s="411" t="inlineStr">
        <is>
          <t>L/M of BACKFILL required (Average Depth)</t>
        </is>
      </c>
      <c r="C889" s="345">
        <f>C885</f>
        <v/>
      </c>
      <c r="D889" s="345">
        <f>D885</f>
        <v/>
      </c>
      <c r="E889" s="348">
        <f>E885</f>
        <v/>
      </c>
      <c r="F889" s="416" t="n">
        <v>1.3</v>
      </c>
      <c r="G889" s="345">
        <f>C878</f>
        <v/>
      </c>
      <c r="H889" s="199" t="n"/>
      <c r="I889" s="199" t="n"/>
      <c r="J889" s="199">
        <f>(C889*D889*E889*F889)-(C889*D889*E889*G889)-I887</f>
        <v/>
      </c>
      <c r="K889" s="347" t="n"/>
    </row>
    <row r="890" ht="14.4" customFormat="1" customHeight="1" s="120">
      <c r="B890" s="411" t="inlineStr">
        <is>
          <t>L/M of BACKFILL required (Deeper Than Average Depth)</t>
        </is>
      </c>
      <c r="C890" s="345">
        <f>C886</f>
        <v/>
      </c>
      <c r="D890" s="345">
        <f>D886</f>
        <v/>
      </c>
      <c r="E890" s="345">
        <f>E886</f>
        <v/>
      </c>
      <c r="F890" s="416" t="n">
        <v>1.3</v>
      </c>
      <c r="G890" s="345">
        <f>G886</f>
        <v/>
      </c>
      <c r="H890" s="199" t="n"/>
      <c r="I890" s="199" t="n"/>
      <c r="J890" s="199">
        <f>(C890*D890*E890*F890)-(C890*D890*E890*G890)-I888</f>
        <v/>
      </c>
      <c r="K890" s="347" t="n"/>
    </row>
    <row r="891" ht="15" customFormat="1" customHeight="1" s="120" thickBot="1">
      <c r="B891" s="335" t="n"/>
      <c r="C891" s="347" t="n"/>
      <c r="D891" s="347" t="n"/>
      <c r="E891" s="347" t="n"/>
      <c r="F891" s="417" t="n"/>
      <c r="G891" s="199" t="n"/>
      <c r="H891" s="347" t="n"/>
      <c r="I891" s="346" t="n"/>
      <c r="J891" s="346" t="n"/>
      <c r="K891" s="199" t="inlineStr">
        <is>
          <t>QTY</t>
        </is>
      </c>
      <c r="L891" s="349" t="inlineStr">
        <is>
          <t>Rate</t>
        </is>
      </c>
      <c r="M891" s="349" t="inlineStr">
        <is>
          <t>Total</t>
        </is>
      </c>
    </row>
    <row r="892" ht="15" customFormat="1" customHeight="1" s="120" thickBot="1">
      <c r="B892" s="335" t="n"/>
      <c r="C892" s="347" t="n"/>
      <c r="D892" s="347" t="n"/>
      <c r="E892" s="347" t="n"/>
      <c r="F892" s="417" t="n"/>
      <c r="G892" s="199" t="n"/>
      <c r="H892" s="350">
        <f>SUM(H885:H891)</f>
        <v/>
      </c>
      <c r="I892" s="350">
        <f>SUM(I885:I891)</f>
        <v/>
      </c>
      <c r="J892" s="350">
        <f>SUM(J885:J891)</f>
        <v/>
      </c>
      <c r="K892" s="351">
        <f>H892-J892</f>
        <v/>
      </c>
      <c r="L892" s="617" t="n">
        <v>15</v>
      </c>
      <c r="M892" s="618">
        <f>K892*L892</f>
        <v/>
      </c>
      <c r="O892" s="192" t="n"/>
    </row>
    <row r="893" ht="14.4" customFormat="1" customHeight="1" s="120">
      <c r="B893" s="335" t="n"/>
      <c r="C893" s="196" t="n"/>
      <c r="D893" s="196" t="n"/>
      <c r="E893" s="196" t="n"/>
      <c r="F893" s="417" t="n"/>
      <c r="G893" s="199" t="n"/>
      <c r="H893" s="613" t="n"/>
      <c r="K893" s="196" t="n"/>
      <c r="O893" s="346" t="n"/>
    </row>
    <row r="894" ht="14.4" customFormat="1" customHeight="1" s="120">
      <c r="B894" s="335" t="n"/>
      <c r="C894" s="196" t="n"/>
      <c r="D894" s="196" t="n"/>
      <c r="E894" s="196" t="n"/>
      <c r="F894" s="417" t="n"/>
      <c r="G894" s="199" t="n"/>
      <c r="H894" s="613" t="n"/>
      <c r="K894" s="196" t="n"/>
      <c r="O894" s="346" t="n"/>
    </row>
    <row r="895" ht="14.4" customFormat="1" customHeight="1" s="120">
      <c r="B895" s="335" t="n"/>
      <c r="C895" s="196" t="n"/>
      <c r="D895" s="196" t="n"/>
      <c r="E895" s="196" t="n"/>
      <c r="F895" s="417" t="n"/>
      <c r="G895" s="199" t="n"/>
      <c r="H895" s="613" t="n"/>
      <c r="K895" s="196" t="n"/>
      <c r="O895" s="346" t="n"/>
    </row>
    <row r="896" ht="14.4" customFormat="1" customHeight="1" s="120">
      <c r="B896" s="335" t="n"/>
      <c r="C896" s="196" t="n"/>
      <c r="D896" s="196" t="n"/>
      <c r="E896" s="196" t="n"/>
      <c r="F896" s="417" t="n"/>
      <c r="G896" s="199" t="n"/>
      <c r="H896" s="613" t="n"/>
      <c r="K896" s="196" t="n"/>
      <c r="O896" s="346" t="n"/>
    </row>
    <row r="897" ht="7.2" customFormat="1" customHeight="1" s="120">
      <c r="B897" s="354" t="n"/>
      <c r="C897" s="231" t="n"/>
      <c r="D897" s="231" t="n"/>
      <c r="E897" s="231" t="n"/>
      <c r="F897" s="619" t="n"/>
      <c r="G897" s="619" t="n"/>
      <c r="H897" s="620" t="n"/>
      <c r="I897" s="231" t="n"/>
      <c r="K897" s="196" t="n"/>
    </row>
    <row r="898" ht="14.4" customFormat="1" customHeight="1" s="120">
      <c r="B898" s="126" t="inlineStr">
        <is>
          <t>Thrust Block Concrete</t>
        </is>
      </c>
      <c r="C898" s="196" t="inlineStr">
        <is>
          <t>m3/TB</t>
        </is>
      </c>
      <c r="D898" s="196" t="inlineStr">
        <is>
          <t>Qty</t>
        </is>
      </c>
      <c r="E898" s="612" t="inlineStr">
        <is>
          <t>Total m3</t>
        </is>
      </c>
      <c r="F898" s="120" t="inlineStr">
        <is>
          <t>Contingency</t>
        </is>
      </c>
      <c r="G898" s="614" t="inlineStr">
        <is>
          <t>Total m3</t>
        </is>
      </c>
      <c r="H898" s="621" t="inlineStr">
        <is>
          <t>Total Cost</t>
        </is>
      </c>
      <c r="K898" s="196" t="n"/>
    </row>
    <row r="899" ht="14.4" customFormat="1" customHeight="1" s="120">
      <c r="B899" s="335" t="n"/>
      <c r="C899" s="196" t="n">
        <v>0.1</v>
      </c>
      <c r="D899" s="338" t="n"/>
      <c r="E899" s="196">
        <f>D899*C899</f>
        <v/>
      </c>
      <c r="F899" s="417" t="n">
        <v>1.1</v>
      </c>
      <c r="G899" s="198">
        <f>E899*F899</f>
        <v/>
      </c>
      <c r="H899" s="613">
        <f>G899*E924</f>
        <v/>
      </c>
      <c r="I899" s="622" t="n"/>
      <c r="K899" s="196" t="n"/>
    </row>
    <row r="900" ht="14.4" customFormat="1" customHeight="1" s="323">
      <c r="C900" s="327" t="n"/>
      <c r="D900" s="327" t="n"/>
      <c r="E900" s="605" t="n"/>
      <c r="F900" s="605" t="n"/>
    </row>
    <row r="901" ht="15" customFormat="1" customHeight="1" s="323" thickBot="1">
      <c r="C901" s="327" t="n"/>
      <c r="D901" s="327" t="n"/>
      <c r="E901" s="605" t="n"/>
      <c r="F901" s="605" t="n"/>
    </row>
    <row r="902" ht="15" customFormat="1" customHeight="1" s="323" thickBot="1">
      <c r="B902" s="173" t="inlineStr">
        <is>
          <t>Quarry &amp; Concrete Product</t>
        </is>
      </c>
      <c r="C902" s="121" t="n"/>
      <c r="D902" s="122" t="n"/>
      <c r="E902" s="612" t="n"/>
      <c r="F902" s="612" t="n"/>
      <c r="G902" s="612" t="n"/>
      <c r="H902" s="613" t="n"/>
      <c r="I902" s="120" t="n"/>
      <c r="J902" s="120" t="n"/>
      <c r="K902" s="120" t="n"/>
      <c r="L902" s="120" t="n"/>
      <c r="M902" s="120" t="n"/>
      <c r="N902" s="120" t="n"/>
      <c r="O902" s="120" t="n"/>
      <c r="P902" s="120" t="n"/>
    </row>
    <row r="903" ht="15" customFormat="1" customHeight="1" s="323" thickBot="1">
      <c r="B903" s="192" t="n"/>
      <c r="C903" s="120" t="n"/>
      <c r="D903" s="120" t="n"/>
      <c r="E903" s="612" t="n"/>
      <c r="F903" s="612" t="n"/>
      <c r="G903" s="612" t="n"/>
      <c r="H903" s="613" t="n"/>
      <c r="I903" s="120" t="n"/>
      <c r="J903" s="120" t="n"/>
      <c r="K903" s="120" t="n"/>
      <c r="L903" s="120" t="n"/>
      <c r="M903" s="341" t="n">
        <v>1.4</v>
      </c>
      <c r="N903" s="120" t="n"/>
      <c r="O903" s="120" t="n"/>
      <c r="P903" s="120" t="n"/>
    </row>
    <row r="904" ht="43.8" customFormat="1" customHeight="1" s="355" thickBot="1">
      <c r="B904" s="356" t="inlineStr">
        <is>
          <t>Description</t>
        </is>
      </c>
      <c r="C904" s="349" t="inlineStr">
        <is>
          <t>Unit/LM</t>
        </is>
      </c>
      <c r="D904" s="349" t="inlineStr">
        <is>
          <t>Unit</t>
        </is>
      </c>
      <c r="E904" s="614" t="inlineStr">
        <is>
          <t>Rate</t>
        </is>
      </c>
      <c r="F904" s="614" t="inlineStr">
        <is>
          <t>Rate/LM</t>
        </is>
      </c>
      <c r="G904" s="612" t="n"/>
      <c r="H904" s="612" t="n"/>
      <c r="I904" s="349" t="inlineStr">
        <is>
          <t>QTY</t>
        </is>
      </c>
      <c r="J904" s="343" t="inlineStr">
        <is>
          <t>Shared Trench Factor</t>
        </is>
      </c>
      <c r="K904" s="349" t="inlineStr">
        <is>
          <t>Total Req.</t>
        </is>
      </c>
      <c r="L904" s="349" t="inlineStr">
        <is>
          <t>Total</t>
        </is>
      </c>
      <c r="M904" s="349" t="inlineStr">
        <is>
          <t>Contingency</t>
        </is>
      </c>
      <c r="N904" s="357" t="inlineStr">
        <is>
          <t>TOTAL</t>
        </is>
      </c>
      <c r="O904" s="418" t="inlineStr">
        <is>
          <t>Drainage Use</t>
        </is>
      </c>
      <c r="P904" s="415" t="inlineStr">
        <is>
          <t>Fire/WAT Use</t>
        </is>
      </c>
      <c r="Q904" s="419" t="inlineStr">
        <is>
          <t>SPK Use</t>
        </is>
      </c>
    </row>
    <row r="905" ht="15" customFormat="1" customHeight="1" s="323" thickBot="1">
      <c r="B905" s="120" t="inlineStr">
        <is>
          <t>5-7mm Stone</t>
        </is>
      </c>
      <c r="C905" s="358" t="n">
        <v>0.203</v>
      </c>
      <c r="D905" s="359" t="inlineStr">
        <is>
          <t>Ton</t>
        </is>
      </c>
      <c r="E905" s="623">
        <f>E917</f>
        <v/>
      </c>
      <c r="F905" s="623">
        <f>E905*C905</f>
        <v/>
      </c>
      <c r="G905" s="612" t="n"/>
      <c r="H905" s="613" t="n"/>
      <c r="I905" s="361">
        <f>C905*(C876+C877)</f>
        <v/>
      </c>
      <c r="J905" s="345">
        <f>C878</f>
        <v/>
      </c>
      <c r="K905" s="362">
        <f>I905-(I905*J905)</f>
        <v/>
      </c>
      <c r="L905" s="622">
        <f>K905*E905</f>
        <v/>
      </c>
      <c r="M905" s="605">
        <f>(L905*M903)-L905</f>
        <v/>
      </c>
      <c r="N905" s="624">
        <f>L905*M903</f>
        <v/>
      </c>
      <c r="O905" s="622">
        <f>N905*E879</f>
        <v/>
      </c>
      <c r="P905" s="120" t="n"/>
      <c r="Q905" s="605" t="n"/>
      <c r="R905" s="605" t="n"/>
    </row>
    <row r="906" ht="14.4" customFormat="1" customHeight="1" s="323">
      <c r="B906" s="120" t="inlineStr">
        <is>
          <t>5-7mm Stone</t>
        </is>
      </c>
      <c r="C906" s="358" t="n">
        <v>0.14</v>
      </c>
      <c r="D906" s="196" t="inlineStr">
        <is>
          <t>m3</t>
        </is>
      </c>
      <c r="E906" s="612">
        <f>E917</f>
        <v/>
      </c>
      <c r="F906" s="612">
        <f>(E906*C906)*1.95</f>
        <v/>
      </c>
      <c r="G906" s="612" t="n"/>
      <c r="H906" s="613" t="n"/>
      <c r="I906" s="120" t="n"/>
      <c r="J906" s="120" t="n"/>
      <c r="L906" s="622" t="n"/>
      <c r="N906" s="364" t="n"/>
      <c r="O906" s="120" t="n"/>
      <c r="P906" s="120" t="n"/>
    </row>
    <row r="907" ht="14.4" customFormat="1" customHeight="1" s="323">
      <c r="B907" s="120" t="inlineStr">
        <is>
          <t>10-12mm Stone</t>
        </is>
      </c>
      <c r="C907" s="358" t="n">
        <v>0.45</v>
      </c>
      <c r="D907" s="196" t="inlineStr">
        <is>
          <t>Ton</t>
        </is>
      </c>
      <c r="E907" s="612">
        <f>E918</f>
        <v/>
      </c>
      <c r="F907" s="612">
        <f>E907*C907</f>
        <v/>
      </c>
      <c r="G907" s="612" t="n"/>
      <c r="H907" s="613" t="n"/>
      <c r="I907" s="120" t="n">
        <v>0</v>
      </c>
      <c r="J907" s="120" t="n"/>
      <c r="L907" s="622">
        <f>I907*E907</f>
        <v/>
      </c>
      <c r="N907" s="625">
        <f>L907*$L$289</f>
        <v/>
      </c>
      <c r="O907" s="120" t="n"/>
      <c r="P907" s="120" t="n"/>
    </row>
    <row r="908" ht="15" customFormat="1" customHeight="1" s="323" thickBot="1">
      <c r="B908" s="120" t="inlineStr">
        <is>
          <t>80-110mm Stone</t>
        </is>
      </c>
      <c r="C908" s="120" t="n">
        <v>0</v>
      </c>
      <c r="D908" s="196" t="inlineStr">
        <is>
          <t>Ton</t>
        </is>
      </c>
      <c r="E908" s="612">
        <f>E919</f>
        <v/>
      </c>
      <c r="F908" s="612">
        <f>E908*C908</f>
        <v/>
      </c>
      <c r="G908" s="612" t="n"/>
      <c r="H908" s="613" t="n"/>
      <c r="I908" s="120" t="n">
        <v>0</v>
      </c>
      <c r="J908" s="120" t="n"/>
      <c r="L908" s="622">
        <f>I908*E908</f>
        <v/>
      </c>
      <c r="N908" s="625">
        <f>L908*$L$289</f>
        <v/>
      </c>
      <c r="O908" s="120" t="n"/>
      <c r="P908" s="120" t="n"/>
    </row>
    <row r="909" ht="15" customFormat="1" customHeight="1" s="323" thickBot="1">
      <c r="B909" s="120" t="inlineStr">
        <is>
          <t>Medium River / Bed Sand</t>
        </is>
      </c>
      <c r="C909" s="358" t="n">
        <v>0.225</v>
      </c>
      <c r="D909" s="359" t="inlineStr">
        <is>
          <t>Ton</t>
        </is>
      </c>
      <c r="E909" s="623">
        <f>E920</f>
        <v/>
      </c>
      <c r="F909" s="623">
        <f>E909*C909</f>
        <v/>
      </c>
      <c r="G909" s="612" t="n"/>
      <c r="H909" s="613" t="n"/>
      <c r="I909" s="361">
        <f>C909*(C876+C877)</f>
        <v/>
      </c>
      <c r="J909" s="345">
        <f>C878</f>
        <v/>
      </c>
      <c r="K909" s="362">
        <f>I909-(I909*J909)</f>
        <v/>
      </c>
      <c r="L909" s="622">
        <f>K909*E909</f>
        <v/>
      </c>
      <c r="M909" s="605">
        <f>(L909*M903)-L909</f>
        <v/>
      </c>
      <c r="N909" s="624">
        <f>L909*M903</f>
        <v/>
      </c>
      <c r="O909" s="120" t="n"/>
      <c r="P909" s="622">
        <f>N909*E880</f>
        <v/>
      </c>
      <c r="Q909" s="605">
        <f>N909*E881</f>
        <v/>
      </c>
    </row>
    <row r="910" ht="14.4" customFormat="1" customHeight="1" s="323">
      <c r="B910" s="120" t="inlineStr">
        <is>
          <t>Medium River / Bed Sand</t>
        </is>
      </c>
      <c r="C910" s="358" t="n">
        <v>0.14</v>
      </c>
      <c r="D910" s="196" t="inlineStr">
        <is>
          <t>m3</t>
        </is>
      </c>
      <c r="E910" s="612">
        <f>E920</f>
        <v/>
      </c>
      <c r="F910" s="612">
        <f>(E910*C910)*1.5</f>
        <v/>
      </c>
      <c r="G910" s="612" t="n"/>
      <c r="H910" s="613" t="n"/>
      <c r="I910" s="120" t="n"/>
      <c r="J910" s="120" t="n"/>
      <c r="L910" s="622" t="n"/>
      <c r="N910" s="364" t="n"/>
      <c r="O910" s="120" t="n"/>
      <c r="P910" s="120" t="n"/>
    </row>
    <row r="911" ht="14.4" customFormat="1" customHeight="1" s="323">
      <c r="B911" s="120" t="inlineStr">
        <is>
          <t>CBR15 Road Base</t>
        </is>
      </c>
      <c r="C911" s="358" t="n">
        <v>0.36</v>
      </c>
      <c r="D911" s="196" t="inlineStr">
        <is>
          <t>Ton</t>
        </is>
      </c>
      <c r="E911" s="612">
        <f>F921</f>
        <v/>
      </c>
      <c r="F911" s="612">
        <f>E911*C911</f>
        <v/>
      </c>
      <c r="G911" s="612" t="n"/>
      <c r="H911" s="613" t="n"/>
      <c r="I911" s="120">
        <f>C875*C911</f>
        <v/>
      </c>
      <c r="J911" s="120" t="n"/>
      <c r="L911" s="622">
        <f>I911*E911</f>
        <v/>
      </c>
      <c r="N911" s="625">
        <f>L911*$L$289</f>
        <v/>
      </c>
      <c r="O911" s="120" t="n"/>
      <c r="P911" s="120" t="n"/>
    </row>
    <row r="912" ht="14.4" customFormat="1" customHeight="1" s="323">
      <c r="B912" s="120" t="inlineStr">
        <is>
          <t>CBR45</t>
        </is>
      </c>
      <c r="C912" s="358" t="n">
        <v>0.36</v>
      </c>
      <c r="D912" s="196" t="inlineStr">
        <is>
          <t>Ton</t>
        </is>
      </c>
      <c r="E912" s="612">
        <f>F922</f>
        <v/>
      </c>
      <c r="F912" s="612">
        <f>E912*C912</f>
        <v/>
      </c>
      <c r="G912" s="612" t="n"/>
      <c r="H912" s="613" t="n"/>
      <c r="I912" s="120">
        <f>C912*C875</f>
        <v/>
      </c>
      <c r="J912" s="120" t="n"/>
      <c r="L912" s="622">
        <f>I912*E912</f>
        <v/>
      </c>
      <c r="N912" s="625">
        <f>L912*$L$289</f>
        <v/>
      </c>
      <c r="O912" s="120" t="n"/>
      <c r="P912" s="120" t="n"/>
    </row>
    <row r="913" ht="15" customFormat="1" customHeight="1" s="323" thickBot="1">
      <c r="B913" s="120" t="inlineStr">
        <is>
          <t>LEANMIX</t>
        </is>
      </c>
      <c r="C913" s="358" t="n">
        <v>0.3</v>
      </c>
      <c r="D913" s="196" t="inlineStr">
        <is>
          <t>m3</t>
        </is>
      </c>
      <c r="E913" s="612">
        <f>N923</f>
        <v/>
      </c>
      <c r="F913" s="612">
        <f>E913*C913</f>
        <v/>
      </c>
      <c r="G913" s="612" t="n"/>
      <c r="H913" s="613" t="n"/>
      <c r="I913" s="120">
        <f>C913*C873</f>
        <v/>
      </c>
      <c r="J913" s="120" t="n"/>
      <c r="L913" s="622">
        <f>E913*I913</f>
        <v/>
      </c>
      <c r="N913" s="626">
        <f>L913*$L$289</f>
        <v/>
      </c>
      <c r="O913" s="120" t="n"/>
      <c r="P913" s="120" t="n"/>
    </row>
    <row r="914" ht="15" customFormat="1" customHeight="1" s="323" thickBot="1">
      <c r="B914" s="120" t="n"/>
      <c r="C914" s="120" t="n"/>
      <c r="D914" s="196" t="n"/>
      <c r="E914" s="627" t="n"/>
      <c r="F914" s="627" t="n"/>
      <c r="G914" s="612" t="n"/>
      <c r="H914" s="613" t="n"/>
      <c r="I914" s="120" t="n"/>
      <c r="J914" s="120" t="n"/>
      <c r="K914" s="120" t="n"/>
      <c r="L914" s="120" t="n"/>
      <c r="M914" s="120" t="n"/>
      <c r="N914" s="120" t="n"/>
      <c r="O914" s="120" t="n"/>
      <c r="P914" s="120" t="n"/>
    </row>
    <row r="915" ht="14.4" customFormat="1" customHeight="1" s="323">
      <c r="B915" s="123" t="n"/>
      <c r="C915" s="368" t="n"/>
      <c r="D915" s="369" t="n"/>
      <c r="E915" s="628" t="inlineStr">
        <is>
          <t>TCS</t>
        </is>
      </c>
      <c r="F915" s="629" t="inlineStr">
        <is>
          <t>Q2</t>
        </is>
      </c>
      <c r="G915" s="613" t="n"/>
      <c r="H915" s="612" t="n"/>
      <c r="I915" s="612" t="n"/>
      <c r="J915" s="612" t="n"/>
      <c r="K915" s="612" t="n"/>
      <c r="L915" s="612" t="n"/>
      <c r="M915" s="612" t="n"/>
      <c r="N915" s="612" t="n"/>
      <c r="O915" s="612" t="n"/>
    </row>
    <row r="916" ht="15" customFormat="1" customHeight="1" s="323" thickBot="1">
      <c r="B916" s="372" t="inlineStr">
        <is>
          <t>Description</t>
        </is>
      </c>
      <c r="C916" s="373" t="n"/>
      <c r="D916" s="374" t="inlineStr">
        <is>
          <t>Unit</t>
        </is>
      </c>
      <c r="E916" s="630" t="inlineStr">
        <is>
          <t>Rate</t>
        </is>
      </c>
      <c r="F916" s="630" t="inlineStr">
        <is>
          <t>Rate</t>
        </is>
      </c>
      <c r="G916" s="631" t="n"/>
      <c r="H916" s="612" t="n"/>
      <c r="I916" s="613" t="n"/>
      <c r="J916" s="612" t="n"/>
      <c r="K916" s="613" t="n"/>
      <c r="L916" s="612" t="n"/>
      <c r="M916" s="613" t="n"/>
      <c r="N916" s="612" t="n"/>
      <c r="O916" s="613" t="n"/>
    </row>
    <row r="917" ht="14.4" customFormat="1" customHeight="1" s="323">
      <c r="B917" s="120" t="inlineStr">
        <is>
          <t>5-7mm Stone</t>
        </is>
      </c>
      <c r="C917" s="196" t="n"/>
      <c r="D917" s="377" t="inlineStr">
        <is>
          <t>T</t>
        </is>
      </c>
      <c r="E917" s="632" t="n">
        <v>62</v>
      </c>
      <c r="F917" s="633" t="n">
        <v>31</v>
      </c>
      <c r="G917" s="613" t="n"/>
      <c r="H917" s="612" t="n"/>
      <c r="I917" s="613" t="n"/>
      <c r="J917" s="612" t="n"/>
      <c r="K917" s="613" t="n"/>
      <c r="L917" s="612" t="n"/>
      <c r="M917" s="613" t="n"/>
      <c r="N917" s="612" t="n"/>
      <c r="O917" s="613" t="n"/>
    </row>
    <row r="918" ht="14.4" customFormat="1" customHeight="1" s="323">
      <c r="B918" s="120" t="inlineStr">
        <is>
          <t>10-12mm Stone</t>
        </is>
      </c>
      <c r="C918" s="196" t="n"/>
      <c r="D918" s="377" t="inlineStr">
        <is>
          <t>T</t>
        </is>
      </c>
      <c r="E918" s="632" t="n">
        <v>62</v>
      </c>
      <c r="F918" s="634" t="n">
        <v>39</v>
      </c>
      <c r="G918" s="613" t="n"/>
      <c r="H918" s="612" t="n"/>
      <c r="I918" s="613" t="n"/>
      <c r="J918" s="612" t="n"/>
      <c r="K918" s="613" t="n"/>
      <c r="L918" s="612" t="n"/>
      <c r="M918" s="613" t="n"/>
      <c r="N918" s="612" t="n"/>
      <c r="O918" s="613" t="n"/>
    </row>
    <row r="919" ht="14.4" customFormat="1" customHeight="1" s="323">
      <c r="B919" s="120" t="inlineStr">
        <is>
          <t>80-110mm Stone</t>
        </is>
      </c>
      <c r="C919" s="196" t="n"/>
      <c r="D919" s="377" t="inlineStr">
        <is>
          <t>T</t>
        </is>
      </c>
      <c r="E919" s="635" t="n">
        <v>25</v>
      </c>
      <c r="F919" s="634" t="n">
        <v>29</v>
      </c>
      <c r="G919" s="613" t="n"/>
      <c r="H919" s="612" t="n"/>
      <c r="I919" s="613" t="n"/>
      <c r="J919" s="636" t="n"/>
      <c r="K919" s="613" t="n"/>
      <c r="L919" s="612" t="n"/>
      <c r="M919" s="613" t="n"/>
      <c r="N919" s="612" t="n"/>
      <c r="O919" s="613" t="n"/>
    </row>
    <row r="920" ht="14.4" customFormat="1" customHeight="1" s="323">
      <c r="B920" s="120" t="inlineStr">
        <is>
          <t>Medium River / Bed Sand</t>
        </is>
      </c>
      <c r="C920" s="196" t="n"/>
      <c r="D920" s="377" t="inlineStr">
        <is>
          <t>T</t>
        </is>
      </c>
      <c r="E920" s="632" t="n">
        <v>62</v>
      </c>
      <c r="F920" s="634" t="n">
        <v>26</v>
      </c>
      <c r="G920" s="613" t="n"/>
      <c r="H920" s="612" t="n"/>
      <c r="I920" s="613" t="n"/>
      <c r="J920" s="612" t="n"/>
      <c r="K920" s="347" t="n"/>
      <c r="L920" s="636" t="n"/>
      <c r="M920" s="613" t="n"/>
      <c r="N920" s="612" t="n"/>
      <c r="O920" s="613" t="n"/>
    </row>
    <row r="921" ht="14.4" customFormat="1" customHeight="1" s="323">
      <c r="B921" s="120" t="inlineStr">
        <is>
          <t>CBR15 Road Base</t>
        </is>
      </c>
      <c r="C921" s="196" t="n"/>
      <c r="D921" s="377" t="inlineStr">
        <is>
          <t>T</t>
        </is>
      </c>
      <c r="E921" s="635" t="n">
        <v>48</v>
      </c>
      <c r="F921" s="634" t="n">
        <v>27</v>
      </c>
      <c r="G921" s="613" t="n"/>
      <c r="H921" s="612" t="n"/>
      <c r="I921" s="613" t="n"/>
      <c r="J921" s="612" t="n"/>
      <c r="K921" s="347" t="n"/>
      <c r="L921" s="636" t="n"/>
      <c r="M921" s="613" t="n"/>
      <c r="N921" s="612" t="n"/>
      <c r="O921" s="613" t="n"/>
    </row>
    <row r="922" ht="14.4" customFormat="1" customHeight="1" s="323">
      <c r="B922" s="120" t="inlineStr">
        <is>
          <t>CBR45</t>
        </is>
      </c>
      <c r="C922" s="196" t="n"/>
      <c r="D922" s="377" t="inlineStr">
        <is>
          <t>T</t>
        </is>
      </c>
      <c r="E922" s="635" t="n">
        <v>50</v>
      </c>
      <c r="F922" s="634" t="n">
        <v>30</v>
      </c>
      <c r="G922" s="613" t="n"/>
      <c r="H922" s="612" t="n"/>
      <c r="I922" s="613" t="n"/>
      <c r="J922" s="612" t="n"/>
      <c r="K922" s="347" t="n"/>
      <c r="L922" s="636" t="n"/>
      <c r="M922" s="613" t="n"/>
      <c r="N922" s="612" t="n"/>
      <c r="O922" s="613" t="n"/>
    </row>
    <row r="923" ht="14.4" customFormat="1" customHeight="1" s="323">
      <c r="B923" s="120" t="inlineStr">
        <is>
          <t>LEANMIX_20mm-12:1</t>
        </is>
      </c>
      <c r="C923" s="196" t="n"/>
      <c r="D923" s="377" t="inlineStr">
        <is>
          <t>M3</t>
        </is>
      </c>
      <c r="E923" s="637" t="n">
        <v>168</v>
      </c>
      <c r="F923" s="634" t="n">
        <v>0</v>
      </c>
      <c r="G923" s="613" t="n"/>
      <c r="H923" s="612" t="n"/>
      <c r="I923" s="613" t="n"/>
      <c r="J923" s="612" t="n"/>
      <c r="K923" s="613" t="n"/>
      <c r="L923" s="612" t="n"/>
      <c r="M923" s="613" t="n"/>
      <c r="N923" s="612" t="n"/>
      <c r="O923" s="613" t="n"/>
    </row>
    <row r="924" ht="15" customFormat="1" customHeight="1" s="323" thickBot="1">
      <c r="B924" s="120" t="inlineStr">
        <is>
          <t>Concrete_25/20/80</t>
        </is>
      </c>
      <c r="C924" s="347" t="n"/>
      <c r="D924" s="377" t="inlineStr">
        <is>
          <t>M3</t>
        </is>
      </c>
      <c r="E924" s="638" t="n">
        <v>153</v>
      </c>
      <c r="F924" s="638" t="n">
        <v>0</v>
      </c>
      <c r="G924" s="613" t="n"/>
      <c r="H924" s="612" t="n"/>
      <c r="I924" s="613" t="n"/>
      <c r="J924" s="612" t="n"/>
      <c r="K924" s="347" t="n"/>
      <c r="L924" s="636" t="n"/>
      <c r="M924" s="613" t="n"/>
      <c r="N924" s="612" t="n"/>
      <c r="O924" s="613" t="n"/>
    </row>
  </sheetData>
  <mergeCells count="6">
    <mergeCell ref="B9:G9"/>
    <mergeCell ref="C856:E858"/>
    <mergeCell ref="D14:E14"/>
    <mergeCell ref="A6:F6"/>
    <mergeCell ref="J14:P14"/>
    <mergeCell ref="C863:E865"/>
  </mergeCells>
  <printOptions gridLines="1"/>
  <pageMargins left="0.46" right="0.42" top="0.37" bottom="0.4" header="0.39" footer="0.38"/>
  <pageSetup orientation="portrait" paperSize="8" scale="80" horizontalDpi="1200" verticalDpi="12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theme="7"/>
    <outlinePr summaryBelow="1" summaryRight="1"/>
    <pageSetUpPr/>
  </sheetPr>
  <dimension ref="A1:R934"/>
  <sheetViews>
    <sheetView topLeftCell="A907" zoomScale="115" zoomScaleNormal="115" workbookViewId="0">
      <selection activeCell="O910" sqref="O910"/>
    </sheetView>
  </sheetViews>
  <sheetFormatPr baseColWidth="8" defaultColWidth="9.21875" defaultRowHeight="10.2"/>
  <cols>
    <col width="8.21875" customWidth="1" style="38" min="1" max="1"/>
    <col width="72.21875" customWidth="1" style="38" min="2" max="2"/>
    <col width="23.5546875" customWidth="1" style="40" min="3" max="3"/>
    <col width="10.44140625" customWidth="1" style="40" min="4" max="4"/>
    <col width="17.21875" customWidth="1" style="583" min="5" max="5"/>
    <col width="14.21875" customWidth="1" style="583" min="6" max="6"/>
    <col width="15.5546875" customWidth="1" style="38" min="7" max="7"/>
    <col width="9.21875" customWidth="1" style="38" min="8" max="11"/>
    <col width="10.33203125" bestFit="1" customWidth="1" style="38" min="12" max="12"/>
    <col width="9.21875" customWidth="1" style="38" min="13" max="13"/>
    <col width="10.44140625" bestFit="1" customWidth="1" style="38" min="14" max="14"/>
    <col width="9.21875" customWidth="1" style="38" min="15" max="237"/>
    <col width="8.21875" customWidth="1" style="38" min="238" max="238"/>
    <col width="70.44140625" bestFit="1" customWidth="1" style="38" min="239" max="239"/>
    <col width="11.44140625" customWidth="1" style="38" min="240" max="240"/>
    <col width="10.44140625" customWidth="1" style="38" min="241" max="241"/>
    <col width="13.21875" customWidth="1" style="38" min="242" max="242"/>
    <col width="14.21875" customWidth="1" style="38" min="243" max="243"/>
    <col width="12.21875" customWidth="1" style="38" min="244" max="244"/>
    <col width="9.21875" customWidth="1" style="38" min="245" max="493"/>
    <col width="8.21875" customWidth="1" style="38" min="494" max="494"/>
    <col width="70.44140625" bestFit="1" customWidth="1" style="38" min="495" max="495"/>
    <col width="11.44140625" customWidth="1" style="38" min="496" max="496"/>
    <col width="10.44140625" customWidth="1" style="38" min="497" max="497"/>
    <col width="13.21875" customWidth="1" style="38" min="498" max="498"/>
    <col width="14.21875" customWidth="1" style="38" min="499" max="499"/>
    <col width="12.21875" customWidth="1" style="38" min="500" max="500"/>
    <col width="9.21875" customWidth="1" style="38" min="501" max="749"/>
    <col width="8.21875" customWidth="1" style="38" min="750" max="750"/>
    <col width="70.44140625" bestFit="1" customWidth="1" style="38" min="751" max="751"/>
    <col width="11.44140625" customWidth="1" style="38" min="752" max="752"/>
    <col width="10.44140625" customWidth="1" style="38" min="753" max="753"/>
    <col width="13.21875" customWidth="1" style="38" min="754" max="754"/>
    <col width="14.21875" customWidth="1" style="38" min="755" max="755"/>
    <col width="12.21875" customWidth="1" style="38" min="756" max="756"/>
    <col width="9.21875" customWidth="1" style="38" min="757" max="1005"/>
    <col width="8.21875" customWidth="1" style="38" min="1006" max="1006"/>
    <col width="70.44140625" bestFit="1" customWidth="1" style="38" min="1007" max="1007"/>
    <col width="11.44140625" customWidth="1" style="38" min="1008" max="1008"/>
    <col width="10.44140625" customWidth="1" style="38" min="1009" max="1009"/>
    <col width="13.21875" customWidth="1" style="38" min="1010" max="1010"/>
    <col width="14.21875" customWidth="1" style="38" min="1011" max="1011"/>
    <col width="12.21875" customWidth="1" style="38" min="1012" max="1012"/>
    <col width="9.21875" customWidth="1" style="38" min="1013" max="1261"/>
    <col width="8.21875" customWidth="1" style="38" min="1262" max="1262"/>
    <col width="70.44140625" bestFit="1" customWidth="1" style="38" min="1263" max="1263"/>
    <col width="11.44140625" customWidth="1" style="38" min="1264" max="1264"/>
    <col width="10.44140625" customWidth="1" style="38" min="1265" max="1265"/>
    <col width="13.21875" customWidth="1" style="38" min="1266" max="1266"/>
    <col width="14.21875" customWidth="1" style="38" min="1267" max="1267"/>
    <col width="12.21875" customWidth="1" style="38" min="1268" max="1268"/>
    <col width="9.21875" customWidth="1" style="38" min="1269" max="1517"/>
    <col width="8.21875" customWidth="1" style="38" min="1518" max="1518"/>
    <col width="70.44140625" bestFit="1" customWidth="1" style="38" min="1519" max="1519"/>
    <col width="11.44140625" customWidth="1" style="38" min="1520" max="1520"/>
    <col width="10.44140625" customWidth="1" style="38" min="1521" max="1521"/>
    <col width="13.21875" customWidth="1" style="38" min="1522" max="1522"/>
    <col width="14.21875" customWidth="1" style="38" min="1523" max="1523"/>
    <col width="12.21875" customWidth="1" style="38" min="1524" max="1524"/>
    <col width="9.21875" customWidth="1" style="38" min="1525" max="1773"/>
    <col width="8.21875" customWidth="1" style="38" min="1774" max="1774"/>
    <col width="70.44140625" bestFit="1" customWidth="1" style="38" min="1775" max="1775"/>
    <col width="11.44140625" customWidth="1" style="38" min="1776" max="1776"/>
    <col width="10.44140625" customWidth="1" style="38" min="1777" max="1777"/>
    <col width="13.21875" customWidth="1" style="38" min="1778" max="1778"/>
    <col width="14.21875" customWidth="1" style="38" min="1779" max="1779"/>
    <col width="12.21875" customWidth="1" style="38" min="1780" max="1780"/>
    <col width="9.21875" customWidth="1" style="38" min="1781" max="2029"/>
    <col width="8.21875" customWidth="1" style="38" min="2030" max="2030"/>
    <col width="70.44140625" bestFit="1" customWidth="1" style="38" min="2031" max="2031"/>
    <col width="11.44140625" customWidth="1" style="38" min="2032" max="2032"/>
    <col width="10.44140625" customWidth="1" style="38" min="2033" max="2033"/>
    <col width="13.21875" customWidth="1" style="38" min="2034" max="2034"/>
    <col width="14.21875" customWidth="1" style="38" min="2035" max="2035"/>
    <col width="12.21875" customWidth="1" style="38" min="2036" max="2036"/>
    <col width="9.21875" customWidth="1" style="38" min="2037" max="2285"/>
    <col width="8.21875" customWidth="1" style="38" min="2286" max="2286"/>
    <col width="70.44140625" bestFit="1" customWidth="1" style="38" min="2287" max="2287"/>
    <col width="11.44140625" customWidth="1" style="38" min="2288" max="2288"/>
    <col width="10.44140625" customWidth="1" style="38" min="2289" max="2289"/>
    <col width="13.21875" customWidth="1" style="38" min="2290" max="2290"/>
    <col width="14.21875" customWidth="1" style="38" min="2291" max="2291"/>
    <col width="12.21875" customWidth="1" style="38" min="2292" max="2292"/>
    <col width="9.21875" customWidth="1" style="38" min="2293" max="2541"/>
    <col width="8.21875" customWidth="1" style="38" min="2542" max="2542"/>
    <col width="70.44140625" bestFit="1" customWidth="1" style="38" min="2543" max="2543"/>
    <col width="11.44140625" customWidth="1" style="38" min="2544" max="2544"/>
    <col width="10.44140625" customWidth="1" style="38" min="2545" max="2545"/>
    <col width="13.21875" customWidth="1" style="38" min="2546" max="2546"/>
    <col width="14.21875" customWidth="1" style="38" min="2547" max="2547"/>
    <col width="12.21875" customWidth="1" style="38" min="2548" max="2548"/>
    <col width="9.21875" customWidth="1" style="38" min="2549" max="2797"/>
    <col width="8.21875" customWidth="1" style="38" min="2798" max="2798"/>
    <col width="70.44140625" bestFit="1" customWidth="1" style="38" min="2799" max="2799"/>
    <col width="11.44140625" customWidth="1" style="38" min="2800" max="2800"/>
    <col width="10.44140625" customWidth="1" style="38" min="2801" max="2801"/>
    <col width="13.21875" customWidth="1" style="38" min="2802" max="2802"/>
    <col width="14.21875" customWidth="1" style="38" min="2803" max="2803"/>
    <col width="12.21875" customWidth="1" style="38" min="2804" max="2804"/>
    <col width="9.21875" customWidth="1" style="38" min="2805" max="3053"/>
    <col width="8.21875" customWidth="1" style="38" min="3054" max="3054"/>
    <col width="70.44140625" bestFit="1" customWidth="1" style="38" min="3055" max="3055"/>
    <col width="11.44140625" customWidth="1" style="38" min="3056" max="3056"/>
    <col width="10.44140625" customWidth="1" style="38" min="3057" max="3057"/>
    <col width="13.21875" customWidth="1" style="38" min="3058" max="3058"/>
    <col width="14.21875" customWidth="1" style="38" min="3059" max="3059"/>
    <col width="12.21875" customWidth="1" style="38" min="3060" max="3060"/>
    <col width="9.21875" customWidth="1" style="38" min="3061" max="3309"/>
    <col width="8.21875" customWidth="1" style="38" min="3310" max="3310"/>
    <col width="70.44140625" bestFit="1" customWidth="1" style="38" min="3311" max="3311"/>
    <col width="11.44140625" customWidth="1" style="38" min="3312" max="3312"/>
    <col width="10.44140625" customWidth="1" style="38" min="3313" max="3313"/>
    <col width="13.21875" customWidth="1" style="38" min="3314" max="3314"/>
    <col width="14.21875" customWidth="1" style="38" min="3315" max="3315"/>
    <col width="12.21875" customWidth="1" style="38" min="3316" max="3316"/>
    <col width="9.21875" customWidth="1" style="38" min="3317" max="3565"/>
    <col width="8.21875" customWidth="1" style="38" min="3566" max="3566"/>
    <col width="70.44140625" bestFit="1" customWidth="1" style="38" min="3567" max="3567"/>
    <col width="11.44140625" customWidth="1" style="38" min="3568" max="3568"/>
    <col width="10.44140625" customWidth="1" style="38" min="3569" max="3569"/>
    <col width="13.21875" customWidth="1" style="38" min="3570" max="3570"/>
    <col width="14.21875" customWidth="1" style="38" min="3571" max="3571"/>
    <col width="12.21875" customWidth="1" style="38" min="3572" max="3572"/>
    <col width="9.21875" customWidth="1" style="38" min="3573" max="3821"/>
    <col width="8.21875" customWidth="1" style="38" min="3822" max="3822"/>
    <col width="70.44140625" bestFit="1" customWidth="1" style="38" min="3823" max="3823"/>
    <col width="11.44140625" customWidth="1" style="38" min="3824" max="3824"/>
    <col width="10.44140625" customWidth="1" style="38" min="3825" max="3825"/>
    <col width="13.21875" customWidth="1" style="38" min="3826" max="3826"/>
    <col width="14.21875" customWidth="1" style="38" min="3827" max="3827"/>
    <col width="12.21875" customWidth="1" style="38" min="3828" max="3828"/>
    <col width="9.21875" customWidth="1" style="38" min="3829" max="4077"/>
    <col width="8.21875" customWidth="1" style="38" min="4078" max="4078"/>
    <col width="70.44140625" bestFit="1" customWidth="1" style="38" min="4079" max="4079"/>
    <col width="11.44140625" customWidth="1" style="38" min="4080" max="4080"/>
    <col width="10.44140625" customWidth="1" style="38" min="4081" max="4081"/>
    <col width="13.21875" customWidth="1" style="38" min="4082" max="4082"/>
    <col width="14.21875" customWidth="1" style="38" min="4083" max="4083"/>
    <col width="12.21875" customWidth="1" style="38" min="4084" max="4084"/>
    <col width="9.21875" customWidth="1" style="38" min="4085" max="4333"/>
    <col width="8.21875" customWidth="1" style="38" min="4334" max="4334"/>
    <col width="70.44140625" bestFit="1" customWidth="1" style="38" min="4335" max="4335"/>
    <col width="11.44140625" customWidth="1" style="38" min="4336" max="4336"/>
    <col width="10.44140625" customWidth="1" style="38" min="4337" max="4337"/>
    <col width="13.21875" customWidth="1" style="38" min="4338" max="4338"/>
    <col width="14.21875" customWidth="1" style="38" min="4339" max="4339"/>
    <col width="12.21875" customWidth="1" style="38" min="4340" max="4340"/>
    <col width="9.21875" customWidth="1" style="38" min="4341" max="4589"/>
    <col width="8.21875" customWidth="1" style="38" min="4590" max="4590"/>
    <col width="70.44140625" bestFit="1" customWidth="1" style="38" min="4591" max="4591"/>
    <col width="11.44140625" customWidth="1" style="38" min="4592" max="4592"/>
    <col width="10.44140625" customWidth="1" style="38" min="4593" max="4593"/>
    <col width="13.21875" customWidth="1" style="38" min="4594" max="4594"/>
    <col width="14.21875" customWidth="1" style="38" min="4595" max="4595"/>
    <col width="12.21875" customWidth="1" style="38" min="4596" max="4596"/>
    <col width="9.21875" customWidth="1" style="38" min="4597" max="4845"/>
    <col width="8.21875" customWidth="1" style="38" min="4846" max="4846"/>
    <col width="70.44140625" bestFit="1" customWidth="1" style="38" min="4847" max="4847"/>
    <col width="11.44140625" customWidth="1" style="38" min="4848" max="4848"/>
    <col width="10.44140625" customWidth="1" style="38" min="4849" max="4849"/>
    <col width="13.21875" customWidth="1" style="38" min="4850" max="4850"/>
    <col width="14.21875" customWidth="1" style="38" min="4851" max="4851"/>
    <col width="12.21875" customWidth="1" style="38" min="4852" max="4852"/>
    <col width="9.21875" customWidth="1" style="38" min="4853" max="5101"/>
    <col width="8.21875" customWidth="1" style="38" min="5102" max="5102"/>
    <col width="70.44140625" bestFit="1" customWidth="1" style="38" min="5103" max="5103"/>
    <col width="11.44140625" customWidth="1" style="38" min="5104" max="5104"/>
    <col width="10.44140625" customWidth="1" style="38" min="5105" max="5105"/>
    <col width="13.21875" customWidth="1" style="38" min="5106" max="5106"/>
    <col width="14.21875" customWidth="1" style="38" min="5107" max="5107"/>
    <col width="12.21875" customWidth="1" style="38" min="5108" max="5108"/>
    <col width="9.21875" customWidth="1" style="38" min="5109" max="5357"/>
    <col width="8.21875" customWidth="1" style="38" min="5358" max="5358"/>
    <col width="70.44140625" bestFit="1" customWidth="1" style="38" min="5359" max="5359"/>
    <col width="11.44140625" customWidth="1" style="38" min="5360" max="5360"/>
    <col width="10.44140625" customWidth="1" style="38" min="5361" max="5361"/>
    <col width="13.21875" customWidth="1" style="38" min="5362" max="5362"/>
    <col width="14.21875" customWidth="1" style="38" min="5363" max="5363"/>
    <col width="12.21875" customWidth="1" style="38" min="5364" max="5364"/>
    <col width="9.21875" customWidth="1" style="38" min="5365" max="5613"/>
    <col width="8.21875" customWidth="1" style="38" min="5614" max="5614"/>
    <col width="70.44140625" bestFit="1" customWidth="1" style="38" min="5615" max="5615"/>
    <col width="11.44140625" customWidth="1" style="38" min="5616" max="5616"/>
    <col width="10.44140625" customWidth="1" style="38" min="5617" max="5617"/>
    <col width="13.21875" customWidth="1" style="38" min="5618" max="5618"/>
    <col width="14.21875" customWidth="1" style="38" min="5619" max="5619"/>
    <col width="12.21875" customWidth="1" style="38" min="5620" max="5620"/>
    <col width="9.21875" customWidth="1" style="38" min="5621" max="5869"/>
    <col width="8.21875" customWidth="1" style="38" min="5870" max="5870"/>
    <col width="70.44140625" bestFit="1" customWidth="1" style="38" min="5871" max="5871"/>
    <col width="11.44140625" customWidth="1" style="38" min="5872" max="5872"/>
    <col width="10.44140625" customWidth="1" style="38" min="5873" max="5873"/>
    <col width="13.21875" customWidth="1" style="38" min="5874" max="5874"/>
    <col width="14.21875" customWidth="1" style="38" min="5875" max="5875"/>
    <col width="12.21875" customWidth="1" style="38" min="5876" max="5876"/>
    <col width="9.21875" customWidth="1" style="38" min="5877" max="6125"/>
    <col width="8.21875" customWidth="1" style="38" min="6126" max="6126"/>
    <col width="70.44140625" bestFit="1" customWidth="1" style="38" min="6127" max="6127"/>
    <col width="11.44140625" customWidth="1" style="38" min="6128" max="6128"/>
    <col width="10.44140625" customWidth="1" style="38" min="6129" max="6129"/>
    <col width="13.21875" customWidth="1" style="38" min="6130" max="6130"/>
    <col width="14.21875" customWidth="1" style="38" min="6131" max="6131"/>
    <col width="12.21875" customWidth="1" style="38" min="6132" max="6132"/>
    <col width="9.21875" customWidth="1" style="38" min="6133" max="6381"/>
    <col width="8.21875" customWidth="1" style="38" min="6382" max="6382"/>
    <col width="70.44140625" bestFit="1" customWidth="1" style="38" min="6383" max="6383"/>
    <col width="11.44140625" customWidth="1" style="38" min="6384" max="6384"/>
    <col width="10.44140625" customWidth="1" style="38" min="6385" max="6385"/>
    <col width="13.21875" customWidth="1" style="38" min="6386" max="6386"/>
    <col width="14.21875" customWidth="1" style="38" min="6387" max="6387"/>
    <col width="12.21875" customWidth="1" style="38" min="6388" max="6388"/>
    <col width="9.21875" customWidth="1" style="38" min="6389" max="6637"/>
    <col width="8.21875" customWidth="1" style="38" min="6638" max="6638"/>
    <col width="70.44140625" bestFit="1" customWidth="1" style="38" min="6639" max="6639"/>
    <col width="11.44140625" customWidth="1" style="38" min="6640" max="6640"/>
    <col width="10.44140625" customWidth="1" style="38" min="6641" max="6641"/>
    <col width="13.21875" customWidth="1" style="38" min="6642" max="6642"/>
    <col width="14.21875" customWidth="1" style="38" min="6643" max="6643"/>
    <col width="12.21875" customWidth="1" style="38" min="6644" max="6644"/>
    <col width="9.21875" customWidth="1" style="38" min="6645" max="6893"/>
    <col width="8.21875" customWidth="1" style="38" min="6894" max="6894"/>
    <col width="70.44140625" bestFit="1" customWidth="1" style="38" min="6895" max="6895"/>
    <col width="11.44140625" customWidth="1" style="38" min="6896" max="6896"/>
    <col width="10.44140625" customWidth="1" style="38" min="6897" max="6897"/>
    <col width="13.21875" customWidth="1" style="38" min="6898" max="6898"/>
    <col width="14.21875" customWidth="1" style="38" min="6899" max="6899"/>
    <col width="12.21875" customWidth="1" style="38" min="6900" max="6900"/>
    <col width="9.21875" customWidth="1" style="38" min="6901" max="7149"/>
    <col width="8.21875" customWidth="1" style="38" min="7150" max="7150"/>
    <col width="70.44140625" bestFit="1" customWidth="1" style="38" min="7151" max="7151"/>
    <col width="11.44140625" customWidth="1" style="38" min="7152" max="7152"/>
    <col width="10.44140625" customWidth="1" style="38" min="7153" max="7153"/>
    <col width="13.21875" customWidth="1" style="38" min="7154" max="7154"/>
    <col width="14.21875" customWidth="1" style="38" min="7155" max="7155"/>
    <col width="12.21875" customWidth="1" style="38" min="7156" max="7156"/>
    <col width="9.21875" customWidth="1" style="38" min="7157" max="7405"/>
    <col width="8.21875" customWidth="1" style="38" min="7406" max="7406"/>
    <col width="70.44140625" bestFit="1" customWidth="1" style="38" min="7407" max="7407"/>
    <col width="11.44140625" customWidth="1" style="38" min="7408" max="7408"/>
    <col width="10.44140625" customWidth="1" style="38" min="7409" max="7409"/>
    <col width="13.21875" customWidth="1" style="38" min="7410" max="7410"/>
    <col width="14.21875" customWidth="1" style="38" min="7411" max="7411"/>
    <col width="12.21875" customWidth="1" style="38" min="7412" max="7412"/>
    <col width="9.21875" customWidth="1" style="38" min="7413" max="7661"/>
    <col width="8.21875" customWidth="1" style="38" min="7662" max="7662"/>
    <col width="70.44140625" bestFit="1" customWidth="1" style="38" min="7663" max="7663"/>
    <col width="11.44140625" customWidth="1" style="38" min="7664" max="7664"/>
    <col width="10.44140625" customWidth="1" style="38" min="7665" max="7665"/>
    <col width="13.21875" customWidth="1" style="38" min="7666" max="7666"/>
    <col width="14.21875" customWidth="1" style="38" min="7667" max="7667"/>
    <col width="12.21875" customWidth="1" style="38" min="7668" max="7668"/>
    <col width="9.21875" customWidth="1" style="38" min="7669" max="7917"/>
    <col width="8.21875" customWidth="1" style="38" min="7918" max="7918"/>
    <col width="70.44140625" bestFit="1" customWidth="1" style="38" min="7919" max="7919"/>
    <col width="11.44140625" customWidth="1" style="38" min="7920" max="7920"/>
    <col width="10.44140625" customWidth="1" style="38" min="7921" max="7921"/>
    <col width="13.21875" customWidth="1" style="38" min="7922" max="7922"/>
    <col width="14.21875" customWidth="1" style="38" min="7923" max="7923"/>
    <col width="12.21875" customWidth="1" style="38" min="7924" max="7924"/>
    <col width="9.21875" customWidth="1" style="38" min="7925" max="8173"/>
    <col width="8.21875" customWidth="1" style="38" min="8174" max="8174"/>
    <col width="70.44140625" bestFit="1" customWidth="1" style="38" min="8175" max="8175"/>
    <col width="11.44140625" customWidth="1" style="38" min="8176" max="8176"/>
    <col width="10.44140625" customWidth="1" style="38" min="8177" max="8177"/>
    <col width="13.21875" customWidth="1" style="38" min="8178" max="8178"/>
    <col width="14.21875" customWidth="1" style="38" min="8179" max="8179"/>
    <col width="12.21875" customWidth="1" style="38" min="8180" max="8180"/>
    <col width="9.21875" customWidth="1" style="38" min="8181" max="8429"/>
    <col width="8.21875" customWidth="1" style="38" min="8430" max="8430"/>
    <col width="70.44140625" bestFit="1" customWidth="1" style="38" min="8431" max="8431"/>
    <col width="11.44140625" customWidth="1" style="38" min="8432" max="8432"/>
    <col width="10.44140625" customWidth="1" style="38" min="8433" max="8433"/>
    <col width="13.21875" customWidth="1" style="38" min="8434" max="8434"/>
    <col width="14.21875" customWidth="1" style="38" min="8435" max="8435"/>
    <col width="12.21875" customWidth="1" style="38" min="8436" max="8436"/>
    <col width="9.21875" customWidth="1" style="38" min="8437" max="8685"/>
    <col width="8.21875" customWidth="1" style="38" min="8686" max="8686"/>
    <col width="70.44140625" bestFit="1" customWidth="1" style="38" min="8687" max="8687"/>
    <col width="11.44140625" customWidth="1" style="38" min="8688" max="8688"/>
    <col width="10.44140625" customWidth="1" style="38" min="8689" max="8689"/>
    <col width="13.21875" customWidth="1" style="38" min="8690" max="8690"/>
    <col width="14.21875" customWidth="1" style="38" min="8691" max="8691"/>
    <col width="12.21875" customWidth="1" style="38" min="8692" max="8692"/>
    <col width="9.21875" customWidth="1" style="38" min="8693" max="8941"/>
    <col width="8.21875" customWidth="1" style="38" min="8942" max="8942"/>
    <col width="70.44140625" bestFit="1" customWidth="1" style="38" min="8943" max="8943"/>
    <col width="11.44140625" customWidth="1" style="38" min="8944" max="8944"/>
    <col width="10.44140625" customWidth="1" style="38" min="8945" max="8945"/>
    <col width="13.21875" customWidth="1" style="38" min="8946" max="8946"/>
    <col width="14.21875" customWidth="1" style="38" min="8947" max="8947"/>
    <col width="12.21875" customWidth="1" style="38" min="8948" max="8948"/>
    <col width="9.21875" customWidth="1" style="38" min="8949" max="9197"/>
    <col width="8.21875" customWidth="1" style="38" min="9198" max="9198"/>
    <col width="70.44140625" bestFit="1" customWidth="1" style="38" min="9199" max="9199"/>
    <col width="11.44140625" customWidth="1" style="38" min="9200" max="9200"/>
    <col width="10.44140625" customWidth="1" style="38" min="9201" max="9201"/>
    <col width="13.21875" customWidth="1" style="38" min="9202" max="9202"/>
    <col width="14.21875" customWidth="1" style="38" min="9203" max="9203"/>
    <col width="12.21875" customWidth="1" style="38" min="9204" max="9204"/>
    <col width="9.21875" customWidth="1" style="38" min="9205" max="9453"/>
    <col width="8.21875" customWidth="1" style="38" min="9454" max="9454"/>
    <col width="70.44140625" bestFit="1" customWidth="1" style="38" min="9455" max="9455"/>
    <col width="11.44140625" customWidth="1" style="38" min="9456" max="9456"/>
    <col width="10.44140625" customWidth="1" style="38" min="9457" max="9457"/>
    <col width="13.21875" customWidth="1" style="38" min="9458" max="9458"/>
    <col width="14.21875" customWidth="1" style="38" min="9459" max="9459"/>
    <col width="12.21875" customWidth="1" style="38" min="9460" max="9460"/>
    <col width="9.21875" customWidth="1" style="38" min="9461" max="9709"/>
    <col width="8.21875" customWidth="1" style="38" min="9710" max="9710"/>
    <col width="70.44140625" bestFit="1" customWidth="1" style="38" min="9711" max="9711"/>
    <col width="11.44140625" customWidth="1" style="38" min="9712" max="9712"/>
    <col width="10.44140625" customWidth="1" style="38" min="9713" max="9713"/>
    <col width="13.21875" customWidth="1" style="38" min="9714" max="9714"/>
    <col width="14.21875" customWidth="1" style="38" min="9715" max="9715"/>
    <col width="12.21875" customWidth="1" style="38" min="9716" max="9716"/>
    <col width="9.21875" customWidth="1" style="38" min="9717" max="9965"/>
    <col width="8.21875" customWidth="1" style="38" min="9966" max="9966"/>
    <col width="70.44140625" bestFit="1" customWidth="1" style="38" min="9967" max="9967"/>
    <col width="11.44140625" customWidth="1" style="38" min="9968" max="9968"/>
    <col width="10.44140625" customWidth="1" style="38" min="9969" max="9969"/>
    <col width="13.21875" customWidth="1" style="38" min="9970" max="9970"/>
    <col width="14.21875" customWidth="1" style="38" min="9971" max="9971"/>
    <col width="12.21875" customWidth="1" style="38" min="9972" max="9972"/>
    <col width="9.21875" customWidth="1" style="38" min="9973" max="10221"/>
    <col width="8.21875" customWidth="1" style="38" min="10222" max="10222"/>
    <col width="70.44140625" bestFit="1" customWidth="1" style="38" min="10223" max="10223"/>
    <col width="11.44140625" customWidth="1" style="38" min="10224" max="10224"/>
    <col width="10.44140625" customWidth="1" style="38" min="10225" max="10225"/>
    <col width="13.21875" customWidth="1" style="38" min="10226" max="10226"/>
    <col width="14.21875" customWidth="1" style="38" min="10227" max="10227"/>
    <col width="12.21875" customWidth="1" style="38" min="10228" max="10228"/>
    <col width="9.21875" customWidth="1" style="38" min="10229" max="10477"/>
    <col width="8.21875" customWidth="1" style="38" min="10478" max="10478"/>
    <col width="70.44140625" bestFit="1" customWidth="1" style="38" min="10479" max="10479"/>
    <col width="11.44140625" customWidth="1" style="38" min="10480" max="10480"/>
    <col width="10.44140625" customWidth="1" style="38" min="10481" max="10481"/>
    <col width="13.21875" customWidth="1" style="38" min="10482" max="10482"/>
    <col width="14.21875" customWidth="1" style="38" min="10483" max="10483"/>
    <col width="12.21875" customWidth="1" style="38" min="10484" max="10484"/>
    <col width="9.21875" customWidth="1" style="38" min="10485" max="10733"/>
    <col width="8.21875" customWidth="1" style="38" min="10734" max="10734"/>
    <col width="70.44140625" bestFit="1" customWidth="1" style="38" min="10735" max="10735"/>
    <col width="11.44140625" customWidth="1" style="38" min="10736" max="10736"/>
    <col width="10.44140625" customWidth="1" style="38" min="10737" max="10737"/>
    <col width="13.21875" customWidth="1" style="38" min="10738" max="10738"/>
    <col width="14.21875" customWidth="1" style="38" min="10739" max="10739"/>
    <col width="12.21875" customWidth="1" style="38" min="10740" max="10740"/>
    <col width="9.21875" customWidth="1" style="38" min="10741" max="10989"/>
    <col width="8.21875" customWidth="1" style="38" min="10990" max="10990"/>
    <col width="70.44140625" bestFit="1" customWidth="1" style="38" min="10991" max="10991"/>
    <col width="11.44140625" customWidth="1" style="38" min="10992" max="10992"/>
    <col width="10.44140625" customWidth="1" style="38" min="10993" max="10993"/>
    <col width="13.21875" customWidth="1" style="38" min="10994" max="10994"/>
    <col width="14.21875" customWidth="1" style="38" min="10995" max="10995"/>
    <col width="12.21875" customWidth="1" style="38" min="10996" max="10996"/>
    <col width="9.21875" customWidth="1" style="38" min="10997" max="11245"/>
    <col width="8.21875" customWidth="1" style="38" min="11246" max="11246"/>
    <col width="70.44140625" bestFit="1" customWidth="1" style="38" min="11247" max="11247"/>
    <col width="11.44140625" customWidth="1" style="38" min="11248" max="11248"/>
    <col width="10.44140625" customWidth="1" style="38" min="11249" max="11249"/>
    <col width="13.21875" customWidth="1" style="38" min="11250" max="11250"/>
    <col width="14.21875" customWidth="1" style="38" min="11251" max="11251"/>
    <col width="12.21875" customWidth="1" style="38" min="11252" max="11252"/>
    <col width="9.21875" customWidth="1" style="38" min="11253" max="11501"/>
    <col width="8.21875" customWidth="1" style="38" min="11502" max="11502"/>
    <col width="70.44140625" bestFit="1" customWidth="1" style="38" min="11503" max="11503"/>
    <col width="11.44140625" customWidth="1" style="38" min="11504" max="11504"/>
    <col width="10.44140625" customWidth="1" style="38" min="11505" max="11505"/>
    <col width="13.21875" customWidth="1" style="38" min="11506" max="11506"/>
    <col width="14.21875" customWidth="1" style="38" min="11507" max="11507"/>
    <col width="12.21875" customWidth="1" style="38" min="11508" max="11508"/>
    <col width="9.21875" customWidth="1" style="38" min="11509" max="11757"/>
    <col width="8.21875" customWidth="1" style="38" min="11758" max="11758"/>
    <col width="70.44140625" bestFit="1" customWidth="1" style="38" min="11759" max="11759"/>
    <col width="11.44140625" customWidth="1" style="38" min="11760" max="11760"/>
    <col width="10.44140625" customWidth="1" style="38" min="11761" max="11761"/>
    <col width="13.21875" customWidth="1" style="38" min="11762" max="11762"/>
    <col width="14.21875" customWidth="1" style="38" min="11763" max="11763"/>
    <col width="12.21875" customWidth="1" style="38" min="11764" max="11764"/>
    <col width="9.21875" customWidth="1" style="38" min="11765" max="12013"/>
    <col width="8.21875" customWidth="1" style="38" min="12014" max="12014"/>
    <col width="70.44140625" bestFit="1" customWidth="1" style="38" min="12015" max="12015"/>
    <col width="11.44140625" customWidth="1" style="38" min="12016" max="12016"/>
    <col width="10.44140625" customWidth="1" style="38" min="12017" max="12017"/>
    <col width="13.21875" customWidth="1" style="38" min="12018" max="12018"/>
    <col width="14.21875" customWidth="1" style="38" min="12019" max="12019"/>
    <col width="12.21875" customWidth="1" style="38" min="12020" max="12020"/>
    <col width="9.21875" customWidth="1" style="38" min="12021" max="12269"/>
    <col width="8.21875" customWidth="1" style="38" min="12270" max="12270"/>
    <col width="70.44140625" bestFit="1" customWidth="1" style="38" min="12271" max="12271"/>
    <col width="11.44140625" customWidth="1" style="38" min="12272" max="12272"/>
    <col width="10.44140625" customWidth="1" style="38" min="12273" max="12273"/>
    <col width="13.21875" customWidth="1" style="38" min="12274" max="12274"/>
    <col width="14.21875" customWidth="1" style="38" min="12275" max="12275"/>
    <col width="12.21875" customWidth="1" style="38" min="12276" max="12276"/>
    <col width="9.21875" customWidth="1" style="38" min="12277" max="12525"/>
    <col width="8.21875" customWidth="1" style="38" min="12526" max="12526"/>
    <col width="70.44140625" bestFit="1" customWidth="1" style="38" min="12527" max="12527"/>
    <col width="11.44140625" customWidth="1" style="38" min="12528" max="12528"/>
    <col width="10.44140625" customWidth="1" style="38" min="12529" max="12529"/>
    <col width="13.21875" customWidth="1" style="38" min="12530" max="12530"/>
    <col width="14.21875" customWidth="1" style="38" min="12531" max="12531"/>
    <col width="12.21875" customWidth="1" style="38" min="12532" max="12532"/>
    <col width="9.21875" customWidth="1" style="38" min="12533" max="12781"/>
    <col width="8.21875" customWidth="1" style="38" min="12782" max="12782"/>
    <col width="70.44140625" bestFit="1" customWidth="1" style="38" min="12783" max="12783"/>
    <col width="11.44140625" customWidth="1" style="38" min="12784" max="12784"/>
    <col width="10.44140625" customWidth="1" style="38" min="12785" max="12785"/>
    <col width="13.21875" customWidth="1" style="38" min="12786" max="12786"/>
    <col width="14.21875" customWidth="1" style="38" min="12787" max="12787"/>
    <col width="12.21875" customWidth="1" style="38" min="12788" max="12788"/>
    <col width="9.21875" customWidth="1" style="38" min="12789" max="13037"/>
    <col width="8.21875" customWidth="1" style="38" min="13038" max="13038"/>
    <col width="70.44140625" bestFit="1" customWidth="1" style="38" min="13039" max="13039"/>
    <col width="11.44140625" customWidth="1" style="38" min="13040" max="13040"/>
    <col width="10.44140625" customWidth="1" style="38" min="13041" max="13041"/>
    <col width="13.21875" customWidth="1" style="38" min="13042" max="13042"/>
    <col width="14.21875" customWidth="1" style="38" min="13043" max="13043"/>
    <col width="12.21875" customWidth="1" style="38" min="13044" max="13044"/>
    <col width="9.21875" customWidth="1" style="38" min="13045" max="13293"/>
    <col width="8.21875" customWidth="1" style="38" min="13294" max="13294"/>
    <col width="70.44140625" bestFit="1" customWidth="1" style="38" min="13295" max="13295"/>
    <col width="11.44140625" customWidth="1" style="38" min="13296" max="13296"/>
    <col width="10.44140625" customWidth="1" style="38" min="13297" max="13297"/>
    <col width="13.21875" customWidth="1" style="38" min="13298" max="13298"/>
    <col width="14.21875" customWidth="1" style="38" min="13299" max="13299"/>
    <col width="12.21875" customWidth="1" style="38" min="13300" max="13300"/>
    <col width="9.21875" customWidth="1" style="38" min="13301" max="13549"/>
    <col width="8.21875" customWidth="1" style="38" min="13550" max="13550"/>
    <col width="70.44140625" bestFit="1" customWidth="1" style="38" min="13551" max="13551"/>
    <col width="11.44140625" customWidth="1" style="38" min="13552" max="13552"/>
    <col width="10.44140625" customWidth="1" style="38" min="13553" max="13553"/>
    <col width="13.21875" customWidth="1" style="38" min="13554" max="13554"/>
    <col width="14.21875" customWidth="1" style="38" min="13555" max="13555"/>
    <col width="12.21875" customWidth="1" style="38" min="13556" max="13556"/>
    <col width="9.21875" customWidth="1" style="38" min="13557" max="13805"/>
    <col width="8.21875" customWidth="1" style="38" min="13806" max="13806"/>
    <col width="70.44140625" bestFit="1" customWidth="1" style="38" min="13807" max="13807"/>
    <col width="11.44140625" customWidth="1" style="38" min="13808" max="13808"/>
    <col width="10.44140625" customWidth="1" style="38" min="13809" max="13809"/>
    <col width="13.21875" customWidth="1" style="38" min="13810" max="13810"/>
    <col width="14.21875" customWidth="1" style="38" min="13811" max="13811"/>
    <col width="12.21875" customWidth="1" style="38" min="13812" max="13812"/>
    <col width="9.21875" customWidth="1" style="38" min="13813" max="14061"/>
    <col width="8.21875" customWidth="1" style="38" min="14062" max="14062"/>
    <col width="70.44140625" bestFit="1" customWidth="1" style="38" min="14063" max="14063"/>
    <col width="11.44140625" customWidth="1" style="38" min="14064" max="14064"/>
    <col width="10.44140625" customWidth="1" style="38" min="14065" max="14065"/>
    <col width="13.21875" customWidth="1" style="38" min="14066" max="14066"/>
    <col width="14.21875" customWidth="1" style="38" min="14067" max="14067"/>
    <col width="12.21875" customWidth="1" style="38" min="14068" max="14068"/>
    <col width="9.21875" customWidth="1" style="38" min="14069" max="14317"/>
    <col width="8.21875" customWidth="1" style="38" min="14318" max="14318"/>
    <col width="70.44140625" bestFit="1" customWidth="1" style="38" min="14319" max="14319"/>
    <col width="11.44140625" customWidth="1" style="38" min="14320" max="14320"/>
    <col width="10.44140625" customWidth="1" style="38" min="14321" max="14321"/>
    <col width="13.21875" customWidth="1" style="38" min="14322" max="14322"/>
    <col width="14.21875" customWidth="1" style="38" min="14323" max="14323"/>
    <col width="12.21875" customWidth="1" style="38" min="14324" max="14324"/>
    <col width="9.21875" customWidth="1" style="38" min="14325" max="14573"/>
    <col width="8.21875" customWidth="1" style="38" min="14574" max="14574"/>
    <col width="70.44140625" bestFit="1" customWidth="1" style="38" min="14575" max="14575"/>
    <col width="11.44140625" customWidth="1" style="38" min="14576" max="14576"/>
    <col width="10.44140625" customWidth="1" style="38" min="14577" max="14577"/>
    <col width="13.21875" customWidth="1" style="38" min="14578" max="14578"/>
    <col width="14.21875" customWidth="1" style="38" min="14579" max="14579"/>
    <col width="12.21875" customWidth="1" style="38" min="14580" max="14580"/>
    <col width="9.21875" customWidth="1" style="38" min="14581" max="14829"/>
    <col width="8.21875" customWidth="1" style="38" min="14830" max="14830"/>
    <col width="70.44140625" bestFit="1" customWidth="1" style="38" min="14831" max="14831"/>
    <col width="11.44140625" customWidth="1" style="38" min="14832" max="14832"/>
    <col width="10.44140625" customWidth="1" style="38" min="14833" max="14833"/>
    <col width="13.21875" customWidth="1" style="38" min="14834" max="14834"/>
    <col width="14.21875" customWidth="1" style="38" min="14835" max="14835"/>
    <col width="12.21875" customWidth="1" style="38" min="14836" max="14836"/>
    <col width="9.21875" customWidth="1" style="38" min="14837" max="15085"/>
    <col width="8.21875" customWidth="1" style="38" min="15086" max="15086"/>
    <col width="70.44140625" bestFit="1" customWidth="1" style="38" min="15087" max="15087"/>
    <col width="11.44140625" customWidth="1" style="38" min="15088" max="15088"/>
    <col width="10.44140625" customWidth="1" style="38" min="15089" max="15089"/>
    <col width="13.21875" customWidth="1" style="38" min="15090" max="15090"/>
    <col width="14.21875" customWidth="1" style="38" min="15091" max="15091"/>
    <col width="12.21875" customWidth="1" style="38" min="15092" max="15092"/>
    <col width="9.21875" customWidth="1" style="38" min="15093" max="15341"/>
    <col width="8.21875" customWidth="1" style="38" min="15342" max="15342"/>
    <col width="70.44140625" bestFit="1" customWidth="1" style="38" min="15343" max="15343"/>
    <col width="11.44140625" customWidth="1" style="38" min="15344" max="15344"/>
    <col width="10.44140625" customWidth="1" style="38" min="15345" max="15345"/>
    <col width="13.21875" customWidth="1" style="38" min="15346" max="15346"/>
    <col width="14.21875" customWidth="1" style="38" min="15347" max="15347"/>
    <col width="12.21875" customWidth="1" style="38" min="15348" max="15348"/>
    <col width="9.21875" customWidth="1" style="38" min="15349" max="15597"/>
    <col width="8.21875" customWidth="1" style="38" min="15598" max="15598"/>
    <col width="70.44140625" bestFit="1" customWidth="1" style="38" min="15599" max="15599"/>
    <col width="11.44140625" customWidth="1" style="38" min="15600" max="15600"/>
    <col width="10.44140625" customWidth="1" style="38" min="15601" max="15601"/>
    <col width="13.21875" customWidth="1" style="38" min="15602" max="15602"/>
    <col width="14.21875" customWidth="1" style="38" min="15603" max="15603"/>
    <col width="12.21875" customWidth="1" style="38" min="15604" max="15604"/>
    <col width="9.21875" customWidth="1" style="38" min="15605" max="15853"/>
    <col width="8.21875" customWidth="1" style="38" min="15854" max="15854"/>
    <col width="70.44140625" bestFit="1" customWidth="1" style="38" min="15855" max="15855"/>
    <col width="11.44140625" customWidth="1" style="38" min="15856" max="15856"/>
    <col width="10.44140625" customWidth="1" style="38" min="15857" max="15857"/>
    <col width="13.21875" customWidth="1" style="38" min="15858" max="15858"/>
    <col width="14.21875" customWidth="1" style="38" min="15859" max="15859"/>
    <col width="12.21875" customWidth="1" style="38" min="15860" max="15860"/>
    <col width="9.21875" customWidth="1" style="38" min="15861" max="16109"/>
    <col width="8.21875" customWidth="1" style="38" min="16110" max="16110"/>
    <col width="70.44140625" bestFit="1" customWidth="1" style="38" min="16111" max="16111"/>
    <col width="11.44140625" customWidth="1" style="38" min="16112" max="16112"/>
    <col width="10.44140625" customWidth="1" style="38" min="16113" max="16113"/>
    <col width="13.21875" customWidth="1" style="38" min="16114" max="16114"/>
    <col width="14.21875" customWidth="1" style="38" min="16115" max="16115"/>
    <col width="12.21875" customWidth="1" style="38" min="16116" max="16116"/>
    <col width="9.21875" customWidth="1" style="38" min="16117" max="16384"/>
  </cols>
  <sheetData>
    <row r="1">
      <c r="B1" s="39" t="inlineStr">
        <is>
          <t xml:space="preserve">Project: </t>
        </is>
      </c>
    </row>
    <row r="2">
      <c r="B2" s="39" t="inlineStr">
        <is>
          <t>Tricore   -</t>
        </is>
      </c>
    </row>
    <row r="3">
      <c r="B3" s="38" t="inlineStr">
        <is>
          <t>Stage 1 Version 1</t>
        </is>
      </c>
    </row>
    <row r="4" ht="13.8" customHeight="1">
      <c r="A4" s="42" t="inlineStr">
        <is>
          <t xml:space="preserve">Item  </t>
        </is>
      </c>
      <c r="B4" s="43" t="n"/>
    </row>
    <row r="5" ht="10.8" customHeight="1" thickBot="1">
      <c r="A5" s="42" t="n"/>
      <c r="B5" s="132" t="n"/>
      <c r="E5" s="583" t="n"/>
      <c r="F5" s="583" t="n"/>
    </row>
    <row r="6" ht="6" customHeight="1">
      <c r="A6" s="485" t="n"/>
    </row>
    <row r="7" customFormat="1" s="40">
      <c r="A7" s="38" t="n"/>
      <c r="B7" s="504" t="n"/>
      <c r="E7" s="583" t="n"/>
      <c r="F7" s="583" t="n"/>
    </row>
    <row r="8" customFormat="1" s="40">
      <c r="A8" s="42" t="n"/>
      <c r="B8" s="39" t="n"/>
      <c r="C8" s="42" t="n"/>
      <c r="D8" s="42" t="n"/>
      <c r="E8" s="583" t="n"/>
      <c r="F8" s="583" t="n"/>
    </row>
    <row r="9" ht="15.6" customFormat="1" customHeight="1" s="40">
      <c r="A9" s="265" t="n">
        <v>1</v>
      </c>
      <c r="B9" s="493" t="inlineStr">
        <is>
          <t xml:space="preserve">Complete - </t>
        </is>
      </c>
    </row>
    <row r="10" customFormat="1" s="40">
      <c r="A10" s="42" t="n"/>
      <c r="B10" s="39" t="n"/>
      <c r="C10" s="42" t="n"/>
      <c r="D10" s="42" t="n"/>
      <c r="E10" s="583" t="n"/>
      <c r="F10" s="583" t="n"/>
    </row>
    <row r="11" ht="10.8" customFormat="1" customHeight="1" s="40" thickBot="1">
      <c r="A11" s="42" t="n"/>
      <c r="B11" s="39" t="n"/>
      <c r="C11" s="42" t="n"/>
      <c r="D11" s="42" t="n"/>
      <c r="E11" s="583" t="n"/>
      <c r="F11" s="583" t="n"/>
    </row>
    <row r="12" ht="10.8" customFormat="1" customHeight="1" s="40" thickBot="1">
      <c r="A12" s="42" t="n"/>
      <c r="B12" s="49" t="inlineStr">
        <is>
          <t>Labour</t>
        </is>
      </c>
      <c r="C12" s="42" t="n"/>
      <c r="D12" s="42" t="n"/>
      <c r="E12" s="583" t="n"/>
      <c r="F12" s="583" t="n"/>
    </row>
    <row r="13" ht="5.25" customFormat="1" customHeight="1" s="40">
      <c r="A13" s="42" t="n"/>
      <c r="B13" s="39" t="n"/>
      <c r="C13" s="42" t="n"/>
      <c r="D13" s="42" t="n"/>
      <c r="E13" s="583" t="n"/>
      <c r="F13" s="583" t="n"/>
      <c r="G13" s="584" t="inlineStr">
        <is>
          <t>Denis qty</t>
        </is>
      </c>
      <c r="H13" s="584" t="inlineStr">
        <is>
          <t>Qty / rate source note</t>
        </is>
      </c>
    </row>
    <row r="14" ht="12.75" customFormat="1" customHeight="1" s="40">
      <c r="A14" s="38" t="n"/>
      <c r="B14" s="191" t="inlineStr">
        <is>
          <t>DAY</t>
        </is>
      </c>
      <c r="C14" s="42" t="n"/>
      <c r="D14" s="492" t="n"/>
      <c r="F14" s="583" t="n"/>
      <c r="J14" s="490" t="inlineStr">
        <is>
          <t>april 2026 direct impact Increase % (not contigency)</t>
        </is>
      </c>
    </row>
    <row r="15" customFormat="1" s="40">
      <c r="A15" s="38" t="n"/>
      <c r="B15" s="38">
        <f>'LabourProject Rates_Master'!$B$14</f>
        <v/>
      </c>
      <c r="C15" s="40" t="inlineStr">
        <is>
          <t>Day</t>
        </is>
      </c>
      <c r="D15" s="332" t="n"/>
      <c r="E15" s="583">
        <f>'LabourProject Rates_Master'!$E$15</f>
        <v/>
      </c>
      <c r="F15" s="583">
        <f>E15*D15</f>
        <v/>
      </c>
    </row>
    <row r="16" ht="11.55" customFormat="1" customHeight="1" s="40">
      <c r="A16" s="38" t="n"/>
      <c r="B16" s="38">
        <f>'LabourProject Rates_Master'!$B$23</f>
        <v/>
      </c>
      <c r="C16" s="40" t="inlineStr">
        <is>
          <t>Day</t>
        </is>
      </c>
      <c r="D16" s="332" t="n"/>
      <c r="E16" s="583">
        <f>'LabourProject Rates_Master'!$E$22</f>
        <v/>
      </c>
      <c r="F16" s="583">
        <f>E16*D16</f>
        <v/>
      </c>
      <c r="K16" s="149" t="inlineStr">
        <is>
          <t>PE Pipe &amp; Fitting</t>
        </is>
      </c>
      <c r="L16" s="230" t="n">
        <v>0.38</v>
      </c>
      <c r="M16" s="40" t="n">
        <v>1.38</v>
      </c>
    </row>
    <row r="17" ht="11.55" customFormat="1" customHeight="1" s="40">
      <c r="A17" s="42" t="n"/>
      <c r="B17" s="38">
        <f>'LabourProject Rates_Master'!$B$30</f>
        <v/>
      </c>
      <c r="C17" s="40" t="inlineStr">
        <is>
          <t>Day</t>
        </is>
      </c>
      <c r="D17" s="332" t="n"/>
      <c r="E17" s="583">
        <f>'LabourProject Rates_Master'!$E$29</f>
        <v/>
      </c>
      <c r="F17" s="583">
        <f>E17*D17</f>
        <v/>
      </c>
      <c r="K17" s="149" t="inlineStr">
        <is>
          <t>PVC Pipe &amp; Fittings</t>
        </is>
      </c>
      <c r="L17" s="230" t="n">
        <v>0.38</v>
      </c>
      <c r="M17" s="40" t="n">
        <v>1.38</v>
      </c>
    </row>
    <row r="18" ht="11.55" customFormat="1" customHeight="1" s="40">
      <c r="A18" s="42" t="n"/>
      <c r="B18" s="38">
        <f>'LabourProject Rates_Master'!$B$36</f>
        <v/>
      </c>
      <c r="C18" s="40" t="inlineStr">
        <is>
          <t>Day</t>
        </is>
      </c>
      <c r="D18" s="332" t="n">
        <v>23</v>
      </c>
      <c r="E18" s="583">
        <f>'LabourProject Rates_Master'!$E$37</f>
        <v/>
      </c>
      <c r="F18" s="583">
        <f>E18*D18</f>
        <v/>
      </c>
      <c r="H18" s="540" t="inlineStr">
        <is>
          <t>Phase 7 Crew 1 site: T1-01..T1-05 + T1-11 + T1-12 = 23 crew-days (T1-06 rising main EBC excluded)</t>
        </is>
      </c>
      <c r="K18" s="149" t="inlineStr">
        <is>
          <t>Subby Rates</t>
        </is>
      </c>
      <c r="L18" s="230" t="n">
        <v>0.15</v>
      </c>
      <c r="M18" s="40" t="n">
        <v>1.15</v>
      </c>
    </row>
    <row r="19" customFormat="1" s="40">
      <c r="A19" s="42" t="n"/>
      <c r="B19" s="38">
        <f>'LabourProject Rates_Master'!$B$43</f>
        <v/>
      </c>
      <c r="C19" s="40" t="inlineStr">
        <is>
          <t>Day</t>
        </is>
      </c>
      <c r="D19" s="332" t="n">
        <v>35</v>
      </c>
      <c r="E19" s="583">
        <f>'LabourProject Rates_Master'!$E$44</f>
        <v/>
      </c>
      <c r="F19" s="583">
        <f>E19*D19</f>
        <v/>
      </c>
      <c r="H19" s="540" t="inlineStr">
        <is>
          <t>Phase 7 Crew 2 site: T2-01..T2-08 + T2-10 = 35 crew-days</t>
        </is>
      </c>
      <c r="K19" s="149" t="inlineStr">
        <is>
          <t>Delivey Rate</t>
        </is>
      </c>
      <c r="L19" s="230" t="n">
        <v>0.2</v>
      </c>
      <c r="M19" s="40" t="n">
        <v>1.2</v>
      </c>
    </row>
    <row r="20" customFormat="1" s="40">
      <c r="A20" s="42" t="n"/>
      <c r="B20" s="38">
        <f>'LabourProject Rates_Master'!B51</f>
        <v/>
      </c>
      <c r="C20" s="40" t="inlineStr">
        <is>
          <t>Day</t>
        </is>
      </c>
      <c r="D20" s="332" t="n"/>
      <c r="E20" s="583">
        <f>'LabourProject Rates_Master'!E52</f>
        <v/>
      </c>
      <c r="F20" s="583">
        <f>E20*D20</f>
        <v/>
      </c>
      <c r="K20" s="149" t="n"/>
      <c r="L20" s="230" t="n"/>
    </row>
    <row r="21" customFormat="1" s="40">
      <c r="A21" s="42" t="n"/>
      <c r="B21" s="38">
        <f>'LabourProject Rates_Master'!B59</f>
        <v/>
      </c>
      <c r="C21" s="40" t="inlineStr">
        <is>
          <t>Day</t>
        </is>
      </c>
      <c r="D21" s="332" t="n"/>
      <c r="E21" s="583">
        <f>'LabourProject Rates_Master'!E60</f>
        <v/>
      </c>
      <c r="F21" s="583">
        <f>E21*D21</f>
        <v/>
      </c>
      <c r="K21" s="149" t="n"/>
      <c r="L21" s="230" t="n"/>
    </row>
    <row r="22" customFormat="1" s="40">
      <c r="A22" s="42" t="n"/>
      <c r="B22" s="38">
        <f>'LabourProject Rates_Master'!B67</f>
        <v/>
      </c>
      <c r="C22" s="40" t="inlineStr">
        <is>
          <t>Day</t>
        </is>
      </c>
      <c r="D22" s="332" t="n"/>
      <c r="E22" s="583">
        <f>'LabourProject Rates_Master'!E68</f>
        <v/>
      </c>
      <c r="F22" s="583">
        <f>E22*D22</f>
        <v/>
      </c>
      <c r="K22" s="149" t="n"/>
      <c r="L22" s="230" t="n"/>
    </row>
    <row r="23" customFormat="1" s="40">
      <c r="A23" s="42" t="n"/>
      <c r="B23" s="38">
        <f>'LabourProject Rates_Master'!B75</f>
        <v/>
      </c>
      <c r="C23" s="40" t="inlineStr">
        <is>
          <t>Day</t>
        </is>
      </c>
      <c r="D23" s="332" t="n"/>
      <c r="E23" s="583">
        <f>'LabourProject Rates_Master'!E76</f>
        <v/>
      </c>
      <c r="F23" s="583">
        <f>E23*D23</f>
        <v/>
      </c>
      <c r="K23" s="149" t="n"/>
      <c r="L23" s="230" t="n"/>
    </row>
    <row r="24" ht="6.6" customFormat="1" customHeight="1" s="40">
      <c r="A24" s="42" t="n"/>
      <c r="B24" s="38" t="n"/>
      <c r="E24" s="590" t="n"/>
      <c r="F24" s="583" t="n"/>
    </row>
    <row r="25" customFormat="1" s="40">
      <c r="A25" s="38" t="n"/>
      <c r="B25" s="191" t="inlineStr">
        <is>
          <t>HOUR</t>
        </is>
      </c>
      <c r="C25" s="42" t="n"/>
      <c r="D25" s="42" t="n"/>
      <c r="E25" s="583" t="n"/>
      <c r="F25" s="583" t="n"/>
    </row>
    <row r="26" customFormat="1" s="40">
      <c r="A26" s="38" t="n"/>
      <c r="B26" s="38">
        <f>'LabourProject Rates_Master'!$B$14</f>
        <v/>
      </c>
      <c r="C26" s="40" t="inlineStr">
        <is>
          <t>HR</t>
        </is>
      </c>
      <c r="D26" s="40" t="n">
        <v>489.2</v>
      </c>
      <c r="E26" s="583">
        <f>'LabourProject Rates_Master'!$E$14</f>
        <v/>
      </c>
      <c r="F26" s="583">
        <f>E26*D26</f>
        <v/>
      </c>
      <c r="H26" s="540" t="inlineStr">
        <is>
          <t>Phase 7 LH supervision - site activities 489.2 hr (of 1,400 hr / 140 d total)</t>
        </is>
      </c>
    </row>
    <row r="27" ht="11.55" customFormat="1" customHeight="1" s="40">
      <c r="A27" s="38" t="n"/>
      <c r="B27" s="38">
        <f>'LabourProject Rates_Master'!$B$23</f>
        <v/>
      </c>
      <c r="C27" s="40" t="inlineStr">
        <is>
          <t>HR</t>
        </is>
      </c>
      <c r="D27" s="40" t="n">
        <v>0</v>
      </c>
      <c r="E27" s="583">
        <f>'LabourProject Rates_Master'!$E$21</f>
        <v/>
      </c>
      <c r="F27" s="583">
        <f>E27*D27</f>
        <v/>
      </c>
    </row>
    <row r="28" ht="11.55" customFormat="1" customHeight="1" s="40">
      <c r="A28" s="42" t="n"/>
      <c r="B28" s="38">
        <f>'LabourProject Rates_Master'!$B$30</f>
        <v/>
      </c>
      <c r="C28" s="40" t="inlineStr">
        <is>
          <t>HR</t>
        </is>
      </c>
      <c r="D28" s="40" t="n">
        <v>0</v>
      </c>
      <c r="E28" s="583">
        <f>'LabourProject Rates_Master'!$E$28</f>
        <v/>
      </c>
      <c r="F28" s="583">
        <f>E28*D28</f>
        <v/>
      </c>
    </row>
    <row r="29" ht="11.55" customFormat="1" customHeight="1" s="40">
      <c r="A29" s="42" t="n"/>
      <c r="B29" s="38">
        <f>'LabourProject Rates_Master'!$B$36</f>
        <v/>
      </c>
      <c r="C29" s="40" t="inlineStr">
        <is>
          <t>HR</t>
        </is>
      </c>
      <c r="D29" s="40" t="n">
        <v>0</v>
      </c>
      <c r="E29" s="583">
        <f>'LabourProject Rates_Master'!$E$36</f>
        <v/>
      </c>
      <c r="F29" s="583">
        <f>E29*D29</f>
        <v/>
      </c>
    </row>
    <row r="30" customFormat="1" s="40">
      <c r="A30" s="42" t="n"/>
      <c r="B30" s="38">
        <f>'LabourProject Rates_Master'!$B$43</f>
        <v/>
      </c>
      <c r="C30" s="40" t="inlineStr">
        <is>
          <t>HR</t>
        </is>
      </c>
      <c r="D30" s="40" t="n">
        <v>0</v>
      </c>
      <c r="E30" s="583">
        <f>'LabourProject Rates_Master'!$E$43</f>
        <v/>
      </c>
      <c r="F30" s="583">
        <f>E30*D30</f>
        <v/>
      </c>
    </row>
    <row r="31" ht="7.5" customHeight="1">
      <c r="E31" s="583" t="n"/>
    </row>
    <row r="32" ht="10.8" customHeight="1" thickBot="1">
      <c r="A32" s="40" t="n"/>
      <c r="E32" s="583" t="n"/>
      <c r="F32" s="583" t="n"/>
    </row>
    <row r="33" ht="10.8" customHeight="1" thickBot="1">
      <c r="A33" s="42" t="n"/>
      <c r="B33" s="385" t="inlineStr">
        <is>
          <t>Demolition &amp; Reinstatement</t>
        </is>
      </c>
      <c r="C33" s="386" t="n"/>
      <c r="D33" s="386" t="n"/>
      <c r="E33" s="639" t="n"/>
      <c r="F33" s="639" t="n"/>
    </row>
    <row r="34">
      <c r="A34" s="40" t="n"/>
      <c r="B34" s="388" t="inlineStr">
        <is>
          <t>DEMO</t>
        </is>
      </c>
      <c r="C34" s="386" t="n"/>
      <c r="D34" s="386" t="n"/>
      <c r="E34" s="639" t="n"/>
      <c r="F34" s="639" t="n"/>
    </row>
    <row r="35">
      <c r="A35" s="40" t="n"/>
      <c r="B35" s="389">
        <f>'Misc Subbie Rates_Master'!A49</f>
        <v/>
      </c>
      <c r="C35" s="386" t="inlineStr">
        <is>
          <t>m</t>
        </is>
      </c>
      <c r="D35" s="390" t="n"/>
      <c r="E35" s="639">
        <f>'Misc Subbie Rates_Master'!D49+('Misc Subbie Rates_Master'!D49*$L$18)</f>
        <v/>
      </c>
      <c r="F35" s="639">
        <f>E35*D35</f>
        <v/>
      </c>
    </row>
    <row r="36">
      <c r="A36" s="40" t="n"/>
      <c r="B36" s="389">
        <f>'Misc Subbie Rates_Master'!A50</f>
        <v/>
      </c>
      <c r="C36" s="386" t="inlineStr">
        <is>
          <t>m</t>
        </is>
      </c>
      <c r="D36" s="386" t="n"/>
      <c r="E36" s="639">
        <f>'Misc Subbie Rates_Master'!D50+('Misc Subbie Rates_Master'!D50*$L$18)</f>
        <v/>
      </c>
      <c r="F36" s="639">
        <f>E36*D36</f>
        <v/>
      </c>
    </row>
    <row r="37">
      <c r="A37" s="40" t="n"/>
      <c r="B37" s="389" t="inlineStr">
        <is>
          <t>Con Cut Establishemnt Fee</t>
        </is>
      </c>
      <c r="C37" s="386" t="inlineStr">
        <is>
          <t>ea</t>
        </is>
      </c>
      <c r="D37" s="386" t="n"/>
      <c r="E37" s="639">
        <f>'Misc Subbie Rates_Master'!D51+('Misc Subbie Rates_Master'!D51*$L$18)</f>
        <v/>
      </c>
      <c r="F37" s="639">
        <f>E37*D37</f>
        <v/>
      </c>
    </row>
    <row r="38">
      <c r="A38" s="40" t="n"/>
      <c r="B38" s="388" t="inlineStr">
        <is>
          <t>REINSTATE - CONCRETE</t>
        </is>
      </c>
      <c r="C38" s="386" t="n"/>
      <c r="D38" s="386" t="n"/>
      <c r="E38" s="639" t="n"/>
      <c r="F38" s="639" t="n"/>
    </row>
    <row r="39">
      <c r="A39" s="40" t="n"/>
      <c r="B39" s="389">
        <f>'Misc Subbie Rates_Master'!A56</f>
        <v/>
      </c>
      <c r="C39" s="386" t="inlineStr">
        <is>
          <t>m</t>
        </is>
      </c>
      <c r="D39" s="386" t="n"/>
      <c r="E39" s="639">
        <f>'Misc Subbie Rates_Master'!D56</f>
        <v/>
      </c>
      <c r="F39" s="639">
        <f>E39*D39</f>
        <v/>
      </c>
    </row>
    <row r="40">
      <c r="A40" s="40" t="n"/>
      <c r="B40" s="389">
        <f>'Misc Subbie Rates_Master'!A57</f>
        <v/>
      </c>
      <c r="C40" s="386" t="inlineStr">
        <is>
          <t>ea</t>
        </is>
      </c>
      <c r="D40" s="386" t="n"/>
      <c r="E40" s="639">
        <f>'Misc Subbie Rates_Master'!D57</f>
        <v/>
      </c>
      <c r="F40" s="639">
        <f>E40*D40</f>
        <v/>
      </c>
    </row>
    <row r="41">
      <c r="A41" s="40" t="n"/>
      <c r="B41" s="389">
        <f>'Misc Subbie Rates_Master'!A58</f>
        <v/>
      </c>
      <c r="C41" s="386" t="inlineStr">
        <is>
          <t>lm</t>
        </is>
      </c>
      <c r="D41" s="386" t="n"/>
      <c r="E41" s="639">
        <f>'Misc Subbie Rates_Master'!D58</f>
        <v/>
      </c>
      <c r="F41" s="639">
        <f>E41*D41</f>
        <v/>
      </c>
    </row>
    <row r="42">
      <c r="A42" s="40" t="n"/>
      <c r="B42" s="389">
        <f>'Misc Subbie Rates_Master'!A59</f>
        <v/>
      </c>
      <c r="C42" s="386" t="inlineStr">
        <is>
          <t>lm</t>
        </is>
      </c>
      <c r="D42" s="386" t="n"/>
      <c r="E42" s="639">
        <f>'Misc Subbie Rates_Master'!D59</f>
        <v/>
      </c>
      <c r="F42" s="639">
        <f>E42*D42</f>
        <v/>
      </c>
    </row>
    <row r="43">
      <c r="A43" s="40" t="n"/>
      <c r="B43" s="388" t="inlineStr">
        <is>
          <t>REINSTATE - ASPHALT</t>
        </is>
      </c>
      <c r="C43" s="386" t="n"/>
      <c r="D43" s="386" t="n"/>
      <c r="E43" s="639" t="n"/>
      <c r="F43" s="639" t="n"/>
    </row>
    <row r="44">
      <c r="A44" s="40" t="n"/>
      <c r="B44" s="389">
        <f>'Misc Subbie Rates_Master'!A64</f>
        <v/>
      </c>
      <c r="C44" s="386" t="inlineStr">
        <is>
          <t>m2</t>
        </is>
      </c>
      <c r="D44" s="386" t="n"/>
      <c r="E44" s="639">
        <f>'Misc Subbie Rates_Master'!D64</f>
        <v/>
      </c>
      <c r="F44" s="639">
        <f>E44*D44</f>
        <v/>
      </c>
    </row>
    <row r="45">
      <c r="A45" s="40" t="n"/>
      <c r="B45" s="389">
        <f>'Misc Subbie Rates_Master'!A65</f>
        <v/>
      </c>
      <c r="C45" s="386" t="inlineStr">
        <is>
          <t>m2</t>
        </is>
      </c>
      <c r="D45" s="386" t="n"/>
      <c r="E45" s="639">
        <f>'Misc Subbie Rates_Master'!D65</f>
        <v/>
      </c>
      <c r="F45" s="639">
        <f>E45*D45</f>
        <v/>
      </c>
    </row>
    <row r="46">
      <c r="A46" s="40" t="n"/>
      <c r="B46" s="389">
        <f>'Misc Subbie Rates_Master'!A66</f>
        <v/>
      </c>
      <c r="C46" s="386" t="inlineStr">
        <is>
          <t>Ea</t>
        </is>
      </c>
      <c r="D46" s="386" t="n"/>
      <c r="E46" s="639">
        <f>'Misc Subbie Rates_Master'!D66</f>
        <v/>
      </c>
      <c r="F46" s="639">
        <f>E46*D46</f>
        <v/>
      </c>
    </row>
    <row r="47" ht="10.8" customHeight="1" thickBot="1">
      <c r="A47" s="40" t="n"/>
      <c r="E47" s="583" t="n"/>
      <c r="F47" s="583" t="n"/>
    </row>
    <row r="48" ht="10.8" customHeight="1" thickBot="1">
      <c r="A48" s="42" t="n"/>
      <c r="B48" s="49" t="inlineStr">
        <is>
          <t>Equipment &amp; Hire - INCL WET PLANT HIRE</t>
        </is>
      </c>
      <c r="E48" s="583" t="n"/>
      <c r="F48" s="583" t="n"/>
    </row>
    <row r="49">
      <c r="A49" s="40" t="n"/>
      <c r="E49" s="583" t="n"/>
      <c r="F49" s="583" t="n"/>
    </row>
    <row r="50">
      <c r="B50" s="283" t="inlineStr">
        <is>
          <t>PLANT HIRE - WET</t>
        </is>
      </c>
      <c r="E50" s="583" t="n"/>
      <c r="F50" s="583" t="n"/>
    </row>
    <row r="51" hidden="1">
      <c r="B51" s="38" t="inlineStr">
        <is>
          <t>1.8T Excavator</t>
        </is>
      </c>
      <c r="C51" s="40" t="inlineStr">
        <is>
          <t>Hr</t>
        </is>
      </c>
      <c r="E51" s="583">
        <f>'Misc Subbie Rates_Master'!D10</f>
        <v/>
      </c>
      <c r="F51" s="583">
        <f>E51*D51</f>
        <v/>
      </c>
    </row>
    <row r="52" hidden="1">
      <c r="B52" s="38" t="inlineStr">
        <is>
          <t xml:space="preserve"> 3-5 ton Excavator</t>
        </is>
      </c>
      <c r="C52" s="40" t="inlineStr">
        <is>
          <t>Hr</t>
        </is>
      </c>
      <c r="E52" s="583">
        <f>'Misc Subbie Rates_Master'!D11</f>
        <v/>
      </c>
      <c r="F52" s="583">
        <f>E52*D52</f>
        <v/>
      </c>
    </row>
    <row r="53" hidden="1">
      <c r="B53" s="38" t="inlineStr">
        <is>
          <t>3-5T Combo</t>
        </is>
      </c>
      <c r="C53" s="40" t="inlineStr">
        <is>
          <t>Hr</t>
        </is>
      </c>
      <c r="E53" s="583">
        <f>'Misc Subbie Rates_Master'!D12</f>
        <v/>
      </c>
      <c r="F53" s="583">
        <f>E53*D53</f>
        <v/>
      </c>
    </row>
    <row r="54" hidden="1">
      <c r="B54" s="38" t="inlineStr">
        <is>
          <t>Hammer attachment 3.5-4T</t>
        </is>
      </c>
      <c r="C54" s="40" t="inlineStr">
        <is>
          <t>Hr</t>
        </is>
      </c>
      <c r="E54" s="583">
        <f>'Misc Subbie Rates_Master'!D13</f>
        <v/>
      </c>
      <c r="F54" s="583">
        <f>E54*D54</f>
        <v/>
      </c>
    </row>
    <row r="55" hidden="1">
      <c r="B55" s="38" t="inlineStr">
        <is>
          <t>Ripper 3.5-4T</t>
        </is>
      </c>
      <c r="C55" s="40" t="inlineStr">
        <is>
          <t>Hr</t>
        </is>
      </c>
      <c r="E55" s="583">
        <f>'Misc Subbie Rates_Master'!D14</f>
        <v/>
      </c>
      <c r="F55" s="583">
        <f>E55*D55</f>
        <v/>
      </c>
    </row>
    <row r="56" hidden="1">
      <c r="B56" s="38" t="inlineStr">
        <is>
          <t>5t Excavator</t>
        </is>
      </c>
      <c r="C56" s="40" t="inlineStr">
        <is>
          <t>Hr</t>
        </is>
      </c>
      <c r="E56" s="583">
        <f>'Misc Subbie Rates_Master'!D15</f>
        <v/>
      </c>
      <c r="F56" s="583">
        <f>E56*D56</f>
        <v/>
      </c>
    </row>
    <row r="57" hidden="1">
      <c r="B57" s="38" t="inlineStr">
        <is>
          <t>Hammer attachment 5T</t>
        </is>
      </c>
      <c r="C57" s="40" t="inlineStr">
        <is>
          <t>Hr</t>
        </is>
      </c>
      <c r="E57" s="583">
        <f>'Misc Subbie Rates_Master'!D16</f>
        <v/>
      </c>
      <c r="F57" s="583">
        <f>E57*D57</f>
        <v/>
      </c>
    </row>
    <row r="58" hidden="1">
      <c r="B58" s="38" t="inlineStr">
        <is>
          <t>Skid steer</t>
        </is>
      </c>
      <c r="C58" s="40" t="inlineStr">
        <is>
          <t>Hr</t>
        </is>
      </c>
      <c r="E58" s="583">
        <f>'Misc Subbie Rates_Master'!D17</f>
        <v/>
      </c>
      <c r="F58" s="583">
        <f>E58*D58</f>
        <v/>
      </c>
    </row>
    <row r="59" hidden="1">
      <c r="B59" s="38" t="inlineStr">
        <is>
          <t>8T Excavator</t>
        </is>
      </c>
      <c r="C59" s="40" t="inlineStr">
        <is>
          <t>Hr</t>
        </is>
      </c>
      <c r="E59" s="583">
        <f>'Misc Subbie Rates_Master'!D18</f>
        <v/>
      </c>
      <c r="F59" s="583">
        <f>E59*D59</f>
        <v/>
      </c>
    </row>
    <row r="60" hidden="1">
      <c r="B60" s="38" t="inlineStr">
        <is>
          <t>Hammer attachment 8T</t>
        </is>
      </c>
      <c r="C60" s="40" t="inlineStr">
        <is>
          <t>Hr</t>
        </is>
      </c>
      <c r="E60" s="583">
        <f>'Misc Subbie Rates_Master'!D19</f>
        <v/>
      </c>
      <c r="F60" s="583">
        <f>E60*D60</f>
        <v/>
      </c>
    </row>
    <row r="61" hidden="1">
      <c r="B61" s="38" t="inlineStr">
        <is>
          <t>Ripper 8T</t>
        </is>
      </c>
      <c r="C61" s="40" t="inlineStr">
        <is>
          <t>Hr</t>
        </is>
      </c>
      <c r="E61" s="583">
        <f>'Misc Subbie Rates_Master'!D20</f>
        <v/>
      </c>
      <c r="F61" s="583">
        <f>E61*D61</f>
        <v/>
      </c>
    </row>
    <row r="62" hidden="1">
      <c r="B62" s="38" t="inlineStr">
        <is>
          <t>13-15T Excavator</t>
        </is>
      </c>
      <c r="C62" s="40" t="inlineStr">
        <is>
          <t>Hr</t>
        </is>
      </c>
      <c r="E62" s="583">
        <f>'Misc Subbie Rates_Master'!D21</f>
        <v/>
      </c>
      <c r="F62" s="583">
        <f>E62*D62</f>
        <v/>
      </c>
    </row>
    <row r="63" hidden="1">
      <c r="B63" s="38" t="inlineStr">
        <is>
          <t>Hammer attachment 14T</t>
        </is>
      </c>
      <c r="C63" s="40" t="inlineStr">
        <is>
          <t>Hr</t>
        </is>
      </c>
      <c r="E63" s="583">
        <f>'Misc Subbie Rates_Master'!D22</f>
        <v/>
      </c>
      <c r="F63" s="583">
        <f>E63*D63</f>
        <v/>
      </c>
    </row>
    <row r="64" hidden="1">
      <c r="B64" s="38" t="inlineStr">
        <is>
          <t>Ripper 14T</t>
        </is>
      </c>
      <c r="C64" s="40" t="inlineStr">
        <is>
          <t>Hr</t>
        </is>
      </c>
      <c r="E64" s="583">
        <f>'Misc Subbie Rates_Master'!D23</f>
        <v/>
      </c>
      <c r="F64" s="583">
        <f>E64*D64</f>
        <v/>
      </c>
    </row>
    <row r="65" hidden="1">
      <c r="B65" s="38" t="inlineStr">
        <is>
          <t>3000L Hydro Excavation Truck</t>
        </is>
      </c>
      <c r="C65" s="40" t="inlineStr">
        <is>
          <t>Hr</t>
        </is>
      </c>
      <c r="D65" t="n">
        <v>20</v>
      </c>
      <c r="E65" s="583">
        <f>'Misc Subbie Rates_Master'!D24</f>
        <v/>
      </c>
      <c r="F65" s="583">
        <f>E65*D65</f>
        <v/>
      </c>
      <c r="H65" s="540" t="inlineStr">
        <is>
          <t>Hydro-ex 3000L: T1-04 1 d + T2-02 1 d = 20 hr wet @ $190</t>
        </is>
      </c>
    </row>
    <row r="66" hidden="1">
      <c r="B66" s="38" t="inlineStr">
        <is>
          <t xml:space="preserve">4500L Hydro Excavation Truck </t>
        </is>
      </c>
      <c r="C66" s="40" t="inlineStr">
        <is>
          <t>Hr</t>
        </is>
      </c>
      <c r="E66" s="583">
        <f>'Misc Subbie Rates_Master'!D25</f>
        <v/>
      </c>
      <c r="F66" s="583">
        <f>E66*D66</f>
        <v/>
      </c>
    </row>
    <row r="67" hidden="1">
      <c r="B67" s="38" t="inlineStr">
        <is>
          <t>6300L Hydro Excavation Truck</t>
        </is>
      </c>
      <c r="C67" s="40" t="inlineStr">
        <is>
          <t>Hr</t>
        </is>
      </c>
      <c r="E67" s="583">
        <f>'Misc Subbie Rates_Master'!D26</f>
        <v/>
      </c>
      <c r="F67" s="583">
        <f>E67*D67</f>
        <v/>
      </c>
    </row>
    <row r="68" hidden="1">
      <c r="B68" s="38" t="inlineStr">
        <is>
          <t xml:space="preserve">Water Truck allow for water at cost </t>
        </is>
      </c>
      <c r="C68" s="40" t="inlineStr">
        <is>
          <t>Hr</t>
        </is>
      </c>
      <c r="D68" t="n">
        <v>30</v>
      </c>
      <c r="E68" s="583">
        <f>'Misc Subbie Rates_Master'!D27</f>
        <v/>
      </c>
      <c r="F68" s="583">
        <f>E68*D68</f>
        <v/>
      </c>
      <c r="H68" s="540" t="inlineStr">
        <is>
          <t>Water truck: T1-11 1 d + T2-10 2 d = 30 hr wet @ $110 (test/flush cartage)</t>
        </is>
      </c>
    </row>
    <row r="69" hidden="1">
      <c r="B69" s="38" t="inlineStr">
        <is>
          <t>12t Body Truck Tipper</t>
        </is>
      </c>
      <c r="C69" s="40" t="inlineStr">
        <is>
          <t>Hr</t>
        </is>
      </c>
      <c r="E69" s="583">
        <f>'Misc Subbie Rates_Master'!D28</f>
        <v/>
      </c>
      <c r="F69" s="583">
        <f>E69*D69</f>
        <v/>
      </c>
    </row>
    <row r="70">
      <c r="E70" s="583" t="n"/>
      <c r="F70" s="583" t="n"/>
    </row>
    <row r="71">
      <c r="B71" s="283" t="inlineStr">
        <is>
          <t>HIRE - DRY</t>
        </is>
      </c>
      <c r="E71" s="583" t="n"/>
      <c r="F71" s="583" t="n"/>
    </row>
    <row r="72">
      <c r="A72" s="40" t="n"/>
      <c r="B72" s="201" t="inlineStr">
        <is>
          <t>Skid Steer Loader_Tracked (CAT249+)</t>
        </is>
      </c>
      <c r="C72" s="40" t="inlineStr">
        <is>
          <t>Day</t>
        </is>
      </c>
      <c r="E72" s="583">
        <f>'Equip&amp;HIRE_Master'!D4</f>
        <v/>
      </c>
      <c r="F72" s="583">
        <f>E72*D72</f>
        <v/>
      </c>
    </row>
    <row r="73">
      <c r="A73" s="40" t="n"/>
      <c r="B73" s="201" t="inlineStr">
        <is>
          <t>Skid Steer Loader_Wheeled (CAT226+)</t>
        </is>
      </c>
      <c r="C73" s="40" t="inlineStr">
        <is>
          <t>Day</t>
        </is>
      </c>
      <c r="E73" s="583">
        <f>'Equip&amp;HIRE_Master'!D5</f>
        <v/>
      </c>
      <c r="F73" s="583">
        <f>E73*D73</f>
        <v/>
      </c>
    </row>
    <row r="74">
      <c r="A74" s="40" t="n"/>
      <c r="B74" s="201" t="inlineStr">
        <is>
          <t>Mini Loader, Stand-on Type</t>
        </is>
      </c>
      <c r="C74" s="40" t="inlineStr">
        <is>
          <t>Day</t>
        </is>
      </c>
      <c r="E74" s="583">
        <f>'Equip&amp;HIRE_Master'!D6</f>
        <v/>
      </c>
      <c r="F74" s="583">
        <f>E74*D74</f>
        <v/>
      </c>
    </row>
    <row r="75" ht="6" customHeight="1">
      <c r="A75" s="40" t="n"/>
      <c r="B75" s="201" t="n"/>
      <c r="E75" s="583">
        <f>'Equip&amp;HIRE_Master'!D7</f>
        <v/>
      </c>
      <c r="F75" s="583">
        <f>E75*D75</f>
        <v/>
      </c>
    </row>
    <row r="76">
      <c r="A76" s="40" t="n"/>
      <c r="B76" s="201" t="inlineStr">
        <is>
          <t>1.5-1.8 Ton_Excavator</t>
        </is>
      </c>
      <c r="C76" s="40" t="inlineStr">
        <is>
          <t>Day</t>
        </is>
      </c>
      <c r="D76" t="n">
        <v>2</v>
      </c>
      <c r="E76" s="583">
        <f>'Equip&amp;HIRE_Master'!D8</f>
        <v/>
      </c>
      <c r="F76" s="583">
        <f>E76*D76</f>
        <v/>
      </c>
      <c r="H76" s="540" t="inlineStr">
        <is>
          <t>Phase 7 plant: 1.8T: T2-06 2</t>
        </is>
      </c>
    </row>
    <row r="77">
      <c r="A77" s="40" t="n"/>
      <c r="B77" s="201" t="inlineStr">
        <is>
          <t>1.7-2Ton_Excavator</t>
        </is>
      </c>
      <c r="C77" s="40" t="inlineStr">
        <is>
          <t>Day</t>
        </is>
      </c>
      <c r="E77" s="583">
        <f>'Equip&amp;HIRE_Master'!D9</f>
        <v/>
      </c>
      <c r="F77" s="583">
        <f>E77*D77</f>
        <v/>
      </c>
    </row>
    <row r="78">
      <c r="A78" s="40" t="n"/>
      <c r="B78" s="201" t="inlineStr">
        <is>
          <t>3-5Ton_Excavator</t>
        </is>
      </c>
      <c r="C78" s="40" t="inlineStr">
        <is>
          <t>Day</t>
        </is>
      </c>
      <c r="D78" t="n">
        <v>11</v>
      </c>
      <c r="E78" s="583">
        <f>'Equip&amp;HIRE_Master'!D10</f>
        <v/>
      </c>
      <c r="F78" s="583">
        <f>E78*D78</f>
        <v/>
      </c>
      <c r="H78" s="540" t="inlineStr">
        <is>
          <t>Phase 7 plant: 3-5T: T1-03 6 + T1-04 3 + T1-05 2</t>
        </is>
      </c>
    </row>
    <row r="79">
      <c r="A79" s="40" t="n"/>
      <c r="B79" s="201" t="inlineStr">
        <is>
          <t>8Ton_Excavator</t>
        </is>
      </c>
      <c r="C79" s="40" t="inlineStr">
        <is>
          <t>Day</t>
        </is>
      </c>
      <c r="D79" t="n">
        <v>6</v>
      </c>
      <c r="E79" s="583">
        <f>'Equip&amp;HIRE_Master'!D11</f>
        <v/>
      </c>
      <c r="F79" s="583">
        <f>E79*D79</f>
        <v/>
      </c>
      <c r="H79" s="540" t="inlineStr">
        <is>
          <t>Phase 7 plant: 8T: T2-02 3 + T2-03 2 + T2-08 1</t>
        </is>
      </c>
    </row>
    <row r="80">
      <c r="A80" s="40" t="n"/>
      <c r="B80" s="201" t="inlineStr">
        <is>
          <t>10-12Ton_Excavator</t>
        </is>
      </c>
      <c r="C80" s="40" t="inlineStr">
        <is>
          <t>Day</t>
        </is>
      </c>
      <c r="E80" s="583">
        <f>'Equip&amp;HIRE_Master'!D12</f>
        <v/>
      </c>
      <c r="F80" s="583">
        <f>E80*D80</f>
        <v/>
      </c>
    </row>
    <row r="81">
      <c r="A81" s="40" t="n"/>
      <c r="B81" s="201" t="inlineStr">
        <is>
          <t>13-16Ton_Excavator</t>
        </is>
      </c>
      <c r="C81" s="40" t="inlineStr">
        <is>
          <t>Day</t>
        </is>
      </c>
      <c r="D81" t="n">
        <v>16</v>
      </c>
      <c r="E81" s="583">
        <f>'Equip&amp;HIRE_Master'!D13</f>
        <v/>
      </c>
      <c r="F81" s="583">
        <f>E81*D81</f>
        <v/>
      </c>
      <c r="H81" s="540" t="inlineStr">
        <is>
          <t>Phase 7 plant: 13-16T: T2-01 5 + T2-04 6 + T2-07 5</t>
        </is>
      </c>
    </row>
    <row r="82">
      <c r="A82" s="40" t="n"/>
      <c r="B82" s="201" t="inlineStr">
        <is>
          <t>20-24Ton_Excavator</t>
        </is>
      </c>
      <c r="C82" s="40" t="inlineStr">
        <is>
          <t>Day</t>
        </is>
      </c>
      <c r="E82" s="583">
        <f>'Equip&amp;HIRE_Master'!D14</f>
        <v/>
      </c>
      <c r="F82" s="583">
        <f>E82*D82</f>
        <v/>
      </c>
    </row>
    <row r="83" ht="6.6" customHeight="1">
      <c r="A83" s="40" t="n"/>
      <c r="B83" s="201" t="n"/>
      <c r="E83" s="583">
        <f>'Equip&amp;HIRE_Master'!D15</f>
        <v/>
      </c>
      <c r="F83" s="583">
        <f>E83*D83</f>
        <v/>
      </c>
    </row>
    <row r="84">
      <c r="A84" s="40" t="n"/>
      <c r="B84" s="201" t="inlineStr">
        <is>
          <t>Ripper_1.7-2T</t>
        </is>
      </c>
      <c r="C84" s="40" t="inlineStr">
        <is>
          <t>Day</t>
        </is>
      </c>
      <c r="E84" s="583">
        <f>'Equip&amp;HIRE_Master'!D16</f>
        <v/>
      </c>
      <c r="F84" s="583">
        <f>E84*D84</f>
        <v/>
      </c>
    </row>
    <row r="85">
      <c r="A85" s="40" t="n"/>
      <c r="B85" s="201" t="inlineStr">
        <is>
          <t>Ripper_1.5-4T</t>
        </is>
      </c>
      <c r="C85" s="40" t="inlineStr">
        <is>
          <t>Day</t>
        </is>
      </c>
      <c r="E85" s="583">
        <f>'Equip&amp;HIRE_Master'!D17</f>
        <v/>
      </c>
      <c r="F85" s="583">
        <f>E85*D85</f>
        <v/>
      </c>
    </row>
    <row r="86">
      <c r="A86" s="40" t="n"/>
      <c r="B86" s="201" t="inlineStr">
        <is>
          <t>Ripper_3-5T</t>
        </is>
      </c>
      <c r="C86" s="40" t="inlineStr">
        <is>
          <t>Day</t>
        </is>
      </c>
      <c r="E86" s="583">
        <f>'Equip&amp;HIRE_Master'!D18</f>
        <v/>
      </c>
      <c r="F86" s="583">
        <f>E86*D86</f>
        <v/>
      </c>
    </row>
    <row r="87">
      <c r="A87" s="40" t="n"/>
      <c r="B87" s="201" t="inlineStr">
        <is>
          <t>Ripper_8T</t>
        </is>
      </c>
      <c r="C87" s="40" t="inlineStr">
        <is>
          <t>Day</t>
        </is>
      </c>
      <c r="E87" s="583">
        <f>'Equip&amp;HIRE_Master'!D19</f>
        <v/>
      </c>
      <c r="F87" s="583">
        <f>E87*D87</f>
        <v/>
      </c>
    </row>
    <row r="88">
      <c r="A88" s="40" t="n"/>
      <c r="B88" s="201" t="inlineStr">
        <is>
          <t>Breaker_1.7-2T</t>
        </is>
      </c>
      <c r="C88" s="40" t="inlineStr">
        <is>
          <t>Day</t>
        </is>
      </c>
      <c r="E88" s="583">
        <f>'Equip&amp;HIRE_Master'!D20</f>
        <v/>
      </c>
      <c r="F88" s="583">
        <f>E88*D88</f>
        <v/>
      </c>
    </row>
    <row r="89">
      <c r="A89" s="40" t="n"/>
      <c r="B89" s="201" t="inlineStr">
        <is>
          <t>Breaker_3-5T</t>
        </is>
      </c>
      <c r="C89" s="40" t="inlineStr">
        <is>
          <t>Day</t>
        </is>
      </c>
      <c r="E89" s="583">
        <f>'Equip&amp;HIRE_Master'!D21</f>
        <v/>
      </c>
      <c r="F89" s="583">
        <f>E89*D89</f>
        <v/>
      </c>
    </row>
    <row r="90">
      <c r="A90" s="40" t="n"/>
      <c r="B90" s="201" t="inlineStr">
        <is>
          <t>Breaker_8T</t>
        </is>
      </c>
      <c r="C90" s="40" t="inlineStr">
        <is>
          <t>Day</t>
        </is>
      </c>
      <c r="E90" s="583">
        <f>'Equip&amp;HIRE_Master'!D22</f>
        <v/>
      </c>
      <c r="F90" s="583">
        <f>E90*D90</f>
        <v/>
      </c>
    </row>
    <row r="91">
      <c r="A91" s="40" t="n"/>
      <c r="B91" s="201" t="inlineStr">
        <is>
          <t>Breaker_10-12T</t>
        </is>
      </c>
      <c r="C91" s="40" t="inlineStr">
        <is>
          <t>Day</t>
        </is>
      </c>
      <c r="E91" s="583">
        <f>'Equip&amp;HIRE_Master'!D23</f>
        <v/>
      </c>
      <c r="F91" s="583">
        <f>E91*D91</f>
        <v/>
      </c>
    </row>
    <row r="92">
      <c r="A92" s="40" t="n"/>
      <c r="B92" s="201" t="inlineStr">
        <is>
          <t>Breaker_13-15T</t>
        </is>
      </c>
      <c r="C92" s="40" t="inlineStr">
        <is>
          <t>Day</t>
        </is>
      </c>
      <c r="E92" s="583">
        <f>'Equip&amp;HIRE_Master'!D24</f>
        <v/>
      </c>
      <c r="F92" s="583">
        <f>E92*D92</f>
        <v/>
      </c>
    </row>
    <row r="93">
      <c r="A93" s="40" t="n"/>
      <c r="B93" s="201" t="inlineStr">
        <is>
          <t>Auger Drive_10-12T</t>
        </is>
      </c>
      <c r="E93" s="583">
        <f>'Equip&amp;HIRE_Master'!D25</f>
        <v/>
      </c>
      <c r="F93" s="583">
        <f>E93*D93</f>
        <v/>
      </c>
    </row>
    <row r="94">
      <c r="A94" s="40" t="n"/>
      <c r="B94" s="201" t="inlineStr">
        <is>
          <t>300Dia Auger Drill</t>
        </is>
      </c>
      <c r="E94" s="583">
        <f>'Equip&amp;HIRE_Master'!D26</f>
        <v/>
      </c>
      <c r="F94" s="583">
        <f>E94*D94</f>
        <v/>
      </c>
    </row>
    <row r="95" ht="4.95" customHeight="1">
      <c r="A95" s="40" t="n"/>
      <c r="B95" s="201" t="n"/>
      <c r="E95" s="583">
        <f>'Equip&amp;HIRE_Master'!D27</f>
        <v/>
      </c>
      <c r="F95" s="583">
        <f>E95*D95</f>
        <v/>
      </c>
    </row>
    <row r="96">
      <c r="A96" s="40" t="n"/>
      <c r="B96" s="201" t="inlineStr">
        <is>
          <t xml:space="preserve">1.25T_Tipper Truck </t>
        </is>
      </c>
      <c r="C96" s="40" t="inlineStr">
        <is>
          <t>Day</t>
        </is>
      </c>
      <c r="E96" s="583">
        <f>'Equip&amp;HIRE_Master'!D28</f>
        <v/>
      </c>
      <c r="F96" s="583">
        <f>E96*D96</f>
        <v/>
      </c>
    </row>
    <row r="97">
      <c r="A97" s="40" t="n"/>
      <c r="B97" s="201" t="inlineStr">
        <is>
          <t>2-4T_Tipper Truck</t>
        </is>
      </c>
      <c r="C97" s="40" t="inlineStr">
        <is>
          <t>Day</t>
        </is>
      </c>
      <c r="E97" s="583">
        <f>'Equip&amp;HIRE_Master'!D29</f>
        <v/>
      </c>
      <c r="F97" s="583">
        <f>E97*D97</f>
        <v/>
      </c>
    </row>
    <row r="98">
      <c r="A98" s="40" t="n"/>
      <c r="B98" s="201" t="inlineStr">
        <is>
          <t>&lt;6T_Tipper Truck</t>
        </is>
      </c>
      <c r="C98" s="40" t="inlineStr">
        <is>
          <t>Day</t>
        </is>
      </c>
      <c r="D98" t="n">
        <v>18</v>
      </c>
      <c r="E98" s="583">
        <f>'Equip&amp;HIRE_Master'!D30</f>
        <v/>
      </c>
      <c r="F98" s="583">
        <f>E98*D98</f>
        <v/>
      </c>
      <c r="H98" s="540" t="inlineStr">
        <is>
          <t>Phase 7 plant: &lt;6T tipper - Phase 7 roll-up 18 d</t>
        </is>
      </c>
    </row>
    <row r="99" ht="4.2" customHeight="1">
      <c r="A99" s="40" t="n"/>
      <c r="B99" s="201" t="n"/>
      <c r="E99" s="583">
        <f>'Equip&amp;HIRE_Master'!D31</f>
        <v/>
      </c>
      <c r="F99" s="583">
        <f>E99*D99</f>
        <v/>
      </c>
    </row>
    <row r="100">
      <c r="A100" s="40" t="n"/>
      <c r="B100" s="201" t="inlineStr">
        <is>
          <t>&lt;10T_Articulated Site Tipper</t>
        </is>
      </c>
      <c r="C100" s="40" t="inlineStr">
        <is>
          <t>Day</t>
        </is>
      </c>
      <c r="E100" s="583">
        <f>'Equip&amp;HIRE_Master'!D32</f>
        <v/>
      </c>
      <c r="F100" s="583">
        <f>E100*D100</f>
        <v/>
      </c>
    </row>
    <row r="101">
      <c r="A101" s="40" t="n"/>
      <c r="B101" s="201" t="inlineStr">
        <is>
          <t>Upright Rammer_Wacker</t>
        </is>
      </c>
      <c r="C101" s="40" t="inlineStr">
        <is>
          <t>Day</t>
        </is>
      </c>
      <c r="D101" t="n">
        <v>14</v>
      </c>
      <c r="E101" s="583">
        <f>'Equip&amp;HIRE_Master'!D33</f>
        <v/>
      </c>
      <c r="F101" s="583">
        <f>E101*D101</f>
        <v/>
      </c>
      <c r="H101" s="540" t="inlineStr">
        <is>
          <t>Phase 7 plant: Wacker - site share of Phase 7 roll-up 28 d</t>
        </is>
      </c>
    </row>
    <row r="102">
      <c r="A102" s="40" t="n"/>
      <c r="B102" s="201" t="inlineStr">
        <is>
          <t>Trench Roller_Dbl Drum_Remote</t>
        </is>
      </c>
      <c r="C102" s="40" t="inlineStr">
        <is>
          <t>Day</t>
        </is>
      </c>
      <c r="D102" t="n">
        <v>22</v>
      </c>
      <c r="E102" s="583">
        <f>'Equip&amp;HIRE_Master'!D34</f>
        <v/>
      </c>
      <c r="F102" s="583">
        <f>E102*D102</f>
        <v/>
      </c>
      <c r="H102" s="540" t="inlineStr">
        <is>
          <t>Phase 7 plant: Trench roller: T1-03 6 + T2-01 5 + T2-04 6 + T2-07 5</t>
        </is>
      </c>
    </row>
    <row r="103">
      <c r="A103" s="40" t="n"/>
      <c r="B103" s="201" t="inlineStr">
        <is>
          <t>&lt;26Ft_Scissor Lift - Diesel</t>
        </is>
      </c>
      <c r="C103" s="40" t="inlineStr">
        <is>
          <t>Day</t>
        </is>
      </c>
      <c r="E103" s="583">
        <f>'Equip&amp;HIRE_Master'!D35</f>
        <v/>
      </c>
      <c r="F103" s="583">
        <f>E103*D103</f>
        <v/>
      </c>
    </row>
    <row r="104">
      <c r="A104" s="40" t="n"/>
      <c r="B104" s="201" t="inlineStr">
        <is>
          <t>&lt;26Ft_Scissor Lift - Elec</t>
        </is>
      </c>
      <c r="C104" s="40" t="inlineStr">
        <is>
          <t>Day</t>
        </is>
      </c>
      <c r="E104" s="583" t="n">
        <v>300</v>
      </c>
      <c r="F104" s="583">
        <f>E104*D104</f>
        <v/>
      </c>
    </row>
    <row r="105">
      <c r="A105" s="40" t="n"/>
      <c r="B105" s="201" t="inlineStr">
        <is>
          <t>&lt;34Ft_Boom Lift - Diesel</t>
        </is>
      </c>
      <c r="C105" s="40" t="inlineStr">
        <is>
          <t>Day</t>
        </is>
      </c>
      <c r="E105" s="583">
        <f>'Equip&amp;HIRE_Master'!D37</f>
        <v/>
      </c>
      <c r="F105" s="583">
        <f>E105*D105</f>
        <v/>
      </c>
    </row>
    <row r="106">
      <c r="A106" s="40" t="n"/>
      <c r="B106" s="201" t="inlineStr">
        <is>
          <t>&lt;34Ft_Boom Lift - Elec</t>
        </is>
      </c>
      <c r="C106" s="40" t="inlineStr">
        <is>
          <t>Day</t>
        </is>
      </c>
      <c r="E106" s="583">
        <f>'Equip&amp;HIRE_Master'!D38</f>
        <v/>
      </c>
      <c r="F106" s="583">
        <f>E106*D106</f>
        <v/>
      </c>
    </row>
    <row r="107" ht="6" customHeight="1">
      <c r="A107" s="40" t="n"/>
      <c r="B107" s="201" t="n"/>
      <c r="E107" s="583">
        <f>'Equip&amp;HIRE_Master'!D39</f>
        <v/>
      </c>
      <c r="F107" s="583">
        <f>E107*D107</f>
        <v/>
      </c>
    </row>
    <row r="108">
      <c r="A108" s="40" t="n"/>
      <c r="B108" s="201" t="inlineStr">
        <is>
          <t>Porta Loo_No Tank</t>
        </is>
      </c>
      <c r="C108" s="40" t="inlineStr">
        <is>
          <t>Day</t>
        </is>
      </c>
      <c r="E108" s="583">
        <f>'Equip&amp;HIRE_Master'!D40</f>
        <v/>
      </c>
      <c r="F108" s="583">
        <f>E108*D108</f>
        <v/>
      </c>
    </row>
    <row r="109">
      <c r="A109" s="40" t="n"/>
      <c r="B109" s="201" t="inlineStr">
        <is>
          <t>6*3m Demantable Lunchroom - COMPLETE</t>
        </is>
      </c>
      <c r="C109" s="40" t="inlineStr">
        <is>
          <t>Day</t>
        </is>
      </c>
      <c r="E109" s="583">
        <f>'Equip&amp;HIRE_Master'!D41</f>
        <v/>
      </c>
      <c r="F109" s="583">
        <f>E109*D109</f>
        <v/>
      </c>
    </row>
    <row r="110">
      <c r="A110" s="40" t="n"/>
      <c r="B110" s="201" t="inlineStr">
        <is>
          <t>6*3m Demantable Office - COMPLETE</t>
        </is>
      </c>
      <c r="C110" s="40" t="inlineStr">
        <is>
          <t>Day</t>
        </is>
      </c>
      <c r="E110" s="583">
        <f>'Equip&amp;HIRE_Master'!D42</f>
        <v/>
      </c>
      <c r="F110" s="583">
        <f>E110*D110</f>
        <v/>
      </c>
    </row>
    <row r="111" hidden="1">
      <c r="A111" s="40" t="n"/>
      <c r="B111" s="201" t="inlineStr">
        <is>
          <t>20Ft Shipping Container</t>
        </is>
      </c>
      <c r="C111" s="40" t="inlineStr">
        <is>
          <t>Day</t>
        </is>
      </c>
      <c r="E111" s="583">
        <f>'Equip&amp;HIRE_Master'!D43</f>
        <v/>
      </c>
      <c r="F111" s="583">
        <f>E111*D111</f>
        <v/>
      </c>
    </row>
    <row r="112" hidden="1">
      <c r="A112" s="40" t="n"/>
      <c r="B112" s="201" t="inlineStr">
        <is>
          <t>Quick Cut Demo Saw</t>
        </is>
      </c>
      <c r="C112" s="40" t="inlineStr">
        <is>
          <t>Day</t>
        </is>
      </c>
      <c r="E112" s="583">
        <f>'Equip&amp;HIRE_Master'!D44</f>
        <v/>
      </c>
      <c r="F112" s="583">
        <f>E112*D112</f>
        <v/>
      </c>
    </row>
    <row r="113" hidden="1">
      <c r="A113" s="40" t="n"/>
      <c r="B113" s="201" t="inlineStr">
        <is>
          <t>Sngl Ph_6KVA Genset</t>
        </is>
      </c>
      <c r="C113" s="40" t="inlineStr">
        <is>
          <t>Day</t>
        </is>
      </c>
      <c r="E113" s="583">
        <f>'Equip&amp;HIRE_Master'!D45</f>
        <v/>
      </c>
      <c r="F113" s="583">
        <f>E113*D113</f>
        <v/>
      </c>
    </row>
    <row r="114" hidden="1">
      <c r="A114" s="40" t="n"/>
      <c r="B114" s="201" t="inlineStr">
        <is>
          <t>Diesel Air Compressor_Trailer</t>
        </is>
      </c>
      <c r="C114" s="40" t="inlineStr">
        <is>
          <t>Day</t>
        </is>
      </c>
      <c r="E114" s="583">
        <f>'Equip&amp;HIRE_Master'!D46</f>
        <v/>
      </c>
      <c r="F114" s="583">
        <f>E114*D114</f>
        <v/>
      </c>
    </row>
    <row r="115" hidden="1">
      <c r="A115" s="40" t="n"/>
      <c r="B115" s="201" t="inlineStr">
        <is>
          <t>Air Breaker - Heavy</t>
        </is>
      </c>
      <c r="C115" s="40" t="inlineStr">
        <is>
          <t>Day</t>
        </is>
      </c>
      <c r="E115" s="583">
        <f>'Equip&amp;HIRE_Master'!D47</f>
        <v/>
      </c>
      <c r="F115" s="583">
        <f>E115*D115</f>
        <v/>
      </c>
    </row>
    <row r="116" hidden="1">
      <c r="A116" s="40" t="n"/>
      <c r="B116" s="201" t="inlineStr">
        <is>
          <t>Air Hose &lt;10m</t>
        </is>
      </c>
      <c r="C116" s="40" t="inlineStr">
        <is>
          <t>Day</t>
        </is>
      </c>
      <c r="E116" s="583">
        <f>'Equip&amp;HIRE_Master'!D48</f>
        <v/>
      </c>
      <c r="F116" s="583">
        <f>E116*D116</f>
        <v/>
      </c>
    </row>
    <row r="117" hidden="1">
      <c r="A117" s="40" t="n"/>
      <c r="B117" s="201" t="inlineStr">
        <is>
          <t>Elec Breaker/Jachammer</t>
        </is>
      </c>
      <c r="C117" s="40" t="inlineStr">
        <is>
          <t>Day</t>
        </is>
      </c>
      <c r="E117" s="583">
        <f>'Equip&amp;HIRE_Master'!D49</f>
        <v/>
      </c>
      <c r="F117" s="583">
        <f>E117*D117</f>
        <v/>
      </c>
    </row>
    <row r="118" hidden="1">
      <c r="A118" s="40" t="n"/>
      <c r="B118" s="201" t="inlineStr">
        <is>
          <t>Flexdrive Motor Unit</t>
        </is>
      </c>
      <c r="C118" s="40" t="inlineStr">
        <is>
          <t>Day</t>
        </is>
      </c>
      <c r="E118" s="583">
        <f>'Equip&amp;HIRE_Master'!D50</f>
        <v/>
      </c>
      <c r="F118" s="583">
        <f>E118*D118</f>
        <v/>
      </c>
    </row>
    <row r="119" hidden="1">
      <c r="A119" s="40" t="n"/>
      <c r="B119" s="201" t="inlineStr">
        <is>
          <t>Flexdrive_Pump Shaft</t>
        </is>
      </c>
      <c r="C119" s="40" t="inlineStr">
        <is>
          <t>Day</t>
        </is>
      </c>
      <c r="E119" s="583">
        <f>'Equip&amp;HIRE_Master'!D51</f>
        <v/>
      </c>
      <c r="F119" s="583">
        <f>E119*D119</f>
        <v/>
      </c>
    </row>
    <row r="120" hidden="1">
      <c r="A120" s="40" t="n"/>
      <c r="B120" s="201" t="inlineStr">
        <is>
          <t>Temporary Power Board</t>
        </is>
      </c>
      <c r="C120" s="40" t="inlineStr">
        <is>
          <t>Day</t>
        </is>
      </c>
      <c r="E120" s="583">
        <f>'Equip&amp;HIRE_Master'!D52</f>
        <v/>
      </c>
      <c r="F120" s="583">
        <f>E120*D120</f>
        <v/>
      </c>
    </row>
    <row r="121" ht="6" customHeight="1">
      <c r="A121" s="40" t="n"/>
      <c r="B121" s="201" t="n"/>
      <c r="E121" s="583">
        <f>'Equip&amp;HIRE_Master'!D53</f>
        <v/>
      </c>
      <c r="F121" s="583">
        <f>E121*D121</f>
        <v/>
      </c>
    </row>
    <row r="122">
      <c r="A122" s="40" t="n"/>
      <c r="B122" s="201" t="inlineStr">
        <is>
          <t>Dual CabUte</t>
        </is>
      </c>
      <c r="C122" s="40" t="inlineStr">
        <is>
          <t>Day</t>
        </is>
      </c>
      <c r="E122" s="583">
        <f>'Equip&amp;HIRE_Master'!D54</f>
        <v/>
      </c>
      <c r="F122" s="583">
        <f>E122*D122</f>
        <v/>
      </c>
    </row>
    <row r="123">
      <c r="A123" s="40" t="n"/>
      <c r="B123" s="201" t="inlineStr">
        <is>
          <t xml:space="preserve">3m3 Skip Bbin </t>
        </is>
      </c>
      <c r="C123" s="40" t="inlineStr">
        <is>
          <t>per serive</t>
        </is>
      </c>
      <c r="E123" s="583">
        <f>'Equip&amp;HIRE_Master'!D55</f>
        <v/>
      </c>
      <c r="F123" s="583">
        <f>E123*D123</f>
        <v/>
      </c>
    </row>
    <row r="124">
      <c r="A124" s="40" t="n"/>
      <c r="B124" s="201" t="inlineStr">
        <is>
          <t xml:space="preserve">plus disposal </t>
        </is>
      </c>
      <c r="C124" s="40" t="inlineStr">
        <is>
          <t xml:space="preserve">Tonne </t>
        </is>
      </c>
      <c r="E124" s="583">
        <f>'Equip&amp;HIRE_Master'!D56</f>
        <v/>
      </c>
      <c r="F124" s="583">
        <f>E124*D124</f>
        <v/>
      </c>
    </row>
    <row r="125">
      <c r="A125" s="40" t="n"/>
      <c r="B125" s="201" t="inlineStr">
        <is>
          <t xml:space="preserve">site fee </t>
        </is>
      </c>
      <c r="C125" s="40" t="inlineStr">
        <is>
          <t>Week</t>
        </is>
      </c>
      <c r="E125" s="583">
        <f>'Equip&amp;HIRE_Master'!D57</f>
        <v/>
      </c>
      <c r="F125" s="583">
        <f>E125*D125</f>
        <v/>
      </c>
    </row>
    <row r="126">
      <c r="A126" s="40" t="n"/>
      <c r="B126" s="201" t="inlineStr">
        <is>
          <t>~4m3_Skip Bin</t>
        </is>
      </c>
      <c r="C126" s="40" t="inlineStr">
        <is>
          <t xml:space="preserve">per change over </t>
        </is>
      </c>
      <c r="E126" s="583">
        <f>'Equip&amp;HIRE_Master'!D58</f>
        <v/>
      </c>
      <c r="F126" s="583">
        <f>E126*D126</f>
        <v/>
      </c>
    </row>
    <row r="127">
      <c r="A127" s="40" t="n"/>
      <c r="B127" s="201" t="inlineStr">
        <is>
          <t>~6m3_Skip Bin</t>
        </is>
      </c>
      <c r="C127" s="40" t="inlineStr">
        <is>
          <t xml:space="preserve">per change over </t>
        </is>
      </c>
      <c r="E127" s="583">
        <f>'Equip&amp;HIRE_Master'!D59</f>
        <v/>
      </c>
      <c r="F127" s="583">
        <f>E127*D127</f>
        <v/>
      </c>
    </row>
    <row r="128">
      <c r="A128" s="40" t="n"/>
      <c r="B128" s="201" t="inlineStr">
        <is>
          <t xml:space="preserve">Plus disposal </t>
        </is>
      </c>
      <c r="C128" s="40" t="inlineStr">
        <is>
          <t xml:space="preserve">Tonne </t>
        </is>
      </c>
      <c r="E128" s="583">
        <f>'Equip&amp;HIRE_Master'!D60</f>
        <v/>
      </c>
      <c r="F128" s="583">
        <f>E128*D128</f>
        <v/>
      </c>
    </row>
    <row r="129">
      <c r="A129" s="40" t="n"/>
      <c r="B129" s="201" t="inlineStr">
        <is>
          <t xml:space="preserve">Site fee </t>
        </is>
      </c>
      <c r="C129" s="40" t="inlineStr">
        <is>
          <t>Week</t>
        </is>
      </c>
      <c r="E129" s="583">
        <f>'Equip&amp;HIRE_Master'!D61</f>
        <v/>
      </c>
      <c r="F129" s="583">
        <f>E129*D129</f>
        <v/>
      </c>
    </row>
    <row r="130">
      <c r="A130" s="40" t="n"/>
      <c r="B130" s="201" t="inlineStr">
        <is>
          <t>Vacuum Excavator - Vermeer VT250D</t>
        </is>
      </c>
      <c r="C130" s="40" t="inlineStr">
        <is>
          <t>Day</t>
        </is>
      </c>
      <c r="E130" s="583">
        <f>'Equip&amp;HIRE_Master'!D62</f>
        <v/>
      </c>
      <c r="F130" s="583">
        <f>E130*D130</f>
        <v/>
      </c>
    </row>
    <row r="131">
      <c r="A131" s="40" t="n"/>
      <c r="B131" s="201" t="inlineStr">
        <is>
          <t>Vac Trailer – Dry Hire</t>
        </is>
      </c>
      <c r="C131" s="40" t="inlineStr">
        <is>
          <t>Day</t>
        </is>
      </c>
      <c r="D131" t="n">
        <v>1</v>
      </c>
      <c r="E131" s="583">
        <f>'Equip&amp;HIRE_Master'!D63</f>
        <v/>
      </c>
      <c r="F131" s="583">
        <f>E131*D131</f>
        <v/>
      </c>
      <c r="H131" s="540" t="inlineStr">
        <is>
          <t>Phase 7 plant: Vac trailer: T1-02 1 d</t>
        </is>
      </c>
    </row>
    <row r="132" ht="6" customHeight="1">
      <c r="A132" s="40" t="n"/>
      <c r="B132" s="201" t="n"/>
      <c r="E132" s="583">
        <f>'Equip&amp;HIRE_Master'!D64</f>
        <v/>
      </c>
      <c r="F132" s="583">
        <f>E132*D132</f>
        <v/>
      </c>
    </row>
    <row r="133">
      <c r="A133" s="40" t="n"/>
      <c r="B133" s="201" t="inlineStr">
        <is>
          <t>TRANSPORT_Ex BRIS - Return</t>
        </is>
      </c>
      <c r="C133" s="40" t="inlineStr">
        <is>
          <t>Day</t>
        </is>
      </c>
      <c r="E133" s="583">
        <f>'Equip&amp;HIRE_Master'!D65</f>
        <v/>
      </c>
      <c r="F133" s="583">
        <f>E133*D133</f>
        <v/>
      </c>
    </row>
    <row r="134">
      <c r="A134" s="40" t="n"/>
      <c r="B134" s="201" t="inlineStr">
        <is>
          <t>TRANSPORT_Ex ROK - Return</t>
        </is>
      </c>
      <c r="C134" s="40" t="inlineStr">
        <is>
          <t>Hour</t>
        </is>
      </c>
      <c r="E134" s="583">
        <f>'Equip&amp;HIRE_Master'!D66</f>
        <v/>
      </c>
      <c r="F134" s="583">
        <f>E134*D134</f>
        <v/>
      </c>
    </row>
    <row r="135">
      <c r="A135" s="40" t="n"/>
      <c r="B135" s="201" t="inlineStr">
        <is>
          <t>0-4T Per Hour Delivery Rate</t>
        </is>
      </c>
      <c r="C135" s="40" t="inlineStr">
        <is>
          <t>Hour</t>
        </is>
      </c>
      <c r="E135" s="583">
        <f>'Equip&amp;HIRE_Master'!D67</f>
        <v/>
      </c>
      <c r="F135" s="583">
        <f>E135*D135</f>
        <v/>
      </c>
    </row>
    <row r="136">
      <c r="A136" s="40" t="n"/>
      <c r="B136" s="201" t="inlineStr">
        <is>
          <t xml:space="preserve">5 - 9t Transport Hourly Rate </t>
        </is>
      </c>
      <c r="C136" s="40" t="inlineStr">
        <is>
          <t>Hour</t>
        </is>
      </c>
      <c r="E136" s="583">
        <f>'Equip&amp;HIRE_Master'!D68</f>
        <v/>
      </c>
      <c r="F136" s="583">
        <f>E136*D136</f>
        <v/>
      </c>
    </row>
    <row r="137">
      <c r="A137" s="40" t="n"/>
      <c r="B137" s="201" t="inlineStr">
        <is>
          <t>10 - 19t Low Loader Hourly rate - Minimum 2 Hour Charge</t>
        </is>
      </c>
      <c r="C137" s="40" t="inlineStr">
        <is>
          <t>Hour</t>
        </is>
      </c>
      <c r="E137" s="583">
        <f>'Equip&amp;HIRE_Master'!D69</f>
        <v/>
      </c>
      <c r="F137" s="583">
        <f>E137*D137</f>
        <v/>
      </c>
    </row>
    <row r="138">
      <c r="A138" s="40" t="n"/>
      <c r="B138" t="inlineStr">
        <is>
          <t>PE butt welder + EF processor - ALLOWANCE (not in hire registers - quote at Phase 6)</t>
        </is>
      </c>
      <c r="C138" t="inlineStr">
        <is>
          <t>Day</t>
        </is>
      </c>
      <c r="D138" t="n">
        <v>16</v>
      </c>
      <c r="E138" s="583" t="n">
        <v>350</v>
      </c>
      <c r="F138" s="583">
        <f>E138*D138</f>
        <v/>
      </c>
      <c r="H138" s="540" t="inlineStr">
        <is>
          <t>Phase 7: O200 main 5 d + CW spine 6 d + fire main 5 d</t>
        </is>
      </c>
    </row>
    <row r="139">
      <c r="A139" s="40" t="n"/>
      <c r="B139" s="201" t="inlineStr">
        <is>
          <t>FUEL - Average_Candle</t>
        </is>
      </c>
      <c r="C139" s="40" t="inlineStr">
        <is>
          <t>Week</t>
        </is>
      </c>
      <c r="E139" s="583" t="n">
        <v>1850</v>
      </c>
      <c r="F139" s="583">
        <f>E139*D149</f>
        <v/>
      </c>
    </row>
    <row r="140" ht="10.8" customHeight="1" thickBot="1">
      <c r="A140" s="40" t="n"/>
      <c r="E140" s="583" t="n"/>
      <c r="F140" s="583" t="n"/>
    </row>
    <row r="141" ht="10.8" customHeight="1" thickBot="1">
      <c r="A141" s="42" t="n"/>
      <c r="B141" s="49" t="inlineStr">
        <is>
          <t xml:space="preserve">Subbies &amp; Misc </t>
        </is>
      </c>
      <c r="E141" s="583" t="n"/>
      <c r="F141" s="583" t="n"/>
    </row>
    <row r="142">
      <c r="E142" s="583" t="n"/>
      <c r="F142" s="583" t="n"/>
    </row>
    <row r="143">
      <c r="B143" s="38" t="inlineStr">
        <is>
          <t>Surveyor</t>
        </is>
      </c>
      <c r="C143" s="40" t="inlineStr">
        <is>
          <t>ea</t>
        </is>
      </c>
      <c r="D143" t="n">
        <v>16</v>
      </c>
      <c r="E143" s="583">
        <f>'Misc Subbie Rates_Master'!D35</f>
        <v/>
      </c>
      <c r="F143" s="583">
        <f>E143*D143</f>
        <v/>
      </c>
      <c r="H143" s="540" t="inlineStr">
        <is>
          <t>T5-07 as-cons/ADAC surveyor attendance 2 d x 8 h @ $180/hr</t>
        </is>
      </c>
    </row>
    <row r="144">
      <c r="B144" s="38" t="inlineStr">
        <is>
          <t>Services Locator</t>
        </is>
      </c>
      <c r="C144" s="40" t="inlineStr">
        <is>
          <t>ea</t>
        </is>
      </c>
      <c r="D144" t="n">
        <v>10</v>
      </c>
      <c r="E144" s="583">
        <f>'Misc Subbie Rates_Master'!D42</f>
        <v/>
      </c>
      <c r="F144" s="583">
        <f>E144*D144</f>
        <v/>
      </c>
      <c r="H144" s="540" t="inlineStr">
        <is>
          <t>T1-02 services locator 1 d x 10 h @ $130/hr (live O300 main)</t>
        </is>
      </c>
    </row>
    <row r="145">
      <c r="B145" s="38" t="inlineStr">
        <is>
          <t>Compaction Testing - TEST</t>
        </is>
      </c>
      <c r="C145" s="40" t="inlineStr">
        <is>
          <t>ea</t>
        </is>
      </c>
      <c r="E145" s="583">
        <f>'Misc Subbie Rates_Master'!D72</f>
        <v/>
      </c>
      <c r="F145" s="583">
        <f>E145*D145</f>
        <v/>
      </c>
    </row>
    <row r="146">
      <c r="B146" s="38" t="inlineStr">
        <is>
          <t>Compaction Testing - Site Establishment</t>
        </is>
      </c>
      <c r="C146" s="40" t="inlineStr">
        <is>
          <t>ea</t>
        </is>
      </c>
      <c r="E146" s="583">
        <f>'Misc Subbie Rates_Master'!D73</f>
        <v/>
      </c>
      <c r="F146" s="583">
        <f>E146*D146</f>
        <v/>
      </c>
    </row>
    <row r="147">
      <c r="B147" t="inlineStr">
        <is>
          <t>CCTV of TPS in-ground drainage - independent approved firm, Superintendent present (VOL38 3.56)</t>
        </is>
      </c>
      <c r="C147" s="40" t="inlineStr">
        <is>
          <t>item</t>
        </is>
      </c>
      <c r="D147" t="n">
        <v>1</v>
      </c>
      <c r="E147" s="583" t="n">
        <v>5000</v>
      </c>
      <c r="F147" s="583">
        <f>E147*D147</f>
        <v/>
      </c>
      <c r="H147" s="540" t="inlineStr">
        <is>
          <t>Allowance ~385 m @ ~$10/m + establishment + reporting + attendance; each entity its own assets (L15)</t>
        </is>
      </c>
    </row>
    <row r="148">
      <c r="B148" t="inlineStr">
        <is>
          <t>Temporary potable water purchase - testing/flushing/disinfection (carted, no site water ITT S17.3)</t>
        </is>
      </c>
      <c r="C148" s="40" t="inlineStr">
        <is>
          <t>item</t>
        </is>
      </c>
      <c r="D148" t="n">
        <v>1</v>
      </c>
      <c r="E148" s="583" t="n">
        <v>1500</v>
      </c>
      <c r="F148" s="583">
        <f>E148*D148</f>
        <v/>
      </c>
      <c r="H148" s="540" t="inlineStr">
        <is>
          <t>Allowance; cartage priced at water-truck row (30 hr)</t>
        </is>
      </c>
    </row>
    <row r="149">
      <c r="B149" s="283" t="inlineStr">
        <is>
          <t>FIRE TESTING / CERT</t>
        </is>
      </c>
      <c r="C149" s="40" t="inlineStr">
        <is>
          <t>ea</t>
        </is>
      </c>
      <c r="D149" t="n">
        <v>1</v>
      </c>
      <c r="E149" s="583" t="n">
        <v>3560</v>
      </c>
      <c r="F149" s="583">
        <f>E149*D149</f>
        <v/>
      </c>
      <c r="H149" s="540" t="inlineStr">
        <is>
          <t>Boost/fire test $3,560 (Misc Subbie Rates) - booster commissioning; existing label row</t>
        </is>
      </c>
    </row>
    <row r="150">
      <c r="B150" s="1" t="inlineStr">
        <is>
          <t>FULL Hydro Test - Per Test (6.5Hr 1 x fitter, 1 x apprentice, 1 day Test gear)</t>
        </is>
      </c>
      <c r="C150" s="40" t="inlineStr">
        <is>
          <t>ea</t>
        </is>
      </c>
      <c r="D150" t="n">
        <v>3</v>
      </c>
      <c r="E150" s="583">
        <f>'Misc Subbie Rates_Master'!D84</f>
        <v/>
      </c>
      <c r="F150" s="583">
        <f>E150*D150</f>
        <v/>
      </c>
      <c r="H150" s="540" t="inlineStr">
        <is>
          <t>3 site systems full hydro test per T2-10 @ $1,945</t>
        </is>
      </c>
    </row>
    <row r="151">
      <c r="B151" s="38" t="inlineStr">
        <is>
          <t>Provision of Form 72</t>
        </is>
      </c>
      <c r="C151" s="40" t="inlineStr">
        <is>
          <t>ea</t>
        </is>
      </c>
      <c r="D151" t="n">
        <v>1</v>
      </c>
      <c r="E151" s="583">
        <f>'Misc Subbie Rates_Master'!D86</f>
        <v/>
      </c>
      <c r="F151" s="583">
        <f>E151*D151</f>
        <v/>
      </c>
      <c r="H151" s="540" t="inlineStr">
        <is>
          <t>Form 72 provision - site</t>
        </is>
      </c>
    </row>
    <row r="152">
      <c r="B152" t="inlineStr">
        <is>
          <t>Crane truck / HIAB - booster set + deliveries (allowance)</t>
        </is>
      </c>
      <c r="C152" t="inlineStr">
        <is>
          <t>Hr</t>
        </is>
      </c>
      <c r="D152" t="n">
        <v>10</v>
      </c>
      <c r="E152" s="583" t="n">
        <v>180</v>
      </c>
      <c r="F152" s="583">
        <f>E152*D152</f>
        <v/>
      </c>
      <c r="H152" s="540" t="inlineStr">
        <is>
          <t>Phase 7 allowance ~$180/hr - not in hire registers</t>
        </is>
      </c>
    </row>
    <row r="153" ht="10.8" customHeight="1" thickBot="1">
      <c r="E153" s="583" t="n"/>
      <c r="F153" s="583" t="n"/>
    </row>
    <row r="154" ht="10.8" customHeight="1" thickBot="1">
      <c r="A154" s="42" t="n"/>
      <c r="B154" s="49" t="inlineStr">
        <is>
          <t>Material - Quarry, Misc</t>
        </is>
      </c>
      <c r="E154" s="583" t="n"/>
      <c r="F154" s="583" t="n"/>
    </row>
    <row r="155">
      <c r="E155" s="583" t="n"/>
      <c r="F155" s="583" t="n"/>
    </row>
    <row r="156">
      <c r="B156" s="38">
        <f>'Material Rates_Master'!A185</f>
        <v/>
      </c>
      <c r="C156" s="40">
        <f>'Material Rates_Master'!B185</f>
        <v/>
      </c>
      <c r="D156">
        <f>I902</f>
        <v/>
      </c>
      <c r="E156" s="583">
        <f>'Material Rates_Master'!D185</f>
        <v/>
      </c>
      <c r="F156" s="583">
        <f>E156*D156</f>
        <v/>
      </c>
      <c r="H156" s="540" t="inlineStr">
        <is>
          <t>Bedding/pipe-surround import = helper I902 (bed/pipe/cover m3, auto from adopted pipe lengths)</t>
        </is>
      </c>
    </row>
    <row r="157">
      <c r="B157" s="38">
        <f>'Material Rates_Master'!A186</f>
        <v/>
      </c>
      <c r="C157" s="40">
        <f>'Material Rates_Master'!B186</f>
        <v/>
      </c>
      <c r="E157" s="583">
        <f>'Material Rates_Master'!D186</f>
        <v/>
      </c>
      <c r="F157" s="583">
        <f>E157*D157</f>
        <v/>
      </c>
    </row>
    <row r="158">
      <c r="B158" s="38">
        <f>'Material Rates_Master'!A187</f>
        <v/>
      </c>
      <c r="C158" s="40">
        <f>'Material Rates_Master'!B187</f>
        <v/>
      </c>
      <c r="E158" s="583">
        <f>'Material Rates_Master'!D187</f>
        <v/>
      </c>
      <c r="F158" s="583">
        <f>E158*D158</f>
        <v/>
      </c>
    </row>
    <row r="159">
      <c r="B159" s="38">
        <f>'Material Rates_Master'!A188</f>
        <v/>
      </c>
      <c r="C159" s="40">
        <f>'Material Rates_Master'!B188</f>
        <v/>
      </c>
      <c r="E159" s="583">
        <f>'Material Rates_Master'!D188</f>
        <v/>
      </c>
      <c r="F159" s="583">
        <f>E159*D159</f>
        <v/>
      </c>
    </row>
    <row r="160">
      <c r="B160" s="38">
        <f>'Material Rates_Master'!A189</f>
        <v/>
      </c>
      <c r="C160" s="40">
        <f>'Material Rates_Master'!B189</f>
        <v/>
      </c>
      <c r="E160" s="583">
        <f>'Material Rates_Master'!D189</f>
        <v/>
      </c>
      <c r="F160" s="583">
        <f>E160*D160</f>
        <v/>
      </c>
    </row>
    <row r="161" ht="4.2" customHeight="1">
      <c r="B161" t="inlineStr">
        <is>
          <t>Spoil haulage &amp; dump (take-off helper M902 @ $15/m3)</t>
        </is>
      </c>
      <c r="C161" t="inlineStr">
        <is>
          <t>item</t>
        </is>
      </c>
      <c r="D161" t="n">
        <v>1</v>
      </c>
      <c r="E161" s="583">
        <f>M902</f>
        <v/>
      </c>
      <c r="F161" s="583">
        <f>E161*D161</f>
        <v/>
      </c>
      <c r="H161" s="540" t="inlineStr">
        <is>
          <t>Auto from helper block (excavated less backfill re-use)</t>
        </is>
      </c>
    </row>
    <row r="162">
      <c r="B162" s="38">
        <f>'Material Rates_Master'!A193</f>
        <v/>
      </c>
      <c r="C162" s="40">
        <f>'Material Rates_Master'!B193</f>
        <v/>
      </c>
      <c r="E162" s="583">
        <f>'Material Rates_Master'!D193</f>
        <v/>
      </c>
      <c r="F162" s="583">
        <f>E162*D162</f>
        <v/>
      </c>
    </row>
    <row r="163">
      <c r="B163" s="38">
        <f>'Material Rates_Master'!A194</f>
        <v/>
      </c>
      <c r="C163" s="40">
        <f>'Material Rates_Master'!B194</f>
        <v/>
      </c>
      <c r="E163" s="583">
        <f>'Material Rates_Master'!D194</f>
        <v/>
      </c>
      <c r="F163" s="583">
        <f>E163*D163</f>
        <v/>
      </c>
    </row>
    <row r="164">
      <c r="B164" s="38">
        <f>'Material Rates_Master'!A195</f>
        <v/>
      </c>
      <c r="C164" s="40">
        <f>'Material Rates_Master'!B195</f>
        <v/>
      </c>
      <c r="E164" s="583">
        <f>'Material Rates_Master'!D195</f>
        <v/>
      </c>
      <c r="F164" s="583">
        <f>E164*D164</f>
        <v/>
      </c>
    </row>
    <row r="165">
      <c r="B165" t="inlineStr">
        <is>
          <t>Consumables &amp; small tools - site crews (allowance)</t>
        </is>
      </c>
      <c r="C165" t="inlineStr">
        <is>
          <t>item</t>
        </is>
      </c>
      <c r="D165" t="n">
        <v>1</v>
      </c>
      <c r="E165" s="583" t="n">
        <v>2500</v>
      </c>
      <c r="F165" s="583">
        <f>E165*D165</f>
        <v/>
      </c>
      <c r="H165" s="540" t="inlineStr">
        <is>
          <t>Phase 7 consumables flag - site activities</t>
        </is>
      </c>
    </row>
    <row r="166">
      <c r="B166" s="38" t="inlineStr">
        <is>
          <t>Valve Margin strips; Concrete slab, 1 directions sign, 3 x valve No sign.</t>
        </is>
      </c>
      <c r="C166" s="40" t="inlineStr">
        <is>
          <t>ea</t>
        </is>
      </c>
      <c r="E166" s="583" t="n">
        <v>380</v>
      </c>
      <c r="F166" s="583">
        <f>E166*D166</f>
        <v/>
      </c>
    </row>
    <row r="167">
      <c r="E167" s="583" t="n"/>
      <c r="F167" s="583" t="n"/>
    </row>
    <row r="168">
      <c r="B168" s="201" t="n"/>
      <c r="C168" s="38" t="n"/>
      <c r="D168" s="38" t="n"/>
      <c r="E168" s="38" t="n"/>
      <c r="F168" s="38" t="n"/>
    </row>
    <row r="169">
      <c r="A169" s="42" t="n"/>
      <c r="B169" s="331" t="inlineStr">
        <is>
          <t>FIRE SERVICES - INGROUND</t>
        </is>
      </c>
      <c r="E169" s="583" t="n"/>
      <c r="F169" s="583" t="n"/>
    </row>
    <row r="170">
      <c r="E170" s="583" t="n"/>
      <c r="F170" s="583" t="n"/>
    </row>
    <row r="171" ht="13.2" customHeight="1">
      <c r="A171" s="40" t="n"/>
      <c r="B171" s="299" t="inlineStr">
        <is>
          <t>200 HDPE PN16 SDR11 - REDLINE</t>
        </is>
      </c>
      <c r="C171" s="40">
        <f>'Material Rates_Master'!B5</f>
        <v/>
      </c>
      <c r="D171" s="291" t="n"/>
      <c r="E171" s="583">
        <f>'Material Rates_Master'!D5*$M$16</f>
        <v/>
      </c>
      <c r="F171" s="583">
        <f>E171*D171</f>
        <v/>
      </c>
      <c r="H171" s="541" t="n"/>
      <c r="I171" s="589" t="n"/>
      <c r="J171" s="589" t="n"/>
    </row>
    <row r="172">
      <c r="A172" s="40" t="n"/>
      <c r="B172" s="299" t="inlineStr">
        <is>
          <t>180 HDPE PN16 SDR11 - REDLINE</t>
        </is>
      </c>
      <c r="C172" s="40">
        <f>'Material Rates_Master'!B6</f>
        <v/>
      </c>
      <c r="D172" s="484" t="n"/>
      <c r="E172" s="583">
        <f>'Material Rates_Master'!D6*$M$16</f>
        <v/>
      </c>
      <c r="F172" s="583">
        <f>E172*D172</f>
        <v/>
      </c>
      <c r="H172" s="541" t="n"/>
    </row>
    <row r="173">
      <c r="A173" s="40" t="n"/>
      <c r="B173" s="299" t="inlineStr">
        <is>
          <t>125 HDPE PN16 SDR11 - REDLINE</t>
        </is>
      </c>
      <c r="C173" s="40">
        <f>'Material Rates_Master'!B7</f>
        <v/>
      </c>
      <c r="D173" s="37" t="n">
        <v>217.73</v>
      </c>
      <c r="E173" s="583">
        <f>'Material Rates_Master'!D7*$M$16</f>
        <v/>
      </c>
      <c r="F173" s="583">
        <f>E173*D173</f>
        <v/>
      </c>
      <c r="G173" t="n">
        <v>218</v>
      </c>
      <c r="H173" s="641" t="inlineStr">
        <is>
          <t>ADOPTED qty per QUANTITY_RECONCILIATION TPS_Site (vector-verified H003) - fire main 217.73 m</t>
        </is>
      </c>
    </row>
    <row r="174">
      <c r="A174" s="40" t="n"/>
      <c r="B174" s="299" t="inlineStr">
        <is>
          <t>32 HDPE PN16 SDR11 - BLUELINE</t>
        </is>
      </c>
      <c r="C174" s="40">
        <f>'Material Rates_Master'!B8</f>
        <v/>
      </c>
      <c r="D174" s="37" t="n"/>
      <c r="E174" s="583">
        <f>'Material Rates_Master'!D8*$M$16</f>
        <v/>
      </c>
      <c r="F174" s="583">
        <f>E174*D174</f>
        <v/>
      </c>
      <c r="H174" s="541" t="n"/>
    </row>
    <row r="175" ht="4.2" customHeight="1">
      <c r="A175" s="40" t="n"/>
      <c r="B175" s="299" t="n"/>
      <c r="E175" s="583">
        <f>'Material Rates_Master'!D9*$M$16</f>
        <v/>
      </c>
      <c r="F175" s="583" t="n"/>
      <c r="H175" s="541" t="n"/>
    </row>
    <row r="176">
      <c r="A176" s="40" t="n"/>
      <c r="B176" s="299" t="inlineStr">
        <is>
          <t>200 EF Coupler</t>
        </is>
      </c>
      <c r="C176" s="40">
        <f>'Material Rates_Master'!B10</f>
        <v/>
      </c>
      <c r="D176" s="484" t="n"/>
      <c r="E176" s="583">
        <f>'Material Rates_Master'!D10*$M$16</f>
        <v/>
      </c>
      <c r="F176" s="583">
        <f>E176*D176</f>
        <v/>
      </c>
      <c r="H176" s="541" t="n"/>
    </row>
    <row r="177">
      <c r="A177" s="40" t="n"/>
      <c r="B177" s="299" t="inlineStr">
        <is>
          <t>180 EF Coupler</t>
        </is>
      </c>
      <c r="C177" s="40">
        <f>'Material Rates_Master'!B11</f>
        <v/>
      </c>
      <c r="D177" s="37" t="n"/>
      <c r="E177" s="583">
        <f>'Material Rates_Master'!D11*$M$16</f>
        <v/>
      </c>
      <c r="F177" s="583">
        <f>E177*D177</f>
        <v/>
      </c>
      <c r="H177" s="541" t="n"/>
    </row>
    <row r="178">
      <c r="A178" s="40" t="n"/>
      <c r="B178" s="299" t="inlineStr">
        <is>
          <t>125 EF Coupler</t>
        </is>
      </c>
      <c r="C178" s="40">
        <f>'Material Rates_Master'!B12</f>
        <v/>
      </c>
      <c r="D178" s="484" t="n">
        <v>1</v>
      </c>
      <c r="E178" s="583">
        <f>'Material Rates_Master'!D12*$M$16</f>
        <v/>
      </c>
      <c r="F178" s="583">
        <f>E178*D178</f>
        <v/>
      </c>
      <c r="H178" s="541" t="n"/>
    </row>
    <row r="179">
      <c r="A179" s="40" t="n"/>
      <c r="B179" s="299" t="inlineStr">
        <is>
          <t>200 EF 45DFeg Bend</t>
        </is>
      </c>
      <c r="C179" s="40">
        <f>'Material Rates_Master'!B13</f>
        <v/>
      </c>
      <c r="D179" s="484" t="n"/>
      <c r="E179" s="583">
        <f>'Material Rates_Master'!D13*$M$16</f>
        <v/>
      </c>
      <c r="F179" s="583">
        <f>E179*D179</f>
        <v/>
      </c>
      <c r="H179" s="541" t="n"/>
    </row>
    <row r="180">
      <c r="A180" s="40" t="n"/>
      <c r="B180" s="299" t="inlineStr">
        <is>
          <t>180 EF 45DFeg Bend</t>
        </is>
      </c>
      <c r="C180" s="40">
        <f>'Material Rates_Master'!B14</f>
        <v/>
      </c>
      <c r="D180" s="484" t="n"/>
      <c r="E180" s="583">
        <f>'Material Rates_Master'!D14*$M$16</f>
        <v/>
      </c>
      <c r="F180" s="583">
        <f>E180*D180</f>
        <v/>
      </c>
      <c r="H180" s="541" t="n"/>
    </row>
    <row r="181">
      <c r="A181" s="40" t="n"/>
      <c r="B181" s="299" t="inlineStr">
        <is>
          <t>125 EF 45DFeg Bend</t>
        </is>
      </c>
      <c r="C181" s="40">
        <f>'Material Rates_Master'!B15</f>
        <v/>
      </c>
      <c r="D181" s="484" t="n"/>
      <c r="E181" s="583">
        <f>'Material Rates_Master'!D15*$M$16</f>
        <v/>
      </c>
      <c r="F181" s="583">
        <f>E181*D181</f>
        <v/>
      </c>
      <c r="H181" s="541" t="n"/>
    </row>
    <row r="182">
      <c r="A182" s="40" t="n"/>
      <c r="B182" s="299" t="inlineStr">
        <is>
          <t>200 EF 90DFeg Bend</t>
        </is>
      </c>
      <c r="C182" s="40">
        <f>'Material Rates_Master'!B16</f>
        <v/>
      </c>
      <c r="D182" s="484" t="n"/>
      <c r="E182" s="583">
        <f>'Material Rates_Master'!D16*$M$16</f>
        <v/>
      </c>
      <c r="F182" s="583">
        <f>E182*D182</f>
        <v/>
      </c>
      <c r="H182" s="541" t="n"/>
    </row>
    <row r="183">
      <c r="A183" s="40" t="n"/>
      <c r="B183" s="299" t="inlineStr">
        <is>
          <t>180 EF 90DFeg Bend</t>
        </is>
      </c>
      <c r="C183" s="40">
        <f>'Material Rates_Master'!B17</f>
        <v/>
      </c>
      <c r="D183" s="484" t="n"/>
      <c r="E183" s="583">
        <f>'Material Rates_Master'!D17*$M$16</f>
        <v/>
      </c>
      <c r="F183" s="583">
        <f>E183*D183</f>
        <v/>
      </c>
      <c r="H183" s="541" t="n"/>
    </row>
    <row r="184">
      <c r="A184" s="40" t="n"/>
      <c r="B184" s="299" t="inlineStr">
        <is>
          <t>125 EF 90DFeg Bend</t>
        </is>
      </c>
      <c r="C184" s="40">
        <f>'Material Rates_Master'!B18</f>
        <v/>
      </c>
      <c r="D184" s="484" t="n">
        <v>6</v>
      </c>
      <c r="E184" s="583" t="n">
        <v>70</v>
      </c>
      <c r="F184" s="583">
        <f>E184*D184</f>
        <v/>
      </c>
      <c r="H184" s="541" t="n"/>
    </row>
    <row r="185">
      <c r="A185" s="40" t="n"/>
      <c r="B185" s="299" t="inlineStr">
        <is>
          <t>125 EF 45DFeg Bend</t>
        </is>
      </c>
      <c r="C185" s="40" t="inlineStr">
        <is>
          <t>ea</t>
        </is>
      </c>
      <c r="D185" s="484" t="n">
        <v>3</v>
      </c>
      <c r="E185" s="583" t="n">
        <v>62</v>
      </c>
      <c r="F185" s="583">
        <f>E185*D185</f>
        <v/>
      </c>
      <c r="H185" s="541" t="n"/>
    </row>
    <row r="186">
      <c r="A186" s="40" t="n"/>
      <c r="B186" s="299" t="inlineStr">
        <is>
          <t>200 EF TEE</t>
        </is>
      </c>
      <c r="C186" s="40">
        <f>'Material Rates_Master'!B19</f>
        <v/>
      </c>
      <c r="D186" s="484" t="n"/>
      <c r="E186" s="583">
        <f>'Material Rates_Master'!D19*$M$16</f>
        <v/>
      </c>
      <c r="F186" s="583">
        <f>E186*D186</f>
        <v/>
      </c>
      <c r="H186" s="541" t="n"/>
    </row>
    <row r="187">
      <c r="A187" s="40" t="n"/>
      <c r="B187" s="299" t="inlineStr">
        <is>
          <t>180 EF TEE</t>
        </is>
      </c>
      <c r="C187" s="40">
        <f>'Material Rates_Master'!B20</f>
        <v/>
      </c>
      <c r="D187" s="484" t="n"/>
      <c r="E187" s="583">
        <f>'Material Rates_Master'!D20*$M$16</f>
        <v/>
      </c>
      <c r="F187" s="583">
        <f>E187*D187</f>
        <v/>
      </c>
      <c r="H187" s="541" t="n"/>
    </row>
    <row r="188">
      <c r="A188" s="40" t="n"/>
      <c r="B188" s="299" t="inlineStr">
        <is>
          <t>125 EF TEE</t>
        </is>
      </c>
      <c r="C188" s="40">
        <f>'Material Rates_Master'!B21</f>
        <v/>
      </c>
      <c r="D188" s="484" t="n">
        <v>1</v>
      </c>
      <c r="E188" s="583">
        <f>'Material Rates_Master'!D21*$M$16</f>
        <v/>
      </c>
      <c r="F188" s="583">
        <f>E188*D188</f>
        <v/>
      </c>
      <c r="H188" s="541" t="n"/>
    </row>
    <row r="189">
      <c r="A189" s="40" t="n"/>
      <c r="B189" s="299" t="inlineStr">
        <is>
          <t>200*180 EF TEE</t>
        </is>
      </c>
      <c r="C189" s="40">
        <f>'Material Rates_Master'!B22</f>
        <v/>
      </c>
      <c r="D189" s="484" t="n"/>
      <c r="E189" s="583">
        <f>'Material Rates_Master'!D22*$M$16</f>
        <v/>
      </c>
      <c r="F189" s="583">
        <f>E189*D189</f>
        <v/>
      </c>
      <c r="H189" s="541" t="n"/>
    </row>
    <row r="190">
      <c r="A190" s="40" t="n"/>
      <c r="B190" s="299" t="inlineStr">
        <is>
          <t>200*125 EF TEE</t>
        </is>
      </c>
      <c r="C190" s="40">
        <f>'Material Rates_Master'!B23</f>
        <v/>
      </c>
      <c r="D190" s="484" t="n"/>
      <c r="E190" s="583">
        <f>'Material Rates_Master'!D23*$M$16</f>
        <v/>
      </c>
      <c r="F190" s="583">
        <f>E190*D190</f>
        <v/>
      </c>
      <c r="H190" s="541" t="n"/>
    </row>
    <row r="191">
      <c r="A191" s="40" t="n"/>
      <c r="B191" s="299" t="inlineStr">
        <is>
          <t>180*125 EF TEE</t>
        </is>
      </c>
      <c r="C191" s="40">
        <f>'Material Rates_Master'!B24</f>
        <v/>
      </c>
      <c r="D191" s="484" t="n"/>
      <c r="E191" s="583">
        <f>'Material Rates_Master'!D24*$M$16</f>
        <v/>
      </c>
      <c r="F191" s="583">
        <f>E191*D191</f>
        <v/>
      </c>
      <c r="H191" s="541" t="n"/>
    </row>
    <row r="192">
      <c r="A192" s="40" t="n"/>
      <c r="B192" s="299" t="inlineStr">
        <is>
          <t>200*180 EF Reducer</t>
        </is>
      </c>
      <c r="C192" s="40">
        <f>'Material Rates_Master'!B25</f>
        <v/>
      </c>
      <c r="D192" s="484" t="n"/>
      <c r="E192" s="583">
        <f>'Material Rates_Master'!D25*$M$16</f>
        <v/>
      </c>
      <c r="F192" s="583">
        <f>E192*D192</f>
        <v/>
      </c>
      <c r="H192" s="541" t="n"/>
    </row>
    <row r="193">
      <c r="A193" s="40" t="n"/>
      <c r="B193" s="299" t="inlineStr">
        <is>
          <t>180*125 EF Reducer</t>
        </is>
      </c>
      <c r="C193" s="40">
        <f>'Material Rates_Master'!B26</f>
        <v/>
      </c>
      <c r="D193" s="484" t="n"/>
      <c r="E193" s="583">
        <f>'Material Rates_Master'!D26*$M$16</f>
        <v/>
      </c>
      <c r="F193" s="583">
        <f>E193*D193</f>
        <v/>
      </c>
      <c r="H193" s="541" t="n"/>
    </row>
    <row r="194">
      <c r="A194" s="40" t="n"/>
      <c r="B194" s="299" t="inlineStr">
        <is>
          <t>200PE*8"(200m) - MaxiStub W/Backing Ring</t>
        </is>
      </c>
      <c r="C194" s="40">
        <f>'Material Rates_Master'!B27</f>
        <v/>
      </c>
      <c r="D194" s="484" t="n"/>
      <c r="E194" s="583">
        <f>'Material Rates_Master'!D27*$M$16</f>
        <v/>
      </c>
      <c r="F194" s="583">
        <f>E194*D194</f>
        <v/>
      </c>
      <c r="H194" s="541" t="n"/>
    </row>
    <row r="195">
      <c r="A195" s="40" t="n"/>
      <c r="B195" s="299" t="inlineStr">
        <is>
          <t>180PE*6"(150mm) - MaxiStub W/Backing Ring</t>
        </is>
      </c>
      <c r="C195" s="40">
        <f>'Material Rates_Master'!B28</f>
        <v/>
      </c>
      <c r="D195" s="484" t="n"/>
      <c r="E195" s="583">
        <f>'Material Rates_Master'!D28*$M$16</f>
        <v/>
      </c>
      <c r="F195" s="583">
        <f>E195*D195</f>
        <v/>
      </c>
      <c r="H195" s="541" t="n"/>
    </row>
    <row r="196">
      <c r="A196" s="40" t="n"/>
      <c r="B196" s="299" t="inlineStr">
        <is>
          <t>125PE*4" (100mm) - MaxiStub W/Backing Ring</t>
        </is>
      </c>
      <c r="C196" s="40">
        <f>'Material Rates_Master'!B29</f>
        <v/>
      </c>
      <c r="D196" s="484" t="n"/>
      <c r="E196" s="583">
        <f>'Material Rates_Master'!D29*$M$16</f>
        <v/>
      </c>
      <c r="F196" s="583">
        <f>E196*D196</f>
        <v/>
      </c>
      <c r="H196" s="541" t="n"/>
    </row>
    <row r="197">
      <c r="A197" s="40" t="n"/>
      <c r="B197" s="299" t="inlineStr">
        <is>
          <t xml:space="preserve">180mm PE x 150mm GALV ADAPTER - PLASSON Brand </t>
        </is>
      </c>
      <c r="C197" s="40">
        <f>'Material Rates_Master'!B30</f>
        <v/>
      </c>
      <c r="D197" s="484" t="n"/>
      <c r="E197" s="583">
        <f>'Material Rates_Master'!D30*$M$16</f>
        <v/>
      </c>
      <c r="F197" s="583">
        <f>E197*D197</f>
        <v/>
      </c>
      <c r="H197" s="541" t="n"/>
    </row>
    <row r="198">
      <c r="A198" s="40" t="n"/>
      <c r="B198" s="299" t="inlineStr">
        <is>
          <t xml:space="preserve">125mm PE x 100mm GALV ADAPTER - PLASSON Brand </t>
        </is>
      </c>
      <c r="C198" s="40">
        <f>'Material Rates_Master'!B31</f>
        <v/>
      </c>
      <c r="D198" s="484" t="n">
        <v>1</v>
      </c>
      <c r="E198" s="583">
        <f>'Material Rates_Master'!D31*$M$16</f>
        <v/>
      </c>
      <c r="F198" s="583">
        <f>E198*D198</f>
        <v/>
      </c>
      <c r="H198" s="541" t="n"/>
    </row>
    <row r="199" ht="6" customHeight="1">
      <c r="A199" s="40" t="n"/>
      <c r="B199" s="299" t="n"/>
      <c r="C199" s="40">
        <f>'Material Rates_Master'!B32</f>
        <v/>
      </c>
      <c r="E199" s="583">
        <f>'Material Rates_Master'!D32*$M$16</f>
        <v/>
      </c>
      <c r="F199" s="583">
        <f>E199*D199</f>
        <v/>
      </c>
      <c r="H199" s="541" t="n"/>
    </row>
    <row r="200">
      <c r="A200" s="40" t="n"/>
      <c r="B200" s="1" t="inlineStr">
        <is>
          <t>180mm PE x 150mm GALV ADAPTER</t>
        </is>
      </c>
      <c r="C200" s="40">
        <f>'Material Rates_Master'!B33</f>
        <v/>
      </c>
      <c r="E200" s="583">
        <f>'Material Rates_Master'!D33*$M$16</f>
        <v/>
      </c>
      <c r="F200" s="583">
        <f>E200*D200</f>
        <v/>
      </c>
      <c r="H200" s="541" t="n"/>
    </row>
    <row r="201">
      <c r="A201" s="40" t="n"/>
      <c r="B201" s="1" t="inlineStr">
        <is>
          <t>125mm PE x 100mm GALV ADAPTER</t>
        </is>
      </c>
      <c r="C201" s="40">
        <f>'Material Rates_Master'!B34</f>
        <v/>
      </c>
      <c r="E201" s="583">
        <f>'Material Rates_Master'!D34*$M$16</f>
        <v/>
      </c>
      <c r="F201" s="583">
        <f>E201*D201</f>
        <v/>
      </c>
      <c r="H201" s="541" t="n"/>
    </row>
    <row r="202">
      <c r="A202" s="40" t="n"/>
      <c r="B202" s="299" t="inlineStr">
        <is>
          <t>200 Long SPIG 45DFeg Bend</t>
        </is>
      </c>
      <c r="C202" s="40">
        <f>'Material Rates_Master'!B35</f>
        <v/>
      </c>
      <c r="D202" s="484" t="n"/>
      <c r="E202" s="583">
        <f>'Material Rates_Master'!D35*$M$16</f>
        <v/>
      </c>
      <c r="F202" s="583">
        <f>E202*D202</f>
        <v/>
      </c>
      <c r="H202" s="541" t="n"/>
    </row>
    <row r="203">
      <c r="A203" s="40" t="n"/>
      <c r="B203" s="299" t="inlineStr">
        <is>
          <t>180 Long SPIG 45DFeg Bend</t>
        </is>
      </c>
      <c r="C203" s="40">
        <f>'Material Rates_Master'!B36</f>
        <v/>
      </c>
      <c r="D203" s="484" t="n"/>
      <c r="E203" s="583">
        <f>'Material Rates_Master'!D36*$M$16</f>
        <v/>
      </c>
      <c r="F203" s="583">
        <f>E203*D203</f>
        <v/>
      </c>
      <c r="H203" s="541" t="n"/>
    </row>
    <row r="204">
      <c r="A204" s="40" t="n"/>
      <c r="B204" s="299" t="inlineStr">
        <is>
          <t>125 Long SPIG 45DFeg Bend</t>
        </is>
      </c>
      <c r="C204" s="40">
        <f>'Material Rates_Master'!B37</f>
        <v/>
      </c>
      <c r="D204" s="484" t="n"/>
      <c r="E204" s="583">
        <f>'Material Rates_Master'!D37*$M$16</f>
        <v/>
      </c>
      <c r="F204" s="583">
        <f>E204*D204</f>
        <v/>
      </c>
      <c r="H204" s="541" t="n"/>
    </row>
    <row r="205">
      <c r="A205" s="40" t="n"/>
      <c r="B205" s="299" t="inlineStr">
        <is>
          <t>200 Long SPIG 90DFeg Bend</t>
        </is>
      </c>
      <c r="C205" s="40">
        <f>'Material Rates_Master'!B38</f>
        <v/>
      </c>
      <c r="D205" s="484" t="n"/>
      <c r="E205" s="583">
        <f>'Material Rates_Master'!D38*$M$16</f>
        <v/>
      </c>
      <c r="F205" s="583">
        <f>E205*D205</f>
        <v/>
      </c>
      <c r="H205" s="541" t="n"/>
    </row>
    <row r="206">
      <c r="A206" s="40" t="n"/>
      <c r="B206" s="299" t="inlineStr">
        <is>
          <t>180 Long SPIG 90DFeg Bend</t>
        </is>
      </c>
      <c r="C206" s="40">
        <f>'Material Rates_Master'!B39</f>
        <v/>
      </c>
      <c r="D206" s="484" t="n"/>
      <c r="E206" s="583">
        <f>'Material Rates_Master'!D39*$M$16</f>
        <v/>
      </c>
      <c r="F206" s="583">
        <f>E206*D206</f>
        <v/>
      </c>
      <c r="H206" s="541" t="n"/>
    </row>
    <row r="207">
      <c r="A207" s="40" t="n"/>
      <c r="B207" s="299" t="inlineStr">
        <is>
          <t>125 Long SPIG 90DFeg Bend</t>
        </is>
      </c>
      <c r="C207" s="40">
        <f>'Material Rates_Master'!B40</f>
        <v/>
      </c>
      <c r="D207" s="484" t="n"/>
      <c r="E207" s="583">
        <f>'Material Rates_Master'!D40*$M$16</f>
        <v/>
      </c>
      <c r="F207" s="583">
        <f>E207*D207</f>
        <v/>
      </c>
      <c r="H207" s="541" t="n"/>
    </row>
    <row r="208">
      <c r="A208" s="40" t="n"/>
      <c r="B208" s="299" t="inlineStr">
        <is>
          <t>200 Long SPIG TEE</t>
        </is>
      </c>
      <c r="C208" s="40">
        <f>'Material Rates_Master'!B41</f>
        <v/>
      </c>
      <c r="D208" s="484" t="n"/>
      <c r="E208" s="583">
        <f>'Material Rates_Master'!D41*$M$16</f>
        <v/>
      </c>
      <c r="F208" s="583">
        <f>E208*D208</f>
        <v/>
      </c>
      <c r="H208" s="541" t="n"/>
    </row>
    <row r="209">
      <c r="A209" s="40" t="n"/>
      <c r="B209" s="299" t="inlineStr">
        <is>
          <t>180 Long SPIG TEE</t>
        </is>
      </c>
      <c r="C209" s="40">
        <f>'Material Rates_Master'!B42</f>
        <v/>
      </c>
      <c r="D209" s="484" t="n"/>
      <c r="E209" s="583">
        <f>'Material Rates_Master'!D42*$M$16</f>
        <v/>
      </c>
      <c r="F209" s="583">
        <f>E209*D209</f>
        <v/>
      </c>
      <c r="H209" s="541" t="n"/>
    </row>
    <row r="210">
      <c r="A210" s="40" t="n"/>
      <c r="B210" s="299" t="inlineStr">
        <is>
          <t>125 Long SPIG TEE</t>
        </is>
      </c>
      <c r="C210" s="40">
        <f>'Material Rates_Master'!B43</f>
        <v/>
      </c>
      <c r="D210" s="484" t="n"/>
      <c r="E210" s="583">
        <f>'Material Rates_Master'!D43*$M$16</f>
        <v/>
      </c>
      <c r="F210" s="583">
        <f>E210*D210</f>
        <v/>
      </c>
      <c r="H210" s="541" t="n"/>
    </row>
    <row r="211">
      <c r="A211" s="40" t="n"/>
      <c r="B211" s="299" t="inlineStr">
        <is>
          <t>200*180 Long SPIG TEE</t>
        </is>
      </c>
      <c r="C211" s="40">
        <f>'Material Rates_Master'!B44</f>
        <v/>
      </c>
      <c r="D211" s="484" t="n"/>
      <c r="E211" s="583">
        <f>'Material Rates_Master'!D44*$M$16</f>
        <v/>
      </c>
      <c r="F211" s="583">
        <f>E211*D211</f>
        <v/>
      </c>
      <c r="H211" s="541" t="n"/>
    </row>
    <row r="212">
      <c r="A212" s="40" t="n"/>
      <c r="B212" s="299" t="inlineStr">
        <is>
          <t>200*125 Long SPIG TEE</t>
        </is>
      </c>
      <c r="C212" s="40">
        <f>'Material Rates_Master'!B45</f>
        <v/>
      </c>
      <c r="D212" s="484" t="n"/>
      <c r="E212" s="583">
        <f>'Material Rates_Master'!D45*$M$16</f>
        <v/>
      </c>
      <c r="F212" s="583">
        <f>E212*D212</f>
        <v/>
      </c>
      <c r="H212" s="541" t="n"/>
    </row>
    <row r="213">
      <c r="A213" s="40" t="n"/>
      <c r="B213" s="299" t="inlineStr">
        <is>
          <t>180*125 Long SPIG TEE</t>
        </is>
      </c>
      <c r="C213" s="40">
        <f>'Material Rates_Master'!B46</f>
        <v/>
      </c>
      <c r="D213" s="484" t="n"/>
      <c r="E213" s="583">
        <f>'Material Rates_Master'!D46*$M$16</f>
        <v/>
      </c>
      <c r="F213" s="583">
        <f>E213*D213</f>
        <v/>
      </c>
      <c r="H213" s="541" t="n"/>
    </row>
    <row r="214">
      <c r="A214" s="40" t="n"/>
      <c r="B214" s="299" t="inlineStr">
        <is>
          <t>200*180 Long SPIG Reducer</t>
        </is>
      </c>
      <c r="C214" s="40">
        <f>'Material Rates_Master'!B47</f>
        <v/>
      </c>
      <c r="D214" s="484" t="n"/>
      <c r="E214" s="583">
        <f>'Material Rates_Master'!D47*$M$16</f>
        <v/>
      </c>
      <c r="F214" s="583">
        <f>E214*D214</f>
        <v/>
      </c>
      <c r="H214" s="541" t="n"/>
    </row>
    <row r="215">
      <c r="A215" s="40" t="n"/>
      <c r="B215" s="299" t="inlineStr">
        <is>
          <t>180*125 Long SPIG Reducer</t>
        </is>
      </c>
      <c r="C215" s="40">
        <f>'Material Rates_Master'!B48</f>
        <v/>
      </c>
      <c r="D215" s="484" t="n"/>
      <c r="E215" s="583">
        <f>'Material Rates_Master'!D48*$M$16</f>
        <v/>
      </c>
      <c r="F215" s="583">
        <f>E215*D215</f>
        <v/>
      </c>
      <c r="H215" s="541" t="n"/>
    </row>
    <row r="216" ht="6.6" customHeight="1">
      <c r="A216" s="40" t="n"/>
      <c r="B216" s="299" t="n"/>
      <c r="C216" s="40">
        <f>'Material Rates_Master'!B49</f>
        <v/>
      </c>
      <c r="E216" s="583">
        <f>'Material Rates_Master'!D49</f>
        <v/>
      </c>
      <c r="F216" s="583">
        <f>E216*D216</f>
        <v/>
      </c>
    </row>
    <row r="217">
      <c r="A217" s="40" t="n"/>
      <c r="B217" s="299" t="inlineStr">
        <is>
          <t>200 FL DICL Sluice Valve</t>
        </is>
      </c>
      <c r="C217" s="40">
        <f>'Material Rates_Master'!B50</f>
        <v/>
      </c>
      <c r="D217" s="484" t="n"/>
      <c r="E217" s="583">
        <f>'Material Rates_Master'!D50</f>
        <v/>
      </c>
      <c r="F217" s="583">
        <f>E217*D217</f>
        <v/>
      </c>
    </row>
    <row r="218">
      <c r="A218" s="40" t="n"/>
      <c r="B218" s="299" t="inlineStr">
        <is>
          <t>150 FL DICL Sluice Valve</t>
        </is>
      </c>
      <c r="C218" s="40">
        <f>'Material Rates_Master'!B51</f>
        <v/>
      </c>
      <c r="D218" s="484" t="n"/>
      <c r="E218" s="583">
        <f>'Material Rates_Master'!D51</f>
        <v/>
      </c>
      <c r="F218" s="583">
        <f>E218*D218</f>
        <v/>
      </c>
    </row>
    <row r="219">
      <c r="A219" s="40" t="n"/>
      <c r="B219" s="299" t="inlineStr">
        <is>
          <t>100 FL DICL Sluice Valve</t>
        </is>
      </c>
      <c r="C219" s="40">
        <f>'Material Rates_Master'!B52</f>
        <v/>
      </c>
      <c r="D219" s="484" t="n"/>
      <c r="E219" s="583">
        <f>'Material Rates_Master'!D52</f>
        <v/>
      </c>
      <c r="F219" s="583">
        <f>E219*D219</f>
        <v/>
      </c>
    </row>
    <row r="220">
      <c r="A220" s="40" t="n"/>
      <c r="B220" s="299" t="inlineStr">
        <is>
          <t>Valve Spindle Riser - 600Long</t>
        </is>
      </c>
      <c r="C220" s="40">
        <f>'Material Rates_Master'!B53</f>
        <v/>
      </c>
      <c r="D220" s="484" t="n"/>
      <c r="E220" s="583">
        <f>'Material Rates_Master'!D53</f>
        <v/>
      </c>
      <c r="F220" s="583">
        <f>E220*D220</f>
        <v/>
      </c>
    </row>
    <row r="221">
      <c r="A221" s="40" t="n"/>
      <c r="B221" s="299" t="inlineStr">
        <is>
          <t>Valve Box - Cast Iron Trafficable - Rectangle Type "V"</t>
        </is>
      </c>
      <c r="C221" s="40">
        <f>'Material Rates_Master'!B54</f>
        <v/>
      </c>
      <c r="D221" s="484" t="n"/>
      <c r="E221" s="583">
        <f>'Material Rates_Master'!D54</f>
        <v/>
      </c>
      <c r="F221" s="583">
        <f>E221*D221</f>
        <v/>
      </c>
    </row>
    <row r="222">
      <c r="A222" s="40" t="n"/>
      <c r="B222" s="299" t="inlineStr">
        <is>
          <t>Valve Box - Non-Trafficable - Plastic Surround with CI Drop In "V"</t>
        </is>
      </c>
      <c r="C222" s="40">
        <f>'Material Rates_Master'!B55</f>
        <v/>
      </c>
      <c r="D222" s="484" t="n"/>
      <c r="E222" s="583">
        <f>'Material Rates_Master'!D55</f>
        <v/>
      </c>
      <c r="F222" s="583">
        <f>E222*D222</f>
        <v/>
      </c>
    </row>
    <row r="223" ht="4.95" customHeight="1">
      <c r="A223" s="40" t="n"/>
      <c r="B223" s="299" t="n"/>
      <c r="C223" s="40">
        <f>'Material Rates_Master'!B56</f>
        <v/>
      </c>
      <c r="E223" s="583">
        <f>'Material Rates_Master'!D56</f>
        <v/>
      </c>
      <c r="F223" s="583">
        <f>E223*D223</f>
        <v/>
      </c>
    </row>
    <row r="224">
      <c r="A224" s="40" t="n"/>
      <c r="B224" s="299" t="inlineStr">
        <is>
          <t>200*150mm DICL FL Reducer</t>
        </is>
      </c>
      <c r="C224" s="40">
        <f>'Material Rates_Master'!B57</f>
        <v/>
      </c>
      <c r="D224" s="484" t="n"/>
      <c r="E224" s="583">
        <f>'Material Rates_Master'!D57</f>
        <v/>
      </c>
      <c r="F224" s="583">
        <f>E224*D224</f>
        <v/>
      </c>
    </row>
    <row r="225">
      <c r="A225" s="40" t="n"/>
      <c r="B225" s="299" t="inlineStr">
        <is>
          <t>200*100mm DICL FL Reducer</t>
        </is>
      </c>
      <c r="C225" s="40">
        <f>'Material Rates_Master'!B58</f>
        <v/>
      </c>
      <c r="D225" s="484" t="n"/>
      <c r="E225" s="583">
        <f>'Material Rates_Master'!D58</f>
        <v/>
      </c>
      <c r="F225" s="583">
        <f>E225*D225</f>
        <v/>
      </c>
    </row>
    <row r="226">
      <c r="A226" s="40" t="n"/>
      <c r="B226" s="299" t="inlineStr">
        <is>
          <t>150*100mm DICL FL Reducer</t>
        </is>
      </c>
      <c r="C226" s="40">
        <f>'Material Rates_Master'!B59</f>
        <v/>
      </c>
      <c r="D226" s="484" t="n"/>
      <c r="E226" s="583">
        <f>'Material Rates_Master'!D59</f>
        <v/>
      </c>
      <c r="F226" s="583">
        <f>E226*D226</f>
        <v/>
      </c>
    </row>
    <row r="227">
      <c r="A227" s="40" t="n"/>
      <c r="B227" s="299" t="inlineStr">
        <is>
          <t>150mm DICL FL * SP Adapter</t>
        </is>
      </c>
      <c r="C227" s="40">
        <f>'Material Rates_Master'!B60</f>
        <v/>
      </c>
      <c r="D227" s="484" t="n"/>
      <c r="E227" s="583">
        <f>'Material Rates_Master'!D60</f>
        <v/>
      </c>
      <c r="F227" s="583">
        <f>E227*D227</f>
        <v/>
      </c>
    </row>
    <row r="228">
      <c r="A228" s="40" t="n"/>
      <c r="B228" s="299" t="inlineStr">
        <is>
          <t>100mm DICL FL * SP Adapter</t>
        </is>
      </c>
      <c r="C228" s="40">
        <f>'Material Rates_Master'!B61</f>
        <v/>
      </c>
      <c r="D228" s="484" t="n"/>
      <c r="E228" s="583">
        <f>'Material Rates_Master'!D61</f>
        <v/>
      </c>
      <c r="F228" s="583">
        <f>E228*D228</f>
        <v/>
      </c>
    </row>
    <row r="229">
      <c r="A229" s="40" t="n"/>
      <c r="B229" s="299" t="inlineStr">
        <is>
          <t>200mm DICL FL 90Deg Bend</t>
        </is>
      </c>
      <c r="C229" s="40">
        <f>'Material Rates_Master'!B62</f>
        <v/>
      </c>
      <c r="D229" s="484" t="n"/>
      <c r="E229" s="583">
        <f>'Material Rates_Master'!D62</f>
        <v/>
      </c>
      <c r="F229" s="583">
        <f>E229*D229</f>
        <v/>
      </c>
    </row>
    <row r="230">
      <c r="A230" s="40" t="n"/>
      <c r="B230" s="299" t="inlineStr">
        <is>
          <t>150mm DICL FL 90Deg Bend</t>
        </is>
      </c>
      <c r="C230" s="40">
        <f>'Material Rates_Master'!B63</f>
        <v/>
      </c>
      <c r="D230" s="484" t="n"/>
      <c r="E230" s="583">
        <f>'Material Rates_Master'!D63</f>
        <v/>
      </c>
      <c r="F230" s="583">
        <f>E230*D230</f>
        <v/>
      </c>
    </row>
    <row r="231">
      <c r="A231" s="40" t="n"/>
      <c r="B231" s="299" t="inlineStr">
        <is>
          <t>100mm DICL FL 90Deg Bend</t>
        </is>
      </c>
      <c r="C231" s="40">
        <f>'Material Rates_Master'!B64</f>
        <v/>
      </c>
      <c r="D231" s="484" t="n"/>
      <c r="E231" s="583">
        <f>'Material Rates_Master'!D64</f>
        <v/>
      </c>
      <c r="F231" s="583">
        <f>E231*D231</f>
        <v/>
      </c>
    </row>
    <row r="232">
      <c r="A232" s="40" t="n"/>
      <c r="B232" s="299" t="inlineStr">
        <is>
          <t>200mm DICL FL TEE</t>
        </is>
      </c>
      <c r="C232" s="40">
        <f>'Material Rates_Master'!B65</f>
        <v/>
      </c>
      <c r="D232" s="484" t="n"/>
      <c r="E232" s="583">
        <f>'Material Rates_Master'!D65</f>
        <v/>
      </c>
      <c r="F232" s="583">
        <f>E232*D232</f>
        <v/>
      </c>
    </row>
    <row r="233">
      <c r="A233" s="40" t="n"/>
      <c r="B233" s="299" t="inlineStr">
        <is>
          <t>150mm DICL FL TEE</t>
        </is>
      </c>
      <c r="C233" s="40">
        <f>'Material Rates_Master'!B66</f>
        <v/>
      </c>
      <c r="D233" s="484" t="n"/>
      <c r="E233" s="583">
        <f>'Material Rates_Master'!D66</f>
        <v/>
      </c>
      <c r="F233" s="583">
        <f>E233*D233</f>
        <v/>
      </c>
    </row>
    <row r="234">
      <c r="A234" s="40" t="n"/>
      <c r="B234" s="299" t="inlineStr">
        <is>
          <t>100mm DICL FL TEE</t>
        </is>
      </c>
      <c r="C234" s="40">
        <f>'Material Rates_Master'!B67</f>
        <v/>
      </c>
      <c r="D234" s="484" t="n"/>
      <c r="E234" s="583">
        <f>'Material Rates_Master'!D67</f>
        <v/>
      </c>
      <c r="F234" s="583">
        <f>E234*D234</f>
        <v/>
      </c>
    </row>
    <row r="235">
      <c r="A235" s="40" t="n"/>
      <c r="B235" s="299" t="inlineStr">
        <is>
          <t>200*150*200 DICL FL TEE</t>
        </is>
      </c>
      <c r="C235" s="40">
        <f>'Material Rates_Master'!B68</f>
        <v/>
      </c>
      <c r="D235" s="484" t="n"/>
      <c r="E235" s="583">
        <f>'Material Rates_Master'!D68</f>
        <v/>
      </c>
      <c r="F235" s="583">
        <f>E235*D235</f>
        <v/>
      </c>
    </row>
    <row r="236">
      <c r="A236" s="40" t="n"/>
      <c r="B236" s="299" t="inlineStr">
        <is>
          <t>200*100*200 DICL FL TEE</t>
        </is>
      </c>
      <c r="C236" s="40">
        <f>'Material Rates_Master'!B69</f>
        <v/>
      </c>
      <c r="D236" s="484" t="n"/>
      <c r="E236" s="583">
        <f>'Material Rates_Master'!D69</f>
        <v/>
      </c>
      <c r="F236" s="583">
        <f>E236*D236</f>
        <v/>
      </c>
    </row>
    <row r="237">
      <c r="A237" s="40" t="n"/>
      <c r="B237" s="299" t="inlineStr">
        <is>
          <t>150-100-150 DICL FL TEE</t>
        </is>
      </c>
      <c r="C237" s="40">
        <f>'Material Rates_Master'!B70</f>
        <v/>
      </c>
      <c r="D237" s="484" t="n"/>
      <c r="E237" s="583">
        <f>'Material Rates_Master'!D70</f>
        <v/>
      </c>
      <c r="F237" s="583">
        <f>E237*D237</f>
        <v/>
      </c>
    </row>
    <row r="238">
      <c r="A238" s="40" t="n"/>
      <c r="B238" s="299" t="inlineStr">
        <is>
          <t>200mm DICL FL Pipe @ 1000</t>
        </is>
      </c>
      <c r="C238" s="40">
        <f>'Material Rates_Master'!B71</f>
        <v/>
      </c>
      <c r="D238" s="484" t="n"/>
      <c r="E238" s="583">
        <f>'Material Rates_Master'!D71</f>
        <v/>
      </c>
      <c r="F238" s="583">
        <f>E238*D238</f>
        <v/>
      </c>
    </row>
    <row r="239">
      <c r="A239" s="40" t="n"/>
      <c r="B239" s="299" t="inlineStr">
        <is>
          <t>200mm DICL FL Pipe @ 600</t>
        </is>
      </c>
      <c r="C239" s="40">
        <f>'Material Rates_Master'!B72</f>
        <v/>
      </c>
      <c r="D239" s="484" t="n"/>
      <c r="E239" s="583">
        <f>'Material Rates_Master'!D72</f>
        <v/>
      </c>
      <c r="F239" s="583">
        <f>E239*D239</f>
        <v/>
      </c>
    </row>
    <row r="240">
      <c r="A240" s="40" t="n"/>
      <c r="B240" s="299" t="inlineStr">
        <is>
          <t>200mm DICL FL Pipe @ 300</t>
        </is>
      </c>
      <c r="C240" s="40">
        <f>'Material Rates_Master'!B73</f>
        <v/>
      </c>
      <c r="D240" s="484" t="n"/>
      <c r="E240" s="583">
        <f>'Material Rates_Master'!D73</f>
        <v/>
      </c>
      <c r="F240" s="583">
        <f>E240*D240</f>
        <v/>
      </c>
    </row>
    <row r="241">
      <c r="A241" s="40" t="n"/>
      <c r="B241" s="299" t="inlineStr">
        <is>
          <t>150mm DICL FL Pipe @ 1000</t>
        </is>
      </c>
      <c r="C241" s="40">
        <f>'Material Rates_Master'!B74</f>
        <v/>
      </c>
      <c r="D241" s="484" t="n"/>
      <c r="E241" s="583">
        <f>'Material Rates_Master'!D74</f>
        <v/>
      </c>
      <c r="F241" s="583">
        <f>E241*D241</f>
        <v/>
      </c>
    </row>
    <row r="242">
      <c r="A242" s="40" t="n"/>
      <c r="B242" s="299" t="inlineStr">
        <is>
          <t>150mm DICL FL Pipe @ 600</t>
        </is>
      </c>
      <c r="C242" s="40">
        <f>'Material Rates_Master'!B75</f>
        <v/>
      </c>
      <c r="D242" s="484" t="n"/>
      <c r="E242" s="583">
        <f>'Material Rates_Master'!D75</f>
        <v/>
      </c>
      <c r="F242" s="583">
        <f>E242*D242</f>
        <v/>
      </c>
    </row>
    <row r="243">
      <c r="A243" s="40" t="n"/>
      <c r="B243" s="299" t="inlineStr">
        <is>
          <t>150mm DICL FL Pipe @ 450</t>
        </is>
      </c>
      <c r="C243" s="40">
        <f>'Material Rates_Master'!B76</f>
        <v/>
      </c>
      <c r="D243" s="484" t="n"/>
      <c r="E243" s="583">
        <f>'Material Rates_Master'!D76</f>
        <v/>
      </c>
      <c r="F243" s="583">
        <f>E243*D243</f>
        <v/>
      </c>
    </row>
    <row r="244">
      <c r="A244" s="40" t="n"/>
      <c r="B244" s="299" t="inlineStr">
        <is>
          <t>150mm DICL FL Pipe @ 300</t>
        </is>
      </c>
      <c r="C244" s="40">
        <f>'Material Rates_Master'!B77</f>
        <v/>
      </c>
      <c r="D244" s="484" t="n"/>
      <c r="E244" s="583">
        <f>'Material Rates_Master'!D77</f>
        <v/>
      </c>
      <c r="F244" s="583">
        <f>E244*D244</f>
        <v/>
      </c>
    </row>
    <row r="245">
      <c r="A245" s="40" t="n"/>
      <c r="B245" s="299" t="inlineStr">
        <is>
          <t>100mm DICL FL Pipe @ 1000</t>
        </is>
      </c>
      <c r="C245" s="40">
        <f>'Material Rates_Master'!B78</f>
        <v/>
      </c>
      <c r="D245" s="484" t="n"/>
      <c r="E245" s="583">
        <f>'Material Rates_Master'!D78</f>
        <v/>
      </c>
      <c r="F245" s="583">
        <f>E245*D245</f>
        <v/>
      </c>
    </row>
    <row r="246">
      <c r="A246" s="40" t="n"/>
      <c r="B246" s="299" t="inlineStr">
        <is>
          <t>100mm DICL FL Pipe @ 600</t>
        </is>
      </c>
      <c r="C246" s="40">
        <f>'Material Rates_Master'!B79</f>
        <v/>
      </c>
      <c r="D246" s="484" t="n"/>
      <c r="E246" s="583">
        <f>'Material Rates_Master'!D79</f>
        <v/>
      </c>
      <c r="F246" s="583">
        <f>E246*D246</f>
        <v/>
      </c>
    </row>
    <row r="247">
      <c r="A247" s="40" t="n"/>
      <c r="B247" s="299" t="inlineStr">
        <is>
          <t>100mm DICL FL Pipe @ 450</t>
        </is>
      </c>
      <c r="C247" s="40">
        <f>'Material Rates_Master'!B80</f>
        <v/>
      </c>
      <c r="D247" s="484" t="n"/>
      <c r="E247" s="583">
        <f>'Material Rates_Master'!D80</f>
        <v/>
      </c>
      <c r="F247" s="583">
        <f>E247*D247</f>
        <v/>
      </c>
    </row>
    <row r="248">
      <c r="A248" s="40" t="n"/>
      <c r="B248" s="299" t="inlineStr">
        <is>
          <t>100mm DICL FL Pipe @ 300</t>
        </is>
      </c>
      <c r="C248" s="40">
        <f>'Material Rates_Master'!B81</f>
        <v/>
      </c>
      <c r="D248" s="484" t="n"/>
      <c r="E248" s="583">
        <f>'Material Rates_Master'!D81</f>
        <v/>
      </c>
      <c r="F248" s="583">
        <f>E248*D248</f>
        <v/>
      </c>
    </row>
    <row r="249">
      <c r="A249" s="40" t="n"/>
      <c r="B249" s="299" t="inlineStr">
        <is>
          <t>150mm DICL FL Deadplate</t>
        </is>
      </c>
      <c r="C249" s="40">
        <f>'Material Rates_Master'!B82</f>
        <v/>
      </c>
      <c r="D249" s="484" t="n"/>
      <c r="E249" s="583">
        <f>'Material Rates_Master'!D82</f>
        <v/>
      </c>
      <c r="F249" s="583">
        <f>E249*D249</f>
        <v/>
      </c>
    </row>
    <row r="250">
      <c r="A250" s="40" t="n"/>
      <c r="B250" s="299" t="inlineStr">
        <is>
          <t xml:space="preserve">100mm DICL FL Deadplate </t>
        </is>
      </c>
      <c r="C250" s="40">
        <f>'Material Rates_Master'!B83</f>
        <v/>
      </c>
      <c r="D250" s="484" t="n"/>
      <c r="E250" s="583">
        <f>'Material Rates_Master'!D83</f>
        <v/>
      </c>
      <c r="F250" s="583">
        <f>E250*D250</f>
        <v/>
      </c>
    </row>
    <row r="251" ht="6.6" customHeight="1">
      <c r="A251" s="40" t="n"/>
      <c r="B251" s="299" t="n"/>
      <c r="C251" s="40">
        <f>'Material Rates_Master'!B84</f>
        <v/>
      </c>
      <c r="E251" s="583">
        <f>'Material Rates_Master'!D84</f>
        <v/>
      </c>
      <c r="F251" s="583">
        <f>E251*D251</f>
        <v/>
      </c>
    </row>
    <row r="252">
      <c r="A252" s="40" t="n"/>
      <c r="B252" s="299" t="inlineStr">
        <is>
          <t>200mm PE*DI Gasket Kit Complete</t>
        </is>
      </c>
      <c r="C252" s="40">
        <f>'Material Rates_Master'!B85</f>
        <v/>
      </c>
      <c r="D252" s="484" t="n"/>
      <c r="E252" s="583">
        <f>'Material Rates_Master'!D85</f>
        <v/>
      </c>
      <c r="F252" s="583">
        <f>E252*D252</f>
        <v/>
      </c>
    </row>
    <row r="253">
      <c r="A253" s="40" t="n"/>
      <c r="B253" s="299" t="inlineStr">
        <is>
          <t>200mm DI*DI Gasket Kit Complete</t>
        </is>
      </c>
      <c r="C253" s="40">
        <f>'Material Rates_Master'!B86</f>
        <v/>
      </c>
      <c r="D253" s="484" t="n"/>
      <c r="E253" s="583">
        <f>'Material Rates_Master'!D86</f>
        <v/>
      </c>
      <c r="F253" s="583">
        <f>E253*D253</f>
        <v/>
      </c>
    </row>
    <row r="254">
      <c r="A254" s="40" t="n"/>
      <c r="B254" s="299" t="inlineStr">
        <is>
          <t>150mm PE*DI Gasket Kit Complete</t>
        </is>
      </c>
      <c r="C254" s="40">
        <f>'Material Rates_Master'!B87</f>
        <v/>
      </c>
      <c r="D254" s="484" t="n"/>
      <c r="E254" s="583">
        <f>'Material Rates_Master'!D87</f>
        <v/>
      </c>
      <c r="F254" s="583">
        <f>E254*D254</f>
        <v/>
      </c>
    </row>
    <row r="255">
      <c r="A255" s="40" t="n"/>
      <c r="B255" s="299" t="inlineStr">
        <is>
          <t>150mm DI*DI Gasket Kit Complete</t>
        </is>
      </c>
      <c r="C255" s="40">
        <f>'Material Rates_Master'!B88</f>
        <v/>
      </c>
      <c r="D255" s="484" t="n"/>
      <c r="E255" s="583">
        <f>'Material Rates_Master'!D88</f>
        <v/>
      </c>
      <c r="F255" s="583">
        <f>E255*D255</f>
        <v/>
      </c>
    </row>
    <row r="256">
      <c r="A256" s="40" t="n"/>
      <c r="B256" s="299" t="inlineStr">
        <is>
          <t>100mm PE*DI Gasket Kit Complete</t>
        </is>
      </c>
      <c r="C256" s="40">
        <f>'Material Rates_Master'!B89</f>
        <v/>
      </c>
      <c r="D256" s="484" t="n"/>
      <c r="E256" s="583">
        <f>'Material Rates_Master'!D89</f>
        <v/>
      </c>
      <c r="F256" s="583">
        <f>E256*D256</f>
        <v/>
      </c>
    </row>
    <row r="257">
      <c r="A257" s="40" t="n"/>
      <c r="B257" s="299" t="inlineStr">
        <is>
          <t>100mm DI*DI Gasket Kit Complete</t>
        </is>
      </c>
      <c r="C257" s="40">
        <f>'Material Rates_Master'!B90</f>
        <v/>
      </c>
      <c r="D257" s="484" t="n"/>
      <c r="E257" s="583">
        <f>'Material Rates_Master'!D90</f>
        <v/>
      </c>
      <c r="F257" s="583">
        <f>E257*D257</f>
        <v/>
      </c>
    </row>
    <row r="258" ht="6.6" customHeight="1">
      <c r="A258" s="40" t="n"/>
      <c r="B258" s="299" t="n"/>
      <c r="C258" s="40">
        <f>'Material Rates_Master'!B91</f>
        <v/>
      </c>
      <c r="E258" s="583">
        <f>'Material Rates_Master'!D91</f>
        <v/>
      </c>
      <c r="F258" s="583">
        <f>E258*D258</f>
        <v/>
      </c>
    </row>
    <row r="259">
      <c r="A259" s="40" t="n"/>
      <c r="B259" s="299" t="inlineStr">
        <is>
          <t>150mm SS Gibault Adapter Coupling</t>
        </is>
      </c>
      <c r="C259" s="40">
        <f>'Material Rates_Master'!B92</f>
        <v/>
      </c>
      <c r="D259" s="484" t="n"/>
      <c r="E259" s="583">
        <f>'Material Rates_Master'!D92</f>
        <v/>
      </c>
      <c r="F259" s="583">
        <f>E259*D259</f>
        <v/>
      </c>
    </row>
    <row r="260">
      <c r="A260" s="40" t="n"/>
      <c r="B260" s="299" t="inlineStr">
        <is>
          <t>100mm SS Gibault Adapter Coupling</t>
        </is>
      </c>
      <c r="C260" s="40">
        <f>'Material Rates_Master'!B93</f>
        <v/>
      </c>
      <c r="D260" s="484" t="n"/>
      <c r="E260" s="583">
        <f>'Material Rates_Master'!D93</f>
        <v/>
      </c>
      <c r="F260" s="583">
        <f>E260*D260</f>
        <v/>
      </c>
    </row>
    <row r="261">
      <c r="A261" s="40" t="n"/>
      <c r="B261" s="299" t="inlineStr">
        <is>
          <t>180mm PE GRIPPER Adapter Coupling</t>
        </is>
      </c>
      <c r="C261" s="40">
        <f>'Material Rates_Master'!B94</f>
        <v/>
      </c>
      <c r="D261" s="484" t="n"/>
      <c r="E261" s="583">
        <f>'Material Rates_Master'!D94</f>
        <v/>
      </c>
      <c r="F261" s="583">
        <f>E261*D261</f>
        <v/>
      </c>
    </row>
    <row r="262">
      <c r="A262" s="40" t="n"/>
      <c r="B262" s="299" t="inlineStr">
        <is>
          <t>125mm PE GRIPPER Adapter Coupling</t>
        </is>
      </c>
      <c r="C262" s="40">
        <f>'Material Rates_Master'!B95</f>
        <v/>
      </c>
      <c r="D262" s="484" t="n"/>
      <c r="E262" s="583">
        <f>'Material Rates_Master'!D95</f>
        <v/>
      </c>
      <c r="F262" s="583">
        <f>E262*D262</f>
        <v/>
      </c>
    </row>
    <row r="263">
      <c r="A263" s="40" t="n"/>
      <c r="B263" s="299" t="inlineStr">
        <is>
          <t>180mm PE GRIPPER * 150FL Adapter Coupling</t>
        </is>
      </c>
      <c r="C263" s="40">
        <f>'Material Rates_Master'!B96</f>
        <v/>
      </c>
      <c r="D263" s="484" t="n"/>
      <c r="E263" s="583">
        <f>'Material Rates_Master'!D96</f>
        <v/>
      </c>
      <c r="F263" s="583">
        <f>E263*D263</f>
        <v/>
      </c>
    </row>
    <row r="264">
      <c r="A264" s="40" t="n"/>
      <c r="B264" s="299" t="inlineStr">
        <is>
          <t>125mm PE GRIPPER * 100FL Adapter Coupling</t>
        </is>
      </c>
      <c r="C264" s="40">
        <f>'Material Rates_Master'!B97</f>
        <v/>
      </c>
      <c r="D264" s="484" t="n"/>
      <c r="E264" s="583">
        <f>'Material Rates_Master'!D97</f>
        <v/>
      </c>
      <c r="F264" s="583">
        <f>E264*D264</f>
        <v/>
      </c>
    </row>
    <row r="265">
      <c r="A265" s="40" t="n"/>
      <c r="B265" s="299" t="inlineStr">
        <is>
          <t>180mm PE GRIPPER Sluice Valve</t>
        </is>
      </c>
      <c r="C265" s="40">
        <f>'Material Rates_Master'!B98</f>
        <v/>
      </c>
      <c r="D265" s="484" t="n"/>
      <c r="E265" s="583">
        <f>'Material Rates_Master'!D98</f>
        <v/>
      </c>
      <c r="F265" s="583">
        <f>E265*D265</f>
        <v/>
      </c>
    </row>
    <row r="266">
      <c r="A266" s="40" t="n"/>
      <c r="B266" s="299" t="inlineStr">
        <is>
          <t>125mm PE GRIPPER Sluice Valve</t>
        </is>
      </c>
      <c r="C266" s="40">
        <f>'Material Rates_Master'!B99</f>
        <v/>
      </c>
      <c r="D266" s="484" t="n"/>
      <c r="E266" s="583">
        <f>'Material Rates_Master'!D99</f>
        <v/>
      </c>
      <c r="F266" s="583">
        <f>E266*D266</f>
        <v/>
      </c>
    </row>
    <row r="267" ht="6.6" customHeight="1">
      <c r="A267" s="40" t="n"/>
      <c r="B267" s="299" t="n"/>
      <c r="C267" s="40">
        <f>'Material Rates_Master'!B100</f>
        <v/>
      </c>
      <c r="E267" s="583">
        <f>'Material Rates_Master'!D100</f>
        <v/>
      </c>
      <c r="F267" s="583">
        <f>E267*D267</f>
        <v/>
      </c>
    </row>
    <row r="268">
      <c r="A268" s="40" t="n"/>
      <c r="B268" s="299" t="inlineStr">
        <is>
          <t>Detectable Tape - Fire x 250m</t>
        </is>
      </c>
      <c r="C268" s="40">
        <f>'Material Rates_Master'!B101</f>
        <v/>
      </c>
      <c r="D268" s="484" t="n"/>
      <c r="E268" s="583">
        <f>'Material Rates_Master'!D101</f>
        <v/>
      </c>
      <c r="F268" s="583">
        <f>E268*D268</f>
        <v/>
      </c>
    </row>
    <row r="269">
      <c r="A269" s="40" t="n"/>
      <c r="B269" s="299" t="inlineStr">
        <is>
          <t>Alcohol Weld Wipes</t>
        </is>
      </c>
      <c r="C269" s="40">
        <f>'Material Rates_Master'!B102</f>
        <v/>
      </c>
      <c r="D269" s="484" t="n"/>
      <c r="E269" s="583">
        <f>'Material Rates_Master'!D102</f>
        <v/>
      </c>
      <c r="F269" s="583">
        <f>E269*D269</f>
        <v/>
      </c>
    </row>
    <row r="270">
      <c r="A270" s="40" t="n"/>
      <c r="B270" s="299" t="inlineStr">
        <is>
          <t>Denzo Tape 100mm roll</t>
        </is>
      </c>
      <c r="C270" s="40">
        <f>'Material Rates_Master'!B103</f>
        <v/>
      </c>
      <c r="D270" s="484" t="n"/>
      <c r="E270" s="583">
        <f>'Material Rates_Master'!D103</f>
        <v/>
      </c>
      <c r="F270" s="583">
        <f>E270*D270</f>
        <v/>
      </c>
    </row>
    <row r="271">
      <c r="A271" s="40" t="n"/>
      <c r="B271" s="299" t="inlineStr">
        <is>
          <t>Black over-wrap tape - roll</t>
        </is>
      </c>
      <c r="C271" s="40">
        <f>'Material Rates_Master'!B104</f>
        <v/>
      </c>
      <c r="D271" s="484" t="n"/>
      <c r="E271" s="583">
        <f>'Material Rates_Master'!D104</f>
        <v/>
      </c>
      <c r="F271" s="583">
        <f>E271*D271</f>
        <v/>
      </c>
    </row>
    <row r="272">
      <c r="A272" s="40" t="n"/>
      <c r="B272" s="299" t="n"/>
      <c r="E272" s="583" t="n"/>
      <c r="F272" s="583">
        <f>E272*D272</f>
        <v/>
      </c>
    </row>
    <row r="273">
      <c r="A273" s="40" t="n"/>
      <c r="B273" s="331" t="inlineStr">
        <is>
          <t>FIRE SERVICES - ABOVE GROUND</t>
        </is>
      </c>
      <c r="E273" s="583" t="n"/>
      <c r="F273" s="583">
        <f>E273*D273</f>
        <v/>
      </c>
    </row>
    <row r="274">
      <c r="A274" s="40" t="n"/>
      <c r="B274" s="300" t="inlineStr">
        <is>
          <t>Description</t>
        </is>
      </c>
      <c r="C274" s="40">
        <f>'Material Rates_Master'!B107</f>
        <v/>
      </c>
      <c r="E274" s="583" t="n"/>
      <c r="F274" s="583" t="n"/>
    </row>
    <row r="275">
      <c r="A275" s="40" t="n"/>
      <c r="B275" s="299" t="inlineStr">
        <is>
          <t>150mm MED DUTY Galv Pipe</t>
        </is>
      </c>
      <c r="C275" s="40">
        <f>'Material Rates_Master'!B108</f>
        <v/>
      </c>
      <c r="D275" s="37" t="n"/>
      <c r="E275" s="583">
        <f>'Material Rates_Master'!D108</f>
        <v/>
      </c>
      <c r="F275" s="583">
        <f>E275*D275</f>
        <v/>
      </c>
    </row>
    <row r="276">
      <c r="A276" s="40" t="n"/>
      <c r="B276" s="299" t="inlineStr">
        <is>
          <t>100mm MED DUTY Galv Pipe w/RG Ends</t>
        </is>
      </c>
      <c r="C276" s="40">
        <f>'Material Rates_Master'!B109</f>
        <v/>
      </c>
      <c r="D276" s="37" t="n"/>
      <c r="E276" s="583">
        <f>'Material Rates_Master'!D109</f>
        <v/>
      </c>
      <c r="F276" s="583">
        <f>E276*D276</f>
        <v/>
      </c>
    </row>
    <row r="277">
      <c r="A277" s="40" t="n"/>
      <c r="B277" s="299" t="inlineStr">
        <is>
          <t>100mm Class B Copper Pipe</t>
        </is>
      </c>
      <c r="C277" s="40">
        <f>'Material Rates_Master'!B110</f>
        <v/>
      </c>
      <c r="D277" s="37" t="n"/>
      <c r="E277" s="583">
        <f>'Material Rates_Master'!D110</f>
        <v/>
      </c>
      <c r="F277" s="583">
        <f>E277*D277</f>
        <v/>
      </c>
    </row>
    <row r="278">
      <c r="A278" s="40" t="n"/>
      <c r="B278" s="299" t="inlineStr">
        <is>
          <t>25mm Class B Copper Pipe</t>
        </is>
      </c>
      <c r="C278" s="40">
        <f>'Material Rates_Master'!B111</f>
        <v/>
      </c>
      <c r="D278" s="37" t="n"/>
      <c r="E278" s="583">
        <f>'Material Rates_Master'!D111</f>
        <v/>
      </c>
      <c r="F278" s="583">
        <f>E278*D278</f>
        <v/>
      </c>
    </row>
    <row r="279" ht="8.25" customHeight="1">
      <c r="A279" s="40" t="n"/>
      <c r="B279" s="299" t="n"/>
      <c r="C279" s="40">
        <f>'Material Rates_Master'!B112</f>
        <v/>
      </c>
      <c r="D279" s="37" t="n"/>
      <c r="E279" s="583">
        <f>'Material Rates_Master'!D112</f>
        <v/>
      </c>
      <c r="F279" s="583">
        <f>E279*D279</f>
        <v/>
      </c>
    </row>
    <row r="280">
      <c r="A280" s="40" t="n"/>
      <c r="B280" s="299" t="inlineStr">
        <is>
          <t>150mm Galv RG Coupling</t>
        </is>
      </c>
      <c r="C280" s="40">
        <f>'Material Rates_Master'!B113</f>
        <v/>
      </c>
      <c r="D280" s="37" t="n"/>
      <c r="E280" s="583">
        <f>'Material Rates_Master'!D113</f>
        <v/>
      </c>
      <c r="F280" s="583">
        <f>E280*D280</f>
        <v/>
      </c>
    </row>
    <row r="281">
      <c r="A281" s="40" t="n"/>
      <c r="B281" s="299" t="inlineStr">
        <is>
          <t>100mm Galv RG Coupling</t>
        </is>
      </c>
      <c r="C281" s="40">
        <f>'Material Rates_Master'!B114</f>
        <v/>
      </c>
      <c r="D281" s="37" t="n"/>
      <c r="E281" s="583">
        <f>'Material Rates_Master'!D114</f>
        <v/>
      </c>
      <c r="F281" s="583">
        <f>E281*D281</f>
        <v/>
      </c>
    </row>
    <row r="282">
      <c r="A282" s="40" t="n"/>
      <c r="B282" s="299" t="inlineStr">
        <is>
          <t>150mm Galv RG TEE</t>
        </is>
      </c>
      <c r="C282" s="40">
        <f>'Material Rates_Master'!B115</f>
        <v/>
      </c>
      <c r="D282" s="37" t="n"/>
      <c r="E282" s="583">
        <f>'Material Rates_Master'!D115</f>
        <v/>
      </c>
      <c r="F282" s="583">
        <f>E282*D282</f>
        <v/>
      </c>
    </row>
    <row r="283">
      <c r="A283" s="40" t="n"/>
      <c r="B283" s="299" t="inlineStr">
        <is>
          <t>100mm Galv RG TEE</t>
        </is>
      </c>
      <c r="C283" s="40">
        <f>'Material Rates_Master'!B116</f>
        <v/>
      </c>
      <c r="D283" s="37" t="n"/>
      <c r="E283" s="583">
        <f>'Material Rates_Master'!D116</f>
        <v/>
      </c>
      <c r="F283" s="583">
        <f>E283*D283</f>
        <v/>
      </c>
    </row>
    <row r="284">
      <c r="A284" s="40" t="n"/>
      <c r="B284" s="299" t="inlineStr">
        <is>
          <t>150mm Galv RG BEND 90Deg</t>
        </is>
      </c>
      <c r="C284" s="40">
        <f>'Material Rates_Master'!B117</f>
        <v/>
      </c>
      <c r="D284" s="37" t="n"/>
      <c r="E284" s="583">
        <f>'Material Rates_Master'!D117</f>
        <v/>
      </c>
      <c r="F284" s="583">
        <f>E284*D284</f>
        <v/>
      </c>
    </row>
    <row r="285">
      <c r="A285" s="40" t="n"/>
      <c r="B285" s="299" t="inlineStr">
        <is>
          <t>100mm Galv RG BEND 90Deg</t>
        </is>
      </c>
      <c r="C285" s="40">
        <f>'Material Rates_Master'!B118</f>
        <v/>
      </c>
      <c r="D285" s="37" t="n"/>
      <c r="E285" s="583">
        <f>'Material Rates_Master'!D118</f>
        <v/>
      </c>
      <c r="F285" s="583">
        <f>E285*D285</f>
        <v/>
      </c>
    </row>
    <row r="286">
      <c r="A286" s="40" t="n"/>
      <c r="B286" s="299" t="inlineStr">
        <is>
          <t>150mm Galv RG BEND 45Deg</t>
        </is>
      </c>
      <c r="C286" s="40">
        <f>'Material Rates_Master'!B119</f>
        <v/>
      </c>
      <c r="D286" s="37" t="n"/>
      <c r="E286" s="583">
        <f>'Material Rates_Master'!D119</f>
        <v/>
      </c>
      <c r="F286" s="583">
        <f>E286*D286</f>
        <v/>
      </c>
    </row>
    <row r="287">
      <c r="A287" s="40" t="n"/>
      <c r="B287" s="299" t="inlineStr">
        <is>
          <t>100mm Galv RG BEND 45Deg</t>
        </is>
      </c>
      <c r="C287" s="40">
        <f>'Material Rates_Master'!B120</f>
        <v/>
      </c>
      <c r="D287" s="37" t="n"/>
      <c r="E287" s="583">
        <f>'Material Rates_Master'!D120</f>
        <v/>
      </c>
      <c r="F287" s="583">
        <f>E287*D287</f>
        <v/>
      </c>
    </row>
    <row r="288">
      <c r="A288" s="40" t="n"/>
      <c r="B288" s="299" t="inlineStr">
        <is>
          <t>150mm Galv RG x 100mm FLANGE Adapt</t>
        </is>
      </c>
      <c r="C288" s="40">
        <f>'Material Rates_Master'!B121</f>
        <v/>
      </c>
      <c r="D288" s="37" t="n"/>
      <c r="E288" s="583">
        <f>'Material Rates_Master'!D121</f>
        <v/>
      </c>
      <c r="F288" s="583">
        <f>E288*D288</f>
        <v/>
      </c>
    </row>
    <row r="289">
      <c r="A289" s="40" t="n"/>
      <c r="B289" s="299" t="inlineStr">
        <is>
          <t>100mm Galv RG x 100mm FLANGE Adapt</t>
        </is>
      </c>
      <c r="C289" s="40">
        <f>'Material Rates_Master'!B122</f>
        <v/>
      </c>
      <c r="D289" s="37" t="n"/>
      <c r="E289" s="583">
        <f>'Material Rates_Master'!D122</f>
        <v/>
      </c>
      <c r="F289" s="583">
        <f>E289*D289</f>
        <v/>
      </c>
    </row>
    <row r="290">
      <c r="A290" s="40" t="n"/>
      <c r="B290" s="299" t="inlineStr">
        <is>
          <t>150mm RG Butterfly Valve Geared Wheel</t>
        </is>
      </c>
      <c r="C290" s="40">
        <f>'Material Rates_Master'!B123</f>
        <v/>
      </c>
      <c r="D290" s="37" t="n"/>
      <c r="E290" s="583">
        <f>'Material Rates_Master'!D123</f>
        <v/>
      </c>
      <c r="F290" s="583">
        <f>E290*D290</f>
        <v/>
      </c>
    </row>
    <row r="291">
      <c r="A291" s="40" t="n"/>
      <c r="B291" s="299" t="inlineStr">
        <is>
          <t>100mm RG Butterfly Valve Geared Wheel</t>
        </is>
      </c>
      <c r="C291" s="40">
        <f>'Material Rates_Master'!B124</f>
        <v/>
      </c>
      <c r="D291" s="37" t="n"/>
      <c r="E291" s="583">
        <f>'Material Rates_Master'!D124</f>
        <v/>
      </c>
      <c r="F291" s="583">
        <f>E291*D291</f>
        <v/>
      </c>
    </row>
    <row r="292" ht="5.55" customHeight="1">
      <c r="A292" s="40" t="n"/>
      <c r="B292" s="299" t="n"/>
      <c r="C292" s="40">
        <f>'Material Rates_Master'!B125</f>
        <v/>
      </c>
      <c r="D292" s="37" t="n"/>
      <c r="E292" s="583">
        <f>'Material Rates_Master'!D125</f>
        <v/>
      </c>
      <c r="F292" s="583">
        <f>E292*D292</f>
        <v/>
      </c>
    </row>
    <row r="293">
      <c r="A293" s="40" t="n"/>
      <c r="B293" s="299" t="inlineStr">
        <is>
          <t>150mm H-Pattern Booster Assembly Complete</t>
        </is>
      </c>
      <c r="C293" s="40">
        <f>'Material Rates_Master'!B126</f>
        <v/>
      </c>
      <c r="D293" s="37" t="n">
        <v>1</v>
      </c>
      <c r="E293" s="583">
        <f>'Material Rates_Master'!D126</f>
        <v/>
      </c>
      <c r="F293" s="583">
        <f>E293*D293</f>
        <v/>
      </c>
    </row>
    <row r="294">
      <c r="A294" s="40" t="n"/>
      <c r="B294" s="299" t="inlineStr">
        <is>
          <t>Booster Cabinet - Compl with doors and stickers</t>
        </is>
      </c>
      <c r="C294" s="40">
        <f>'Material Rates_Master'!B127</f>
        <v/>
      </c>
      <c r="D294" s="37" t="n">
        <v>1</v>
      </c>
      <c r="E294" s="583">
        <f>'Material Rates_Master'!D127</f>
        <v/>
      </c>
      <c r="F294" s="583">
        <f>E294*D294</f>
        <v/>
      </c>
    </row>
    <row r="295" ht="6.6" customHeight="1">
      <c r="A295" s="40" t="n"/>
      <c r="B295" s="299" t="n"/>
      <c r="C295" s="40">
        <f>'Material Rates_Master'!B128</f>
        <v/>
      </c>
      <c r="D295" s="37" t="n"/>
      <c r="E295" s="583">
        <f>'Material Rates_Master'!D128</f>
        <v/>
      </c>
      <c r="F295" s="583">
        <f>E295*D295</f>
        <v/>
      </c>
    </row>
    <row r="296">
      <c r="A296" s="40" t="n"/>
      <c r="B296" s="299" t="inlineStr">
        <is>
          <t>100mm Dual Pillar Hydrant Complete_ Flanged Base 1500 High w/landing Valves</t>
        </is>
      </c>
      <c r="C296" s="40">
        <f>'Material Rates_Master'!B129</f>
        <v/>
      </c>
      <c r="D296" s="484" t="n">
        <v>1</v>
      </c>
      <c r="E296" s="583">
        <f>'Material Rates_Master'!D129</f>
        <v/>
      </c>
      <c r="F296" s="583">
        <f>E296*D296</f>
        <v/>
      </c>
    </row>
    <row r="297">
      <c r="A297" s="40" t="n"/>
      <c r="B297" s="299" t="inlineStr">
        <is>
          <t>100mm Dual Pillar Hydrant Complete_ RG Base 1500 High w/landing Valves_OPTION</t>
        </is>
      </c>
      <c r="C297" s="40">
        <f>'Material Rates_Master'!B130</f>
        <v/>
      </c>
      <c r="D297" s="484" t="n"/>
      <c r="E297" s="583">
        <f>'Material Rates_Master'!D130</f>
        <v/>
      </c>
      <c r="F297" s="583">
        <f>E297*D297</f>
        <v/>
      </c>
    </row>
    <row r="298">
      <c r="A298" s="40" t="n"/>
      <c r="B298" s="299" t="inlineStr">
        <is>
          <t xml:space="preserve">65mm RG Landing Valve </t>
        </is>
      </c>
      <c r="C298" s="40">
        <f>'Material Rates_Master'!B131</f>
        <v/>
      </c>
      <c r="D298" s="484" t="n"/>
      <c r="E298" s="583">
        <f>'Material Rates_Master'!D131</f>
        <v/>
      </c>
      <c r="F298" s="583">
        <f>E298*D298</f>
        <v/>
      </c>
    </row>
    <row r="299">
      <c r="A299" s="40" t="n"/>
      <c r="B299" s="299" t="inlineStr">
        <is>
          <t>Red caps and chain - suit 65mm QLD Landing valve</t>
        </is>
      </c>
      <c r="C299" s="40">
        <f>'Material Rates_Master'!B132</f>
        <v/>
      </c>
      <c r="D299" s="484" t="n"/>
      <c r="E299" s="583">
        <f>'Material Rates_Master'!D132</f>
        <v/>
      </c>
      <c r="F299" s="583">
        <f>E299*D299</f>
        <v/>
      </c>
    </row>
    <row r="300">
      <c r="A300" s="40" t="n"/>
      <c r="B300" s="299" t="inlineStr">
        <is>
          <t>36m Fire Hose Reel w/25mm isolation valve</t>
        </is>
      </c>
      <c r="C300" s="40">
        <f>'Material Rates_Master'!B133</f>
        <v/>
      </c>
      <c r="D300" s="484" t="n"/>
      <c r="E300" s="583">
        <f>'Material Rates_Master'!D133</f>
        <v/>
      </c>
      <c r="F300" s="583">
        <f>E300*D300</f>
        <v/>
      </c>
    </row>
    <row r="301">
      <c r="A301" s="40" t="n"/>
      <c r="B301" s="299" t="inlineStr">
        <is>
          <t>25mm Isolation Ball Valve (for fire hose reel) valve only, with hose nozzle latch</t>
        </is>
      </c>
      <c r="C301" s="40">
        <f>'Material Rates_Master'!B134</f>
        <v/>
      </c>
      <c r="D301" s="484" t="n"/>
      <c r="E301" s="583">
        <f>'Material Rates_Master'!D134</f>
        <v/>
      </c>
      <c r="F301" s="583">
        <f>E301*D301</f>
        <v/>
      </c>
    </row>
    <row r="302" ht="6.6" customHeight="1">
      <c r="A302" s="40" t="n"/>
      <c r="B302" s="299" t="n"/>
      <c r="C302" s="40">
        <f>'Material Rates_Master'!B135</f>
        <v/>
      </c>
      <c r="D302" s="37" t="n"/>
      <c r="E302" s="583">
        <f>'Material Rates_Master'!D135</f>
        <v/>
      </c>
      <c r="F302" s="583">
        <f>E302*D302</f>
        <v/>
      </c>
    </row>
    <row r="303">
      <c r="A303" s="40" t="n"/>
      <c r="B303" s="299" t="inlineStr">
        <is>
          <t>150mm FL Testable Double Check Valve - Compl. w/Valves</t>
        </is>
      </c>
      <c r="C303" s="40">
        <f>'Material Rates_Master'!B136</f>
        <v/>
      </c>
      <c r="D303" s="37" t="n"/>
      <c r="E303" s="583">
        <f>'Material Rates_Master'!D136</f>
        <v/>
      </c>
      <c r="F303" s="583">
        <f>E303*D303</f>
        <v/>
      </c>
    </row>
    <row r="304">
      <c r="A304" s="40" t="n"/>
      <c r="B304" s="299" t="inlineStr">
        <is>
          <t>150mm FL RPZD Valve - Compl. w/Valves</t>
        </is>
      </c>
      <c r="C304" s="40">
        <f>'Material Rates_Master'!B137</f>
        <v/>
      </c>
      <c r="D304" s="37" t="n"/>
      <c r="E304" s="583">
        <f>'Material Rates_Master'!D137</f>
        <v/>
      </c>
      <c r="F304" s="583">
        <f>E304*D304</f>
        <v/>
      </c>
    </row>
    <row r="305" ht="7.2" customHeight="1">
      <c r="A305" s="40" t="n"/>
      <c r="B305" s="299" t="n"/>
      <c r="C305" s="40">
        <f>'Material Rates_Master'!B138</f>
        <v/>
      </c>
      <c r="D305" s="37" t="n"/>
      <c r="E305" s="583">
        <f>'Material Rates_Master'!D138</f>
        <v/>
      </c>
      <c r="F305" s="583">
        <f>E305*D305</f>
        <v/>
      </c>
    </row>
    <row r="306">
      <c r="A306" s="40" t="n"/>
      <c r="B306" s="299" t="inlineStr">
        <is>
          <t>100mm FL Levered Butterfly Vlave</t>
        </is>
      </c>
      <c r="C306" s="40">
        <f>'Material Rates_Master'!B139</f>
        <v/>
      </c>
      <c r="D306" s="37" t="n"/>
      <c r="E306" s="583">
        <f>'Material Rates_Master'!D139</f>
        <v/>
      </c>
      <c r="F306" s="583">
        <f>E306*D306</f>
        <v/>
      </c>
    </row>
    <row r="307">
      <c r="A307" s="40" t="n"/>
      <c r="B307" s="299" t="inlineStr">
        <is>
          <t xml:space="preserve">100mm Cu Copper Pipe </t>
        </is>
      </c>
      <c r="C307" s="40" t="inlineStr">
        <is>
          <t>m</t>
        </is>
      </c>
      <c r="D307" s="37" t="n"/>
      <c r="E307" s="583">
        <f>736/6</f>
        <v/>
      </c>
      <c r="F307" s="583">
        <f>E307*D307</f>
        <v/>
      </c>
    </row>
    <row r="308">
      <c r="A308" s="40" t="n"/>
      <c r="B308" s="299" t="inlineStr">
        <is>
          <t>100mm Copper Crimp - TEE</t>
        </is>
      </c>
      <c r="C308" s="40">
        <f>'Material Rates_Master'!B140</f>
        <v/>
      </c>
      <c r="D308" s="37" t="n"/>
      <c r="E308" s="583">
        <f>'Material Rates_Master'!D140</f>
        <v/>
      </c>
      <c r="F308" s="583">
        <f>E308*D308</f>
        <v/>
      </c>
    </row>
    <row r="309">
      <c r="A309" s="40" t="n"/>
      <c r="B309" s="299" t="inlineStr">
        <is>
          <t>100mm Copper Crimp - 90Deg Bend</t>
        </is>
      </c>
      <c r="C309" s="40">
        <f>'Material Rates_Master'!B141</f>
        <v/>
      </c>
      <c r="D309" s="37" t="n"/>
      <c r="E309" s="583" t="n">
        <v>155.6</v>
      </c>
      <c r="F309" s="583">
        <f>E309*D309</f>
        <v/>
      </c>
    </row>
    <row r="310">
      <c r="A310" s="40" t="n"/>
      <c r="B310" s="299" t="inlineStr">
        <is>
          <t>100mm Copper Crimp - 45Deg Bend</t>
        </is>
      </c>
      <c r="C310" s="40">
        <f>'Material Rates_Master'!B142</f>
        <v/>
      </c>
      <c r="D310" s="37" t="n"/>
      <c r="E310" s="583">
        <f>'Material Rates_Master'!D142</f>
        <v/>
      </c>
      <c r="F310" s="583">
        <f>E310*D310</f>
        <v/>
      </c>
    </row>
    <row r="311">
      <c r="A311" s="40" t="n"/>
      <c r="B311" s="299" t="inlineStr">
        <is>
          <t>100mm Copper Crimp - Straight Socket</t>
        </is>
      </c>
      <c r="C311" s="40">
        <f>'Material Rates_Master'!B143</f>
        <v/>
      </c>
      <c r="D311" s="37" t="n"/>
      <c r="E311" s="583">
        <f>'Material Rates_Master'!D143</f>
        <v/>
      </c>
      <c r="F311" s="583">
        <f>E311*D311</f>
        <v/>
      </c>
    </row>
    <row r="312">
      <c r="A312" s="40" t="n"/>
      <c r="B312" s="299" t="inlineStr">
        <is>
          <t>100mm Copper Crimp - 100mm FL Adapter</t>
        </is>
      </c>
      <c r="C312" s="40">
        <f>'Material Rates_Master'!B144</f>
        <v/>
      </c>
      <c r="D312" s="37" t="n"/>
      <c r="E312" s="583">
        <f>'Material Rates_Master'!D144</f>
        <v/>
      </c>
      <c r="F312" s="583">
        <f>E312*D312</f>
        <v/>
      </c>
    </row>
    <row r="313">
      <c r="A313" s="40" t="n"/>
      <c r="B313" s="299" t="inlineStr">
        <is>
          <t>80mm Copper Crimp - TEE</t>
        </is>
      </c>
      <c r="C313" s="40">
        <f>'Material Rates_Master'!B145</f>
        <v/>
      </c>
      <c r="D313" s="37" t="n"/>
      <c r="E313" s="583">
        <f>'Material Rates_Master'!D145</f>
        <v/>
      </c>
      <c r="F313" s="583">
        <f>E313*D313</f>
        <v/>
      </c>
    </row>
    <row r="314">
      <c r="A314" s="40" t="n"/>
      <c r="B314" s="299" t="inlineStr">
        <is>
          <t>100mm*80mm Copper Crimp - REDUCER</t>
        </is>
      </c>
      <c r="C314" s="40">
        <f>'Material Rates_Master'!B146</f>
        <v/>
      </c>
      <c r="D314" s="37" t="n"/>
      <c r="E314" s="583">
        <f>'Material Rates_Master'!D146</f>
        <v/>
      </c>
      <c r="F314" s="583">
        <f>E314*D314</f>
        <v/>
      </c>
    </row>
    <row r="315" ht="7.2" customHeight="1">
      <c r="A315" s="40" t="n"/>
      <c r="B315" s="299" t="n"/>
      <c r="C315" s="40">
        <f>'Material Rates_Master'!B147</f>
        <v/>
      </c>
      <c r="D315" s="484" t="n"/>
      <c r="E315" s="583">
        <f>'Material Rates_Master'!D147</f>
        <v/>
      </c>
      <c r="F315" s="583">
        <f>E315*D315</f>
        <v/>
      </c>
    </row>
    <row r="316">
      <c r="A316" s="40" t="n"/>
      <c r="B316" s="299" t="inlineStr">
        <is>
          <t>32mm Fi Lockable Ball Valve</t>
        </is>
      </c>
      <c r="C316" s="40">
        <f>'Material Rates_Master'!B148</f>
        <v/>
      </c>
      <c r="D316" s="484" t="n"/>
      <c r="E316" s="583">
        <f>'Material Rates_Master'!D148</f>
        <v/>
      </c>
      <c r="F316" s="583">
        <f>E316*D316</f>
        <v/>
      </c>
    </row>
    <row r="317">
      <c r="A317" s="40" t="n"/>
      <c r="B317" s="299" t="inlineStr">
        <is>
          <t>32mm Cu Crimp * 32mi Adapt</t>
        </is>
      </c>
      <c r="C317" s="40">
        <f>'Material Rates_Master'!B149</f>
        <v/>
      </c>
      <c r="D317" s="484" t="n"/>
      <c r="E317" s="583">
        <f>'Material Rates_Master'!D149</f>
        <v/>
      </c>
      <c r="F317" s="583">
        <f>E317*D317</f>
        <v/>
      </c>
    </row>
    <row r="318">
      <c r="A318" s="40" t="n"/>
      <c r="B318" s="299" t="inlineStr">
        <is>
          <t>32mm Cu Crimp Coupling Straight</t>
        </is>
      </c>
      <c r="C318" s="40">
        <f>'Material Rates_Master'!B150</f>
        <v/>
      </c>
      <c r="D318" s="484" t="n"/>
      <c r="E318" s="583">
        <f>'Material Rates_Master'!D150</f>
        <v/>
      </c>
      <c r="F318" s="583">
        <f>E318*D318</f>
        <v/>
      </c>
    </row>
    <row r="319">
      <c r="A319" s="40" t="n"/>
      <c r="B319" s="299" t="inlineStr">
        <is>
          <t>32mm Cu Crimp 90Deg Bend</t>
        </is>
      </c>
      <c r="C319" s="40">
        <f>'Material Rates_Master'!B151</f>
        <v/>
      </c>
      <c r="D319" s="484" t="n"/>
      <c r="E319" s="583">
        <f>'Material Rates_Master'!D151</f>
        <v/>
      </c>
      <c r="F319" s="583">
        <f>E319*D319</f>
        <v/>
      </c>
    </row>
    <row r="320">
      <c r="A320" s="40" t="n"/>
      <c r="B320" s="299" t="inlineStr">
        <is>
          <t>32mm Cu Crimp 45Deg Bend</t>
        </is>
      </c>
      <c r="C320" s="40">
        <f>'Material Rates_Master'!B152</f>
        <v/>
      </c>
      <c r="D320" s="484" t="n"/>
      <c r="E320" s="583">
        <f>'Material Rates_Master'!D152</f>
        <v/>
      </c>
      <c r="F320" s="583">
        <f>E320*D320</f>
        <v/>
      </c>
    </row>
    <row r="321">
      <c r="A321" s="40" t="n"/>
      <c r="B321" s="299" t="inlineStr">
        <is>
          <t>32mm*25mm Cu Crimp Reducer</t>
        </is>
      </c>
      <c r="C321" s="40">
        <f>'Material Rates_Master'!B153</f>
        <v/>
      </c>
      <c r="D321" s="484" t="n"/>
      <c r="E321" s="583">
        <f>'Material Rates_Master'!D153</f>
        <v/>
      </c>
      <c r="F321" s="583">
        <f>E321*D321</f>
        <v/>
      </c>
    </row>
    <row r="322">
      <c r="A322" s="40" t="n"/>
      <c r="B322" s="299" t="inlineStr">
        <is>
          <t>25mm Fi Lockable Ball Valve</t>
        </is>
      </c>
      <c r="C322" s="40">
        <f>'Material Rates_Master'!B154</f>
        <v/>
      </c>
      <c r="D322" s="484" t="n"/>
      <c r="E322" s="583">
        <f>'Material Rates_Master'!D154</f>
        <v/>
      </c>
      <c r="F322" s="583">
        <f>E322*D322</f>
        <v/>
      </c>
    </row>
    <row r="323">
      <c r="A323" s="40" t="n"/>
      <c r="B323" s="299" t="inlineStr">
        <is>
          <t>25mm Cu Crimp * 25mi Adapt</t>
        </is>
      </c>
      <c r="C323" s="40">
        <f>'Material Rates_Master'!B155</f>
        <v/>
      </c>
      <c r="D323" s="484" t="n"/>
      <c r="E323" s="583">
        <f>'Material Rates_Master'!D155</f>
        <v/>
      </c>
      <c r="F323" s="583">
        <f>E323*D323</f>
        <v/>
      </c>
    </row>
    <row r="324">
      <c r="A324" s="40" t="n"/>
      <c r="B324" s="299" t="inlineStr">
        <is>
          <t>25mm Cu Crimp Coupling Straight</t>
        </is>
      </c>
      <c r="C324" s="40">
        <f>'Material Rates_Master'!B156</f>
        <v/>
      </c>
      <c r="D324" s="484" t="n"/>
      <c r="E324" s="583">
        <f>'Material Rates_Master'!D156</f>
        <v/>
      </c>
      <c r="F324" s="583">
        <f>E324*D324</f>
        <v/>
      </c>
    </row>
    <row r="325">
      <c r="A325" s="40" t="n"/>
      <c r="B325" s="299" t="inlineStr">
        <is>
          <t>25mm Cu Crimp 90Deg Bend</t>
        </is>
      </c>
      <c r="C325" s="40">
        <f>'Material Rates_Master'!B157</f>
        <v/>
      </c>
      <c r="D325" s="484" t="n"/>
      <c r="E325" s="583">
        <f>'Material Rates_Master'!D157</f>
        <v/>
      </c>
      <c r="F325" s="583">
        <f>E325*D325</f>
        <v/>
      </c>
    </row>
    <row r="326">
      <c r="A326" s="40" t="n"/>
      <c r="B326" s="299" t="inlineStr">
        <is>
          <t>25mm Cu Crimp 45Deg Bend</t>
        </is>
      </c>
      <c r="C326" s="40">
        <f>'Material Rates_Master'!B158</f>
        <v/>
      </c>
      <c r="D326" s="484" t="n"/>
      <c r="E326" s="583">
        <f>'Material Rates_Master'!D158</f>
        <v/>
      </c>
      <c r="F326" s="583">
        <f>E326*D326</f>
        <v/>
      </c>
    </row>
    <row r="327" ht="9" customHeight="1">
      <c r="A327" s="40" t="n"/>
      <c r="B327" s="299" t="n"/>
      <c r="C327" s="40">
        <f>'Material Rates_Master'!B159</f>
        <v/>
      </c>
      <c r="D327" s="484" t="n"/>
      <c r="E327" s="583">
        <f>'Material Rates_Master'!D159</f>
        <v/>
      </c>
      <c r="F327" s="583">
        <f>E327*D327</f>
        <v/>
      </c>
    </row>
    <row r="328">
      <c r="A328" s="40" t="n"/>
      <c r="B328" s="299" t="inlineStr">
        <is>
          <t>150mm Galv 2 Piece Weld-nut Bracket M12</t>
        </is>
      </c>
      <c r="C328" s="40">
        <f>'Material Rates_Master'!B160</f>
        <v/>
      </c>
      <c r="D328" s="37" t="n"/>
      <c r="E328" s="583">
        <f>'Material Rates_Master'!D160</f>
        <v/>
      </c>
      <c r="F328" s="583">
        <f>E328*D328</f>
        <v/>
      </c>
    </row>
    <row r="329">
      <c r="A329" s="40" t="n"/>
      <c r="B329" s="299" t="inlineStr">
        <is>
          <t>100mm Galv 2 Piece Weld-nut Bracket M12</t>
        </is>
      </c>
      <c r="C329" s="40">
        <f>'Material Rates_Master'!B161</f>
        <v/>
      </c>
      <c r="D329" s="37" t="n"/>
      <c r="E329" s="583">
        <f>'Material Rates_Master'!D161</f>
        <v/>
      </c>
      <c r="F329" s="583">
        <f>E329*D329</f>
        <v/>
      </c>
    </row>
    <row r="330">
      <c r="A330" s="40" t="n"/>
      <c r="B330" s="299" t="inlineStr">
        <is>
          <t>150 Galv 2 Piece Channel Clip</t>
        </is>
      </c>
      <c r="C330" s="40">
        <f>'Material Rates_Master'!B162</f>
        <v/>
      </c>
      <c r="D330" s="37" t="n"/>
      <c r="E330" s="583">
        <f>'Material Rates_Master'!D162</f>
        <v/>
      </c>
      <c r="F330" s="583">
        <f>E330*D330</f>
        <v/>
      </c>
    </row>
    <row r="331">
      <c r="A331" s="40" t="n"/>
      <c r="B331" s="299" t="inlineStr">
        <is>
          <t>100 Galv 2 Piece Channel Clip</t>
        </is>
      </c>
      <c r="C331" s="40">
        <f>'Material Rates_Master'!B163</f>
        <v/>
      </c>
      <c r="D331" s="37" t="n"/>
      <c r="E331" s="583">
        <f>'Material Rates_Master'!D163</f>
        <v/>
      </c>
      <c r="F331" s="583">
        <f>E331*D331</f>
        <v/>
      </c>
    </row>
    <row r="332">
      <c r="A332" s="40" t="n"/>
      <c r="B332" s="299" t="inlineStr">
        <is>
          <t>12mm Galv Threaded Rod</t>
        </is>
      </c>
      <c r="C332" s="40">
        <f>'Material Rates_Master'!B164</f>
        <v/>
      </c>
      <c r="D332" s="37" t="n"/>
      <c r="E332" s="583">
        <f>'Material Rates_Master'!D164</f>
        <v/>
      </c>
      <c r="F332" s="583">
        <f>E332*D332</f>
        <v/>
      </c>
    </row>
    <row r="333">
      <c r="A333" s="40" t="n"/>
      <c r="B333" s="299" t="inlineStr">
        <is>
          <t>Galv Braced Counter Lever Bracket - 450Long</t>
        </is>
      </c>
      <c r="C333" s="40">
        <f>'Material Rates_Master'!B165</f>
        <v/>
      </c>
      <c r="D333" s="37" t="n"/>
      <c r="E333" s="583">
        <f>'Material Rates_Master'!D165</f>
        <v/>
      </c>
      <c r="F333" s="583">
        <f>E333*D333</f>
        <v/>
      </c>
    </row>
    <row r="334">
      <c r="A334" s="40" t="n"/>
      <c r="B334" s="299" t="inlineStr">
        <is>
          <t>003 Padlock</t>
        </is>
      </c>
      <c r="C334" s="40">
        <f>'Material Rates_Master'!B166</f>
        <v/>
      </c>
      <c r="D334" s="37" t="n"/>
      <c r="E334" s="583">
        <f>'Material Rates_Master'!D166</f>
        <v/>
      </c>
      <c r="F334" s="583">
        <f>E334*D334</f>
        <v/>
      </c>
    </row>
    <row r="335">
      <c r="A335" s="40" t="n"/>
      <c r="B335" s="299" t="inlineStr">
        <is>
          <t>100mm DI*DI Gasket Kit Complete</t>
        </is>
      </c>
      <c r="C335" s="40">
        <f>'Material Rates_Master'!B167</f>
        <v/>
      </c>
      <c r="D335" s="37" t="n"/>
      <c r="E335" s="583">
        <f>'Material Rates_Master'!D167</f>
        <v/>
      </c>
      <c r="F335" s="583">
        <f>E335*D335</f>
        <v/>
      </c>
    </row>
    <row r="336" ht="10.95" customHeight="1">
      <c r="A336" s="40" t="n"/>
      <c r="B336" s="299" t="n"/>
      <c r="D336" s="37" t="n"/>
      <c r="E336" s="583" t="n"/>
      <c r="F336" s="583" t="n"/>
    </row>
    <row r="337">
      <c r="A337" s="40" t="n"/>
      <c r="B337" s="331" t="inlineStr">
        <is>
          <t xml:space="preserve">FIRE SERVICES - Misc. </t>
        </is>
      </c>
      <c r="D337" s="37" t="n"/>
      <c r="E337" s="583" t="n"/>
      <c r="F337" s="583" t="n"/>
    </row>
    <row r="338" ht="14.55" customHeight="1">
      <c r="A338" s="40" t="n"/>
      <c r="B338" s="300" t="inlineStr">
        <is>
          <t>Description</t>
        </is>
      </c>
      <c r="D338" s="37" t="n"/>
      <c r="E338" s="583" t="n"/>
      <c r="F338" s="583" t="n"/>
    </row>
    <row r="339">
      <c r="A339" s="40" t="n"/>
      <c r="B339" s="299" t="inlineStr">
        <is>
          <t>Decommisioning Material</t>
        </is>
      </c>
      <c r="C339" s="40">
        <f>'Material Rates_Master'!B171</f>
        <v/>
      </c>
      <c r="D339" s="37" t="n"/>
      <c r="E339" s="583" t="n">
        <v>1388</v>
      </c>
      <c r="F339" s="583">
        <f>E339*D339</f>
        <v/>
      </c>
    </row>
    <row r="340">
      <c r="A340" s="40" t="n"/>
      <c r="B340" s="299" t="inlineStr">
        <is>
          <t>Electrofusion PE Welder 25-250mmPE. Please detail Spec</t>
        </is>
      </c>
      <c r="C340" s="40">
        <f>'Material Rates_Master'!B172</f>
        <v/>
      </c>
      <c r="D340" s="37" t="n"/>
      <c r="E340" s="583">
        <f>'Material Rates_Master'!D172</f>
        <v/>
      </c>
      <c r="F340" s="583">
        <f>E340*D340</f>
        <v/>
      </c>
    </row>
    <row r="341">
      <c r="A341" s="40" t="n"/>
      <c r="B341" s="299" t="inlineStr">
        <is>
          <t>PE Butt Welder. Automatic. 125-250mmPE. Please detail Spec - HIRE</t>
        </is>
      </c>
      <c r="C341" s="40" t="inlineStr">
        <is>
          <t>WEEK</t>
        </is>
      </c>
      <c r="D341" s="37" t="n"/>
      <c r="E341" s="583" t="n">
        <v>450</v>
      </c>
      <c r="F341" s="583">
        <f>E341*D341</f>
        <v/>
      </c>
    </row>
    <row r="342">
      <c r="A342" s="40" t="n"/>
      <c r="B342" s="299" t="inlineStr">
        <is>
          <t>Hand Roll Groover. 65-150mm.</t>
        </is>
      </c>
      <c r="C342" s="40">
        <f>'Material Rates_Master'!B174</f>
        <v/>
      </c>
      <c r="D342" s="37" t="n"/>
      <c r="E342" s="583">
        <f>'Material Rates_Master'!D174</f>
        <v/>
      </c>
      <c r="F342" s="583">
        <f>E342*D342</f>
        <v/>
      </c>
    </row>
    <row r="343">
      <c r="A343" s="40" t="n"/>
      <c r="B343" s="299" t="inlineStr">
        <is>
          <t>Delivery - To Rockhampton PIPE LENGTHS as quoted</t>
        </is>
      </c>
      <c r="C343" s="40">
        <f>'Material Rates_Master'!B175</f>
        <v/>
      </c>
      <c r="D343" s="37" t="n"/>
      <c r="E343" s="583">
        <f>'Material Rates_Master'!D175</f>
        <v/>
      </c>
      <c r="F343" s="583">
        <f>E343*D343</f>
        <v/>
      </c>
    </row>
    <row r="344">
      <c r="A344" s="40" t="n"/>
      <c r="B344" s="299" t="inlineStr">
        <is>
          <t>Delivery - To Rockhampton Standard/Palletised items</t>
        </is>
      </c>
      <c r="C344" s="40">
        <f>'Material Rates_Master'!B176</f>
        <v/>
      </c>
      <c r="D344" s="37" t="n"/>
      <c r="E344" s="583">
        <f>'Material Rates_Master'!D176</f>
        <v/>
      </c>
      <c r="F344" s="583">
        <f>E344*D344</f>
        <v/>
      </c>
    </row>
    <row r="345">
      <c r="E345" s="583" t="n"/>
      <c r="F345" s="583" t="n"/>
    </row>
    <row r="346" ht="14.4" customFormat="1" customHeight="1" s="40">
      <c r="A346" s="323" t="n"/>
      <c r="B346" s="324" t="inlineStr">
        <is>
          <t>POTABLE WATER_MAINS &amp; R'Ins</t>
        </is>
      </c>
      <c r="C346" s="42" t="n"/>
      <c r="D346" s="42" t="n"/>
      <c r="E346" s="583" t="n"/>
      <c r="F346" s="583" t="n"/>
    </row>
    <row r="347" ht="14.4" customFormat="1" customHeight="1" s="40">
      <c r="A347" s="323" t="n"/>
      <c r="B347" s="326" t="inlineStr">
        <is>
          <t>Description</t>
        </is>
      </c>
      <c r="C347" s="42" t="n"/>
      <c r="D347" s="42" t="n"/>
      <c r="E347" s="583" t="n"/>
      <c r="F347" s="583" t="n"/>
    </row>
    <row r="348" ht="14.4" customFormat="1" customHeight="1" s="40">
      <c r="A348" s="323" t="n"/>
      <c r="B348" s="323" t="n"/>
      <c r="C348" s="42" t="n"/>
      <c r="D348" s="42" t="n"/>
      <c r="E348" s="583" t="n"/>
      <c r="F348" s="583" t="n"/>
    </row>
    <row r="349" ht="14.4" customFormat="1" customHeight="1" s="40">
      <c r="A349" s="323" t="n"/>
      <c r="B349" s="448" t="inlineStr">
        <is>
          <t>O200 ID HDPE PE100 SDR11 DN250 potable main (BASE OFFER per SS5.5)</t>
        </is>
      </c>
      <c r="C349" s="449" t="inlineStr">
        <is>
          <t>m</t>
        </is>
      </c>
      <c r="D349" s="449" t="n">
        <v>134.63</v>
      </c>
      <c r="E349" s="608">
        <f>124.4333*$M$16</f>
        <v/>
      </c>
      <c r="F349" s="608">
        <f>E349*D349</f>
        <v/>
      </c>
      <c r="G349" t="n">
        <v>135</v>
      </c>
      <c r="H349" s="540" t="inlineStr">
        <is>
          <t>ADOPTED 134.63 m (vector-verified). RE-RATED: base offer O200 ID HDPE PE100 SDR11 DN250 per locked SS5.5 / VOL38 s10.1 equivalence (Opens #12)</t>
        </is>
      </c>
      <c r="I349" s="540" t="inlineStr">
        <is>
          <t>BENCHMARK-DERIVED PENDING RFQ (Gap #5): Reece Q-459014437 (NAS, Jul-26) PE100 PN16 125 @ $186.65/6m = $31.1083/m x (250/125)^2 weight ratio = $124.4333/m; x1.38 PE escalation-to-2027 applied once via $M$16 (source pre-escalation per KeyRates). Copper build-up (134.63 m @ $2,015/6m Tradelink 6595064) retained as ALTERNATE - see EBC_Alternates; copper tapping-cluster fittings remain in base per adopted counts.</t>
        </is>
      </c>
    </row>
    <row r="350" ht="14.4" customFormat="1" customHeight="1" s="40">
      <c r="A350" s="323" t="n"/>
      <c r="B350" s="446" t="inlineStr">
        <is>
          <t>200mm copper tee</t>
        </is>
      </c>
      <c r="C350" s="42" t="inlineStr">
        <is>
          <t>ea</t>
        </is>
      </c>
      <c r="D350" s="42" t="n">
        <v>2</v>
      </c>
      <c r="E350" s="583" t="n">
        <v>390</v>
      </c>
      <c r="F350" s="583">
        <f>E350*D350</f>
        <v/>
      </c>
    </row>
    <row r="351" ht="14.4" customFormat="1" customHeight="1" s="40">
      <c r="A351" s="323" t="n"/>
      <c r="B351" s="446" t="inlineStr">
        <is>
          <t>200mm copper 90 deg bend</t>
        </is>
      </c>
      <c r="C351" s="42" t="inlineStr">
        <is>
          <t>ea</t>
        </is>
      </c>
      <c r="D351" s="42" t="n">
        <v>1</v>
      </c>
      <c r="E351" s="583" t="n">
        <v>420</v>
      </c>
      <c r="F351" s="583">
        <f>E351*D351</f>
        <v/>
      </c>
    </row>
    <row r="352" ht="14.4" customFormat="1" customHeight="1" s="40">
      <c r="A352" s="323" t="n"/>
      <c r="B352" s="448" t="inlineStr">
        <is>
          <t>200mm copper connection point</t>
        </is>
      </c>
      <c r="C352" s="449" t="inlineStr">
        <is>
          <t>ea</t>
        </is>
      </c>
      <c r="D352" s="449" t="n">
        <v>1</v>
      </c>
      <c r="E352" s="608" t="n">
        <v>800</v>
      </c>
      <c r="F352" s="608">
        <f>E352*D352</f>
        <v/>
      </c>
    </row>
    <row r="353" ht="14.4" customFormat="1" customHeight="1" s="40">
      <c r="A353" s="323" t="n"/>
      <c r="B353" s="323" t="inlineStr">
        <is>
          <t>125 HDPE PN16 SDR11 - BLUELINE</t>
        </is>
      </c>
      <c r="C353" s="327" t="inlineStr">
        <is>
          <t>m</t>
        </is>
      </c>
      <c r="D353" s="40" t="n">
        <v>236.88</v>
      </c>
      <c r="E353" s="605" t="n">
        <v>34.5</v>
      </c>
      <c r="F353" s="583">
        <f>E353*D353</f>
        <v/>
      </c>
      <c r="G353" t="n">
        <v>237</v>
      </c>
      <c r="H353" s="540" t="inlineStr">
        <is>
          <t>ADOPTED qty per QUANTITY_RECONCILIATION TPS_Site (vector-verified H003) - CW spine 236.88 m</t>
        </is>
      </c>
    </row>
    <row r="354" ht="14.4" customFormat="1" customHeight="1" s="40">
      <c r="A354" s="323" t="n"/>
      <c r="B354" s="323" t="inlineStr">
        <is>
          <t xml:space="preserve">75 HDPE PE100 PN 16 -Blueline </t>
        </is>
      </c>
      <c r="C354" s="327" t="inlineStr">
        <is>
          <t>m</t>
        </is>
      </c>
      <c r="E354" s="605" t="n">
        <v>12.31</v>
      </c>
      <c r="F354" s="583">
        <f>E354*D354</f>
        <v/>
      </c>
    </row>
    <row r="355" ht="14.4" customFormat="1" customHeight="1" s="40">
      <c r="A355" s="323" t="n"/>
      <c r="B355" s="323" t="inlineStr">
        <is>
          <t xml:space="preserve">63 HDPE PE100 PN 16 -Blueline </t>
        </is>
      </c>
      <c r="C355" s="327" t="inlineStr">
        <is>
          <t>m</t>
        </is>
      </c>
      <c r="E355" s="605" t="n">
        <v>9.66</v>
      </c>
      <c r="F355" s="583">
        <f>E355*D355</f>
        <v/>
      </c>
    </row>
    <row r="356" ht="14.4" customFormat="1" customHeight="1" s="40">
      <c r="A356" s="323" t="n"/>
      <c r="B356" s="323" t="inlineStr">
        <is>
          <t>63 HDPE PN12.5 SDR11 - BLUELINE</t>
        </is>
      </c>
      <c r="C356" s="327" t="inlineStr">
        <is>
          <t>m</t>
        </is>
      </c>
      <c r="E356" s="605" t="n">
        <v>4.63</v>
      </c>
      <c r="F356" s="583">
        <f>E356*D356</f>
        <v/>
      </c>
    </row>
    <row r="357" ht="14.4" customFormat="1" customHeight="1" s="40">
      <c r="A357" s="323" t="n"/>
      <c r="B357" s="406" t="inlineStr">
        <is>
          <t>50 HDPE PE100 PN 16 - BLUELINE</t>
        </is>
      </c>
      <c r="C357" s="327" t="inlineStr">
        <is>
          <t>m</t>
        </is>
      </c>
      <c r="E357" s="605" t="n">
        <v>5.4</v>
      </c>
      <c r="F357" s="583">
        <f>E357*D357</f>
        <v/>
      </c>
    </row>
    <row r="358" ht="14.4" customFormat="1" customHeight="1" s="40">
      <c r="A358" s="323" t="n"/>
      <c r="B358" s="406" t="inlineStr">
        <is>
          <t xml:space="preserve">40 HDPE PE100 PN16 Blue Line </t>
        </is>
      </c>
      <c r="C358" s="327" t="inlineStr">
        <is>
          <t>m</t>
        </is>
      </c>
      <c r="E358" s="605" t="n">
        <v>4.4</v>
      </c>
      <c r="F358" s="583">
        <f>E358*D358</f>
        <v/>
      </c>
    </row>
    <row r="359" ht="14.4" customFormat="1" customHeight="1" s="40">
      <c r="A359" s="323" t="n"/>
      <c r="B359" s="323" t="inlineStr">
        <is>
          <t>40 HDPE PN12.5 SDR11 - BLUELINE</t>
        </is>
      </c>
      <c r="C359" s="327" t="inlineStr">
        <is>
          <t>m</t>
        </is>
      </c>
      <c r="E359" s="605">
        <f>354.31/150</f>
        <v/>
      </c>
      <c r="F359" s="583">
        <f>E359*D359</f>
        <v/>
      </c>
    </row>
    <row r="360" ht="14.4" customHeight="1">
      <c r="A360" s="323" t="n"/>
      <c r="B360" s="406" t="inlineStr">
        <is>
          <t xml:space="preserve">32 HDPE PE100 PN 16 -Blueline </t>
        </is>
      </c>
      <c r="C360" s="327" t="inlineStr">
        <is>
          <t>m</t>
        </is>
      </c>
      <c r="D360" s="40" t="n">
        <v>37.26</v>
      </c>
      <c r="E360" s="605" t="n">
        <v>2.1</v>
      </c>
      <c r="F360" s="583">
        <f>E360*D360</f>
        <v/>
      </c>
      <c r="G360" t="n">
        <v>38</v>
      </c>
      <c r="H360" s="540" t="inlineStr">
        <is>
          <t>ADOPTED qty per QUANTITY_RECONCILIATION TPS_Site (vector-verified H003) - 32 PE 37.26 m (O25-&gt;32 convention, Opens #11)</t>
        </is>
      </c>
    </row>
    <row r="361" ht="14.4" customHeight="1">
      <c r="A361" s="323" t="n"/>
      <c r="B361" s="323" t="inlineStr">
        <is>
          <t xml:space="preserve">25 HDPE PE100 PN16 - BLUELINE </t>
        </is>
      </c>
      <c r="C361" s="327" t="inlineStr">
        <is>
          <t>m</t>
        </is>
      </c>
      <c r="D361" s="40" t="n">
        <v>74.25</v>
      </c>
      <c r="E361" s="605" t="n">
        <v>1.22</v>
      </c>
      <c r="F361" s="583">
        <f>E361*D361</f>
        <v/>
      </c>
      <c r="G361" t="n">
        <v>75</v>
      </c>
      <c r="H361" s="540" t="inlineStr">
        <is>
          <t>ADOPTED qty per QUANTITY_RECONCILIATION TPS_Site (vector-verified H003) - 25 PE 74.25 m (O20-&gt;25 convention - no O20 item exists)</t>
        </is>
      </c>
    </row>
    <row r="362" ht="14.4" customHeight="1">
      <c r="A362" s="323" t="n"/>
      <c r="B362" s="323" t="inlineStr">
        <is>
          <t>25 HDPE PN12.5 SDR11 - BLUELINE</t>
        </is>
      </c>
      <c r="C362" s="327" t="inlineStr">
        <is>
          <t>m</t>
        </is>
      </c>
      <c r="E362" s="605" t="n">
        <v>2.43</v>
      </c>
      <c r="F362" s="583">
        <f>E362*D362</f>
        <v/>
      </c>
    </row>
    <row r="363" ht="14.4" customHeight="1">
      <c r="A363" s="323" t="n"/>
      <c r="B363" s="323" t="inlineStr">
        <is>
          <t>EF COUPLER                 125MM (EA)</t>
        </is>
      </c>
      <c r="C363" s="327" t="inlineStr">
        <is>
          <t>m</t>
        </is>
      </c>
      <c r="E363" s="605" t="n">
        <v>1.38</v>
      </c>
      <c r="F363" s="583">
        <f>E363*D363</f>
        <v/>
      </c>
    </row>
    <row r="364" ht="14.4" customHeight="1">
      <c r="A364" s="323" t="n"/>
      <c r="B364" s="323" t="inlineStr">
        <is>
          <t>TEE EQUAL PE100 E/F 125MM</t>
        </is>
      </c>
      <c r="C364" s="327" t="inlineStr">
        <is>
          <t>ea</t>
        </is>
      </c>
      <c r="D364" s="40" t="n">
        <v>8</v>
      </c>
      <c r="E364" s="605" t="n">
        <v>22</v>
      </c>
      <c r="F364" s="583">
        <f>E364*D364</f>
        <v/>
      </c>
    </row>
    <row r="365" ht="14.4" customHeight="1">
      <c r="A365" s="323" t="n"/>
      <c r="B365" s="323" t="inlineStr">
        <is>
          <t>TEE PE100 E/F 125*63MM</t>
        </is>
      </c>
      <c r="C365" s="327" t="inlineStr">
        <is>
          <t>ea</t>
        </is>
      </c>
      <c r="E365" s="605" t="n">
        <v>57.75</v>
      </c>
      <c r="F365" s="583">
        <f>E365*D365</f>
        <v/>
      </c>
    </row>
    <row r="366" ht="14.4" customHeight="1">
      <c r="A366" s="323" t="n"/>
      <c r="B366" s="323" t="inlineStr">
        <is>
          <t>EF REDUCER      125 X 90MM</t>
        </is>
      </c>
      <c r="C366" s="327" t="inlineStr">
        <is>
          <t>ea</t>
        </is>
      </c>
      <c r="E366" s="605" t="n">
        <v>139</v>
      </c>
      <c r="F366" s="583">
        <f>E366*D366</f>
        <v/>
      </c>
    </row>
    <row r="367" ht="14.4" customHeight="1">
      <c r="A367" s="323" t="n"/>
      <c r="B367" s="323" t="inlineStr">
        <is>
          <t>EF REDUCER      125 X 63MM</t>
        </is>
      </c>
      <c r="C367" s="327" t="inlineStr">
        <is>
          <t>ea</t>
        </is>
      </c>
      <c r="E367" s="605" t="n">
        <v>104.15</v>
      </c>
      <c r="F367" s="583">
        <f>E367*D367</f>
        <v/>
      </c>
    </row>
    <row r="368" ht="14.4" customHeight="1">
      <c r="A368" s="323" t="n"/>
      <c r="B368" s="323" t="inlineStr">
        <is>
          <t>EF REDUCER      75 X 63MM</t>
        </is>
      </c>
      <c r="C368" s="327" t="inlineStr">
        <is>
          <t>ea</t>
        </is>
      </c>
      <c r="E368" s="605" t="n">
        <v>26.1</v>
      </c>
      <c r="F368" s="583">
        <f>E368*D368</f>
        <v/>
      </c>
    </row>
    <row r="369" ht="14.4" customHeight="1">
      <c r="A369" s="323" t="n"/>
      <c r="B369" s="323" t="inlineStr">
        <is>
          <t>EF REDUCER      63 X 50MM</t>
        </is>
      </c>
      <c r="C369" s="327" t="inlineStr">
        <is>
          <t>ea</t>
        </is>
      </c>
      <c r="E369" s="605" t="n">
        <v>37.5</v>
      </c>
      <c r="F369" s="583">
        <f>E369*D369</f>
        <v/>
      </c>
    </row>
    <row r="370" ht="14.4" customHeight="1">
      <c r="A370" s="323" t="n"/>
      <c r="B370" s="323" t="inlineStr">
        <is>
          <t>EF REDUCER      50 X 40MM</t>
        </is>
      </c>
      <c r="C370" s="327" t="inlineStr">
        <is>
          <t>ea</t>
        </is>
      </c>
      <c r="E370" s="605" t="n">
        <v>35.93</v>
      </c>
      <c r="F370" s="583">
        <f>E370*D370</f>
        <v/>
      </c>
    </row>
    <row r="371" ht="14.4" customHeight="1">
      <c r="A371" s="323" t="n"/>
      <c r="B371" s="406" t="inlineStr">
        <is>
          <t>EF REDUCER      40 X 32MM</t>
        </is>
      </c>
      <c r="C371" s="327" t="inlineStr">
        <is>
          <t>ea</t>
        </is>
      </c>
      <c r="E371" s="605" t="n">
        <v>35</v>
      </c>
      <c r="F371" s="583">
        <f>E371*D371</f>
        <v/>
      </c>
    </row>
    <row r="372" ht="14.4" customHeight="1">
      <c r="A372" s="323" t="n"/>
      <c r="B372" s="406" t="inlineStr">
        <is>
          <t>EF REDUCER      40 X 25MM</t>
        </is>
      </c>
      <c r="C372" s="327" t="inlineStr">
        <is>
          <t>ea</t>
        </is>
      </c>
      <c r="E372" s="605" t="n">
        <v>35</v>
      </c>
      <c r="F372" s="583">
        <f>E372*D372</f>
        <v/>
      </c>
    </row>
    <row r="373" ht="14.4" customHeight="1">
      <c r="A373" s="323" t="n"/>
      <c r="B373" s="406" t="inlineStr">
        <is>
          <t>EF REDUCER      32 X 25MM</t>
        </is>
      </c>
      <c r="C373" s="327" t="inlineStr">
        <is>
          <t>ea</t>
        </is>
      </c>
      <c r="D373" s="40" t="n">
        <v>2</v>
      </c>
      <c r="E373" s="605" t="n">
        <v>35</v>
      </c>
      <c r="F373" s="583">
        <f>E373*D373</f>
        <v/>
      </c>
    </row>
    <row r="374" ht="14.4" customHeight="1">
      <c r="A374" s="323" t="n"/>
      <c r="B374" s="323" t="inlineStr">
        <is>
          <t>ELBOW PE100 E/F 125MM X 45D</t>
        </is>
      </c>
      <c r="C374" s="327" t="inlineStr">
        <is>
          <t>ea</t>
        </is>
      </c>
      <c r="D374" s="40" t="n">
        <v>2</v>
      </c>
      <c r="E374" s="605" t="n">
        <v>20</v>
      </c>
      <c r="F374" s="583">
        <f>E374*D374</f>
        <v/>
      </c>
    </row>
    <row r="375" ht="14.4" customHeight="1">
      <c r="A375" s="323" t="n"/>
      <c r="B375" s="323" t="inlineStr">
        <is>
          <t>ELBOW PE100 E/F 125MM X 90D</t>
        </is>
      </c>
      <c r="C375" s="327" t="inlineStr">
        <is>
          <t>ea</t>
        </is>
      </c>
      <c r="D375" s="40" t="n">
        <v>5</v>
      </c>
      <c r="E375" s="605" t="n">
        <v>50</v>
      </c>
      <c r="F375" s="583">
        <f>E375*D375</f>
        <v/>
      </c>
    </row>
    <row r="376" ht="14.4" customHeight="1">
      <c r="A376" s="323" t="n"/>
      <c r="B376" s="323" t="inlineStr">
        <is>
          <t xml:space="preserve">HDPE 75mm X 90 D ELBOW </t>
        </is>
      </c>
      <c r="C376" s="327" t="inlineStr">
        <is>
          <t>ea</t>
        </is>
      </c>
      <c r="E376" s="605" t="n">
        <v>54</v>
      </c>
      <c r="F376" s="583">
        <f>E376*D376</f>
        <v/>
      </c>
    </row>
    <row r="377" ht="14.4" customHeight="1">
      <c r="A377" s="323" t="n"/>
      <c r="B377" s="406" t="inlineStr">
        <is>
          <t xml:space="preserve">HDPE 63MM X 90 D ELBOW </t>
        </is>
      </c>
      <c r="C377" s="327" t="inlineStr">
        <is>
          <t>ea</t>
        </is>
      </c>
      <c r="E377" s="605" t="n"/>
      <c r="F377" s="583">
        <f>E377*D377</f>
        <v/>
      </c>
    </row>
    <row r="378" ht="14.4" customHeight="1">
      <c r="A378" s="323" t="n"/>
      <c r="B378" s="406" t="inlineStr">
        <is>
          <t xml:space="preserve">HDPE 50MM X 90 D ELBOW </t>
        </is>
      </c>
      <c r="C378" s="327" t="inlineStr">
        <is>
          <t>ea</t>
        </is>
      </c>
      <c r="E378" s="605" t="n">
        <v>15.55</v>
      </c>
      <c r="F378" s="583">
        <f>E378*D378</f>
        <v/>
      </c>
    </row>
    <row r="379" ht="14.4" customHeight="1">
      <c r="A379" s="323" t="n"/>
      <c r="B379" s="406" t="inlineStr">
        <is>
          <t xml:space="preserve">HDPE 40MM X 90 D ELBOW </t>
        </is>
      </c>
      <c r="C379" s="405" t="inlineStr">
        <is>
          <t>ea</t>
        </is>
      </c>
      <c r="E379" s="605" t="n">
        <v>15</v>
      </c>
      <c r="F379" s="583">
        <f>E379*D379</f>
        <v/>
      </c>
    </row>
    <row r="380" ht="14.4" customHeight="1">
      <c r="A380" s="323" t="n"/>
      <c r="B380" s="406" t="inlineStr">
        <is>
          <t>Reducing Tee 125mm x 90mm</t>
        </is>
      </c>
      <c r="C380" s="327" t="inlineStr">
        <is>
          <t>ea</t>
        </is>
      </c>
      <c r="E380" s="605" t="n">
        <v>10.87</v>
      </c>
      <c r="F380" s="583">
        <f>E380*D380</f>
        <v/>
      </c>
    </row>
    <row r="381" ht="14.4" customHeight="1">
      <c r="A381" s="323" t="n"/>
      <c r="B381" s="406" t="inlineStr">
        <is>
          <t>Reducing Tee 125mm x 32mm</t>
        </is>
      </c>
      <c r="C381" s="327" t="inlineStr">
        <is>
          <t>ea</t>
        </is>
      </c>
      <c r="D381" s="40" t="n">
        <v>3</v>
      </c>
      <c r="E381" s="605" t="n">
        <v>55</v>
      </c>
      <c r="F381" s="583">
        <f>E381*D381</f>
        <v/>
      </c>
    </row>
    <row r="382" ht="14.4" customHeight="1">
      <c r="A382" s="323" t="n"/>
      <c r="B382" s="446" t="inlineStr">
        <is>
          <t>125mm x 25mm reducing Tee</t>
        </is>
      </c>
      <c r="C382" s="327" t="inlineStr">
        <is>
          <t>ea</t>
        </is>
      </c>
      <c r="D382" s="40" t="n">
        <v>1</v>
      </c>
      <c r="E382" s="605" t="n">
        <v>35</v>
      </c>
      <c r="F382" s="583">
        <f>E382*D382</f>
        <v/>
      </c>
    </row>
    <row r="383" ht="14.4" customHeight="1">
      <c r="A383" s="323" t="n"/>
      <c r="B383" s="406" t="inlineStr">
        <is>
          <t>Reducing Tee 75mm x 63mm</t>
        </is>
      </c>
      <c r="C383" s="327" t="inlineStr">
        <is>
          <t>ea</t>
        </is>
      </c>
      <c r="E383" s="605" t="n">
        <v>55</v>
      </c>
      <c r="F383" s="583">
        <f>E383*D383</f>
        <v/>
      </c>
    </row>
    <row r="384" ht="14.4" customHeight="1">
      <c r="A384" s="323" t="n"/>
      <c r="B384" s="323" t="inlineStr">
        <is>
          <t>Reducing Tee 75mm x 50mm</t>
        </is>
      </c>
      <c r="C384" s="327" t="inlineStr">
        <is>
          <t>ea</t>
        </is>
      </c>
      <c r="E384" s="605" t="n">
        <v>35</v>
      </c>
      <c r="F384" s="583">
        <f>E384*D384</f>
        <v/>
      </c>
    </row>
    <row r="385" ht="14.4" customHeight="1">
      <c r="A385" s="323" t="n"/>
      <c r="B385" s="323" t="inlineStr">
        <is>
          <t>Reducing Tee 75mm x 32mm</t>
        </is>
      </c>
      <c r="C385" s="327" t="inlineStr">
        <is>
          <t>ea</t>
        </is>
      </c>
      <c r="E385" s="605" t="n">
        <v>35</v>
      </c>
      <c r="F385" s="583">
        <f>E385*D385</f>
        <v/>
      </c>
    </row>
    <row r="386" ht="14.4" customHeight="1">
      <c r="A386" s="323" t="n"/>
      <c r="B386" s="323" t="inlineStr">
        <is>
          <t>Reducing Tee 63mm x 32mm</t>
        </is>
      </c>
      <c r="C386" s="327" t="inlineStr">
        <is>
          <t>ea</t>
        </is>
      </c>
      <c r="E386" s="605" t="n">
        <v>35</v>
      </c>
      <c r="F386" s="583">
        <f>E386*D386</f>
        <v/>
      </c>
    </row>
    <row r="387" ht="14.4" customHeight="1">
      <c r="A387" s="323" t="n"/>
      <c r="B387" s="406" t="inlineStr">
        <is>
          <t>Reducing Tee 50mm x 40mm</t>
        </is>
      </c>
      <c r="C387" s="327" t="inlineStr">
        <is>
          <t>ea</t>
        </is>
      </c>
      <c r="E387" s="605" t="n">
        <v>35</v>
      </c>
      <c r="F387" s="583">
        <f>E387*D387</f>
        <v/>
      </c>
    </row>
    <row r="388" ht="14.4" customHeight="1">
      <c r="A388" s="323" t="n"/>
      <c r="B388" s="406" t="inlineStr">
        <is>
          <t>Reducing Tee 40mm x 25mm</t>
        </is>
      </c>
      <c r="C388" s="327" t="inlineStr">
        <is>
          <t>ea</t>
        </is>
      </c>
      <c r="E388" s="605" t="n">
        <v>35</v>
      </c>
      <c r="F388" s="583">
        <f>E388*D388</f>
        <v/>
      </c>
    </row>
    <row r="389" ht="14.4" customHeight="1">
      <c r="A389" s="323" t="n"/>
      <c r="B389" s="323" t="inlineStr">
        <is>
          <t>Reducing Tee 32mm x 25mm</t>
        </is>
      </c>
      <c r="C389" s="327" t="inlineStr">
        <is>
          <t>ea</t>
        </is>
      </c>
      <c r="E389" s="605" t="n">
        <v>35</v>
      </c>
      <c r="F389" s="583">
        <f>E389*D389</f>
        <v/>
      </c>
    </row>
    <row r="390" ht="14.4" customHeight="1">
      <c r="A390" s="323" t="n"/>
      <c r="B390" s="323" t="inlineStr">
        <is>
          <t>EF Reducer 50mm x 25mm</t>
        </is>
      </c>
      <c r="C390" s="327" t="inlineStr">
        <is>
          <t>ea</t>
        </is>
      </c>
      <c r="E390" s="605" t="n">
        <v>35</v>
      </c>
      <c r="F390" s="583">
        <f>E390*D390</f>
        <v/>
      </c>
    </row>
    <row r="391" ht="14.4" customHeight="1">
      <c r="A391" s="323" t="n"/>
      <c r="B391" s="406" t="inlineStr">
        <is>
          <t>50mm Tee</t>
        </is>
      </c>
      <c r="C391" s="327" t="inlineStr">
        <is>
          <t>ea</t>
        </is>
      </c>
      <c r="E391" s="605" t="n">
        <v>26</v>
      </c>
      <c r="F391" s="583">
        <f>E391*D391</f>
        <v/>
      </c>
    </row>
    <row r="392" ht="14.4" customHeight="1">
      <c r="A392" s="323" t="n"/>
      <c r="B392" s="406" t="inlineStr">
        <is>
          <t>40mm Tee</t>
        </is>
      </c>
      <c r="C392" s="327" t="inlineStr">
        <is>
          <t>ea</t>
        </is>
      </c>
      <c r="E392" s="605" t="n">
        <v>35</v>
      </c>
      <c r="F392" s="583">
        <f>E392*D392</f>
        <v/>
      </c>
    </row>
    <row r="393" ht="14.4" customHeight="1">
      <c r="A393" s="323" t="n"/>
      <c r="B393" s="323" t="inlineStr">
        <is>
          <t xml:space="preserve">32mm Tee </t>
        </is>
      </c>
      <c r="C393" s="327" t="inlineStr">
        <is>
          <t>ea</t>
        </is>
      </c>
      <c r="E393" s="605" t="n">
        <v>10.87</v>
      </c>
      <c r="F393" s="583">
        <f>E393*D393</f>
        <v/>
      </c>
    </row>
    <row r="394" ht="14.4" customHeight="1">
      <c r="A394" s="323" t="n"/>
      <c r="B394" s="323" t="inlineStr">
        <is>
          <t xml:space="preserve">HDPE 32mm X 90 D ELBOW </t>
        </is>
      </c>
      <c r="C394" s="327" t="inlineStr">
        <is>
          <t>ea</t>
        </is>
      </c>
      <c r="D394" s="40" t="n">
        <v>2</v>
      </c>
      <c r="E394" s="605" t="n">
        <v>35</v>
      </c>
      <c r="F394" s="583">
        <f>E394*D394</f>
        <v/>
      </c>
    </row>
    <row r="395" ht="14.4" customHeight="1">
      <c r="A395" s="323" t="n"/>
      <c r="B395" s="406" t="inlineStr">
        <is>
          <t xml:space="preserve">HDPE 25mm X 90 D ELBOW </t>
        </is>
      </c>
      <c r="C395" s="327" t="inlineStr">
        <is>
          <t>ea</t>
        </is>
      </c>
      <c r="D395" s="40" t="n">
        <v>1</v>
      </c>
      <c r="E395" s="605" t="n">
        <v>20</v>
      </c>
      <c r="F395" s="583">
        <f>E395*D395</f>
        <v/>
      </c>
    </row>
    <row r="396" ht="14.4" customHeight="1">
      <c r="A396" s="323" t="n"/>
      <c r="B396" s="406" t="inlineStr">
        <is>
          <t xml:space="preserve">HDPE 25mm X 45 D ELBOW </t>
        </is>
      </c>
      <c r="C396" s="327" t="inlineStr">
        <is>
          <t>ea</t>
        </is>
      </c>
      <c r="E396" s="605" t="n">
        <v>20</v>
      </c>
      <c r="F396" s="583">
        <f>E396*D396</f>
        <v/>
      </c>
    </row>
    <row r="397" ht="14.4" customHeight="1">
      <c r="A397" s="323" t="n"/>
      <c r="B397" s="406" t="inlineStr">
        <is>
          <t>25mm Tee</t>
        </is>
      </c>
      <c r="C397" s="327" t="inlineStr">
        <is>
          <t>ea</t>
        </is>
      </c>
      <c r="D397" s="40" t="n">
        <v>2</v>
      </c>
      <c r="E397" s="605" t="n">
        <v>25</v>
      </c>
      <c r="F397" s="583">
        <f>E397*D397</f>
        <v/>
      </c>
    </row>
    <row r="398" ht="14.4" customHeight="1">
      <c r="A398" s="323" t="n"/>
      <c r="B398" s="323" t="inlineStr">
        <is>
          <t>PE MAXI STUB FLANGE W/SS BK RING 125X 4" (EA)</t>
        </is>
      </c>
      <c r="C398" s="327" t="inlineStr">
        <is>
          <t>ea</t>
        </is>
      </c>
      <c r="E398" s="605" t="n">
        <v>35</v>
      </c>
      <c r="F398" s="583">
        <f>E398*D398</f>
        <v/>
      </c>
    </row>
    <row r="399" ht="14.4" customHeight="1">
      <c r="A399" s="323" t="n"/>
      <c r="B399" s="323" t="inlineStr">
        <is>
          <t>SLUICE VALVE PN16 T/D ACC FLNGD 100MM</t>
        </is>
      </c>
      <c r="C399" s="327" t="inlineStr">
        <is>
          <t>ea</t>
        </is>
      </c>
      <c r="E399" s="605" t="n">
        <v>102.5</v>
      </c>
      <c r="F399" s="583">
        <f>E399*D399</f>
        <v/>
      </c>
    </row>
    <row r="400" ht="14.4" customHeight="1">
      <c r="A400" s="323" t="n"/>
      <c r="B400" s="323" t="inlineStr">
        <is>
          <t>Valve Box - Cast Iron - Rectangle - Large - HD</t>
        </is>
      </c>
      <c r="C400" s="327" t="inlineStr">
        <is>
          <t>ea</t>
        </is>
      </c>
      <c r="E400" s="605" t="n">
        <v>235</v>
      </c>
      <c r="F400" s="583">
        <f>E400*D400</f>
        <v/>
      </c>
    </row>
    <row r="401" ht="14.4" customHeight="1">
      <c r="A401" s="323" t="n"/>
      <c r="B401" s="323" t="inlineStr">
        <is>
          <t>SADDLE TAPPING EF 125PE X 25PE</t>
        </is>
      </c>
      <c r="C401" s="327" t="inlineStr">
        <is>
          <t>ea</t>
        </is>
      </c>
      <c r="E401" s="605" t="n">
        <v>100</v>
      </c>
      <c r="F401" s="583">
        <f>E401*D401</f>
        <v/>
      </c>
    </row>
    <row r="402" ht="14.4" customHeight="1">
      <c r="A402" s="323" t="n"/>
      <c r="B402" s="323" t="inlineStr">
        <is>
          <t>SADDLE TAPPING EF 125PE X 32PE</t>
        </is>
      </c>
      <c r="C402" s="327" t="inlineStr">
        <is>
          <t>ea</t>
        </is>
      </c>
      <c r="D402" s="40" t="n">
        <v>1</v>
      </c>
      <c r="E402" s="605" t="n">
        <v>47.41</v>
      </c>
      <c r="F402" s="583">
        <f>E402*D402</f>
        <v/>
      </c>
    </row>
    <row r="403" ht="14.4" customHeight="1">
      <c r="A403" s="323" t="n"/>
      <c r="B403" s="323" t="inlineStr">
        <is>
          <t>SADDLE TAPPING EF 125PE X 63PE</t>
        </is>
      </c>
      <c r="C403" s="327" t="inlineStr">
        <is>
          <t>ea</t>
        </is>
      </c>
      <c r="E403" s="605" t="n">
        <v>41.69</v>
      </c>
      <c r="F403" s="583">
        <f>E403*D403</f>
        <v/>
      </c>
    </row>
    <row r="404" ht="14.4" customHeight="1">
      <c r="A404" s="323" t="n"/>
      <c r="B404" s="323" t="n"/>
      <c r="C404" s="327" t="inlineStr">
        <is>
          <t>ea</t>
        </is>
      </c>
      <c r="E404" s="605" t="n">
        <v>85.55</v>
      </c>
      <c r="F404" s="583">
        <f>E404*D404</f>
        <v/>
      </c>
    </row>
    <row r="405" ht="14.4" customHeight="1">
      <c r="A405" s="323" t="n"/>
      <c r="B405" s="323" t="n"/>
      <c r="C405" s="323" t="n"/>
      <c r="E405" s="605" t="n"/>
      <c r="F405" s="583">
        <f>E405*D405</f>
        <v/>
      </c>
      <c r="I405" s="323" t="n"/>
    </row>
    <row r="406" ht="14.4" customHeight="1">
      <c r="A406" s="323" t="n"/>
      <c r="B406" s="323" t="inlineStr">
        <is>
          <t>Detectable WATER Marker Tape - 250m</t>
        </is>
      </c>
      <c r="C406" s="327" t="inlineStr">
        <is>
          <t>ea</t>
        </is>
      </c>
      <c r="E406" s="605" t="n">
        <v>70</v>
      </c>
      <c r="F406" s="583">
        <f>E406*D406</f>
        <v/>
      </c>
      <c r="I406" s="323" t="n"/>
    </row>
    <row r="407" ht="14.4" customHeight="1">
      <c r="A407" s="323" t="n"/>
      <c r="B407" s="323" t="inlineStr">
        <is>
          <t>WIPES WELDING PLASSON XL (120 PK)</t>
        </is>
      </c>
      <c r="C407" s="327" t="inlineStr">
        <is>
          <t>ea</t>
        </is>
      </c>
      <c r="E407" s="605" t="n">
        <v>19</v>
      </c>
      <c r="F407" s="583">
        <f>E407*D407</f>
        <v/>
      </c>
      <c r="I407" s="323" t="n"/>
    </row>
    <row r="408" ht="14.4" customHeight="1">
      <c r="A408" s="323" t="n"/>
      <c r="B408" s="323" t="inlineStr">
        <is>
          <t>Paint Pen - WHITE</t>
        </is>
      </c>
      <c r="C408" s="327" t="inlineStr">
        <is>
          <t>ea</t>
        </is>
      </c>
      <c r="E408" s="605" t="n">
        <v>16</v>
      </c>
      <c r="F408" s="583">
        <f>E408*D408</f>
        <v/>
      </c>
    </row>
    <row r="409" ht="14.4" customHeight="1">
      <c r="A409" s="323" t="n"/>
      <c r="B409" s="406" t="inlineStr">
        <is>
          <t xml:space="preserve">100 Cu Above Grnd </t>
        </is>
      </c>
      <c r="C409" s="327" t="inlineStr">
        <is>
          <t>m</t>
        </is>
      </c>
      <c r="E409" s="605" t="n">
        <v>40.21</v>
      </c>
      <c r="F409" s="583">
        <f>E409*D409</f>
        <v/>
      </c>
    </row>
    <row r="410" ht="14.4" customHeight="1">
      <c r="A410" s="323" t="n"/>
      <c r="B410" s="323" t="inlineStr">
        <is>
          <t>50 Cu Above Grnd</t>
        </is>
      </c>
      <c r="C410" s="327" t="inlineStr">
        <is>
          <t>m</t>
        </is>
      </c>
      <c r="E410" s="606" t="n">
        <v>32</v>
      </c>
      <c r="F410" s="583">
        <f>E410*D410</f>
        <v/>
      </c>
      <c r="K410" s="327" t="n"/>
      <c r="L410" s="40" t="n"/>
      <c r="M410" s="605" t="n"/>
      <c r="N410" s="583" t="n"/>
    </row>
    <row r="411" ht="14.4" customHeight="1">
      <c r="A411" s="323" t="n"/>
      <c r="B411" s="406" t="inlineStr">
        <is>
          <t>32 Cu Above Grnd</t>
        </is>
      </c>
      <c r="C411" s="327" t="inlineStr">
        <is>
          <t>m</t>
        </is>
      </c>
      <c r="E411" s="606">
        <f>119.88/6</f>
        <v/>
      </c>
      <c r="F411" s="583">
        <f>E411*D411</f>
        <v/>
      </c>
      <c r="K411" s="327" t="n"/>
      <c r="L411" s="40" t="n"/>
      <c r="M411" s="606" t="n"/>
      <c r="N411" s="583" t="n"/>
    </row>
    <row r="412" ht="14.4" customHeight="1">
      <c r="A412" s="323" t="n"/>
      <c r="B412" s="323" t="inlineStr">
        <is>
          <t>32mm x25mm reducing tee</t>
        </is>
      </c>
      <c r="C412" s="327" t="inlineStr">
        <is>
          <t>ea</t>
        </is>
      </c>
      <c r="E412" s="606" t="n">
        <v>16.33</v>
      </c>
      <c r="F412" s="583">
        <f>E412*D412</f>
        <v/>
      </c>
      <c r="K412" s="327" t="n"/>
      <c r="L412" s="40" t="n"/>
      <c r="M412" s="606" t="n"/>
      <c r="N412" s="583" t="n"/>
    </row>
    <row r="413" ht="14.4" customHeight="1">
      <c r="A413" s="323" t="n"/>
      <c r="B413" s="323" t="inlineStr">
        <is>
          <t>25 Cu Above Grnd</t>
        </is>
      </c>
      <c r="C413" s="327" t="inlineStr">
        <is>
          <t>m</t>
        </is>
      </c>
      <c r="E413" s="606" t="n">
        <v>17.52</v>
      </c>
      <c r="F413" s="583">
        <f>E413*D413</f>
        <v/>
      </c>
      <c r="K413" s="327" t="n"/>
      <c r="L413" s="40" t="n"/>
      <c r="M413" s="606" t="n"/>
      <c r="N413" s="583" t="n"/>
    </row>
    <row r="414" ht="14.4" customHeight="1">
      <c r="A414" s="323" t="n"/>
      <c r="B414" s="406" t="inlineStr">
        <is>
          <t>B-PRESS WATER EQUAL TEE  32MM (EA)</t>
        </is>
      </c>
      <c r="C414" s="405" t="inlineStr">
        <is>
          <t>ea</t>
        </is>
      </c>
      <c r="E414" s="606" t="n">
        <v>15</v>
      </c>
      <c r="F414" s="583">
        <f>E414*D414</f>
        <v/>
      </c>
      <c r="K414" s="327" t="n"/>
      <c r="L414" s="40" t="n"/>
      <c r="M414" s="606" t="n"/>
      <c r="N414" s="583" t="n"/>
    </row>
    <row r="415" ht="14.4" customHeight="1">
      <c r="A415" s="323" t="n"/>
      <c r="B415" s="406" t="inlineStr">
        <is>
          <t>B-PRESS WATER ELBOW         90DEG X 25MM (EA)</t>
        </is>
      </c>
      <c r="C415" s="327" t="inlineStr">
        <is>
          <t>ea</t>
        </is>
      </c>
      <c r="E415" s="606" t="n">
        <v>7.17</v>
      </c>
      <c r="F415" s="583">
        <f>E415*D415</f>
        <v/>
      </c>
      <c r="K415" s="405" t="n"/>
      <c r="L415" s="40" t="n"/>
      <c r="M415" s="606" t="n"/>
      <c r="N415" s="583" t="n"/>
    </row>
    <row r="416" ht="14.4" customHeight="1">
      <c r="A416" s="323" t="n"/>
      <c r="B416" s="323" t="inlineStr">
        <is>
          <t>B-PRESS WATER EQUAL TEE  25MM (EA)</t>
        </is>
      </c>
      <c r="C416" s="327" t="inlineStr">
        <is>
          <t>ea</t>
        </is>
      </c>
      <c r="E416" s="606">
        <f>82/6</f>
        <v/>
      </c>
      <c r="F416" s="583">
        <f>E416*D416</f>
        <v/>
      </c>
      <c r="K416" s="327" t="n"/>
      <c r="L416" s="40" t="n"/>
      <c r="M416" s="606" t="n"/>
      <c r="N416" s="583" t="n"/>
    </row>
    <row r="417" ht="14.4" customHeight="1">
      <c r="A417" s="323" t="n"/>
      <c r="B417" s="323" t="inlineStr">
        <is>
          <t>20 Cu Above Grnd</t>
        </is>
      </c>
      <c r="C417" s="327" t="inlineStr">
        <is>
          <t>m</t>
        </is>
      </c>
      <c r="E417" s="606">
        <f>82/6</f>
        <v/>
      </c>
      <c r="F417" s="583">
        <f>E417*D417</f>
        <v/>
      </c>
      <c r="K417" s="327" t="n"/>
      <c r="L417" s="40" t="n"/>
      <c r="M417" s="606" t="n"/>
      <c r="N417" s="583" t="n"/>
    </row>
    <row r="418" ht="14.4" customHeight="1">
      <c r="A418" s="323" t="n"/>
      <c r="B418" s="406" t="inlineStr">
        <is>
          <t>B-PRESS WATER EQUAL TEE  20MM (EA)</t>
        </is>
      </c>
      <c r="C418" s="405" t="inlineStr">
        <is>
          <t>ea</t>
        </is>
      </c>
      <c r="E418" s="606" t="n">
        <v>6.88</v>
      </c>
      <c r="F418" s="583">
        <f>E418*D418</f>
        <v/>
      </c>
      <c r="K418" s="327" t="n"/>
      <c r="L418" s="40" t="n"/>
      <c r="M418" s="606" t="n"/>
      <c r="N418" s="583" t="n"/>
    </row>
    <row r="419" ht="14.4" customHeight="1">
      <c r="A419" s="323" t="n"/>
      <c r="B419" s="323" t="inlineStr">
        <is>
          <t>50mm Cu 10mm Nut Clip</t>
        </is>
      </c>
      <c r="C419" s="327" t="inlineStr">
        <is>
          <t>ea</t>
        </is>
      </c>
      <c r="E419" s="605" t="n">
        <v>1.4</v>
      </c>
      <c r="F419" s="583">
        <f>E419*D419</f>
        <v/>
      </c>
      <c r="K419" s="405" t="n"/>
      <c r="L419" s="40" t="n"/>
      <c r="M419" s="606" t="n"/>
      <c r="N419" s="583" t="n"/>
    </row>
    <row r="420" ht="14.4" customHeight="1">
      <c r="A420" s="323" t="n"/>
      <c r="B420" s="323" t="inlineStr">
        <is>
          <t>32mm Cu 10mm Nut Clip</t>
        </is>
      </c>
      <c r="C420" s="327" t="inlineStr">
        <is>
          <t>ea</t>
        </is>
      </c>
      <c r="E420" s="605" t="n">
        <v>1.38</v>
      </c>
      <c r="F420" s="583">
        <f>E420*D420</f>
        <v/>
      </c>
      <c r="K420" s="327" t="n"/>
      <c r="L420" s="40" t="n"/>
      <c r="M420" s="605" t="n"/>
      <c r="N420" s="583" t="n"/>
    </row>
    <row r="421" ht="14.4" customHeight="1">
      <c r="A421" s="323" t="n"/>
      <c r="B421" s="323" t="inlineStr">
        <is>
          <t>25mm Cu 10mm Nut Clip</t>
        </is>
      </c>
      <c r="C421" s="327" t="inlineStr">
        <is>
          <t>ea</t>
        </is>
      </c>
      <c r="E421" s="605" t="n">
        <v>1.32</v>
      </c>
      <c r="F421" s="583">
        <f>E421*D421</f>
        <v/>
      </c>
      <c r="K421" s="327" t="n"/>
      <c r="L421" s="40" t="n"/>
      <c r="M421" s="605" t="n"/>
      <c r="N421" s="583" t="n"/>
    </row>
    <row r="422" ht="14.4" customHeight="1">
      <c r="A422" s="323" t="n"/>
      <c r="B422" s="323" t="inlineStr">
        <is>
          <t>20mm Cu 10mm Nut Clip</t>
        </is>
      </c>
      <c r="C422" s="327" t="inlineStr">
        <is>
          <t>ea</t>
        </is>
      </c>
      <c r="E422" s="605" t="n">
        <v>1.24</v>
      </c>
      <c r="F422" s="583">
        <f>E422*D422</f>
        <v/>
      </c>
      <c r="K422" s="327" t="n"/>
      <c r="L422" s="40" t="n"/>
      <c r="M422" s="605" t="n"/>
      <c r="N422" s="583" t="n"/>
    </row>
    <row r="423" ht="14.4" customHeight="1">
      <c r="A423" s="323" t="n"/>
      <c r="B423" s="323" t="inlineStr">
        <is>
          <t>10mm Zinc Threaded Rod</t>
        </is>
      </c>
      <c r="C423" s="327" t="inlineStr">
        <is>
          <t>m</t>
        </is>
      </c>
      <c r="E423" s="605" t="n">
        <v>5.1</v>
      </c>
      <c r="F423" s="583">
        <f>E423*D423</f>
        <v/>
      </c>
      <c r="K423" s="327" t="n"/>
      <c r="L423" s="40" t="n"/>
      <c r="M423" s="605" t="n"/>
      <c r="N423" s="583" t="n"/>
    </row>
    <row r="424" ht="14.4" customHeight="1">
      <c r="A424" s="323" t="n"/>
      <c r="B424" s="323" t="n"/>
      <c r="C424" s="327" t="n"/>
      <c r="E424" s="605" t="n"/>
      <c r="F424" s="583">
        <f>E424*D424</f>
        <v/>
      </c>
      <c r="K424" s="327" t="n"/>
      <c r="L424" s="40" t="n"/>
      <c r="M424" s="605" t="n"/>
      <c r="N424" s="583" t="n"/>
    </row>
    <row r="425" ht="14.4" customHeight="1">
      <c r="A425" s="323" t="n"/>
      <c r="B425" s="406" t="n"/>
      <c r="C425" s="327" t="n"/>
      <c r="E425" s="605" t="n"/>
      <c r="F425" s="583">
        <f>E425*D425</f>
        <v/>
      </c>
    </row>
    <row r="426" ht="14.4" customHeight="1">
      <c r="A426" s="323" t="n"/>
      <c r="B426" s="406" t="inlineStr">
        <is>
          <t>Kembla copper  WATER ELBOW         90DEG X 32MM (EA)</t>
        </is>
      </c>
      <c r="C426" s="327" t="inlineStr">
        <is>
          <t>ea</t>
        </is>
      </c>
      <c r="E426" s="605" t="n">
        <v>14.31</v>
      </c>
      <c r="F426" s="583">
        <f>E426*D426</f>
        <v/>
      </c>
      <c r="J426" s="406" t="n"/>
    </row>
    <row r="427" ht="14.4" customHeight="1">
      <c r="A427" s="323" t="n"/>
      <c r="B427" s="406" t="inlineStr">
        <is>
          <t xml:space="preserve">Kembla copper  WATER ELBOW        90DEG X 25MM </t>
        </is>
      </c>
      <c r="C427" s="327" t="inlineStr">
        <is>
          <t>ea</t>
        </is>
      </c>
      <c r="E427" s="605" t="n">
        <v>4.58</v>
      </c>
      <c r="F427" s="583">
        <f>E427*D427</f>
        <v/>
      </c>
      <c r="J427" s="406" t="n"/>
    </row>
    <row r="428" ht="14.4" customHeight="1">
      <c r="A428" s="323" t="n"/>
      <c r="B428" s="406" t="inlineStr">
        <is>
          <t xml:space="preserve">Kembla copper  WATER ELBOW        90DEG X 20MM </t>
        </is>
      </c>
      <c r="C428" s="327" t="inlineStr">
        <is>
          <t>ea</t>
        </is>
      </c>
      <c r="E428" s="605" t="n">
        <v>4.58</v>
      </c>
      <c r="F428" s="583">
        <f>E428*D428</f>
        <v/>
      </c>
      <c r="J428" s="406" t="n"/>
    </row>
    <row r="429" ht="14.4" customHeight="1">
      <c r="A429" s="323" t="n"/>
      <c r="B429" s="323" t="n"/>
      <c r="C429" s="327" t="n"/>
      <c r="E429" s="605" t="n"/>
      <c r="F429" s="583">
        <f>E429*D429</f>
        <v/>
      </c>
    </row>
    <row r="430" ht="14.4" customHeight="1">
      <c r="A430" s="323" t="n"/>
      <c r="B430" s="323" t="n"/>
      <c r="C430" s="327" t="n"/>
      <c r="E430" s="605" t="n"/>
      <c r="F430" s="583">
        <f>E430*D430</f>
        <v/>
      </c>
    </row>
    <row r="431" ht="14.4" customHeight="1">
      <c r="A431" s="323" t="n"/>
      <c r="B431" s="323" t="n"/>
      <c r="C431" s="327" t="n"/>
      <c r="E431" s="605" t="n"/>
      <c r="F431" s="583">
        <f>E431*D431</f>
        <v/>
      </c>
    </row>
    <row r="432" ht="14.4" customHeight="1">
      <c r="A432" s="406" t="inlineStr">
        <is>
          <t>HIDDEN</t>
        </is>
      </c>
      <c r="B432" s="323" t="n"/>
      <c r="C432" s="327" t="n"/>
      <c r="E432" s="605" t="n"/>
      <c r="F432" s="583">
        <f>E432*D432</f>
        <v/>
      </c>
    </row>
    <row r="433" ht="14.4" customHeight="1">
      <c r="A433" s="323" t="n"/>
      <c r="B433" s="323" t="inlineStr">
        <is>
          <t>63mm E/F PE 90 Deg Elb</t>
        </is>
      </c>
      <c r="C433" s="327" t="n"/>
      <c r="E433" s="605" t="n"/>
      <c r="F433" s="583">
        <f>E433*D433</f>
        <v/>
      </c>
    </row>
    <row r="434" ht="14.4" customHeight="1">
      <c r="A434" s="323" t="n"/>
      <c r="B434" s="323" t="inlineStr">
        <is>
          <t>63mm E/F PE 45 Deg Elb</t>
        </is>
      </c>
      <c r="C434" s="327" t="inlineStr">
        <is>
          <t>ea</t>
        </is>
      </c>
      <c r="E434" s="605" t="n">
        <v>13.5</v>
      </c>
      <c r="F434" s="583">
        <f>E434*D434</f>
        <v/>
      </c>
    </row>
    <row r="435" ht="14.4" customHeight="1">
      <c r="A435" s="323" t="n"/>
      <c r="B435" s="323" t="inlineStr">
        <is>
          <t>63mm E/F PE TEE</t>
        </is>
      </c>
      <c r="C435" s="327" t="inlineStr">
        <is>
          <t>ea</t>
        </is>
      </c>
      <c r="E435" s="605" t="n">
        <v>13.5</v>
      </c>
      <c r="F435" s="583">
        <f>E435*D435</f>
        <v/>
      </c>
    </row>
    <row r="436" ht="14.4" customHeight="1">
      <c r="A436" s="323" t="n"/>
      <c r="B436" s="323" t="inlineStr">
        <is>
          <t>63x40x63 E/F PE TEE</t>
        </is>
      </c>
      <c r="C436" s="327" t="inlineStr">
        <is>
          <t>ea</t>
        </is>
      </c>
      <c r="E436" s="605" t="n">
        <v>9.5</v>
      </c>
      <c r="F436" s="583">
        <f>E436*D436</f>
        <v/>
      </c>
    </row>
    <row r="437" ht="14.4" customHeight="1">
      <c r="A437" s="323" t="n"/>
      <c r="B437" s="323" t="inlineStr">
        <is>
          <t>63x32x63 E/F PE TEE</t>
        </is>
      </c>
      <c r="C437" s="327" t="inlineStr">
        <is>
          <t>ea</t>
        </is>
      </c>
      <c r="E437" s="605" t="n">
        <v>18.5</v>
      </c>
      <c r="F437" s="583">
        <f>E437*D437</f>
        <v/>
      </c>
    </row>
    <row r="438" ht="14.4" customHeight="1">
      <c r="A438" s="323" t="n"/>
      <c r="B438" s="323" t="inlineStr">
        <is>
          <t>63x25x63 E/F PE TEE</t>
        </is>
      </c>
      <c r="C438" s="327" t="inlineStr">
        <is>
          <t>ea</t>
        </is>
      </c>
      <c r="E438" s="605" t="n">
        <v>18.5</v>
      </c>
      <c r="F438" s="583">
        <f>E438*D438</f>
        <v/>
      </c>
    </row>
    <row r="439" ht="14.4" customHeight="1">
      <c r="A439" s="323" t="n"/>
      <c r="B439" s="323" t="inlineStr">
        <is>
          <t>63mm E/F PE Coupling</t>
        </is>
      </c>
      <c r="C439" s="327" t="inlineStr">
        <is>
          <t>ea</t>
        </is>
      </c>
      <c r="E439" s="605" t="n">
        <v>6</v>
      </c>
      <c r="F439" s="583">
        <f>E439*D439</f>
        <v/>
      </c>
    </row>
    <row r="440" ht="14.4" customHeight="1">
      <c r="A440" s="323" t="n"/>
      <c r="B440" s="323" t="inlineStr">
        <is>
          <t>63x40 E/F PE Reducer Coupling</t>
        </is>
      </c>
      <c r="C440" s="327" t="inlineStr">
        <is>
          <t>ea</t>
        </is>
      </c>
      <c r="E440" s="605" t="n">
        <v>5.5</v>
      </c>
      <c r="F440" s="583">
        <f>E440*D440</f>
        <v/>
      </c>
    </row>
    <row r="441" ht="14.4" customHeight="1">
      <c r="A441" s="323" t="n"/>
      <c r="B441" s="323" t="inlineStr">
        <is>
          <t>63x32 E/F PE Reducer Coupling</t>
        </is>
      </c>
      <c r="C441" s="327" t="inlineStr">
        <is>
          <t>ea</t>
        </is>
      </c>
      <c r="E441" s="605" t="n">
        <v>17.5</v>
      </c>
      <c r="F441" s="583">
        <f>E441*D441</f>
        <v/>
      </c>
    </row>
    <row r="442" ht="14.4" customHeight="1">
      <c r="A442" s="323" t="n"/>
      <c r="B442" s="323" t="inlineStr">
        <is>
          <t>63x25 E/F PE Reducer Coupling</t>
        </is>
      </c>
      <c r="C442" s="327" t="inlineStr">
        <is>
          <t>ea</t>
        </is>
      </c>
      <c r="E442" s="605" t="n">
        <v>16.5</v>
      </c>
      <c r="F442" s="583">
        <f>E442*D442</f>
        <v/>
      </c>
    </row>
    <row r="443" ht="14.4" customHeight="1">
      <c r="A443" s="323" t="n"/>
      <c r="B443" s="323" t="inlineStr">
        <is>
          <t>63PEx50Fi E/F PE Adapter</t>
        </is>
      </c>
      <c r="C443" s="327" t="inlineStr">
        <is>
          <t>ea</t>
        </is>
      </c>
      <c r="E443" s="605" t="n">
        <v>2.5</v>
      </c>
      <c r="F443" s="583">
        <f>E443*D443</f>
        <v/>
      </c>
    </row>
    <row r="444" ht="14.4" customHeight="1">
      <c r="A444" s="323" t="n"/>
      <c r="B444" s="323" t="inlineStr">
        <is>
          <t>63PEx50Mi E/F PE Adapter</t>
        </is>
      </c>
      <c r="C444" s="327" t="inlineStr">
        <is>
          <t>ea</t>
        </is>
      </c>
      <c r="E444" s="605" t="n">
        <v>43.5</v>
      </c>
      <c r="F444" s="583">
        <f>E444*D444</f>
        <v/>
      </c>
    </row>
    <row r="445" ht="14.4" customHeight="1">
      <c r="A445" s="323" t="n"/>
      <c r="B445" s="323" t="inlineStr">
        <is>
          <t>63PEx50Fi E/F PE Tramsiton Union</t>
        </is>
      </c>
      <c r="C445" s="327" t="inlineStr">
        <is>
          <t>ea</t>
        </is>
      </c>
      <c r="E445" s="605" t="n">
        <v>43.5</v>
      </c>
      <c r="F445" s="583">
        <f>E445*D445</f>
        <v/>
      </c>
    </row>
    <row r="446" ht="14.4" customHeight="1">
      <c r="A446" s="323" t="n"/>
      <c r="B446" s="323" t="inlineStr">
        <is>
          <t>63PEx50Mi E/F PE Transition Union</t>
        </is>
      </c>
      <c r="C446" s="327" t="inlineStr">
        <is>
          <t>ea</t>
        </is>
      </c>
      <c r="E446" s="605" t="n">
        <v>45.5</v>
      </c>
      <c r="F446" s="583">
        <f>E446*D446</f>
        <v/>
      </c>
    </row>
    <row r="447" ht="14.4" customHeight="1">
      <c r="A447" s="323" t="n"/>
      <c r="B447" s="323" t="inlineStr">
        <is>
          <t>40mm E/F PE 90 Deg Elb</t>
        </is>
      </c>
      <c r="C447" s="327" t="inlineStr">
        <is>
          <t>ea</t>
        </is>
      </c>
      <c r="E447" s="605" t="n">
        <v>76</v>
      </c>
      <c r="F447" s="583">
        <f>E447*D447</f>
        <v/>
      </c>
    </row>
    <row r="448" ht="14.4" customHeight="1">
      <c r="A448" s="323" t="n"/>
      <c r="B448" s="323" t="inlineStr">
        <is>
          <t>40mm E/F PE 45 Deg Elb</t>
        </is>
      </c>
      <c r="C448" s="327" t="inlineStr">
        <is>
          <t>ea</t>
        </is>
      </c>
      <c r="E448" s="605" t="n">
        <v>11.5</v>
      </c>
      <c r="F448" s="583">
        <f>E448*D448</f>
        <v/>
      </c>
    </row>
    <row r="449" ht="14.4" customHeight="1">
      <c r="A449" s="323" t="n"/>
      <c r="B449" s="323" t="inlineStr">
        <is>
          <t>40mm E/F PE TEE</t>
        </is>
      </c>
      <c r="C449" s="327" t="inlineStr">
        <is>
          <t>ea</t>
        </is>
      </c>
      <c r="E449" s="605" t="n">
        <v>11.5</v>
      </c>
      <c r="F449" s="583">
        <f>E449*D449</f>
        <v/>
      </c>
    </row>
    <row r="450" ht="14.4" customHeight="1">
      <c r="A450" s="323" t="n"/>
      <c r="B450" s="323" t="inlineStr">
        <is>
          <t>40x32x40 E/F PE TEE</t>
        </is>
      </c>
      <c r="C450" s="327" t="inlineStr">
        <is>
          <t>ea</t>
        </is>
      </c>
      <c r="E450" s="605" t="n">
        <v>12</v>
      </c>
      <c r="F450" s="583">
        <f>E450*D450</f>
        <v/>
      </c>
    </row>
    <row r="451" ht="14.4" customHeight="1">
      <c r="A451" s="323" t="n"/>
      <c r="B451" s="323" t="inlineStr">
        <is>
          <t>40x25x40 E/F PE TEE</t>
        </is>
      </c>
      <c r="C451" s="327" t="inlineStr">
        <is>
          <t>ea</t>
        </is>
      </c>
      <c r="E451" s="605" t="n">
        <v>18.5</v>
      </c>
      <c r="F451" s="583">
        <f>E451*D451</f>
        <v/>
      </c>
    </row>
    <row r="452" ht="14.4" customHeight="1">
      <c r="A452" s="323" t="n"/>
      <c r="B452" s="323" t="inlineStr">
        <is>
          <t>40mm E/F PE Coupling</t>
        </is>
      </c>
      <c r="C452" s="327" t="inlineStr">
        <is>
          <t>ea</t>
        </is>
      </c>
      <c r="E452" s="605" t="n">
        <v>19.5</v>
      </c>
      <c r="F452" s="583">
        <f>E452*D452</f>
        <v/>
      </c>
    </row>
    <row r="453" ht="14.4" customHeight="1">
      <c r="A453" s="323" t="n"/>
      <c r="B453" s="323" t="inlineStr">
        <is>
          <t>40x32 E/F PE Reducer Coupling</t>
        </is>
      </c>
      <c r="C453" s="327" t="inlineStr">
        <is>
          <t>ea</t>
        </is>
      </c>
      <c r="E453" s="605" t="n">
        <v>4.5</v>
      </c>
      <c r="F453" s="583">
        <f>E453*D453</f>
        <v/>
      </c>
    </row>
    <row r="454" ht="14.4" customHeight="1">
      <c r="A454" s="323" t="n"/>
      <c r="B454" s="323" t="inlineStr">
        <is>
          <t>40x25 E/F PE Reducer Coupling</t>
        </is>
      </c>
      <c r="C454" s="327" t="inlineStr">
        <is>
          <t>ea</t>
        </is>
      </c>
      <c r="E454" s="605" t="n">
        <v>10.5</v>
      </c>
      <c r="F454" s="583">
        <f>E454*D454</f>
        <v/>
      </c>
    </row>
    <row r="455" ht="14.4" customHeight="1">
      <c r="A455" s="323" t="n"/>
      <c r="B455" s="323" t="inlineStr">
        <is>
          <t>40PEx32Fi E/F PE Adapter</t>
        </is>
      </c>
      <c r="C455" s="327" t="inlineStr">
        <is>
          <t>ea</t>
        </is>
      </c>
      <c r="E455" s="605" t="n">
        <v>14.5</v>
      </c>
      <c r="F455" s="583">
        <f>E455*D455</f>
        <v/>
      </c>
    </row>
    <row r="456" ht="14.4" customHeight="1">
      <c r="A456" s="323" t="n"/>
      <c r="B456" s="323" t="inlineStr">
        <is>
          <t>40PEx32Mi E/F PE Adapter</t>
        </is>
      </c>
      <c r="C456" s="327" t="inlineStr">
        <is>
          <t>ea</t>
        </is>
      </c>
      <c r="E456" s="605" t="n">
        <v>28.5</v>
      </c>
      <c r="F456" s="583">
        <f>E456*D456</f>
        <v/>
      </c>
    </row>
    <row r="457" ht="14.4" customHeight="1">
      <c r="A457" s="323" t="n"/>
      <c r="B457" s="323" t="inlineStr">
        <is>
          <t>40PEx32Fi E/F PE Tramsiton Union</t>
        </is>
      </c>
      <c r="C457" s="327" t="inlineStr">
        <is>
          <t>ea</t>
        </is>
      </c>
      <c r="E457" s="605" t="n">
        <v>29.5</v>
      </c>
      <c r="F457" s="583">
        <f>E457*D457</f>
        <v/>
      </c>
    </row>
    <row r="458" ht="14.4" customHeight="1">
      <c r="A458" s="323" t="n"/>
      <c r="B458" s="323" t="inlineStr">
        <is>
          <t>40PEx32Mi E/F PE Transition Union</t>
        </is>
      </c>
      <c r="C458" s="327" t="inlineStr">
        <is>
          <t>ea</t>
        </is>
      </c>
      <c r="E458" s="605" t="n">
        <v>36</v>
      </c>
      <c r="F458" s="583">
        <f>E458*D458</f>
        <v/>
      </c>
    </row>
    <row r="459" ht="14.4" customHeight="1">
      <c r="A459" s="323" t="n"/>
      <c r="B459" s="323" t="inlineStr">
        <is>
          <t>32mm E/F PE 90 Deg Elb</t>
        </is>
      </c>
      <c r="C459" s="327" t="inlineStr">
        <is>
          <t>ea</t>
        </is>
      </c>
      <c r="E459" s="605" t="n">
        <v>54</v>
      </c>
      <c r="F459" s="583">
        <f>E459*D459</f>
        <v/>
      </c>
    </row>
    <row r="460" ht="14.4" customHeight="1">
      <c r="A460" s="323" t="n"/>
      <c r="B460" s="323" t="inlineStr">
        <is>
          <t>32mm E/F PE 45 Deg Elb</t>
        </is>
      </c>
      <c r="C460" s="327" t="inlineStr">
        <is>
          <t>ea</t>
        </is>
      </c>
      <c r="E460" s="605" t="n">
        <v>10.5</v>
      </c>
      <c r="F460" s="583">
        <f>E460*D460</f>
        <v/>
      </c>
    </row>
    <row r="461" ht="14.4" customHeight="1">
      <c r="A461" s="323" t="n"/>
      <c r="B461" s="323" t="inlineStr">
        <is>
          <t>32mm E/F PE TEE</t>
        </is>
      </c>
      <c r="C461" s="327" t="inlineStr">
        <is>
          <t>ea</t>
        </is>
      </c>
      <c r="E461" s="605" t="n">
        <v>10</v>
      </c>
      <c r="F461" s="583">
        <f>E461*D461</f>
        <v/>
      </c>
    </row>
    <row r="462" ht="14.4" customHeight="1">
      <c r="A462" s="323" t="n"/>
      <c r="B462" s="323" t="inlineStr">
        <is>
          <t>32x25x32 E/F PE TEE</t>
        </is>
      </c>
      <c r="C462" s="327" t="inlineStr">
        <is>
          <t>ea</t>
        </is>
      </c>
      <c r="E462" s="605" t="n">
        <v>5.5</v>
      </c>
      <c r="F462" s="583">
        <f>E462*D462</f>
        <v/>
      </c>
    </row>
    <row r="463" ht="14.4" customHeight="1">
      <c r="A463" s="323" t="n"/>
      <c r="B463" s="323" t="inlineStr">
        <is>
          <t>32mm E/F PE Coupling</t>
        </is>
      </c>
      <c r="C463" s="327" t="inlineStr">
        <is>
          <t>ea</t>
        </is>
      </c>
      <c r="E463" s="605" t="n">
        <v>18</v>
      </c>
      <c r="F463" s="583">
        <f>E463*D463</f>
        <v/>
      </c>
    </row>
    <row r="464" ht="14.4" customHeight="1">
      <c r="A464" s="323" t="n"/>
      <c r="B464" s="323" t="inlineStr">
        <is>
          <t>32x25 E/F PE Reducer Coupling</t>
        </is>
      </c>
      <c r="C464" s="327" t="inlineStr">
        <is>
          <t>ea</t>
        </is>
      </c>
      <c r="E464" s="605" t="n">
        <v>4.5</v>
      </c>
      <c r="F464" s="583">
        <f>E464*D464</f>
        <v/>
      </c>
    </row>
    <row r="465" ht="14.4" customHeight="1">
      <c r="A465" s="323" t="n"/>
      <c r="B465" s="323" t="inlineStr">
        <is>
          <t>32PEx25Fi E/F PE Adapter</t>
        </is>
      </c>
      <c r="C465" s="327" t="inlineStr">
        <is>
          <t>ea</t>
        </is>
      </c>
      <c r="E465" s="605" t="n">
        <v>6.5</v>
      </c>
      <c r="F465" s="583">
        <f>E465*D465</f>
        <v/>
      </c>
    </row>
    <row r="466" ht="14.4" customHeight="1">
      <c r="A466" s="323" t="n"/>
      <c r="B466" s="323" t="inlineStr">
        <is>
          <t>32PEx25Mi E/F PE Adapter</t>
        </is>
      </c>
      <c r="C466" s="327" t="inlineStr">
        <is>
          <t>ea</t>
        </is>
      </c>
      <c r="E466" s="605" t="n">
        <v>25.5</v>
      </c>
      <c r="F466" s="583">
        <f>E466*D466</f>
        <v/>
      </c>
    </row>
    <row r="467" ht="14.4" customHeight="1">
      <c r="A467" s="323" t="n"/>
      <c r="B467" s="323" t="inlineStr">
        <is>
          <t>32mm E/F PE End Cap</t>
        </is>
      </c>
      <c r="C467" s="327" t="inlineStr">
        <is>
          <t>ea</t>
        </is>
      </c>
      <c r="E467" s="605" t="n">
        <v>22.5</v>
      </c>
      <c r="F467" s="583">
        <f>E467*D467</f>
        <v/>
      </c>
    </row>
    <row r="468" ht="14.4" customHeight="1">
      <c r="A468" s="323" t="n"/>
      <c r="B468" s="323" t="inlineStr">
        <is>
          <t>32mm E/F PE End Plug</t>
        </is>
      </c>
      <c r="C468" s="327" t="inlineStr">
        <is>
          <t>ea</t>
        </is>
      </c>
      <c r="E468" s="605" t="n">
        <v>8.5</v>
      </c>
      <c r="F468" s="583">
        <f>E468*D468</f>
        <v/>
      </c>
    </row>
    <row r="469" ht="14.4" customHeight="1">
      <c r="A469" s="323" t="n"/>
      <c r="B469" s="323" t="inlineStr">
        <is>
          <t>25mm E/F PE 90 Deg Elb</t>
        </is>
      </c>
      <c r="C469" s="327" t="inlineStr">
        <is>
          <t>ea</t>
        </is>
      </c>
      <c r="E469" s="605" t="n">
        <v>6.5</v>
      </c>
      <c r="F469" s="583">
        <f>E469*D469</f>
        <v/>
      </c>
    </row>
    <row r="470" ht="14.4" customHeight="1">
      <c r="A470" s="323" t="n"/>
      <c r="B470" s="323" t="inlineStr">
        <is>
          <t>25mm E/F PE 45 Deg Elb</t>
        </is>
      </c>
      <c r="C470" s="327" t="inlineStr">
        <is>
          <t>ea</t>
        </is>
      </c>
      <c r="E470" s="605" t="n">
        <v>10.5</v>
      </c>
      <c r="F470" s="583">
        <f>E470*D470</f>
        <v/>
      </c>
    </row>
    <row r="471" ht="14.4" customHeight="1">
      <c r="A471" s="323" t="n"/>
      <c r="B471" s="323" t="inlineStr">
        <is>
          <t>25mm E/F PE TEE</t>
        </is>
      </c>
      <c r="C471" s="327" t="inlineStr">
        <is>
          <t>ea</t>
        </is>
      </c>
      <c r="E471" s="605" t="n">
        <v>0</v>
      </c>
      <c r="F471" s="583">
        <f>E471*D471</f>
        <v/>
      </c>
    </row>
    <row r="472" ht="14.4" customHeight="1">
      <c r="A472" s="323" t="n"/>
      <c r="B472" s="323" t="inlineStr">
        <is>
          <t>25mm E/F PE Coupling</t>
        </is>
      </c>
      <c r="C472" s="327" t="inlineStr">
        <is>
          <t>ea</t>
        </is>
      </c>
      <c r="E472" s="605" t="n">
        <v>4.5</v>
      </c>
      <c r="F472" s="583">
        <f>E472*D472</f>
        <v/>
      </c>
    </row>
    <row r="473" ht="14.4" customHeight="1">
      <c r="A473" s="323" t="n"/>
      <c r="B473" s="323" t="inlineStr">
        <is>
          <t>25PEx25Fi E/F PE Adapter</t>
        </is>
      </c>
      <c r="C473" s="327" t="inlineStr">
        <is>
          <t>ea</t>
        </is>
      </c>
      <c r="E473" s="605" t="n">
        <v>4</v>
      </c>
      <c r="F473" s="583">
        <f>E473*D473</f>
        <v/>
      </c>
    </row>
    <row r="474" ht="14.4" customHeight="1">
      <c r="A474" s="323" t="n"/>
      <c r="B474" s="323" t="inlineStr">
        <is>
          <t>25PEx25Mi E/F PE Adapter</t>
        </is>
      </c>
      <c r="C474" s="327" t="inlineStr">
        <is>
          <t>ea</t>
        </is>
      </c>
      <c r="E474" s="605" t="n">
        <v>17</v>
      </c>
      <c r="F474" s="583">
        <f>E474*D474</f>
        <v/>
      </c>
    </row>
    <row r="475" ht="14.4" customHeight="1">
      <c r="A475" s="323" t="n"/>
      <c r="B475" s="323" t="inlineStr">
        <is>
          <t>25PEx20Fi E/F PE Adapter</t>
        </is>
      </c>
      <c r="C475" s="327" t="inlineStr">
        <is>
          <t>ea</t>
        </is>
      </c>
      <c r="E475" s="605" t="n">
        <v>17.5</v>
      </c>
      <c r="F475" s="583">
        <f>E475*D475</f>
        <v/>
      </c>
    </row>
    <row r="476" ht="14.4" customHeight="1">
      <c r="A476" s="323" t="n"/>
      <c r="B476" s="323" t="inlineStr">
        <is>
          <t>25PEx20Mi E/F PE Adapter</t>
        </is>
      </c>
      <c r="C476" s="327" t="inlineStr">
        <is>
          <t>ea</t>
        </is>
      </c>
      <c r="E476" s="605" t="n">
        <v>4.5</v>
      </c>
      <c r="F476" s="583">
        <f>E476*D476</f>
        <v/>
      </c>
    </row>
    <row r="477" ht="14.4" customHeight="1">
      <c r="A477" s="323" t="n"/>
      <c r="B477" s="323" t="inlineStr">
        <is>
          <t>25mm E/F PE End Cap</t>
        </is>
      </c>
      <c r="C477" s="327" t="inlineStr">
        <is>
          <t>ea</t>
        </is>
      </c>
      <c r="E477" s="605" t="n">
        <v>2</v>
      </c>
      <c r="F477" s="583">
        <f>E477*D477</f>
        <v/>
      </c>
    </row>
    <row r="478" ht="14.4" customHeight="1">
      <c r="A478" s="323" t="n"/>
      <c r="B478" s="323" t="inlineStr">
        <is>
          <t>25mm E/F PE End Plug</t>
        </is>
      </c>
      <c r="C478" s="327" t="inlineStr">
        <is>
          <t>ea</t>
        </is>
      </c>
      <c r="E478" s="605" t="n">
        <v>8.5</v>
      </c>
      <c r="F478" s="583">
        <f>E478*D478</f>
        <v/>
      </c>
    </row>
    <row r="479" ht="14.4" customHeight="1">
      <c r="A479" s="406" t="inlineStr">
        <is>
          <t>HIDDEN</t>
        </is>
      </c>
      <c r="B479" s="323" t="n"/>
      <c r="C479" s="327" t="inlineStr">
        <is>
          <t>ea</t>
        </is>
      </c>
      <c r="E479" s="605" t="n">
        <v>4</v>
      </c>
      <c r="F479" s="583">
        <f>E479*D479</f>
        <v/>
      </c>
    </row>
    <row r="480" ht="14.4" customHeight="1">
      <c r="A480" s="323" t="n"/>
      <c r="B480" s="323" t="inlineStr">
        <is>
          <t>100mm CU Crimp 90 DEG FxF Elbow</t>
        </is>
      </c>
      <c r="C480" s="327" t="n"/>
      <c r="E480" s="605" t="n"/>
      <c r="F480" s="583">
        <f>E480*D480</f>
        <v/>
      </c>
    </row>
    <row r="481" ht="14.4" customHeight="1">
      <c r="A481" s="323" t="n"/>
      <c r="B481" s="323" t="inlineStr">
        <is>
          <t>100mm CU Crimp 45 DEG FxF Elbow</t>
        </is>
      </c>
      <c r="C481" s="327" t="inlineStr">
        <is>
          <t>ea</t>
        </is>
      </c>
      <c r="E481" s="605" t="n">
        <v>137</v>
      </c>
      <c r="F481" s="583">
        <f>E481*D481</f>
        <v/>
      </c>
    </row>
    <row r="482" ht="14.4" customHeight="1">
      <c r="A482" s="323" t="n"/>
      <c r="B482" s="323" t="inlineStr">
        <is>
          <t>100mm CU Crimp Tee</t>
        </is>
      </c>
      <c r="C482" s="327" t="inlineStr">
        <is>
          <t>ea</t>
        </is>
      </c>
      <c r="E482" s="605" t="n">
        <v>139.5</v>
      </c>
      <c r="F482" s="583">
        <f>E482*D482</f>
        <v/>
      </c>
    </row>
    <row r="483" ht="14.4" customHeight="1">
      <c r="A483" s="323" t="n"/>
      <c r="B483" s="323" t="inlineStr">
        <is>
          <t>100x50x100 CU Crimp Tee</t>
        </is>
      </c>
      <c r="C483" s="327" t="inlineStr">
        <is>
          <t>ea</t>
        </is>
      </c>
      <c r="E483" s="605" t="n">
        <v>183</v>
      </c>
      <c r="F483" s="583">
        <f>E483*D483</f>
        <v/>
      </c>
    </row>
    <row r="484" ht="14.4" customHeight="1">
      <c r="A484" s="323" t="n"/>
      <c r="B484" s="323" t="inlineStr">
        <is>
          <t>100x50 CU Crimp Reducer</t>
        </is>
      </c>
      <c r="C484" s="327" t="inlineStr">
        <is>
          <t>ea</t>
        </is>
      </c>
      <c r="E484" s="605" t="n">
        <v>184.5</v>
      </c>
      <c r="F484" s="583">
        <f>E484*D484</f>
        <v/>
      </c>
    </row>
    <row r="485" ht="14.4" customHeight="1">
      <c r="A485" s="323" t="n"/>
      <c r="B485" s="323" t="inlineStr">
        <is>
          <t>100mm CU Crimp Repair Coupling</t>
        </is>
      </c>
      <c r="C485" s="327" t="inlineStr">
        <is>
          <t>ea</t>
        </is>
      </c>
      <c r="E485" s="605" t="n">
        <v>56</v>
      </c>
      <c r="F485" s="583">
        <f>E485*D485</f>
        <v/>
      </c>
    </row>
    <row r="486" ht="14.4" customHeight="1">
      <c r="A486" s="323" t="n"/>
      <c r="B486" s="323" t="inlineStr">
        <is>
          <t>100mm CU Crimp Coupling</t>
        </is>
      </c>
      <c r="C486" s="327" t="inlineStr">
        <is>
          <t>ea</t>
        </is>
      </c>
      <c r="E486" s="605" t="n">
        <v>103</v>
      </c>
      <c r="F486" s="583">
        <f>E486*D486</f>
        <v/>
      </c>
    </row>
    <row r="487" ht="14.4" customHeight="1">
      <c r="A487" s="323" t="n"/>
      <c r="B487" s="323" t="inlineStr">
        <is>
          <t>100Cu x 100Flange CU Crimp Coupling</t>
        </is>
      </c>
      <c r="C487" s="327" t="inlineStr">
        <is>
          <t>ea</t>
        </is>
      </c>
      <c r="E487" s="605" t="n">
        <v>95</v>
      </c>
      <c r="F487" s="583">
        <f>E487*D487</f>
        <v/>
      </c>
    </row>
    <row r="488" ht="14.4" customHeight="1">
      <c r="A488" s="323" t="n"/>
      <c r="B488" s="406" t="inlineStr">
        <is>
          <t>50mm CU Crimp 90 DEG FxF Elbow</t>
        </is>
      </c>
      <c r="C488" s="327" t="inlineStr">
        <is>
          <t>ea</t>
        </is>
      </c>
      <c r="E488" s="605" t="n">
        <v>99.5</v>
      </c>
      <c r="F488" s="583">
        <f>E488*D488</f>
        <v/>
      </c>
    </row>
    <row r="489" ht="14.4" customHeight="1">
      <c r="A489" s="323" t="n"/>
      <c r="B489" s="323" t="inlineStr">
        <is>
          <t>50mm CU Crimp 45 DEG FxF Elbow</t>
        </is>
      </c>
      <c r="C489" s="327" t="inlineStr">
        <is>
          <t>ea</t>
        </is>
      </c>
      <c r="E489" s="605" t="n">
        <v>33.5</v>
      </c>
      <c r="F489" s="583">
        <f>E489*D489</f>
        <v/>
      </c>
    </row>
    <row r="490" ht="14.4" customHeight="1">
      <c r="A490" s="323" t="n"/>
      <c r="B490" s="406" t="inlineStr">
        <is>
          <t>50mm CU Crimp Tee</t>
        </is>
      </c>
      <c r="C490" s="327" t="inlineStr">
        <is>
          <t>ea</t>
        </is>
      </c>
      <c r="E490" s="605" t="n">
        <v>33</v>
      </c>
      <c r="F490" s="583">
        <f>E490*D490</f>
        <v/>
      </c>
    </row>
    <row r="491" ht="14.4" customHeight="1">
      <c r="A491" s="323" t="n"/>
      <c r="B491" s="323" t="inlineStr">
        <is>
          <t>50x40x50 CU Crimp Tee</t>
        </is>
      </c>
      <c r="C491" s="327" t="inlineStr">
        <is>
          <t>ea</t>
        </is>
      </c>
      <c r="E491" s="605" t="n">
        <v>60.5</v>
      </c>
      <c r="F491" s="583">
        <f>E491*D491</f>
        <v/>
      </c>
    </row>
    <row r="492" ht="14.4" customHeight="1">
      <c r="A492" s="323" t="n"/>
      <c r="B492" s="323" t="inlineStr">
        <is>
          <t>50x40x40 CU Crimp Tee</t>
        </is>
      </c>
      <c r="C492" s="327" t="inlineStr">
        <is>
          <t>ea</t>
        </is>
      </c>
      <c r="E492" s="605" t="n">
        <v>61</v>
      </c>
      <c r="F492" s="583">
        <f>E492*D492</f>
        <v/>
      </c>
    </row>
    <row r="493" ht="14.4" customHeight="1">
      <c r="A493" s="323" t="n"/>
      <c r="B493" s="323" t="inlineStr">
        <is>
          <t>50x32x50 CU Crimp Tee</t>
        </is>
      </c>
      <c r="C493" s="327" t="inlineStr">
        <is>
          <t>ea</t>
        </is>
      </c>
      <c r="E493" s="605" t="n">
        <v>65</v>
      </c>
      <c r="F493" s="583">
        <f>E493*D493</f>
        <v/>
      </c>
    </row>
    <row r="494" ht="14.4" customHeight="1">
      <c r="A494" s="323" t="n"/>
      <c r="B494" s="323" t="inlineStr">
        <is>
          <t>50x32x32 CU Crimp Tee</t>
        </is>
      </c>
      <c r="C494" s="327" t="inlineStr">
        <is>
          <t>ea</t>
        </is>
      </c>
      <c r="E494" s="605" t="n">
        <v>65</v>
      </c>
      <c r="F494" s="583">
        <f>E494*D494</f>
        <v/>
      </c>
    </row>
    <row r="495" ht="14.4" customHeight="1">
      <c r="A495" s="323" t="n"/>
      <c r="B495" s="323" t="inlineStr">
        <is>
          <t>50x32x40 CU Crimp Tee</t>
        </is>
      </c>
      <c r="C495" s="327" t="inlineStr">
        <is>
          <t>ea</t>
        </is>
      </c>
      <c r="E495" s="605" t="n">
        <v>65</v>
      </c>
      <c r="F495" s="583">
        <f>E495*D495</f>
        <v/>
      </c>
    </row>
    <row r="496" ht="14.4" customHeight="1">
      <c r="A496" s="323" t="n"/>
      <c r="B496" s="323" t="inlineStr">
        <is>
          <t>50x25x50 CU Crimp Tee</t>
        </is>
      </c>
      <c r="C496" s="327" t="inlineStr">
        <is>
          <t>ea</t>
        </is>
      </c>
      <c r="E496" s="605" t="n">
        <v>65</v>
      </c>
      <c r="F496" s="583">
        <f>E496*D496</f>
        <v/>
      </c>
    </row>
    <row r="497" ht="14.4" customHeight="1">
      <c r="A497" s="323" t="n"/>
      <c r="B497" s="323" t="inlineStr">
        <is>
          <t>50x20x50 CU Crimp Tee</t>
        </is>
      </c>
      <c r="C497" s="327" t="inlineStr">
        <is>
          <t>ea</t>
        </is>
      </c>
      <c r="E497" s="605" t="n">
        <v>45</v>
      </c>
      <c r="F497" s="583">
        <f>E497*D497</f>
        <v/>
      </c>
    </row>
    <row r="498" ht="14.4" customHeight="1">
      <c r="A498" s="323" t="n"/>
      <c r="B498" s="323" t="inlineStr">
        <is>
          <t>50x15x50 CU Crimp Tee</t>
        </is>
      </c>
      <c r="C498" s="327" t="inlineStr">
        <is>
          <t>ea</t>
        </is>
      </c>
      <c r="E498" s="605" t="n">
        <v>55</v>
      </c>
      <c r="F498" s="583">
        <f>E498*D498</f>
        <v/>
      </c>
    </row>
    <row r="499" ht="14.4" customHeight="1">
      <c r="A499" s="323" t="n"/>
      <c r="B499" s="406" t="inlineStr">
        <is>
          <t>50x40 CU Crimp Reducer</t>
        </is>
      </c>
      <c r="C499" s="327" t="inlineStr">
        <is>
          <t>ea</t>
        </is>
      </c>
      <c r="E499" s="605" t="n">
        <v>55</v>
      </c>
      <c r="F499" s="583">
        <f>E499*D499</f>
        <v/>
      </c>
    </row>
    <row r="500" ht="14.4" customHeight="1">
      <c r="A500" s="323" t="n"/>
      <c r="B500" s="323" t="inlineStr">
        <is>
          <t>50x32 CU Crimp Reducer</t>
        </is>
      </c>
      <c r="C500" s="327" t="inlineStr">
        <is>
          <t>ea</t>
        </is>
      </c>
      <c r="E500" s="605" t="n">
        <v>21.5</v>
      </c>
      <c r="F500" s="583">
        <f>E500*D500</f>
        <v/>
      </c>
    </row>
    <row r="501" ht="14.4" customHeight="1">
      <c r="A501" s="323" t="n"/>
      <c r="B501" s="323" t="inlineStr">
        <is>
          <t>50x25 CU Crimp Reducer</t>
        </is>
      </c>
      <c r="C501" s="327" t="inlineStr">
        <is>
          <t>ea</t>
        </is>
      </c>
      <c r="E501" s="605" t="n">
        <v>25</v>
      </c>
      <c r="F501" s="583">
        <f>E501*D501</f>
        <v/>
      </c>
    </row>
    <row r="502" ht="14.4" customHeight="1">
      <c r="A502" s="323" t="n"/>
      <c r="B502" s="323" t="inlineStr">
        <is>
          <t>50x20 CU Crimp Reducer</t>
        </is>
      </c>
      <c r="C502" s="327" t="inlineStr">
        <is>
          <t>ea</t>
        </is>
      </c>
      <c r="E502" s="605" t="n">
        <v>22</v>
      </c>
      <c r="F502" s="583">
        <f>E502*D502</f>
        <v/>
      </c>
    </row>
    <row r="503" ht="14.4" customHeight="1">
      <c r="A503" s="323" t="n"/>
      <c r="B503" s="323" t="inlineStr">
        <is>
          <t>50x15 CU Crimp Reducer</t>
        </is>
      </c>
      <c r="C503" s="327" t="inlineStr">
        <is>
          <t>ea</t>
        </is>
      </c>
      <c r="E503" s="605" t="n">
        <v>22</v>
      </c>
      <c r="F503" s="583">
        <f>E503*D503</f>
        <v/>
      </c>
    </row>
    <row r="504" ht="14.4" customHeight="1">
      <c r="A504" s="323" t="n"/>
      <c r="B504" s="323" t="inlineStr">
        <is>
          <t>50Cu x 50Mi CU Crimp Adapter</t>
        </is>
      </c>
      <c r="C504" s="327" t="inlineStr">
        <is>
          <t>ea</t>
        </is>
      </c>
      <c r="E504" s="605" t="n">
        <v>22</v>
      </c>
      <c r="F504" s="583">
        <f>E504*D504</f>
        <v/>
      </c>
    </row>
    <row r="505" ht="14.4" customHeight="1">
      <c r="A505" s="323" t="n"/>
      <c r="B505" s="323" t="inlineStr">
        <is>
          <t>50Cu x 50Fi CU Crimp Adapter</t>
        </is>
      </c>
      <c r="C505" s="327" t="inlineStr">
        <is>
          <t>ea</t>
        </is>
      </c>
      <c r="E505" s="605" t="n">
        <v>78</v>
      </c>
      <c r="F505" s="583">
        <f>E505*D505</f>
        <v/>
      </c>
    </row>
    <row r="506" ht="14.4" customHeight="1">
      <c r="A506" s="323" t="n"/>
      <c r="B506" s="323" t="inlineStr">
        <is>
          <t>50mm CU Crimp Repair Coupling</t>
        </is>
      </c>
      <c r="C506" s="327" t="inlineStr">
        <is>
          <t>ea</t>
        </is>
      </c>
      <c r="E506" s="605" t="n">
        <v>89</v>
      </c>
      <c r="F506" s="583">
        <f>E506*D506</f>
        <v/>
      </c>
    </row>
    <row r="507" ht="14.4" customHeight="1">
      <c r="A507" s="323" t="n"/>
      <c r="B507" s="323" t="inlineStr">
        <is>
          <t>50mm CU Crimp Coupling</t>
        </is>
      </c>
      <c r="C507" s="327" t="inlineStr">
        <is>
          <t>ea</t>
        </is>
      </c>
      <c r="E507" s="605" t="n">
        <v>21</v>
      </c>
      <c r="F507" s="583">
        <f>E507*D507</f>
        <v/>
      </c>
    </row>
    <row r="508" ht="14.4" customHeight="1">
      <c r="A508" s="323" t="n"/>
      <c r="B508" s="323" t="inlineStr">
        <is>
          <t>50Cu x 50Flange CU Crimp Coupling</t>
        </is>
      </c>
      <c r="C508" s="327" t="inlineStr">
        <is>
          <t>ea</t>
        </is>
      </c>
      <c r="E508" s="605" t="n">
        <v>21</v>
      </c>
      <c r="F508" s="583">
        <f>E508*D508</f>
        <v/>
      </c>
    </row>
    <row r="509" ht="14.4" customHeight="1">
      <c r="A509" s="323" t="n"/>
      <c r="B509" s="323" t="inlineStr">
        <is>
          <t>50mm CU Crimp Cap</t>
        </is>
      </c>
      <c r="C509" s="327" t="inlineStr">
        <is>
          <t>ea</t>
        </is>
      </c>
      <c r="E509" s="605" t="n">
        <v>0</v>
      </c>
      <c r="F509" s="583">
        <f>E509*D509</f>
        <v/>
      </c>
    </row>
    <row r="510" ht="14.4" customHeight="1">
      <c r="A510" s="323" t="n"/>
      <c r="B510" s="323" t="inlineStr">
        <is>
          <t>50Cu x W69/Barrell Barrell Union CU Crimp</t>
        </is>
      </c>
      <c r="C510" s="327" t="inlineStr">
        <is>
          <t>ea</t>
        </is>
      </c>
      <c r="E510" s="605" t="n">
        <v>0</v>
      </c>
      <c r="F510" s="583">
        <f>E510*D510</f>
        <v/>
      </c>
    </row>
    <row r="511" ht="14.4" customHeight="1">
      <c r="A511" s="323" t="n"/>
      <c r="B511" s="406" t="inlineStr">
        <is>
          <t>40mm CU Crimp 90 DEG FxF Elbow</t>
        </is>
      </c>
      <c r="C511" s="327" t="inlineStr">
        <is>
          <t>ea</t>
        </is>
      </c>
      <c r="E511" s="605" t="n">
        <v>0</v>
      </c>
      <c r="F511" s="583">
        <f>E511*D511</f>
        <v/>
      </c>
    </row>
    <row r="512" ht="14.4" customHeight="1">
      <c r="A512" s="323" t="n"/>
      <c r="B512" s="323" t="inlineStr">
        <is>
          <t>40mm CU Crimp 45 DEG FxF Elbow</t>
        </is>
      </c>
      <c r="C512" s="327" t="inlineStr">
        <is>
          <t>ea</t>
        </is>
      </c>
      <c r="E512" s="605" t="n">
        <v>0</v>
      </c>
      <c r="F512" s="583">
        <f>E512*D512</f>
        <v/>
      </c>
    </row>
    <row r="513" ht="14.4" customHeight="1">
      <c r="A513" s="323" t="n"/>
      <c r="B513" s="323" t="inlineStr">
        <is>
          <t>40mm CU Crimp 90 DEG MxF Elbow</t>
        </is>
      </c>
      <c r="C513" s="327" t="inlineStr">
        <is>
          <t>ea</t>
        </is>
      </c>
      <c r="E513" s="605" t="n">
        <v>0</v>
      </c>
      <c r="F513" s="583">
        <f>E513*D513</f>
        <v/>
      </c>
    </row>
    <row r="514" ht="14.4" customHeight="1">
      <c r="A514" s="323" t="n"/>
      <c r="B514" s="323" t="inlineStr">
        <is>
          <t>40mm CU Crimp 45 DEG MxF Elbow</t>
        </is>
      </c>
      <c r="C514" s="327" t="inlineStr">
        <is>
          <t>ea</t>
        </is>
      </c>
      <c r="E514" s="605" t="n">
        <v>0</v>
      </c>
      <c r="F514" s="583">
        <f>E514*D514</f>
        <v/>
      </c>
    </row>
    <row r="515" ht="14.4" customHeight="1">
      <c r="A515" s="323" t="n"/>
      <c r="B515" s="323" t="inlineStr">
        <is>
          <t>40mm CU Crimp Tee</t>
        </is>
      </c>
      <c r="C515" s="327" t="inlineStr">
        <is>
          <t>ea</t>
        </is>
      </c>
      <c r="E515" s="605" t="n">
        <v>0</v>
      </c>
      <c r="F515" s="583">
        <f>E515*D515</f>
        <v/>
      </c>
    </row>
    <row r="516" ht="14.4" customHeight="1">
      <c r="A516" s="323" t="n"/>
      <c r="B516" s="323" t="inlineStr">
        <is>
          <t>40x32x40 CU Crimp Tee</t>
        </is>
      </c>
      <c r="C516" s="327" t="inlineStr">
        <is>
          <t>ea</t>
        </is>
      </c>
      <c r="E516" s="605" t="n">
        <v>0</v>
      </c>
      <c r="F516" s="583">
        <f>E516*D516</f>
        <v/>
      </c>
    </row>
    <row r="517" ht="14.4" customHeight="1">
      <c r="A517" s="323" t="n"/>
      <c r="B517" s="323" t="inlineStr">
        <is>
          <t>40x32x32 CU Crimp Tee</t>
        </is>
      </c>
      <c r="C517" s="327" t="inlineStr">
        <is>
          <t>ea</t>
        </is>
      </c>
      <c r="E517" s="605" t="n">
        <v>0</v>
      </c>
      <c r="F517" s="583">
        <f>E517*D517</f>
        <v/>
      </c>
    </row>
    <row r="518" ht="14.4" customHeight="1">
      <c r="A518" s="323" t="n"/>
      <c r="B518" s="323" t="inlineStr">
        <is>
          <t>40x32x25 CU Crimp Tee</t>
        </is>
      </c>
      <c r="C518" s="327" t="inlineStr">
        <is>
          <t>ea</t>
        </is>
      </c>
      <c r="E518" s="605" t="n">
        <v>0</v>
      </c>
      <c r="F518" s="583">
        <f>E518*D518</f>
        <v/>
      </c>
    </row>
    <row r="519" ht="14.4" customHeight="1">
      <c r="A519" s="323" t="n"/>
      <c r="B519" s="323" t="inlineStr">
        <is>
          <t>40x25x40 CU Crimp Tee</t>
        </is>
      </c>
      <c r="C519" s="327" t="inlineStr">
        <is>
          <t>ea</t>
        </is>
      </c>
      <c r="E519" s="605" t="n">
        <v>0</v>
      </c>
      <c r="F519" s="583">
        <f>E519*D519</f>
        <v/>
      </c>
    </row>
    <row r="520" ht="14.4" customHeight="1">
      <c r="A520" s="323" t="n"/>
      <c r="B520" s="323" t="inlineStr">
        <is>
          <t>40x25x20 CU Crimp Tee</t>
        </is>
      </c>
      <c r="C520" s="327" t="inlineStr">
        <is>
          <t>ea</t>
        </is>
      </c>
      <c r="E520" s="605" t="n">
        <v>0</v>
      </c>
      <c r="F520" s="583">
        <f>E520*D520</f>
        <v/>
      </c>
    </row>
    <row r="521" ht="14.4" customHeight="1">
      <c r="A521" s="323" t="n"/>
      <c r="B521" s="323" t="inlineStr">
        <is>
          <t>40x20x40 CU Crimp Tee</t>
        </is>
      </c>
      <c r="C521" s="327" t="inlineStr">
        <is>
          <t>ea</t>
        </is>
      </c>
      <c r="E521" s="605" t="n">
        <v>0</v>
      </c>
      <c r="F521" s="583">
        <f>E521*D521</f>
        <v/>
      </c>
    </row>
    <row r="522" ht="14.4" customHeight="1">
      <c r="A522" s="323" t="n"/>
      <c r="B522" s="323" t="inlineStr">
        <is>
          <t>40x15x40 CU Crimp Tee</t>
        </is>
      </c>
      <c r="C522" s="327" t="inlineStr">
        <is>
          <t>ea</t>
        </is>
      </c>
      <c r="E522" s="605" t="n">
        <v>0</v>
      </c>
      <c r="F522" s="583">
        <f>E522*D522</f>
        <v/>
      </c>
    </row>
    <row r="523" ht="14.4" customHeight="1">
      <c r="A523" s="323" t="n"/>
      <c r="B523" s="323" t="inlineStr">
        <is>
          <t>40x32 CU Crimp Reducer</t>
        </is>
      </c>
      <c r="C523" s="327" t="inlineStr">
        <is>
          <t>ea</t>
        </is>
      </c>
      <c r="E523" s="605" t="n">
        <v>0</v>
      </c>
      <c r="F523" s="583">
        <f>E523*D523</f>
        <v/>
      </c>
    </row>
    <row r="524" ht="14.4" customHeight="1">
      <c r="A524" s="323" t="n"/>
      <c r="B524" s="323" t="inlineStr">
        <is>
          <t>40x25 CU Crimp Reducer</t>
        </is>
      </c>
      <c r="C524" s="327" t="inlineStr">
        <is>
          <t>ea</t>
        </is>
      </c>
      <c r="E524" s="605" t="n">
        <v>0</v>
      </c>
      <c r="F524" s="583">
        <f>E524*D524</f>
        <v/>
      </c>
    </row>
    <row r="525" ht="14.4" customHeight="1">
      <c r="A525" s="323" t="n"/>
      <c r="B525" s="323" t="inlineStr">
        <is>
          <t>40x20 CU Crimp Reducer</t>
        </is>
      </c>
      <c r="C525" s="327" t="inlineStr">
        <is>
          <t>ea</t>
        </is>
      </c>
      <c r="E525" s="605" t="n">
        <v>0</v>
      </c>
      <c r="F525" s="583">
        <f>E525*D525</f>
        <v/>
      </c>
    </row>
    <row r="526" ht="14.4" customHeight="1">
      <c r="A526" s="323" t="n"/>
      <c r="B526" s="323" t="inlineStr">
        <is>
          <t>40x15 CU Crimp Reducer</t>
        </is>
      </c>
      <c r="C526" s="327" t="inlineStr">
        <is>
          <t>ea</t>
        </is>
      </c>
      <c r="E526" s="605" t="n">
        <v>0</v>
      </c>
      <c r="F526" s="583">
        <f>E526*D526</f>
        <v/>
      </c>
    </row>
    <row r="527" ht="14.4" customHeight="1">
      <c r="A527" s="323" t="n"/>
      <c r="B527" s="323" t="inlineStr">
        <is>
          <t>40Cu x 40Mi CU Crimp Adapter</t>
        </is>
      </c>
      <c r="C527" s="327" t="inlineStr">
        <is>
          <t>ea</t>
        </is>
      </c>
      <c r="E527" s="605" t="n">
        <v>0</v>
      </c>
      <c r="F527" s="583">
        <f>E527*D527</f>
        <v/>
      </c>
    </row>
    <row r="528" ht="14.4" customHeight="1">
      <c r="A528" s="323" t="n"/>
      <c r="B528" s="323" t="inlineStr">
        <is>
          <t>40Cu x 40Fi CU Crimp Adapter</t>
        </is>
      </c>
      <c r="C528" s="327" t="inlineStr">
        <is>
          <t>ea</t>
        </is>
      </c>
      <c r="E528" s="605" t="n">
        <v>0</v>
      </c>
      <c r="F528" s="583">
        <f>E528*D528</f>
        <v/>
      </c>
    </row>
    <row r="529" ht="14.4" customHeight="1">
      <c r="A529" s="323" t="n"/>
      <c r="B529" s="323" t="inlineStr">
        <is>
          <t>40mm CU Crimp Repair Coupling</t>
        </is>
      </c>
      <c r="C529" s="327" t="inlineStr">
        <is>
          <t>ea</t>
        </is>
      </c>
      <c r="E529" s="605" t="n">
        <v>0</v>
      </c>
      <c r="F529" s="583">
        <f>E529*D529</f>
        <v/>
      </c>
    </row>
    <row r="530" ht="14.4" customHeight="1">
      <c r="A530" s="323" t="n"/>
      <c r="B530" s="323" t="inlineStr">
        <is>
          <t>40mm CU Crimp Coupling</t>
        </is>
      </c>
      <c r="C530" s="327" t="inlineStr">
        <is>
          <t>ea</t>
        </is>
      </c>
      <c r="E530" s="605" t="n">
        <v>0</v>
      </c>
      <c r="F530" s="583">
        <f>E530*D530</f>
        <v/>
      </c>
    </row>
    <row r="531" ht="14.4" customHeight="1">
      <c r="A531" s="323" t="n"/>
      <c r="B531" s="323" t="inlineStr">
        <is>
          <t>40Cu x 40Flange CU Crimp Coupling</t>
        </is>
      </c>
      <c r="C531" s="327" t="inlineStr">
        <is>
          <t>ea</t>
        </is>
      </c>
      <c r="E531" s="605" t="n">
        <v>0</v>
      </c>
      <c r="F531" s="583">
        <f>E531*D531</f>
        <v/>
      </c>
    </row>
    <row r="532" ht="14.4" customHeight="1">
      <c r="A532" s="323" t="n"/>
      <c r="B532" s="323" t="inlineStr">
        <is>
          <t>40mm CU Crimp Cap</t>
        </is>
      </c>
      <c r="C532" s="327" t="inlineStr">
        <is>
          <t>ea</t>
        </is>
      </c>
      <c r="E532" s="605" t="n">
        <v>0</v>
      </c>
      <c r="F532" s="583">
        <f>E532*D532</f>
        <v/>
      </c>
    </row>
    <row r="533" ht="14.4" customHeight="1">
      <c r="A533" s="323" t="n"/>
      <c r="B533" s="323" t="inlineStr">
        <is>
          <t>40Cu x W69/Barrell Barrell Union CU Crimp</t>
        </is>
      </c>
      <c r="C533" s="327" t="inlineStr">
        <is>
          <t>ea</t>
        </is>
      </c>
      <c r="E533" s="605" t="n">
        <v>0</v>
      </c>
      <c r="F533" s="583">
        <f>E533*D533</f>
        <v/>
      </c>
    </row>
    <row r="534" ht="14.4" customHeight="1">
      <c r="A534" s="323" t="n"/>
      <c r="B534" s="406" t="inlineStr">
        <is>
          <t>32mm CU Crimp 90 DEG FxF Elbow</t>
        </is>
      </c>
      <c r="C534" s="327" t="inlineStr">
        <is>
          <t>ea</t>
        </is>
      </c>
      <c r="E534" s="605" t="n">
        <v>0</v>
      </c>
      <c r="F534" s="583">
        <f>E534*D534</f>
        <v/>
      </c>
    </row>
    <row r="535" ht="14.4" customHeight="1">
      <c r="A535" s="323" t="n"/>
      <c r="B535" s="323" t="inlineStr">
        <is>
          <t>32mm CU Crimp 45 DEG FxF Elbow</t>
        </is>
      </c>
      <c r="C535" s="327" t="inlineStr">
        <is>
          <t>ea</t>
        </is>
      </c>
      <c r="E535" s="605" t="n">
        <v>0</v>
      </c>
      <c r="F535" s="583">
        <f>E535*D535</f>
        <v/>
      </c>
    </row>
    <row r="536" ht="14.4" customHeight="1">
      <c r="A536" s="323" t="n"/>
      <c r="B536" s="323" t="inlineStr">
        <is>
          <t>32mm CU Crimp 90 DEG MxF Elbow</t>
        </is>
      </c>
      <c r="C536" s="327" t="inlineStr">
        <is>
          <t>ea</t>
        </is>
      </c>
      <c r="E536" s="605" t="n">
        <v>0</v>
      </c>
      <c r="F536" s="583">
        <f>E536*D536</f>
        <v/>
      </c>
    </row>
    <row r="537" ht="14.4" customHeight="1">
      <c r="A537" s="323" t="n"/>
      <c r="B537" s="406" t="inlineStr">
        <is>
          <t>32mm CU Crimp 45 DEG MxF Elbow</t>
        </is>
      </c>
      <c r="C537" s="327" t="inlineStr">
        <is>
          <t>ea</t>
        </is>
      </c>
      <c r="E537" s="605" t="n">
        <v>0</v>
      </c>
      <c r="F537" s="583">
        <f>E537*D537</f>
        <v/>
      </c>
    </row>
    <row r="538" ht="14.4" customHeight="1">
      <c r="A538" s="323" t="n"/>
      <c r="B538" s="406" t="inlineStr">
        <is>
          <t>32mm CU Crimp Tee</t>
        </is>
      </c>
      <c r="C538" s="327" t="inlineStr">
        <is>
          <t>ea</t>
        </is>
      </c>
      <c r="E538" s="605" t="n">
        <v>0</v>
      </c>
      <c r="F538" s="583">
        <f>E538*D538</f>
        <v/>
      </c>
    </row>
    <row r="539" ht="14.4" customHeight="1">
      <c r="A539" s="323" t="n"/>
      <c r="B539" s="323" t="inlineStr">
        <is>
          <t>32x25x32 CU Crimp Tee</t>
        </is>
      </c>
      <c r="C539" s="327" t="inlineStr">
        <is>
          <t>ea</t>
        </is>
      </c>
      <c r="E539" s="605" t="n">
        <v>18.54</v>
      </c>
      <c r="F539" s="583">
        <f>E539*D539</f>
        <v/>
      </c>
    </row>
    <row r="540" ht="14.4" customHeight="1">
      <c r="A540" s="323" t="n"/>
      <c r="B540" s="323" t="inlineStr">
        <is>
          <t>32x25x20 CU Crimp Tee</t>
        </is>
      </c>
      <c r="C540" s="327" t="inlineStr">
        <is>
          <t>ea</t>
        </is>
      </c>
      <c r="E540" s="605" t="n">
        <v>0</v>
      </c>
      <c r="F540" s="583">
        <f>E540*D540</f>
        <v/>
      </c>
    </row>
    <row r="541" ht="14.4" customHeight="1">
      <c r="A541" s="323" t="n"/>
      <c r="B541" s="323" t="inlineStr">
        <is>
          <t>32x20x32 CU Crimp Tee</t>
        </is>
      </c>
      <c r="C541" s="327" t="inlineStr">
        <is>
          <t>ea</t>
        </is>
      </c>
      <c r="E541" s="605" t="n">
        <v>0</v>
      </c>
      <c r="F541" s="583">
        <f>E541*D541</f>
        <v/>
      </c>
    </row>
    <row r="542" ht="14.4" customHeight="1">
      <c r="A542" s="323" t="n"/>
      <c r="B542" s="323" t="inlineStr">
        <is>
          <t>32x20x20 CU Crimp Tee</t>
        </is>
      </c>
      <c r="C542" s="327" t="inlineStr">
        <is>
          <t>ea</t>
        </is>
      </c>
      <c r="E542" s="605" t="n">
        <v>18.35</v>
      </c>
      <c r="F542" s="583">
        <f>E542*D542</f>
        <v/>
      </c>
    </row>
    <row r="543" ht="14.4" customHeight="1">
      <c r="A543" s="323" t="n"/>
      <c r="B543" s="323" t="inlineStr">
        <is>
          <t>32x20x15 CU Crimp Tee</t>
        </is>
      </c>
      <c r="C543" s="327" t="inlineStr">
        <is>
          <t>ea</t>
        </is>
      </c>
      <c r="E543" s="605" t="n">
        <v>0</v>
      </c>
      <c r="F543" s="583">
        <f>E543*D543</f>
        <v/>
      </c>
    </row>
    <row r="544" ht="14.4" customHeight="1">
      <c r="A544" s="323" t="n"/>
      <c r="B544" s="323" t="inlineStr">
        <is>
          <t>32x15x32 CU Crimp Tee</t>
        </is>
      </c>
      <c r="C544" s="327" t="inlineStr">
        <is>
          <t>ea</t>
        </is>
      </c>
      <c r="E544" s="605" t="n">
        <v>0</v>
      </c>
      <c r="F544" s="583">
        <f>E544*D544</f>
        <v/>
      </c>
    </row>
    <row r="545" ht="14.4" customHeight="1">
      <c r="A545" s="323" t="n"/>
      <c r="B545" s="323" t="inlineStr">
        <is>
          <t>32x15x25 CU Crimp Tee</t>
        </is>
      </c>
      <c r="C545" s="327" t="inlineStr">
        <is>
          <t>ea</t>
        </is>
      </c>
      <c r="E545" s="605" t="n">
        <v>0</v>
      </c>
      <c r="F545" s="583">
        <f>E545*D545</f>
        <v/>
      </c>
    </row>
    <row r="546" ht="14.4" customHeight="1">
      <c r="A546" s="323" t="n"/>
      <c r="B546" s="323" t="inlineStr">
        <is>
          <t>32x15x20 CU Crimp Tee</t>
        </is>
      </c>
      <c r="C546" s="327" t="inlineStr">
        <is>
          <t>ea</t>
        </is>
      </c>
      <c r="E546" s="605" t="n">
        <v>0</v>
      </c>
      <c r="F546" s="583">
        <f>E546*D546</f>
        <v/>
      </c>
    </row>
    <row r="547" ht="14.4" customHeight="1">
      <c r="A547" s="323" t="n"/>
      <c r="B547" s="323" t="inlineStr">
        <is>
          <t>32x15x15 CU Crimp Tee</t>
        </is>
      </c>
      <c r="C547" s="327" t="inlineStr">
        <is>
          <t>ea</t>
        </is>
      </c>
      <c r="E547" s="605" t="n">
        <v>0</v>
      </c>
      <c r="F547" s="583">
        <f>E547*D547</f>
        <v/>
      </c>
    </row>
    <row r="548" ht="14.4" customHeight="1">
      <c r="A548" s="323" t="n"/>
      <c r="B548" s="406" t="inlineStr">
        <is>
          <t>COUPLING RED CU KEMPRESS WATER 32MM X 25MM</t>
        </is>
      </c>
      <c r="C548" s="327" t="inlineStr">
        <is>
          <t>ea</t>
        </is>
      </c>
      <c r="E548" s="605" t="n">
        <v>0</v>
      </c>
      <c r="F548" s="583">
        <f>E548*D548</f>
        <v/>
      </c>
    </row>
    <row r="549" ht="14.4" customHeight="1">
      <c r="A549" s="323" t="n"/>
      <c r="B549" s="323" t="inlineStr">
        <is>
          <t>32x20 CU Crimp Reducer</t>
        </is>
      </c>
      <c r="C549" s="327" t="inlineStr">
        <is>
          <t>ea</t>
        </is>
      </c>
      <c r="E549" s="605" t="n">
        <v>16.33</v>
      </c>
      <c r="F549" s="583">
        <f>E549*D549</f>
        <v/>
      </c>
    </row>
    <row r="550" ht="14.4" customHeight="1">
      <c r="A550" s="323" t="n"/>
      <c r="B550" s="323" t="inlineStr">
        <is>
          <t>32x15 CU Crimp Reducer</t>
        </is>
      </c>
      <c r="C550" s="327" t="inlineStr">
        <is>
          <t>ea</t>
        </is>
      </c>
      <c r="E550" s="605" t="n">
        <v>0</v>
      </c>
      <c r="F550" s="583">
        <f>E550*D550</f>
        <v/>
      </c>
    </row>
    <row r="551" ht="14.4" customHeight="1">
      <c r="A551" s="323" t="n"/>
      <c r="B551" s="323" t="inlineStr">
        <is>
          <t>32Cu x 32Mi CU Crimp Adapter</t>
        </is>
      </c>
      <c r="C551" s="327" t="inlineStr">
        <is>
          <t>ea</t>
        </is>
      </c>
      <c r="E551" s="605" t="n">
        <v>0</v>
      </c>
      <c r="F551" s="583">
        <f>E551*D551</f>
        <v/>
      </c>
    </row>
    <row r="552" ht="14.4" customHeight="1">
      <c r="A552" s="323" t="n"/>
      <c r="B552" s="323" t="inlineStr">
        <is>
          <t>32Cu x 32Fi CU Crimp Adapter</t>
        </is>
      </c>
      <c r="C552" s="327" t="inlineStr">
        <is>
          <t>ea</t>
        </is>
      </c>
      <c r="E552" s="605" t="n">
        <v>0</v>
      </c>
      <c r="F552" s="583">
        <f>E552*D552</f>
        <v/>
      </c>
    </row>
    <row r="553" ht="14.4" customHeight="1">
      <c r="A553" s="323" t="n"/>
      <c r="B553" s="323" t="inlineStr">
        <is>
          <t>32mm CU Crimp Repair Coupling</t>
        </is>
      </c>
      <c r="C553" s="327" t="inlineStr">
        <is>
          <t>ea</t>
        </is>
      </c>
      <c r="E553" s="605" t="n">
        <v>0</v>
      </c>
      <c r="F553" s="583">
        <f>E553*D553</f>
        <v/>
      </c>
    </row>
    <row r="554" ht="14.4" customHeight="1">
      <c r="A554" s="323" t="n"/>
      <c r="B554" s="323" t="inlineStr">
        <is>
          <t>32mm CU Crimp Coupling</t>
        </is>
      </c>
      <c r="C554" s="327" t="inlineStr">
        <is>
          <t>ea</t>
        </is>
      </c>
      <c r="E554" s="605" t="n">
        <v>0</v>
      </c>
      <c r="F554" s="583">
        <f>E554*D554</f>
        <v/>
      </c>
    </row>
    <row r="555" ht="14.4" customHeight="1">
      <c r="A555" s="323" t="n"/>
      <c r="B555" s="323" t="inlineStr">
        <is>
          <t>32mm CU Crimp Cap</t>
        </is>
      </c>
      <c r="C555" s="327" t="inlineStr">
        <is>
          <t>ea</t>
        </is>
      </c>
      <c r="E555" s="605" t="n">
        <v>0</v>
      </c>
      <c r="F555" s="583">
        <f>E555*D555</f>
        <v/>
      </c>
    </row>
    <row r="556" ht="14.4" customHeight="1">
      <c r="A556" s="323" t="n"/>
      <c r="B556" s="323" t="inlineStr">
        <is>
          <t>32Cu x W69/Barrell Barrell Union CU Crimp</t>
        </is>
      </c>
      <c r="C556" s="327" t="inlineStr">
        <is>
          <t>ea</t>
        </is>
      </c>
      <c r="E556" s="605" t="n">
        <v>0</v>
      </c>
      <c r="F556" s="583">
        <f>E556*D556</f>
        <v/>
      </c>
    </row>
    <row r="557" ht="14.4" customHeight="1">
      <c r="A557" s="323" t="n"/>
      <c r="B557" s="323" t="inlineStr">
        <is>
          <t>25mm CU Crimp 90 DEG FxF Elbow</t>
        </is>
      </c>
      <c r="C557" s="327" t="inlineStr">
        <is>
          <t>ea</t>
        </is>
      </c>
      <c r="E557" s="605" t="n">
        <v>0</v>
      </c>
      <c r="F557" s="583">
        <f>E557*D557</f>
        <v/>
      </c>
    </row>
    <row r="558" ht="14.4" customHeight="1">
      <c r="A558" s="323" t="n"/>
      <c r="B558" s="323" t="inlineStr">
        <is>
          <t>25mm CU Crimp 45 DEG FxF Elbow</t>
        </is>
      </c>
      <c r="C558" s="327" t="inlineStr">
        <is>
          <t>ea</t>
        </is>
      </c>
      <c r="E558" s="605" t="n">
        <v>0</v>
      </c>
      <c r="F558" s="583">
        <f>E558*D558</f>
        <v/>
      </c>
    </row>
    <row r="559" ht="14.4" customHeight="1">
      <c r="A559" s="323" t="n"/>
      <c r="B559" s="323" t="inlineStr">
        <is>
          <t>25mm CU Crimp 90 DEG MxF Elbow</t>
        </is>
      </c>
      <c r="C559" s="327" t="inlineStr">
        <is>
          <t>ea</t>
        </is>
      </c>
      <c r="E559" s="605" t="n">
        <v>0</v>
      </c>
      <c r="F559" s="583">
        <f>E559*D559</f>
        <v/>
      </c>
    </row>
    <row r="560" ht="14.4" customHeight="1">
      <c r="A560" s="323" t="n"/>
      <c r="B560" s="323" t="inlineStr">
        <is>
          <t>25mm CU Crimp 45 DEG MxF Elbow</t>
        </is>
      </c>
      <c r="C560" s="327" t="inlineStr">
        <is>
          <t>ea</t>
        </is>
      </c>
      <c r="E560" s="605" t="n">
        <v>0</v>
      </c>
      <c r="F560" s="583">
        <f>E560*D560</f>
        <v/>
      </c>
    </row>
    <row r="561" ht="14.4" customHeight="1">
      <c r="A561" s="323" t="n"/>
      <c r="B561" s="323" t="inlineStr">
        <is>
          <t>25mm CU Crimp Tee</t>
        </is>
      </c>
      <c r="C561" s="327" t="inlineStr">
        <is>
          <t>ea</t>
        </is>
      </c>
      <c r="E561" s="605" t="n">
        <v>0</v>
      </c>
      <c r="F561" s="583">
        <f>E561*D561</f>
        <v/>
      </c>
    </row>
    <row r="562" ht="14.4" customHeight="1">
      <c r="A562" s="323" t="n"/>
      <c r="B562" s="323" t="inlineStr">
        <is>
          <t>25x20x25 CU Crimp Tee</t>
        </is>
      </c>
      <c r="C562" s="327" t="inlineStr">
        <is>
          <t>ea</t>
        </is>
      </c>
      <c r="E562" s="605" t="n">
        <v>0</v>
      </c>
      <c r="F562" s="583">
        <f>E562*D562</f>
        <v/>
      </c>
    </row>
    <row r="563" ht="14.4" customHeight="1">
      <c r="A563" s="323" t="n"/>
      <c r="B563" s="323" t="inlineStr">
        <is>
          <t>25x20x20 CU Crimp Tee</t>
        </is>
      </c>
      <c r="C563" s="327" t="inlineStr">
        <is>
          <t>ea</t>
        </is>
      </c>
      <c r="E563" s="605" t="n">
        <v>0</v>
      </c>
      <c r="F563" s="583">
        <f>E563*D563</f>
        <v/>
      </c>
    </row>
    <row r="564" ht="14.4" customHeight="1">
      <c r="A564" s="323" t="n"/>
      <c r="B564" s="323" t="inlineStr">
        <is>
          <t>25x20x15 CU Crimp Tee</t>
        </is>
      </c>
      <c r="C564" s="327" t="inlineStr">
        <is>
          <t>ea</t>
        </is>
      </c>
      <c r="E564" s="605" t="n">
        <v>0</v>
      </c>
      <c r="F564" s="583">
        <f>E564*D564</f>
        <v/>
      </c>
    </row>
    <row r="565" ht="14.4" customHeight="1">
      <c r="A565" s="323" t="n"/>
      <c r="B565" s="323" t="inlineStr">
        <is>
          <t>25x15x25 CU Crimp Tee</t>
        </is>
      </c>
      <c r="C565" s="327" t="inlineStr">
        <is>
          <t>ea</t>
        </is>
      </c>
      <c r="E565" s="605" t="n">
        <v>0</v>
      </c>
      <c r="F565" s="583">
        <f>E565*D565</f>
        <v/>
      </c>
    </row>
    <row r="566" ht="14.4" customHeight="1">
      <c r="A566" s="323" t="n"/>
      <c r="B566" s="323" t="inlineStr">
        <is>
          <t>25x15x20 CU Crimp Tee</t>
        </is>
      </c>
      <c r="C566" s="327" t="inlineStr">
        <is>
          <t>ea</t>
        </is>
      </c>
      <c r="E566" s="605" t="n">
        <v>0</v>
      </c>
      <c r="F566" s="583">
        <f>E566*D566</f>
        <v/>
      </c>
    </row>
    <row r="567" ht="14.4" customHeight="1">
      <c r="A567" s="323" t="n"/>
      <c r="B567" s="323" t="inlineStr">
        <is>
          <t>25x15x15 CU Crimp Tee</t>
        </is>
      </c>
      <c r="C567" s="327" t="inlineStr">
        <is>
          <t>ea</t>
        </is>
      </c>
      <c r="E567" s="605" t="n">
        <v>0</v>
      </c>
      <c r="F567" s="583">
        <f>E567*D567</f>
        <v/>
      </c>
    </row>
    <row r="568" ht="14.4" customHeight="1">
      <c r="A568" s="323" t="n"/>
      <c r="B568" s="323" t="inlineStr">
        <is>
          <t>25x20 CU Crimp Reducer</t>
        </is>
      </c>
      <c r="C568" s="327" t="inlineStr">
        <is>
          <t>ea</t>
        </is>
      </c>
      <c r="E568" s="605" t="n">
        <v>0</v>
      </c>
      <c r="F568" s="583">
        <f>E568*D568</f>
        <v/>
      </c>
    </row>
    <row r="569" ht="14.4" customHeight="1">
      <c r="A569" s="323" t="n"/>
      <c r="B569" s="323" t="inlineStr">
        <is>
          <t>25x15 CU Crimp Reducer</t>
        </is>
      </c>
      <c r="C569" s="327" t="inlineStr">
        <is>
          <t>ea</t>
        </is>
      </c>
      <c r="E569" s="605" t="n">
        <v>0</v>
      </c>
      <c r="F569" s="583">
        <f>E569*D569</f>
        <v/>
      </c>
    </row>
    <row r="570" ht="14.4" customHeight="1">
      <c r="A570" s="323" t="n"/>
      <c r="B570" s="323" t="inlineStr">
        <is>
          <t>25Cu x 25Mi CU Crimp Adapter</t>
        </is>
      </c>
      <c r="C570" s="327" t="inlineStr">
        <is>
          <t>ea</t>
        </is>
      </c>
      <c r="E570" s="605" t="n">
        <v>0</v>
      </c>
      <c r="F570" s="583">
        <f>E570*D570</f>
        <v/>
      </c>
    </row>
    <row r="571" ht="14.4" customHeight="1">
      <c r="A571" s="323" t="n"/>
      <c r="B571" s="323" t="inlineStr">
        <is>
          <t>25Cu x 25Fi CU Crimp Adapter</t>
        </is>
      </c>
      <c r="C571" s="327" t="inlineStr">
        <is>
          <t>ea</t>
        </is>
      </c>
      <c r="E571" s="605" t="n">
        <v>0</v>
      </c>
      <c r="F571" s="583">
        <f>E571*D571</f>
        <v/>
      </c>
    </row>
    <row r="572" ht="14.4" customHeight="1">
      <c r="A572" s="323" t="n"/>
      <c r="B572" s="323" t="inlineStr">
        <is>
          <t>25mm CU Crimp Repair Coupling</t>
        </is>
      </c>
      <c r="C572" s="327" t="inlineStr">
        <is>
          <t>ea</t>
        </is>
      </c>
      <c r="E572" s="605" t="n">
        <v>0</v>
      </c>
      <c r="F572" s="583">
        <f>E572*D572</f>
        <v/>
      </c>
    </row>
    <row r="573" ht="14.4" customHeight="1">
      <c r="A573" s="323" t="n"/>
      <c r="B573" s="323" t="inlineStr">
        <is>
          <t>25mm CU Crimp Coupling</t>
        </is>
      </c>
      <c r="C573" s="327" t="inlineStr">
        <is>
          <t>ea</t>
        </is>
      </c>
      <c r="E573" s="605" t="n">
        <v>0</v>
      </c>
      <c r="F573" s="583">
        <f>E573*D573</f>
        <v/>
      </c>
    </row>
    <row r="574" ht="14.4" customHeight="1">
      <c r="A574" s="323" t="n"/>
      <c r="B574" s="323" t="inlineStr">
        <is>
          <t>25mm CU Crimp Cap</t>
        </is>
      </c>
      <c r="C574" s="327" t="inlineStr">
        <is>
          <t>ea</t>
        </is>
      </c>
      <c r="E574" s="605" t="n">
        <v>0</v>
      </c>
      <c r="F574" s="583">
        <f>E574*D574</f>
        <v/>
      </c>
    </row>
    <row r="575" ht="14.4" customHeight="1">
      <c r="A575" s="323" t="n"/>
      <c r="B575" s="323" t="inlineStr">
        <is>
          <t>25Cu x W69/Barrell Barrell Union CU Crimp</t>
        </is>
      </c>
      <c r="C575" s="327" t="inlineStr">
        <is>
          <t>ea</t>
        </is>
      </c>
      <c r="E575" s="605" t="n">
        <v>0</v>
      </c>
      <c r="F575" s="583">
        <f>E575*D575</f>
        <v/>
      </c>
    </row>
    <row r="576" ht="14.4" customHeight="1">
      <c r="A576" s="323" t="n"/>
      <c r="B576" s="323" t="inlineStr">
        <is>
          <t>20mm CU Crimp 90 DEG FxF Elbow</t>
        </is>
      </c>
      <c r="C576" s="327" t="inlineStr">
        <is>
          <t>ea</t>
        </is>
      </c>
      <c r="E576" s="605" t="n">
        <v>0</v>
      </c>
      <c r="F576" s="583">
        <f>E576*D576</f>
        <v/>
      </c>
    </row>
    <row r="577" ht="14.4" customHeight="1">
      <c r="A577" s="323" t="n"/>
      <c r="B577" s="323" t="inlineStr">
        <is>
          <t>20mm CU Crimp 45 DEG FxF Elbow</t>
        </is>
      </c>
      <c r="C577" s="327" t="inlineStr">
        <is>
          <t>ea</t>
        </is>
      </c>
      <c r="E577" s="605" t="n">
        <v>0</v>
      </c>
      <c r="F577" s="583">
        <f>E577*D577</f>
        <v/>
      </c>
    </row>
    <row r="578" ht="14.4" customHeight="1">
      <c r="A578" s="323" t="n"/>
      <c r="B578" s="323" t="inlineStr">
        <is>
          <t>20mm CU Crimp 90 DEG MxF Elbow</t>
        </is>
      </c>
      <c r="C578" s="327" t="inlineStr">
        <is>
          <t>ea</t>
        </is>
      </c>
      <c r="E578" s="605" t="n">
        <v>0</v>
      </c>
      <c r="F578" s="583">
        <f>E578*D578</f>
        <v/>
      </c>
    </row>
    <row r="579" ht="14.4" customHeight="1">
      <c r="A579" s="323" t="n"/>
      <c r="B579" s="323" t="inlineStr">
        <is>
          <t>20mm CU Crimp 45 DEG MxF Elbow</t>
        </is>
      </c>
      <c r="C579" s="327" t="inlineStr">
        <is>
          <t>ea</t>
        </is>
      </c>
      <c r="E579" s="605" t="n">
        <v>0</v>
      </c>
      <c r="F579" s="583">
        <f>E579*D579</f>
        <v/>
      </c>
    </row>
    <row r="580" ht="14.4" customHeight="1">
      <c r="A580" s="323" t="n"/>
      <c r="B580" s="323" t="inlineStr">
        <is>
          <t>20mm CU Crimp Tee</t>
        </is>
      </c>
      <c r="C580" s="327" t="inlineStr">
        <is>
          <t>ea</t>
        </is>
      </c>
      <c r="E580" s="605" t="n">
        <v>0</v>
      </c>
      <c r="F580" s="583">
        <f>E580*D580</f>
        <v/>
      </c>
    </row>
    <row r="581" ht="14.4" customHeight="1">
      <c r="A581" s="323" t="n"/>
      <c r="B581" s="323" t="inlineStr">
        <is>
          <t>20x15x20 CU Crimp Tee</t>
        </is>
      </c>
      <c r="C581" s="327" t="inlineStr">
        <is>
          <t>ea</t>
        </is>
      </c>
      <c r="E581" s="605" t="n">
        <v>5.61</v>
      </c>
      <c r="F581" s="583">
        <f>E581*D581</f>
        <v/>
      </c>
    </row>
    <row r="582" ht="14.4" customHeight="1">
      <c r="A582" s="323" t="n"/>
      <c r="B582" s="323" t="inlineStr">
        <is>
          <t>20x15x15 CU Crimp Tee</t>
        </is>
      </c>
      <c r="C582" s="327" t="inlineStr">
        <is>
          <t>ea</t>
        </is>
      </c>
      <c r="E582" s="605" t="n">
        <v>0</v>
      </c>
      <c r="F582" s="583">
        <f>E582*D582</f>
        <v/>
      </c>
    </row>
    <row r="583" ht="14.4" customHeight="1">
      <c r="A583" s="323" t="n"/>
      <c r="B583" s="323" t="inlineStr">
        <is>
          <t>20x15 CU Crimp Reducer</t>
        </is>
      </c>
      <c r="C583" s="327" t="inlineStr">
        <is>
          <t>ea</t>
        </is>
      </c>
      <c r="E583" s="605" t="n">
        <v>0</v>
      </c>
      <c r="F583" s="583">
        <f>E583*D583</f>
        <v/>
      </c>
    </row>
    <row r="584" ht="14.4" customHeight="1">
      <c r="A584" s="323" t="n"/>
      <c r="B584" s="323" t="inlineStr">
        <is>
          <t>20Cu x 20Mi CU Crimp Adapter</t>
        </is>
      </c>
      <c r="C584" s="327" t="inlineStr">
        <is>
          <t>ea</t>
        </is>
      </c>
      <c r="E584" s="605" t="n">
        <v>0</v>
      </c>
      <c r="F584" s="583">
        <f>E584*D584</f>
        <v/>
      </c>
    </row>
    <row r="585" ht="14.4" customHeight="1">
      <c r="A585" s="323" t="n"/>
      <c r="B585" s="323" t="inlineStr">
        <is>
          <t>20Cu x 20Fi CU Crimp Adapter</t>
        </is>
      </c>
      <c r="C585" s="327" t="inlineStr">
        <is>
          <t>ea</t>
        </is>
      </c>
      <c r="E585" s="605" t="n">
        <v>0</v>
      </c>
      <c r="F585" s="583">
        <f>E585*D585</f>
        <v/>
      </c>
    </row>
    <row r="586" ht="14.4" customHeight="1">
      <c r="A586" s="323" t="n"/>
      <c r="B586" s="323" t="inlineStr">
        <is>
          <t>20mm CU Crimp Repair Coupling</t>
        </is>
      </c>
      <c r="C586" s="327" t="inlineStr">
        <is>
          <t>ea</t>
        </is>
      </c>
      <c r="E586" s="605" t="n">
        <v>0</v>
      </c>
      <c r="F586" s="583">
        <f>E586*D586</f>
        <v/>
      </c>
    </row>
    <row r="587" ht="14.4" customHeight="1">
      <c r="A587" s="323" t="n"/>
      <c r="B587" s="323" t="inlineStr">
        <is>
          <t>20mm CU Crimp Coupling</t>
        </is>
      </c>
      <c r="C587" s="327" t="inlineStr">
        <is>
          <t>ea</t>
        </is>
      </c>
      <c r="E587" s="605" t="n">
        <v>0</v>
      </c>
      <c r="F587" s="583">
        <f>E587*D587</f>
        <v/>
      </c>
    </row>
    <row r="588" ht="14.4" customHeight="1">
      <c r="A588" s="323" t="n"/>
      <c r="B588" s="323" t="inlineStr">
        <is>
          <t>20mm CU Crimp Cap</t>
        </is>
      </c>
      <c r="C588" s="327" t="inlineStr">
        <is>
          <t>ea</t>
        </is>
      </c>
      <c r="E588" s="605" t="n">
        <v>0</v>
      </c>
      <c r="F588" s="583">
        <f>E588*D588</f>
        <v/>
      </c>
    </row>
    <row r="589" ht="14.4" customHeight="1">
      <c r="A589" s="323" t="n"/>
      <c r="B589" s="323" t="inlineStr">
        <is>
          <t>20Cu x W69/Barrell Barrell Union CU Crimp</t>
        </is>
      </c>
      <c r="C589" s="327" t="inlineStr">
        <is>
          <t>ea</t>
        </is>
      </c>
      <c r="E589" s="605" t="n">
        <v>0</v>
      </c>
      <c r="F589" s="583">
        <f>E589*D589</f>
        <v/>
      </c>
    </row>
    <row r="590" ht="14.4" customHeight="1">
      <c r="A590" s="323" t="n"/>
      <c r="B590" s="323" t="inlineStr">
        <is>
          <t>15mm CU Crimp 90 DEG FxF Elbow</t>
        </is>
      </c>
      <c r="C590" s="327" t="inlineStr">
        <is>
          <t>ea</t>
        </is>
      </c>
      <c r="E590" s="605" t="n">
        <v>0</v>
      </c>
      <c r="F590" s="583">
        <f>E590*D590</f>
        <v/>
      </c>
    </row>
    <row r="591" ht="14.4" customHeight="1">
      <c r="A591" s="323" t="n"/>
      <c r="B591" s="323" t="inlineStr">
        <is>
          <t>15mm CU Crimp 45 DEG FxF Elbow</t>
        </is>
      </c>
      <c r="C591" s="327" t="inlineStr">
        <is>
          <t>ea</t>
        </is>
      </c>
      <c r="E591" s="605" t="n">
        <v>0</v>
      </c>
      <c r="F591" s="583">
        <f>E591*D591</f>
        <v/>
      </c>
    </row>
    <row r="592" ht="14.4" customHeight="1">
      <c r="A592" s="323" t="n"/>
      <c r="B592" s="323" t="inlineStr">
        <is>
          <t>15mm CU Crimp 90 DEG MxF Elbow</t>
        </is>
      </c>
      <c r="C592" s="327" t="inlineStr">
        <is>
          <t>ea</t>
        </is>
      </c>
      <c r="E592" s="605" t="n">
        <v>0</v>
      </c>
      <c r="F592" s="583">
        <f>E592*D592</f>
        <v/>
      </c>
    </row>
    <row r="593" ht="14.4" customHeight="1">
      <c r="A593" s="323" t="n"/>
      <c r="B593" s="323" t="inlineStr">
        <is>
          <t>15mm CU Crimp 45 DEG MxF Elbow</t>
        </is>
      </c>
      <c r="C593" s="327" t="inlineStr">
        <is>
          <t>ea</t>
        </is>
      </c>
      <c r="E593" s="605" t="n">
        <v>0</v>
      </c>
      <c r="F593" s="583">
        <f>E593*D593</f>
        <v/>
      </c>
    </row>
    <row r="594" ht="14.4" customHeight="1">
      <c r="A594" s="323" t="n"/>
      <c r="B594" s="323" t="inlineStr">
        <is>
          <t>15mm CU Crimp Tee</t>
        </is>
      </c>
      <c r="C594" s="327" t="inlineStr">
        <is>
          <t>ea</t>
        </is>
      </c>
      <c r="E594" s="605" t="n">
        <v>0</v>
      </c>
      <c r="F594" s="583">
        <f>E594*D594</f>
        <v/>
      </c>
    </row>
    <row r="595" ht="14.4" customHeight="1">
      <c r="A595" s="323" t="n"/>
      <c r="B595" s="323" t="inlineStr">
        <is>
          <t>15Cu x 15Mi CU Crimp Adapter</t>
        </is>
      </c>
      <c r="C595" s="327" t="inlineStr">
        <is>
          <t>ea</t>
        </is>
      </c>
      <c r="E595" s="605" t="n">
        <v>0</v>
      </c>
      <c r="F595" s="583">
        <f>E595*D595</f>
        <v/>
      </c>
    </row>
    <row r="596" ht="14.4" customHeight="1">
      <c r="A596" s="323" t="n"/>
      <c r="B596" s="323" t="inlineStr">
        <is>
          <t>15Cu x 15Fi CU Crimp Adapter</t>
        </is>
      </c>
      <c r="C596" s="327" t="inlineStr">
        <is>
          <t>ea</t>
        </is>
      </c>
      <c r="E596" s="605" t="n">
        <v>0</v>
      </c>
      <c r="F596" s="583">
        <f>E596*D596</f>
        <v/>
      </c>
    </row>
    <row r="597" ht="14.4" customHeight="1">
      <c r="A597" s="323" t="n"/>
      <c r="B597" s="323" t="inlineStr">
        <is>
          <t>15Cu Fi BP, wall elbow</t>
        </is>
      </c>
      <c r="C597" s="327" t="inlineStr">
        <is>
          <t>ea</t>
        </is>
      </c>
      <c r="E597" s="605" t="n">
        <v>0</v>
      </c>
      <c r="F597" s="583">
        <f>E597*D597</f>
        <v/>
      </c>
    </row>
    <row r="598" ht="14.4" customHeight="1">
      <c r="A598" s="323" t="n"/>
      <c r="B598" s="323" t="inlineStr">
        <is>
          <t>15Cu Mi BP, Wall elbow  - 90 Long</t>
        </is>
      </c>
      <c r="C598" s="327" t="inlineStr">
        <is>
          <t>ea</t>
        </is>
      </c>
      <c r="E598" s="605" t="n">
        <v>0</v>
      </c>
      <c r="F598" s="583">
        <f>E598*D598</f>
        <v/>
      </c>
    </row>
    <row r="599" ht="14.4" customHeight="1">
      <c r="A599" s="323" t="n"/>
      <c r="B599" s="323" t="inlineStr">
        <is>
          <t>15Cu Mi BP, Wall elbow  - 120+ Long</t>
        </is>
      </c>
      <c r="C599" s="327" t="inlineStr">
        <is>
          <t>ea</t>
        </is>
      </c>
      <c r="E599" s="605" t="n">
        <v>0</v>
      </c>
      <c r="F599" s="583">
        <f>E599*D599</f>
        <v/>
      </c>
    </row>
    <row r="600" ht="14.4" customHeight="1">
      <c r="A600" s="323" t="n"/>
      <c r="B600" s="323" t="inlineStr">
        <is>
          <t>15mm CU Crimp Repair Coupling</t>
        </is>
      </c>
      <c r="C600" s="327" t="inlineStr">
        <is>
          <t>ea</t>
        </is>
      </c>
      <c r="E600" s="605" t="n">
        <v>0</v>
      </c>
      <c r="F600" s="583">
        <f>E600*D600</f>
        <v/>
      </c>
    </row>
    <row r="601" ht="14.4" customHeight="1">
      <c r="A601" s="323" t="n"/>
      <c r="B601" s="323" t="inlineStr">
        <is>
          <t>15mm CU Crimp Coupling</t>
        </is>
      </c>
      <c r="C601" s="327" t="inlineStr">
        <is>
          <t>ea</t>
        </is>
      </c>
      <c r="E601" s="605" t="n">
        <v>0</v>
      </c>
      <c r="F601" s="583">
        <f>E601*D601</f>
        <v/>
      </c>
    </row>
    <row r="602" ht="14.4" customHeight="1">
      <c r="A602" s="323" t="n"/>
      <c r="B602" s="323" t="inlineStr">
        <is>
          <t>15mm CU Crimp Cap</t>
        </is>
      </c>
      <c r="C602" s="327" t="inlineStr">
        <is>
          <t>ea</t>
        </is>
      </c>
      <c r="E602" s="605" t="n">
        <v>0</v>
      </c>
      <c r="F602" s="583">
        <f>E602*D602</f>
        <v/>
      </c>
    </row>
    <row r="603" ht="14.4" customHeight="1">
      <c r="A603" s="323" t="n"/>
      <c r="B603" s="323" t="inlineStr">
        <is>
          <t>15Cu x W69/Barrell Barrell Union CU Crimp</t>
        </is>
      </c>
      <c r="C603" s="327" t="inlineStr">
        <is>
          <t>ea</t>
        </is>
      </c>
      <c r="E603" s="605" t="n">
        <v>0</v>
      </c>
      <c r="F603" s="583">
        <f>E603*D603</f>
        <v/>
      </c>
    </row>
    <row r="604" ht="14.4" customHeight="1">
      <c r="A604" s="323" t="n"/>
      <c r="B604" s="323" t="inlineStr">
        <is>
          <t>50mm Ball Valve Fi</t>
        </is>
      </c>
      <c r="C604" s="327" t="inlineStr">
        <is>
          <t>ea</t>
        </is>
      </c>
      <c r="E604" s="605" t="n">
        <v>0</v>
      </c>
      <c r="F604" s="583">
        <f>E604*D604</f>
        <v/>
      </c>
    </row>
    <row r="605" ht="14.4" customHeight="1">
      <c r="A605" s="323" t="n"/>
      <c r="B605" s="323" t="inlineStr">
        <is>
          <t>40mm Ball Valve Fi</t>
        </is>
      </c>
      <c r="C605" s="327" t="inlineStr">
        <is>
          <t>ea</t>
        </is>
      </c>
      <c r="E605" s="605" t="n">
        <v>0</v>
      </c>
      <c r="F605" s="583">
        <f>E605*D605</f>
        <v/>
      </c>
    </row>
    <row r="606" ht="14.4" customHeight="1">
      <c r="A606" s="323" t="n"/>
      <c r="B606" s="323" t="inlineStr">
        <is>
          <t>32mm Ball Valve Fi</t>
        </is>
      </c>
      <c r="C606" s="327" t="inlineStr">
        <is>
          <t>ea</t>
        </is>
      </c>
      <c r="E606" s="605" t="n">
        <v>0</v>
      </c>
      <c r="F606" s="583">
        <f>E606*D606</f>
        <v/>
      </c>
    </row>
    <row r="607" ht="14.4" customHeight="1">
      <c r="A607" s="323" t="n"/>
      <c r="B607" s="323" t="inlineStr">
        <is>
          <t>25mm Ball Valve Fi</t>
        </is>
      </c>
      <c r="C607" s="327" t="inlineStr">
        <is>
          <t>ea</t>
        </is>
      </c>
      <c r="E607" s="605" t="n">
        <v>26.25</v>
      </c>
      <c r="F607" s="583">
        <f>E607*D607</f>
        <v/>
      </c>
    </row>
    <row r="608" ht="14.4" customHeight="1">
      <c r="A608" s="323" t="n"/>
      <c r="B608" s="323" t="inlineStr">
        <is>
          <t>20mm Ball Valve Fi</t>
        </is>
      </c>
      <c r="C608" s="327" t="inlineStr">
        <is>
          <t>ea</t>
        </is>
      </c>
      <c r="E608" s="605" t="n">
        <v>0</v>
      </c>
      <c r="F608" s="583">
        <f>E608*D608</f>
        <v/>
      </c>
    </row>
    <row r="609" ht="14.4" customHeight="1">
      <c r="A609" s="323" t="n"/>
      <c r="B609" s="323" t="inlineStr">
        <is>
          <t>15mm Ball Valve Fi</t>
        </is>
      </c>
      <c r="C609" s="327" t="inlineStr">
        <is>
          <t>ea</t>
        </is>
      </c>
      <c r="E609" s="605" t="n">
        <v>0</v>
      </c>
      <c r="F609" s="583">
        <f>E609*D609</f>
        <v/>
      </c>
    </row>
    <row r="610" ht="14.4" customHeight="1">
      <c r="A610" s="323" t="n"/>
      <c r="B610" s="323" t="inlineStr">
        <is>
          <t>50mm Mi BRS Nipple</t>
        </is>
      </c>
      <c r="C610" s="327" t="inlineStr">
        <is>
          <t>ea</t>
        </is>
      </c>
      <c r="E610" s="605" t="n">
        <v>0</v>
      </c>
      <c r="F610" s="583">
        <f>E610*D610</f>
        <v/>
      </c>
    </row>
    <row r="611" ht="14.4" customHeight="1">
      <c r="A611" s="323" t="n"/>
      <c r="B611" s="323" t="inlineStr">
        <is>
          <t>50mm Fi BRS Socket</t>
        </is>
      </c>
      <c r="C611" s="327" t="inlineStr">
        <is>
          <t>ea</t>
        </is>
      </c>
      <c r="E611" s="605" t="n">
        <v>0</v>
      </c>
      <c r="F611" s="583">
        <f>E611*D611</f>
        <v/>
      </c>
    </row>
    <row r="612" ht="14.4" customHeight="1">
      <c r="A612" s="323" t="n"/>
      <c r="B612" s="323" t="inlineStr">
        <is>
          <t>50mm Mi BRS Union</t>
        </is>
      </c>
      <c r="C612" s="327" t="inlineStr">
        <is>
          <t>ea</t>
        </is>
      </c>
      <c r="E612" s="605" t="n">
        <v>0</v>
      </c>
      <c r="F612" s="583">
        <f>E612*D612</f>
        <v/>
      </c>
    </row>
    <row r="613" ht="14.4" customHeight="1">
      <c r="A613" s="323" t="n"/>
      <c r="B613" s="323" t="inlineStr">
        <is>
          <t>50mm Fi BRS Union</t>
        </is>
      </c>
      <c r="C613" s="327" t="inlineStr">
        <is>
          <t>ea</t>
        </is>
      </c>
      <c r="E613" s="605" t="n">
        <v>0</v>
      </c>
      <c r="F613" s="583">
        <f>E613*D613</f>
        <v/>
      </c>
    </row>
    <row r="614" ht="14.4" customHeight="1">
      <c r="A614" s="323" t="n"/>
      <c r="B614" s="323" t="inlineStr">
        <is>
          <t>50mm BRS Plug</t>
        </is>
      </c>
      <c r="C614" s="327" t="inlineStr">
        <is>
          <t>ea</t>
        </is>
      </c>
      <c r="E614" s="605" t="n">
        <v>0</v>
      </c>
      <c r="F614" s="583">
        <f>E614*D614</f>
        <v/>
      </c>
    </row>
    <row r="615" ht="14.4" customHeight="1">
      <c r="A615" s="323" t="n"/>
      <c r="B615" s="323" t="inlineStr">
        <is>
          <t>50mm BRS Cap</t>
        </is>
      </c>
      <c r="C615" s="327" t="inlineStr">
        <is>
          <t>ea</t>
        </is>
      </c>
      <c r="E615" s="605" t="n">
        <v>0</v>
      </c>
      <c r="F615" s="583">
        <f>E615*D615</f>
        <v/>
      </c>
    </row>
    <row r="616" ht="14.4" customHeight="1">
      <c r="A616" s="323" t="n"/>
      <c r="B616" s="323" t="inlineStr">
        <is>
          <t>40mm Mi BRS Nipple</t>
        </is>
      </c>
      <c r="C616" s="327" t="inlineStr">
        <is>
          <t>ea</t>
        </is>
      </c>
      <c r="E616" s="605" t="n">
        <v>0</v>
      </c>
      <c r="F616" s="583">
        <f>E616*D616</f>
        <v/>
      </c>
    </row>
    <row r="617" ht="14.4" customHeight="1">
      <c r="A617" s="323" t="n"/>
      <c r="B617" s="323" t="inlineStr">
        <is>
          <t>40mm Fi BRS Socket</t>
        </is>
      </c>
      <c r="C617" s="327" t="inlineStr">
        <is>
          <t>ea</t>
        </is>
      </c>
      <c r="E617" s="605" t="n">
        <v>0</v>
      </c>
      <c r="F617" s="583">
        <f>E617*D617</f>
        <v/>
      </c>
    </row>
    <row r="618" ht="14.4" customHeight="1">
      <c r="A618" s="323" t="n"/>
      <c r="B618" s="323" t="inlineStr">
        <is>
          <t>40mm Mi BRS Union</t>
        </is>
      </c>
      <c r="C618" s="327" t="inlineStr">
        <is>
          <t>ea</t>
        </is>
      </c>
      <c r="E618" s="605" t="n">
        <v>0</v>
      </c>
      <c r="F618" s="583">
        <f>E618*D618</f>
        <v/>
      </c>
    </row>
    <row r="619" ht="14.4" customHeight="1">
      <c r="A619" s="323" t="n"/>
      <c r="B619" s="323" t="inlineStr">
        <is>
          <t>40mm Fi BRS Union</t>
        </is>
      </c>
      <c r="C619" s="327" t="inlineStr">
        <is>
          <t>ea</t>
        </is>
      </c>
      <c r="E619" s="605" t="n">
        <v>0</v>
      </c>
      <c r="F619" s="583">
        <f>E619*D619</f>
        <v/>
      </c>
    </row>
    <row r="620" ht="14.4" customHeight="1">
      <c r="A620" s="323" t="n"/>
      <c r="B620" s="323" t="inlineStr">
        <is>
          <t>40mm BRS Plug</t>
        </is>
      </c>
      <c r="C620" s="327" t="inlineStr">
        <is>
          <t>ea</t>
        </is>
      </c>
      <c r="E620" s="605" t="n">
        <v>0</v>
      </c>
      <c r="F620" s="583">
        <f>E620*D620</f>
        <v/>
      </c>
    </row>
    <row r="621" ht="14.4" customHeight="1">
      <c r="A621" s="323" t="n"/>
      <c r="B621" s="323" t="inlineStr">
        <is>
          <t>40mm BRS Cap</t>
        </is>
      </c>
      <c r="C621" s="327" t="inlineStr">
        <is>
          <t>ea</t>
        </is>
      </c>
      <c r="E621" s="605" t="n">
        <v>0</v>
      </c>
      <c r="F621" s="583">
        <f>E621*D621</f>
        <v/>
      </c>
    </row>
    <row r="622" ht="14.4" customHeight="1">
      <c r="A622" s="323" t="n"/>
      <c r="B622" s="323" t="inlineStr">
        <is>
          <t>32mm Mi BRS Nipple</t>
        </is>
      </c>
      <c r="C622" s="327" t="inlineStr">
        <is>
          <t>ea</t>
        </is>
      </c>
      <c r="E622" s="605" t="n">
        <v>0</v>
      </c>
      <c r="F622" s="583">
        <f>E622*D622</f>
        <v/>
      </c>
    </row>
    <row r="623" ht="14.4" customHeight="1">
      <c r="A623" s="323" t="n"/>
      <c r="B623" s="323" t="inlineStr">
        <is>
          <t>32mm Fi BRS Socket</t>
        </is>
      </c>
      <c r="C623" s="327" t="inlineStr">
        <is>
          <t>ea</t>
        </is>
      </c>
      <c r="E623" s="605" t="n">
        <v>0</v>
      </c>
      <c r="F623" s="583">
        <f>E623*D623</f>
        <v/>
      </c>
    </row>
    <row r="624" ht="14.4" customHeight="1">
      <c r="A624" s="323" t="n"/>
      <c r="B624" s="323" t="inlineStr">
        <is>
          <t>32mm Mi BRS Union</t>
        </is>
      </c>
      <c r="C624" s="327" t="inlineStr">
        <is>
          <t>ea</t>
        </is>
      </c>
      <c r="E624" s="605" t="n">
        <v>0</v>
      </c>
      <c r="F624" s="583">
        <f>E624*D624</f>
        <v/>
      </c>
    </row>
    <row r="625" ht="14.4" customHeight="1">
      <c r="A625" s="323" t="n"/>
      <c r="B625" s="323" t="inlineStr">
        <is>
          <t>32mm Fi BRS Union</t>
        </is>
      </c>
      <c r="C625" s="327" t="inlineStr">
        <is>
          <t>ea</t>
        </is>
      </c>
      <c r="E625" s="605" t="n">
        <v>0</v>
      </c>
      <c r="F625" s="583">
        <f>E625*D625</f>
        <v/>
      </c>
    </row>
    <row r="626" ht="14.4" customHeight="1">
      <c r="A626" s="323" t="n"/>
      <c r="B626" s="323" t="inlineStr">
        <is>
          <t>32mm BRS Plug</t>
        </is>
      </c>
      <c r="C626" s="327" t="inlineStr">
        <is>
          <t>ea</t>
        </is>
      </c>
      <c r="E626" s="605" t="n">
        <v>0</v>
      </c>
      <c r="F626" s="583">
        <f>E626*D626</f>
        <v/>
      </c>
    </row>
    <row r="627" ht="14.4" customHeight="1">
      <c r="A627" s="323" t="n"/>
      <c r="B627" s="323" t="inlineStr">
        <is>
          <t>32mm BRS Cap</t>
        </is>
      </c>
      <c r="C627" s="327" t="inlineStr">
        <is>
          <t>ea</t>
        </is>
      </c>
      <c r="E627" s="605" t="n">
        <v>0</v>
      </c>
      <c r="F627" s="583">
        <f>E627*D627</f>
        <v/>
      </c>
    </row>
    <row r="628" ht="14.4" customHeight="1">
      <c r="A628" s="323" t="n"/>
      <c r="B628" s="323" t="inlineStr">
        <is>
          <t>25mm Mi BRS Nipple</t>
        </is>
      </c>
      <c r="C628" s="327" t="inlineStr">
        <is>
          <t>ea</t>
        </is>
      </c>
      <c r="E628" s="605" t="n">
        <v>0</v>
      </c>
      <c r="F628" s="583">
        <f>E628*D628</f>
        <v/>
      </c>
    </row>
    <row r="629" ht="14.4" customHeight="1">
      <c r="A629" s="323" t="n"/>
      <c r="B629" s="323" t="inlineStr">
        <is>
          <t>25mm Fi BRS Socket</t>
        </is>
      </c>
      <c r="C629" s="327" t="inlineStr">
        <is>
          <t>ea</t>
        </is>
      </c>
      <c r="E629" s="605" t="n">
        <v>0</v>
      </c>
      <c r="F629" s="583">
        <f>E629*D629</f>
        <v/>
      </c>
    </row>
    <row r="630" ht="14.4" customHeight="1">
      <c r="A630" s="323" t="n"/>
      <c r="B630" s="323" t="inlineStr">
        <is>
          <t>25mm Mi BRS Union</t>
        </is>
      </c>
      <c r="C630" s="327" t="inlineStr">
        <is>
          <t>ea</t>
        </is>
      </c>
      <c r="E630" s="605" t="n">
        <v>0</v>
      </c>
      <c r="F630" s="583">
        <f>E630*D630</f>
        <v/>
      </c>
    </row>
    <row r="631" ht="14.4" customHeight="1">
      <c r="A631" s="323" t="n"/>
      <c r="B631" s="323" t="inlineStr">
        <is>
          <t>25mm Fi BRS Union</t>
        </is>
      </c>
      <c r="C631" s="327" t="inlineStr">
        <is>
          <t>ea</t>
        </is>
      </c>
      <c r="E631" s="605" t="n">
        <v>0</v>
      </c>
      <c r="F631" s="583">
        <f>E631*D631</f>
        <v/>
      </c>
    </row>
    <row r="632" ht="14.4" customHeight="1">
      <c r="A632" s="323" t="n"/>
      <c r="B632" s="323" t="inlineStr">
        <is>
          <t>25mm BRS Plug</t>
        </is>
      </c>
      <c r="C632" s="327" t="inlineStr">
        <is>
          <t>ea</t>
        </is>
      </c>
      <c r="E632" s="605" t="n">
        <v>0</v>
      </c>
      <c r="F632" s="583">
        <f>E632*D632</f>
        <v/>
      </c>
    </row>
    <row r="633" ht="14.4" customHeight="1">
      <c r="A633" s="323" t="n"/>
      <c r="B633" s="323" t="inlineStr">
        <is>
          <t>25mm BRS Cap</t>
        </is>
      </c>
      <c r="C633" s="327" t="inlineStr">
        <is>
          <t>ea</t>
        </is>
      </c>
      <c r="E633" s="605" t="n">
        <v>0</v>
      </c>
      <c r="F633" s="583">
        <f>E633*D633</f>
        <v/>
      </c>
    </row>
    <row r="634" ht="14.4" customHeight="1">
      <c r="A634" s="323" t="n"/>
      <c r="B634" s="323" t="n"/>
      <c r="C634" s="327" t="inlineStr">
        <is>
          <t>ea</t>
        </is>
      </c>
      <c r="E634" s="605" t="n">
        <v>0</v>
      </c>
      <c r="F634" s="583">
        <f>E634*D634</f>
        <v/>
      </c>
    </row>
    <row r="635" ht="14.4" customHeight="1">
      <c r="A635" s="323" t="n"/>
      <c r="B635" s="323" t="inlineStr">
        <is>
          <t>20mm pex Pipe - Black</t>
        </is>
      </c>
      <c r="C635" s="327" t="n"/>
      <c r="E635" s="605" t="n">
        <v>0</v>
      </c>
      <c r="F635" s="583">
        <f>E635*D635</f>
        <v/>
      </c>
    </row>
    <row r="636" ht="14.4" customHeight="1">
      <c r="A636" s="323" t="n"/>
      <c r="B636" s="323" t="inlineStr">
        <is>
          <t>15mm Pex pipe - Black</t>
        </is>
      </c>
      <c r="C636" s="327" t="inlineStr">
        <is>
          <t>m</t>
        </is>
      </c>
      <c r="E636" s="605" t="n">
        <v>0</v>
      </c>
      <c r="F636" s="583">
        <f>E636*D636</f>
        <v/>
      </c>
    </row>
    <row r="637" ht="14.4" customHeight="1">
      <c r="A637" s="323" t="n"/>
      <c r="B637" s="323" t="inlineStr">
        <is>
          <t>15mm Pex pipe - Red</t>
        </is>
      </c>
      <c r="C637" s="327" t="inlineStr">
        <is>
          <t>m</t>
        </is>
      </c>
      <c r="E637" s="605" t="n">
        <v>0</v>
      </c>
      <c r="F637" s="583">
        <f>E637*D637</f>
        <v/>
      </c>
    </row>
    <row r="638" ht="14.4" customHeight="1">
      <c r="A638" s="323" t="n"/>
      <c r="B638" s="323" t="inlineStr">
        <is>
          <t>20 pex Elbow</t>
        </is>
      </c>
      <c r="C638" s="327" t="inlineStr">
        <is>
          <t>m</t>
        </is>
      </c>
      <c r="E638" s="605" t="n">
        <v>0</v>
      </c>
      <c r="F638" s="583">
        <f>E638*D638</f>
        <v/>
      </c>
    </row>
    <row r="639" ht="14.4" customHeight="1">
      <c r="A639" s="323" t="n"/>
      <c r="B639" s="323" t="inlineStr">
        <is>
          <t>20 Pex TEE</t>
        </is>
      </c>
      <c r="C639" s="327" t="inlineStr">
        <is>
          <t>ea</t>
        </is>
      </c>
      <c r="E639" s="605" t="n">
        <v>0</v>
      </c>
      <c r="F639" s="583">
        <f>E639*D639</f>
        <v/>
      </c>
    </row>
    <row r="640" ht="14.4" customHeight="1">
      <c r="A640" s="323" t="n"/>
      <c r="B640" s="323" t="inlineStr">
        <is>
          <t>20x15 Pex TEE</t>
        </is>
      </c>
      <c r="C640" s="327" t="inlineStr">
        <is>
          <t>ea</t>
        </is>
      </c>
      <c r="E640" s="605" t="n">
        <v>0</v>
      </c>
      <c r="F640" s="583">
        <f>E640*D640</f>
        <v/>
      </c>
    </row>
    <row r="641" ht="14.4" customHeight="1">
      <c r="A641" s="323" t="n"/>
      <c r="B641" s="323" t="inlineStr">
        <is>
          <t>20 PEX Mi Adapter</t>
        </is>
      </c>
      <c r="C641" s="327" t="inlineStr">
        <is>
          <t>ea</t>
        </is>
      </c>
      <c r="E641" s="605" t="n">
        <v>0</v>
      </c>
      <c r="F641" s="583">
        <f>E641*D641</f>
        <v/>
      </c>
    </row>
    <row r="642" ht="14.4" customHeight="1">
      <c r="A642" s="323" t="n"/>
      <c r="B642" s="323" t="inlineStr">
        <is>
          <t>20 PEX Fi Adapter</t>
        </is>
      </c>
      <c r="C642" s="327" t="inlineStr">
        <is>
          <t>ea</t>
        </is>
      </c>
      <c r="E642" s="605" t="n">
        <v>0</v>
      </c>
      <c r="F642" s="583">
        <f>E642*D642</f>
        <v/>
      </c>
    </row>
    <row r="643" ht="14.4" customHeight="1">
      <c r="A643" s="323" t="n"/>
      <c r="B643" s="323" t="inlineStr">
        <is>
          <t>20x15 Pex Reducer</t>
        </is>
      </c>
      <c r="C643" s="327" t="inlineStr">
        <is>
          <t>ea</t>
        </is>
      </c>
      <c r="E643" s="605" t="n">
        <v>0</v>
      </c>
      <c r="F643" s="583">
        <f>E643*D643</f>
        <v/>
      </c>
    </row>
    <row r="644" ht="14.4" customHeight="1">
      <c r="A644" s="323" t="n"/>
      <c r="B644" s="323" t="inlineStr">
        <is>
          <t>20 PEXxCU Crimp conversion coupling</t>
        </is>
      </c>
      <c r="C644" s="327" t="inlineStr">
        <is>
          <t>ea</t>
        </is>
      </c>
      <c r="E644" s="605" t="n">
        <v>0</v>
      </c>
      <c r="F644" s="583">
        <f>E644*D644</f>
        <v/>
      </c>
    </row>
    <row r="645" ht="14.4" customHeight="1">
      <c r="A645" s="323" t="n"/>
      <c r="B645" s="323" t="inlineStr">
        <is>
          <t>20 PEX Straight coupling</t>
        </is>
      </c>
      <c r="C645" s="327" t="inlineStr">
        <is>
          <t>ea</t>
        </is>
      </c>
      <c r="E645" s="605" t="n">
        <v>0</v>
      </c>
      <c r="F645" s="583">
        <f>E645*D645</f>
        <v/>
      </c>
    </row>
    <row r="646" ht="14.4" customHeight="1">
      <c r="A646" s="323" t="n"/>
      <c r="B646" s="323" t="inlineStr">
        <is>
          <t>15 Pex Elbow</t>
        </is>
      </c>
      <c r="C646" s="327" t="inlineStr">
        <is>
          <t>ea</t>
        </is>
      </c>
      <c r="E646" s="605" t="n">
        <v>0</v>
      </c>
      <c r="F646" s="583">
        <f>E646*D646</f>
        <v/>
      </c>
    </row>
    <row r="647" ht="14.4" customHeight="1">
      <c r="A647" s="323" t="n"/>
      <c r="B647" s="323" t="inlineStr">
        <is>
          <t>15 Pex TEE</t>
        </is>
      </c>
      <c r="C647" s="327" t="inlineStr">
        <is>
          <t>ea</t>
        </is>
      </c>
      <c r="E647" s="605" t="n">
        <v>0</v>
      </c>
      <c r="F647" s="583">
        <f>E647*D647</f>
        <v/>
      </c>
    </row>
    <row r="648" ht="14.4" customHeight="1">
      <c r="A648" s="323" t="n"/>
      <c r="B648" s="323" t="inlineStr">
        <is>
          <t>15 PEXMi Adapter</t>
        </is>
      </c>
      <c r="C648" s="327" t="inlineStr">
        <is>
          <t>ea</t>
        </is>
      </c>
      <c r="E648" s="605" t="n">
        <v>0</v>
      </c>
      <c r="F648" s="583">
        <f>E648*D648</f>
        <v/>
      </c>
    </row>
    <row r="649" ht="14.4" customHeight="1">
      <c r="A649" s="323" t="n"/>
      <c r="B649" s="323" t="inlineStr">
        <is>
          <t>15 PEX Fi Adapter</t>
        </is>
      </c>
      <c r="C649" s="327" t="inlineStr">
        <is>
          <t>ea</t>
        </is>
      </c>
      <c r="E649" s="605" t="n">
        <v>0</v>
      </c>
      <c r="F649" s="583">
        <f>E649*D649</f>
        <v/>
      </c>
    </row>
    <row r="650" ht="14.4" customHeight="1">
      <c r="A650" s="323" t="n"/>
      <c r="B650" s="323" t="inlineStr">
        <is>
          <t>15 PEX Fi BP, wall elbow</t>
        </is>
      </c>
      <c r="C650" s="327" t="inlineStr">
        <is>
          <t>ea</t>
        </is>
      </c>
      <c r="E650" s="605" t="n">
        <v>0</v>
      </c>
      <c r="F650" s="583">
        <f>E650*D650</f>
        <v/>
      </c>
    </row>
    <row r="651" ht="14.4" customHeight="1">
      <c r="A651" s="323" t="n"/>
      <c r="B651" s="323" t="inlineStr">
        <is>
          <t>15 PEX Mi BP, Wall elbow  - 90 Long</t>
        </is>
      </c>
      <c r="C651" s="327" t="inlineStr">
        <is>
          <t>ea</t>
        </is>
      </c>
      <c r="E651" s="605" t="n">
        <v>0</v>
      </c>
      <c r="F651" s="583">
        <f>E651*D651</f>
        <v/>
      </c>
    </row>
    <row r="652" ht="14.4" customHeight="1">
      <c r="A652" s="323" t="n"/>
      <c r="B652" s="323" t="inlineStr">
        <is>
          <t>15 PEX Mi BP, Wall elbow  - 120+ Long</t>
        </is>
      </c>
      <c r="C652" s="327" t="inlineStr">
        <is>
          <t>ea</t>
        </is>
      </c>
      <c r="E652" s="605" t="n">
        <v>0</v>
      </c>
      <c r="F652" s="583">
        <f>E652*D652</f>
        <v/>
      </c>
    </row>
    <row r="653" ht="14.4" customHeight="1">
      <c r="A653" s="323" t="n"/>
      <c r="B653" s="323" t="inlineStr">
        <is>
          <t>15 PEXxCU Crimp conversion coupling</t>
        </is>
      </c>
      <c r="C653" s="327" t="inlineStr">
        <is>
          <t>ea</t>
        </is>
      </c>
      <c r="E653" s="605" t="n">
        <v>0</v>
      </c>
      <c r="F653" s="583">
        <f>E653*D653</f>
        <v/>
      </c>
    </row>
    <row r="654" ht="14.4" customHeight="1">
      <c r="A654" s="323" t="n"/>
      <c r="B654" s="323" t="inlineStr">
        <is>
          <t>15 PEX Straight coupling</t>
        </is>
      </c>
      <c r="C654" s="327" t="inlineStr">
        <is>
          <t>ea</t>
        </is>
      </c>
      <c r="E654" s="605" t="n">
        <v>0</v>
      </c>
      <c r="F654" s="583">
        <f>E654*D654</f>
        <v/>
      </c>
    </row>
    <row r="655" ht="14.4" customHeight="1">
      <c r="A655" s="323" t="n"/>
      <c r="B655" s="323" t="n"/>
      <c r="C655" s="327" t="inlineStr">
        <is>
          <t>ea</t>
        </is>
      </c>
      <c r="E655" s="605" t="n">
        <v>0</v>
      </c>
      <c r="F655" s="583">
        <f>E655*D655</f>
        <v/>
      </c>
    </row>
    <row r="656" ht="14.4" customHeight="1">
      <c r="B656" s="329" t="inlineStr">
        <is>
          <t>Hose Taps Complete</t>
        </is>
      </c>
      <c r="C656" s="327" t="inlineStr">
        <is>
          <t>ea</t>
        </is>
      </c>
      <c r="D656" s="40" t="n">
        <v>1</v>
      </c>
      <c r="E656" s="605" t="n">
        <v>56</v>
      </c>
      <c r="F656" s="583">
        <f>E656*D656</f>
        <v/>
      </c>
      <c r="G656" s="605" t="n"/>
    </row>
    <row r="657" ht="14.4" customHeight="1">
      <c r="B657" t="inlineStr">
        <is>
          <t>200mm x 8 Inch Full Faced Stub &amp; Stainless Backing Ring AS4087</t>
        </is>
      </c>
      <c r="C657" s="445" t="inlineStr">
        <is>
          <t>ea</t>
        </is>
      </c>
      <c r="D657" s="40" t="n">
        <v>6</v>
      </c>
      <c r="E657" s="605" t="n">
        <v>472.44</v>
      </c>
      <c r="F657" s="583">
        <f>E657*D657</f>
        <v/>
      </c>
      <c r="G657" s="605" t="n"/>
    </row>
    <row r="658" ht="14.4" customHeight="1">
      <c r="B658" t="inlineStr">
        <is>
          <t>200 FL DICL Sluice Valve</t>
        </is>
      </c>
      <c r="C658" s="445" t="inlineStr">
        <is>
          <t>ea</t>
        </is>
      </c>
      <c r="D658" s="40" t="n">
        <v>3</v>
      </c>
      <c r="E658" s="605" t="n">
        <v>679</v>
      </c>
      <c r="F658" s="583">
        <f>E658*D658</f>
        <v/>
      </c>
      <c r="G658" s="605" t="n"/>
    </row>
    <row r="659" ht="14.4" customHeight="1">
      <c r="B659" s="446" t="inlineStr">
        <is>
          <t>200 SS Gasket Kit EPDM DI-DI</t>
        </is>
      </c>
      <c r="C659" s="42" t="inlineStr">
        <is>
          <t>ea</t>
        </is>
      </c>
      <c r="D659" s="42" t="n">
        <v>6</v>
      </c>
      <c r="E659" s="583" t="n">
        <v>47</v>
      </c>
      <c r="F659" s="583">
        <f>E659*D659</f>
        <v/>
      </c>
      <c r="G659" s="605" t="n"/>
    </row>
    <row r="660" ht="14.4" customHeight="1">
      <c r="B660" t="inlineStr">
        <is>
          <t xml:space="preserve">100 FL DICL SLUICE VALVE </t>
        </is>
      </c>
      <c r="C660" s="302" t="inlineStr">
        <is>
          <t>ea</t>
        </is>
      </c>
      <c r="D660" s="40" t="n">
        <v>6</v>
      </c>
      <c r="E660" s="605" t="n">
        <v>202.94</v>
      </c>
      <c r="F660" s="583">
        <f>E660*D660</f>
        <v/>
      </c>
      <c r="G660" s="605" t="n"/>
    </row>
    <row r="661" ht="14.4" customHeight="1">
      <c r="B661" s="451" t="inlineStr">
        <is>
          <t xml:space="preserve">100mm check valve </t>
        </is>
      </c>
      <c r="C661" s="453" t="inlineStr">
        <is>
          <t>ea</t>
        </is>
      </c>
      <c r="D661" s="396" t="n">
        <v>6</v>
      </c>
      <c r="E661" s="607" t="n">
        <v>880</v>
      </c>
      <c r="F661" s="608">
        <f>E661*D661</f>
        <v/>
      </c>
      <c r="G661" s="605" t="n"/>
    </row>
    <row r="662" ht="14.4" customHeight="1">
      <c r="B662" t="inlineStr">
        <is>
          <t xml:space="preserve"> 125PE*4" (100mm) - MaxiStub W/Stainless Steel Backing Ring</t>
        </is>
      </c>
      <c r="C662" s="302" t="inlineStr">
        <is>
          <t>ea</t>
        </is>
      </c>
      <c r="D662" s="40" t="n">
        <v>12</v>
      </c>
      <c r="E662" s="605" t="n">
        <v>92.67</v>
      </c>
      <c r="F662" s="583">
        <f>E662*D662</f>
        <v/>
      </c>
      <c r="G662" s="605" t="n"/>
    </row>
    <row r="663" ht="14.4" customHeight="1">
      <c r="B663" t="inlineStr">
        <is>
          <t>100mm PE*DI Gasket Kit Complete  Parts &amp; Labour</t>
        </is>
      </c>
      <c r="C663" s="302" t="inlineStr">
        <is>
          <t>ea</t>
        </is>
      </c>
      <c r="D663" s="40" t="n">
        <v>6</v>
      </c>
      <c r="E663" s="605" t="n">
        <v>24.71</v>
      </c>
      <c r="F663" s="583">
        <f>E663*D663</f>
        <v/>
      </c>
      <c r="G663" s="605" t="n"/>
    </row>
    <row r="664" ht="14.4" customHeight="1">
      <c r="B664" t="inlineStr">
        <is>
          <t>100mm DI*DI Gasket Kit Complete</t>
        </is>
      </c>
      <c r="C664" s="302" t="inlineStr">
        <is>
          <t>ea</t>
        </is>
      </c>
      <c r="D664" s="40" t="n">
        <v>6</v>
      </c>
      <c r="E664" s="605" t="n">
        <v>20</v>
      </c>
      <c r="F664" s="583">
        <f>E664*D664</f>
        <v/>
      </c>
      <c r="G664" s="605" t="n"/>
    </row>
    <row r="665" ht="14.4" customHeight="1">
      <c r="B665" t="inlineStr">
        <is>
          <t>Valve Spindle Riser - 600Long</t>
        </is>
      </c>
      <c r="C665" s="302" t="inlineStr">
        <is>
          <t>ea</t>
        </is>
      </c>
      <c r="E665" s="605" t="n">
        <v>136.94</v>
      </c>
      <c r="F665" s="583">
        <f>E665*D665</f>
        <v/>
      </c>
      <c r="G665" s="605" t="n"/>
    </row>
    <row r="666" ht="14.4" customHeight="1">
      <c r="B666" t="inlineStr">
        <is>
          <t>100mm Dual Pillar Hydrant Complete_ RG Base 1500 High w/landing Valves_OPTION</t>
        </is>
      </c>
      <c r="C666" s="302" t="inlineStr">
        <is>
          <t>ea</t>
        </is>
      </c>
      <c r="E666" s="605" t="n">
        <v>365</v>
      </c>
      <c r="F666" s="583">
        <f>E666*D666</f>
        <v/>
      </c>
      <c r="G666" s="605" t="n"/>
    </row>
    <row r="667" ht="14.4" customHeight="1">
      <c r="B667" t="inlineStr">
        <is>
          <t>125mm PE x 100mm GALV ADAPTER - Acutech Brand</t>
        </is>
      </c>
      <c r="C667" s="302" t="inlineStr">
        <is>
          <t>ea</t>
        </is>
      </c>
      <c r="E667" s="605" t="n">
        <v>201.43</v>
      </c>
      <c r="F667" s="583">
        <f>E667*D667</f>
        <v/>
      </c>
      <c r="G667" s="605" t="n"/>
    </row>
    <row r="668" ht="14.4" customHeight="1">
      <c r="B668" t="inlineStr">
        <is>
          <t>Red caps and chain - suit 65mm QLD Landing valve</t>
        </is>
      </c>
      <c r="C668" s="302" t="inlineStr">
        <is>
          <t>ea</t>
        </is>
      </c>
      <c r="E668" s="605" t="n">
        <v>5</v>
      </c>
      <c r="F668" s="583">
        <f>E668*D668</f>
        <v/>
      </c>
      <c r="G668" s="605" t="n"/>
    </row>
    <row r="669" ht="14.4" customHeight="1">
      <c r="B669" t="inlineStr">
        <is>
          <t>RPZD  32mm</t>
        </is>
      </c>
      <c r="C669" s="302" t="inlineStr">
        <is>
          <t>ea</t>
        </is>
      </c>
      <c r="E669" s="605" t="n">
        <v>853</v>
      </c>
      <c r="F669" s="583">
        <f>E669*D669</f>
        <v/>
      </c>
      <c r="G669" s="605" t="n"/>
    </row>
    <row r="670" ht="14.4" customHeight="1">
      <c r="B670" t="inlineStr">
        <is>
          <t>RPZD  20mm</t>
        </is>
      </c>
      <c r="C670" s="302" t="inlineStr">
        <is>
          <t>ea</t>
        </is>
      </c>
      <c r="E670" s="605" t="n">
        <v>503</v>
      </c>
      <c r="F670" s="583">
        <f>E670*D670</f>
        <v/>
      </c>
      <c r="G670" s="605" t="n"/>
    </row>
    <row r="671" ht="14.4" customHeight="1">
      <c r="B671" t="inlineStr">
        <is>
          <t>RPZD 100mm</t>
        </is>
      </c>
      <c r="C671" s="302" t="inlineStr">
        <is>
          <t>ea</t>
        </is>
      </c>
      <c r="E671" s="605" t="n">
        <v>1809.63</v>
      </c>
      <c r="F671" s="583">
        <f>E671*D671</f>
        <v/>
      </c>
      <c r="G671" s="605" t="n"/>
    </row>
    <row r="672" ht="14.4" customHeight="1">
      <c r="B672" s="63" t="inlineStr">
        <is>
          <t>Office - Water &amp; Rough IN</t>
        </is>
      </c>
      <c r="C672" s="302" t="inlineStr">
        <is>
          <t>ea</t>
        </is>
      </c>
      <c r="E672" s="605" t="n">
        <v>1650</v>
      </c>
      <c r="F672" s="583">
        <f>E672*D672</f>
        <v/>
      </c>
      <c r="G672" s="605" t="n"/>
    </row>
    <row r="673" ht="14.4" customHeight="1">
      <c r="B673" s="63" t="inlineStr">
        <is>
          <t>Ofice - NOGINS &amp; Fixings</t>
        </is>
      </c>
      <c r="C673" s="302" t="inlineStr">
        <is>
          <t>ea</t>
        </is>
      </c>
      <c r="E673" s="605" t="n">
        <v>160</v>
      </c>
      <c r="F673" s="583">
        <f>E673*D673</f>
        <v/>
      </c>
      <c r="G673" s="605" t="n"/>
    </row>
    <row r="674" ht="14.4" customHeight="1">
      <c r="B674" s="63" t="inlineStr">
        <is>
          <t>Safety shr fittings</t>
        </is>
      </c>
      <c r="C674" s="302" t="inlineStr">
        <is>
          <t>ea</t>
        </is>
      </c>
      <c r="E674" s="605" t="n">
        <v>750</v>
      </c>
      <c r="F674" s="583">
        <f>E674*D674</f>
        <v/>
      </c>
      <c r="G674" s="605" t="n"/>
    </row>
    <row r="675" ht="14.4" customHeight="1">
      <c r="B675" s="63" t="inlineStr">
        <is>
          <t>In Grnd Fittings misc</t>
        </is>
      </c>
      <c r="C675" s="302" t="inlineStr">
        <is>
          <t>ea</t>
        </is>
      </c>
      <c r="E675" s="605" t="n">
        <v>450</v>
      </c>
      <c r="F675" s="583">
        <f>E675*D675</f>
        <v/>
      </c>
      <c r="G675" s="605" t="n"/>
    </row>
    <row r="676" ht="14.4" customHeight="1">
      <c r="B676" s="63" t="inlineStr">
        <is>
          <t>Abv Grnd Fittings misc</t>
        </is>
      </c>
      <c r="C676" s="302" t="inlineStr">
        <is>
          <t>ea</t>
        </is>
      </c>
      <c r="E676" s="605" t="n">
        <v>1250</v>
      </c>
      <c r="F676" s="583">
        <f>E676*D676</f>
        <v/>
      </c>
      <c r="G676" s="605" t="n"/>
    </row>
    <row r="677" ht="14.4" customHeight="1">
      <c r="B677" t="inlineStr">
        <is>
          <t>HWU quickie kit</t>
        </is>
      </c>
      <c r="C677" s="302" t="inlineStr">
        <is>
          <t>ea</t>
        </is>
      </c>
      <c r="E677" s="605" t="n">
        <v>190</v>
      </c>
      <c r="F677" s="583">
        <f>E677*D677</f>
        <v/>
      </c>
      <c r="G677" s="605" t="n"/>
    </row>
    <row r="678" ht="14.4" customHeight="1">
      <c r="B678" t="inlineStr">
        <is>
          <t>TMV</t>
        </is>
      </c>
      <c r="C678" s="302" t="inlineStr">
        <is>
          <t>ea</t>
        </is>
      </c>
      <c r="E678" s="605" t="n">
        <v>412.59</v>
      </c>
      <c r="F678" s="583">
        <f>E678*D678</f>
        <v/>
      </c>
    </row>
    <row r="679" ht="14.4" customHeight="1">
      <c r="B679" t="inlineStr">
        <is>
          <t>TMV1  AQUABLEND 1000
(ATM710</t>
        </is>
      </c>
      <c r="C679" s="302" t="inlineStr">
        <is>
          <t>ea</t>
        </is>
      </c>
      <c r="E679" s="605" t="n">
        <v>284.07</v>
      </c>
      <c r="F679" s="583">
        <f>E679*D679</f>
        <v/>
      </c>
    </row>
    <row r="680" ht="27" customHeight="1">
      <c r="B680" s="403" t="inlineStr">
        <is>
          <t>TMV 2   AQUABLEND 1000
(ATMS710H-350)</t>
        </is>
      </c>
      <c r="C680" s="302" t="inlineStr">
        <is>
          <t>ea</t>
        </is>
      </c>
      <c r="E680" s="605" t="n">
        <v>502.1</v>
      </c>
      <c r="F680" s="583">
        <f>E680*D680</f>
        <v/>
      </c>
    </row>
    <row r="681" ht="14.4" customHeight="1">
      <c r="B681" t="inlineStr">
        <is>
          <t xml:space="preserve">25mm Isolavtive valve </t>
        </is>
      </c>
      <c r="C681" s="302" t="inlineStr">
        <is>
          <t>ea</t>
        </is>
      </c>
      <c r="D681" s="40" t="n">
        <v>1</v>
      </c>
      <c r="E681" s="605" t="n">
        <v>70</v>
      </c>
      <c r="F681" s="583">
        <f>E681*D681</f>
        <v/>
      </c>
    </row>
    <row r="682" ht="14.4" customHeight="1">
      <c r="B682" t="inlineStr">
        <is>
          <t xml:space="preserve">20mm Isolavtive valve </t>
        </is>
      </c>
      <c r="C682" s="302" t="inlineStr">
        <is>
          <t>ea</t>
        </is>
      </c>
      <c r="E682" s="605" t="n">
        <v>50</v>
      </c>
      <c r="F682" s="583">
        <f>E682*D682</f>
        <v/>
      </c>
      <c r="G682" s="605" t="n"/>
    </row>
    <row r="683" ht="16.8" customHeight="1">
      <c r="B683" s="330" t="inlineStr">
        <is>
          <t>450 SQ PIT</t>
        </is>
      </c>
      <c r="C683" s="302" t="inlineStr">
        <is>
          <t>ea</t>
        </is>
      </c>
      <c r="E683" s="605" t="n">
        <v>30</v>
      </c>
      <c r="F683" s="583">
        <f>E683*D683</f>
        <v/>
      </c>
      <c r="G683" s="605" t="n"/>
    </row>
    <row r="684" ht="14.4" customHeight="1">
      <c r="B684" t="inlineStr">
        <is>
          <t>Dock Office Water Mat</t>
        </is>
      </c>
      <c r="C684" s="302" t="inlineStr">
        <is>
          <t>ea</t>
        </is>
      </c>
      <c r="E684" s="605" t="n">
        <v>1850</v>
      </c>
      <c r="F684" s="583">
        <f>E684*D684</f>
        <v/>
      </c>
      <c r="G684" s="605" t="n"/>
    </row>
    <row r="685" ht="14.4" customHeight="1">
      <c r="B685" t="inlineStr">
        <is>
          <t xml:space="preserve">25mm RPZD </t>
        </is>
      </c>
      <c r="C685" s="302" t="inlineStr">
        <is>
          <t>ea</t>
        </is>
      </c>
      <c r="E685" s="605" t="n">
        <v>1800</v>
      </c>
      <c r="F685" s="583">
        <f>E685*D685</f>
        <v/>
      </c>
      <c r="G685" s="605" t="n"/>
    </row>
    <row r="686" ht="14.4" customHeight="1">
      <c r="C686" s="302" t="n"/>
      <c r="E686" s="605" t="n"/>
      <c r="F686" s="583" t="n"/>
    </row>
    <row r="687" ht="14.4" customHeight="1">
      <c r="A687" s="323" t="n"/>
      <c r="B687" s="406" t="inlineStr">
        <is>
          <t xml:space="preserve">misc. </t>
        </is>
      </c>
      <c r="C687" s="327" t="inlineStr">
        <is>
          <t>ea</t>
        </is>
      </c>
      <c r="E687" s="605" t="n">
        <v>3800</v>
      </c>
      <c r="F687" s="583">
        <f>E687*D687</f>
        <v/>
      </c>
      <c r="G687" s="605" t="n"/>
    </row>
    <row r="688" ht="14.4" customHeight="1">
      <c r="A688" s="323" t="n"/>
      <c r="B688" s="406" t="inlineStr">
        <is>
          <t>150mm isolation valve in valve pit (connect to authority watermain )</t>
        </is>
      </c>
      <c r="C688" s="327" t="inlineStr">
        <is>
          <t>ea</t>
        </is>
      </c>
      <c r="E688" s="605" t="n">
        <v>371.37</v>
      </c>
      <c r="F688" s="583">
        <f>E688*D688</f>
        <v/>
      </c>
      <c r="G688" s="605" t="n"/>
    </row>
    <row r="689" ht="14.4" customHeight="1">
      <c r="A689" s="323" t="n"/>
      <c r="B689" s="448" t="inlineStr">
        <is>
          <t>100mm fire water meter assembly and 100mm cold water water assembly</t>
        </is>
      </c>
      <c r="C689" s="452" t="inlineStr">
        <is>
          <t>ea</t>
        </is>
      </c>
      <c r="D689" s="396" t="n">
        <v>1</v>
      </c>
      <c r="E689" s="607" t="n">
        <v>5500</v>
      </c>
      <c r="F689" s="608">
        <f>E689*D689</f>
        <v/>
      </c>
      <c r="G689" s="605" t="n">
        <v>0.5</v>
      </c>
      <c r="H689" s="540" t="inlineStr">
        <is>
          <t>ADOPTED 1 EA - legend groups BOTH assemblies as one item; price as two assemblies under one item (Denis carried 0.5)</t>
        </is>
      </c>
    </row>
    <row r="690" ht="14.4" customHeight="1">
      <c r="A690" s="323" t="n"/>
      <c r="B690" s="406" t="inlineStr">
        <is>
          <t xml:space="preserve">25mm DCW Isolation vlave in valve pit with path box cover </t>
        </is>
      </c>
      <c r="C690" s="405" t="inlineStr">
        <is>
          <t>ea</t>
        </is>
      </c>
      <c r="E690" s="605">
        <f>430.67+38.37</f>
        <v/>
      </c>
      <c r="F690" s="583">
        <f>E690*D690</f>
        <v/>
      </c>
      <c r="G690" s="605" t="n"/>
    </row>
    <row r="691" ht="14.4" customHeight="1">
      <c r="A691" s="323" t="n"/>
      <c r="B691" s="406" t="inlineStr">
        <is>
          <t xml:space="preserve">	25mm water meter in tamper steel cage with isolative valves in both side </t>
        </is>
      </c>
      <c r="C691" s="405" t="inlineStr">
        <is>
          <t>ea</t>
        </is>
      </c>
      <c r="E691" s="605">
        <f>141.13+18.87+18.87+480.93</f>
        <v/>
      </c>
      <c r="F691" s="583">
        <f>E691*D691</f>
        <v/>
      </c>
      <c r="G691" s="605" t="n"/>
    </row>
    <row r="692" ht="14.4" customHeight="1">
      <c r="A692" s="323" t="n"/>
      <c r="B692" s="406" t="inlineStr">
        <is>
          <t>TMV in Box</t>
        </is>
      </c>
      <c r="C692" s="405" t="inlineStr">
        <is>
          <t>ea</t>
        </is>
      </c>
      <c r="E692" s="605" t="n">
        <v>587.96</v>
      </c>
      <c r="F692" s="583">
        <f>E692*D692</f>
        <v/>
      </c>
      <c r="G692" s="605" t="n"/>
    </row>
    <row r="693" ht="14.4" customHeight="1">
      <c r="A693" s="323" t="n"/>
      <c r="B693" s="406" t="inlineStr">
        <is>
          <t xml:space="preserve">100 mm Water meter </t>
        </is>
      </c>
      <c r="C693" s="327" t="inlineStr">
        <is>
          <t>ea</t>
        </is>
      </c>
      <c r="E693" s="605" t="n">
        <v>641.58</v>
      </c>
      <c r="F693" s="583">
        <f>E693*D693</f>
        <v/>
      </c>
      <c r="G693" s="605" t="n"/>
    </row>
    <row r="694" ht="14.4" customHeight="1">
      <c r="A694" s="323" t="n"/>
      <c r="B694" s="406" t="inlineStr">
        <is>
          <t xml:space="preserve">32 valve in pit </t>
        </is>
      </c>
      <c r="C694" s="327" t="inlineStr">
        <is>
          <t>ea</t>
        </is>
      </c>
      <c r="E694" s="605" t="n">
        <v>50</v>
      </c>
      <c r="F694" s="583">
        <f>E694*D694</f>
        <v/>
      </c>
      <c r="G694" s="605" t="n"/>
    </row>
    <row r="695" ht="14.4" customHeight="1">
      <c r="A695" s="323" t="n"/>
      <c r="B695" s="448" t="inlineStr">
        <is>
          <t>32 mm water cap</t>
        </is>
      </c>
      <c r="C695" s="443" t="inlineStr">
        <is>
          <t>ea</t>
        </is>
      </c>
      <c r="D695" s="396" t="n">
        <v>2</v>
      </c>
      <c r="E695" s="607" t="n">
        <v>15</v>
      </c>
      <c r="F695" s="608">
        <f>E695*D695</f>
        <v/>
      </c>
      <c r="G695" s="605" t="n"/>
    </row>
    <row r="696" ht="14.4" customHeight="1">
      <c r="A696" s="323" t="n"/>
      <c r="B696" s="448" t="inlineStr">
        <is>
          <t>25mm water cap</t>
        </is>
      </c>
      <c r="C696" s="452" t="inlineStr">
        <is>
          <t>ea</t>
        </is>
      </c>
      <c r="D696" s="396" t="n">
        <v>1</v>
      </c>
      <c r="E696" s="607" t="n">
        <v>12</v>
      </c>
      <c r="F696" s="608">
        <f>E696*D696</f>
        <v/>
      </c>
      <c r="G696" s="605" t="n"/>
    </row>
    <row r="697" ht="14.4" customHeight="1">
      <c r="A697" s="323" t="n"/>
      <c r="B697" s="406" t="inlineStr">
        <is>
          <t xml:space="preserve">50mm control valve </t>
        </is>
      </c>
      <c r="C697" s="405" t="inlineStr">
        <is>
          <t>ea</t>
        </is>
      </c>
      <c r="E697" s="605" t="n">
        <v>31.71</v>
      </c>
      <c r="F697" s="583">
        <f>E697*D697</f>
        <v/>
      </c>
      <c r="G697" s="605" t="n"/>
    </row>
    <row r="698" ht="14.4" customHeight="1">
      <c r="A698" s="323" t="n"/>
      <c r="B698" s="406" t="inlineStr">
        <is>
          <t xml:space="preserve">TLV under basin </t>
        </is>
      </c>
      <c r="C698" s="327" t="inlineStr">
        <is>
          <t>ea</t>
        </is>
      </c>
      <c r="E698" s="605" t="n">
        <v>146.09</v>
      </c>
      <c r="F698" s="583">
        <f>E698*D698</f>
        <v/>
      </c>
      <c r="G698" s="605" t="n"/>
    </row>
    <row r="699" ht="14.4" customHeight="1">
      <c r="A699" s="323" t="n"/>
      <c r="B699" s="406" t="inlineStr">
        <is>
          <t xml:space="preserve">AUTOMATIC TRAP PRIMER </t>
        </is>
      </c>
      <c r="C699" s="327" t="inlineStr">
        <is>
          <t>ea</t>
        </is>
      </c>
      <c r="E699" s="605" t="n">
        <v>99.48999999999999</v>
      </c>
      <c r="F699" s="583">
        <f>E699*D699</f>
        <v/>
      </c>
      <c r="G699" s="605" t="n"/>
    </row>
    <row r="700" ht="14.4" customHeight="1">
      <c r="A700" s="323" t="n"/>
      <c r="B700" s="406" t="n"/>
      <c r="C700" s="327" t="n"/>
      <c r="E700" s="605" t="n"/>
      <c r="F700" s="583" t="n"/>
      <c r="G700" s="605" t="n"/>
    </row>
    <row r="701"/>
    <row r="702" ht="14.4" customHeight="1">
      <c r="B702" s="324" t="inlineStr">
        <is>
          <t xml:space="preserve">SEWER DRAINAGE - </t>
        </is>
      </c>
    </row>
    <row r="703" ht="14.4" customHeight="1">
      <c r="B703" s="326" t="inlineStr">
        <is>
          <t>Description</t>
        </is>
      </c>
    </row>
    <row r="704" ht="14.4" customHeight="1">
      <c r="B704" s="323" t="n"/>
    </row>
    <row r="705" ht="14.4" customHeight="1">
      <c r="B705" s="323" t="inlineStr">
        <is>
          <t xml:space="preserve">PIPE DWV PVC S/WELD  150MM - In Grnd </t>
        </is>
      </c>
      <c r="C705" s="327" t="inlineStr">
        <is>
          <t>m</t>
        </is>
      </c>
      <c r="D705" s="40" t="n">
        <v>29.29</v>
      </c>
      <c r="E705" s="609" t="n">
        <v>14.49</v>
      </c>
      <c r="F705" s="583">
        <f>E705*D705</f>
        <v/>
      </c>
      <c r="G705" t="n">
        <v>30</v>
      </c>
      <c r="H705" s="540" t="inlineStr">
        <is>
          <t>ADOPTED qty per QUANTITY_RECONCILIATION TPS_Site (vector-verified H003) - 150 DWV authority leg 29.29 m</t>
        </is>
      </c>
    </row>
    <row r="706" ht="14.4" customHeight="1">
      <c r="B706" s="406" t="inlineStr">
        <is>
          <t>PIPE DWV SN8 PVC S/WELD  100MM</t>
        </is>
      </c>
      <c r="C706" s="327" t="inlineStr">
        <is>
          <t>m</t>
        </is>
      </c>
      <c r="D706" s="40" t="n">
        <v>178.24</v>
      </c>
      <c r="E706" s="609" t="n">
        <v>9.5496</v>
      </c>
      <c r="F706" s="583">
        <f>E706*D706</f>
        <v/>
      </c>
      <c r="G706" t="n">
        <v>179</v>
      </c>
      <c r="H706" s="540" t="inlineStr">
        <is>
          <t>ADOPTED qty per QUANTITY_RECONCILIATION TPS_Site (vector-verified H003) - 100 DWV gravity sewer 178.24 m</t>
        </is>
      </c>
    </row>
    <row r="707" ht="14.4" customHeight="1">
      <c r="B707" s="406" t="inlineStr">
        <is>
          <t xml:space="preserve">150MM * 45D PVC JUNCTION </t>
        </is>
      </c>
      <c r="C707" s="405" t="inlineStr">
        <is>
          <t>ea</t>
        </is>
      </c>
      <c r="E707" s="609" t="n">
        <v>9.66</v>
      </c>
      <c r="F707" s="583">
        <f>E707*D707</f>
        <v/>
      </c>
    </row>
    <row r="708" ht="14.4" customHeight="1">
      <c r="B708" s="406" t="inlineStr">
        <is>
          <t xml:space="preserve">100MM * 45D PVC JUNCTION </t>
        </is>
      </c>
      <c r="C708" s="405" t="inlineStr">
        <is>
          <t>ea</t>
        </is>
      </c>
      <c r="E708" s="609" t="n">
        <v>4.7886</v>
      </c>
      <c r="F708" s="583">
        <f>E708*D708</f>
        <v/>
      </c>
    </row>
    <row r="709" ht="14.4" customHeight="1">
      <c r="B709" s="406" t="inlineStr">
        <is>
          <t xml:space="preserve">150MM X 100MM 45D PVC JUNCTION </t>
        </is>
      </c>
      <c r="C709" s="405" t="inlineStr">
        <is>
          <t>ea</t>
        </is>
      </c>
      <c r="E709" s="609" t="n">
        <v>13.8</v>
      </c>
      <c r="F709" s="583">
        <f>E709*D709</f>
        <v/>
      </c>
    </row>
    <row r="710" ht="14.4" customHeight="1">
      <c r="B710" s="406" t="inlineStr">
        <is>
          <t xml:space="preserve">100*50 PVC DWV JUNCTION </t>
        </is>
      </c>
      <c r="C710" s="405" t="inlineStr">
        <is>
          <t>ea</t>
        </is>
      </c>
      <c r="E710" s="609" t="n">
        <v>6.5274</v>
      </c>
      <c r="F710" s="583">
        <f>E710*D710</f>
        <v/>
      </c>
    </row>
    <row r="711" ht="14.4" customHeight="1">
      <c r="B711" s="406" t="inlineStr">
        <is>
          <t xml:space="preserve">100MM * 65 PVC PVC JUNCTION </t>
        </is>
      </c>
      <c r="C711" s="405" t="inlineStr">
        <is>
          <t>ea</t>
        </is>
      </c>
      <c r="E711" s="609" t="n">
        <v>8.5974</v>
      </c>
      <c r="F711" s="583">
        <f>E711*D711</f>
        <v/>
      </c>
    </row>
    <row r="712" ht="14.4" customHeight="1">
      <c r="B712" s="406" t="inlineStr">
        <is>
          <t xml:space="preserve">150MM X 45 Deg Bend </t>
        </is>
      </c>
      <c r="C712" s="405" t="inlineStr">
        <is>
          <t>ea</t>
        </is>
      </c>
      <c r="E712" s="609" t="n">
        <v>6.899999999999999</v>
      </c>
      <c r="F712" s="583">
        <f>E712*D712</f>
        <v/>
      </c>
    </row>
    <row r="713" ht="14.4" customHeight="1">
      <c r="B713" s="406" t="inlineStr">
        <is>
          <t xml:space="preserve">150MM X 90 Deg Bend </t>
        </is>
      </c>
      <c r="C713" s="405" t="inlineStr">
        <is>
          <t>ea</t>
        </is>
      </c>
      <c r="E713" s="609" t="n">
        <v>6.899999999999999</v>
      </c>
      <c r="F713" s="583">
        <f>E713*D713</f>
        <v/>
      </c>
    </row>
    <row r="714" ht="14.4" customHeight="1">
      <c r="B714" s="406" t="inlineStr">
        <is>
          <t>100MM X 90Deg Bend</t>
        </is>
      </c>
      <c r="C714" s="405" t="inlineStr">
        <is>
          <t>ea</t>
        </is>
      </c>
      <c r="D714" s="40" t="n">
        <v>3</v>
      </c>
      <c r="E714" s="609" t="n">
        <v>2.5668</v>
      </c>
      <c r="F714" s="583">
        <f>E714*D714</f>
        <v/>
      </c>
    </row>
    <row r="715" ht="14.4" customHeight="1">
      <c r="B715" s="406" t="inlineStr">
        <is>
          <t>100MM X 45Deg Bend</t>
        </is>
      </c>
      <c r="C715" s="405" t="inlineStr">
        <is>
          <t>ea</t>
        </is>
      </c>
      <c r="D715" s="40" t="n">
        <v>6</v>
      </c>
      <c r="E715" s="609" t="n">
        <v>2.33082</v>
      </c>
      <c r="F715" s="583">
        <f>E715*D715</f>
        <v/>
      </c>
    </row>
    <row r="716" ht="14.4" customHeight="1">
      <c r="B716" s="406" t="inlineStr">
        <is>
          <t>DWV PIPE REDUCER 150X100mm</t>
        </is>
      </c>
      <c r="C716" s="405" t="inlineStr">
        <is>
          <t>ea</t>
        </is>
      </c>
      <c r="E716" s="609" t="n">
        <v>5.52</v>
      </c>
      <c r="F716" s="583">
        <f>E716*D716</f>
        <v/>
      </c>
    </row>
    <row r="717" ht="14.4" customHeight="1">
      <c r="B717" s="406" t="inlineStr">
        <is>
          <t>DWV PIPE REDUCER 100 X 50mm</t>
        </is>
      </c>
      <c r="C717" s="405" t="inlineStr">
        <is>
          <t>ea</t>
        </is>
      </c>
      <c r="E717" s="609" t="n">
        <v>2.6772</v>
      </c>
      <c r="F717" s="583">
        <f>E717*D717</f>
        <v/>
      </c>
    </row>
    <row r="718" ht="14.4" customHeight="1">
      <c r="B718" s="323" t="inlineStr">
        <is>
          <t xml:space="preserve">PIPE DWV PVC S/WELD  100MM - In Grnd </t>
        </is>
      </c>
      <c r="C718" s="327" t="inlineStr">
        <is>
          <t>m</t>
        </is>
      </c>
      <c r="E718" s="609" t="n">
        <v>6.899999999999999</v>
      </c>
      <c r="F718" s="583">
        <f>E718*D718</f>
        <v/>
      </c>
    </row>
    <row r="719" ht="14.4" customHeight="1">
      <c r="B719" s="406" t="inlineStr">
        <is>
          <t xml:space="preserve">PIPE DWV PVC S/WELD  65MM - In Grnd </t>
        </is>
      </c>
      <c r="C719" s="327" t="inlineStr">
        <is>
          <t>m</t>
        </is>
      </c>
      <c r="E719" s="609" t="n">
        <v>5.52</v>
      </c>
      <c r="F719" s="583">
        <f>E719*D719</f>
        <v/>
      </c>
    </row>
    <row r="720" ht="14.4" customHeight="1">
      <c r="B720" s="323" t="inlineStr">
        <is>
          <t xml:space="preserve">63 HDPE PN12.5 SDR11 - BLACK or CREAM - In Grnd </t>
        </is>
      </c>
      <c r="C720" s="327" t="inlineStr">
        <is>
          <t>m</t>
        </is>
      </c>
      <c r="E720" s="609" t="n">
        <v>8.7354</v>
      </c>
      <c r="F720" s="583">
        <f>E720*D720</f>
        <v/>
      </c>
    </row>
    <row r="721" ht="14.4" customHeight="1">
      <c r="B721" s="406" t="inlineStr">
        <is>
          <t>PIPE DWV PVC S/WELD  50mm</t>
        </is>
      </c>
      <c r="C721" s="327" t="inlineStr">
        <is>
          <t>m</t>
        </is>
      </c>
      <c r="E721" s="609" t="n">
        <v>3.726</v>
      </c>
      <c r="F721" s="583">
        <f>E721*D721</f>
        <v/>
      </c>
    </row>
    <row r="722" ht="14.4" customHeight="1">
      <c r="B722" s="406" t="inlineStr">
        <is>
          <t>PIPE DWV PVC S/WELD  40mm</t>
        </is>
      </c>
      <c r="C722" s="327" t="inlineStr">
        <is>
          <t>m</t>
        </is>
      </c>
      <c r="E722" s="609" t="n">
        <v>2.898</v>
      </c>
      <c r="F722" s="583">
        <f>E722*D722</f>
        <v/>
      </c>
    </row>
    <row r="723" ht="14.4" customHeight="1">
      <c r="B723" s="406" t="inlineStr">
        <is>
          <t>DWV BEND 65X 90 DEG</t>
        </is>
      </c>
      <c r="C723" s="405" t="inlineStr">
        <is>
          <t>ea</t>
        </is>
      </c>
      <c r="E723" s="609" t="n">
        <v>2.3322</v>
      </c>
      <c r="F723" s="583">
        <f>E723*D723</f>
        <v/>
      </c>
    </row>
    <row r="724" ht="14.4" customHeight="1">
      <c r="B724" s="406" t="inlineStr">
        <is>
          <t>DWV BEND 40 X 85 DEG</t>
        </is>
      </c>
      <c r="C724" s="405" t="inlineStr">
        <is>
          <t>ea</t>
        </is>
      </c>
      <c r="E724" s="609" t="n">
        <v>4.14</v>
      </c>
      <c r="F724" s="583">
        <f>E724*D724</f>
        <v/>
      </c>
    </row>
    <row r="725" ht="14.4" customHeight="1">
      <c r="B725" s="406" t="inlineStr">
        <is>
          <t>DWV BEND 50 X 45 DEG</t>
        </is>
      </c>
      <c r="C725" s="405" t="inlineStr">
        <is>
          <t>ea</t>
        </is>
      </c>
      <c r="E725" s="609" t="n">
        <v>0.9384</v>
      </c>
      <c r="F725" s="583">
        <f>E725*D725</f>
        <v/>
      </c>
    </row>
    <row r="726" ht="14.4" customHeight="1">
      <c r="B726" s="406" t="inlineStr">
        <is>
          <t xml:space="preserve">DWV BEND 50 X85 DEG </t>
        </is>
      </c>
      <c r="C726" s="405" t="inlineStr">
        <is>
          <t>ea</t>
        </is>
      </c>
      <c r="E726" s="609" t="n">
        <v>11.7162</v>
      </c>
      <c r="F726" s="583">
        <f>E726*D726</f>
        <v/>
      </c>
    </row>
    <row r="727" ht="14.4" customHeight="1">
      <c r="B727" s="323" t="inlineStr">
        <is>
          <t>50mm Condensate INSULATION</t>
        </is>
      </c>
      <c r="C727" s="327" t="inlineStr">
        <is>
          <t>m</t>
        </is>
      </c>
      <c r="E727" s="605" t="n">
        <v>14</v>
      </c>
      <c r="F727" s="583">
        <f>E727*D727</f>
        <v/>
      </c>
    </row>
    <row r="728" ht="14.4" customHeight="1">
      <c r="B728" s="406" t="inlineStr">
        <is>
          <t>100mm Condensate INSULATION</t>
        </is>
      </c>
      <c r="C728" s="327" t="inlineStr">
        <is>
          <t>m</t>
        </is>
      </c>
      <c r="E728" s="605" t="n">
        <v>6</v>
      </c>
      <c r="F728" s="583">
        <f>E728*D728</f>
        <v/>
      </c>
    </row>
    <row r="729" ht="14.4" customHeight="1">
      <c r="B729" s="323" t="n"/>
      <c r="C729" s="327" t="n"/>
      <c r="E729" s="327" t="n"/>
      <c r="F729" s="583">
        <f>E729*D729</f>
        <v/>
      </c>
    </row>
    <row r="730" ht="14.4" customHeight="1">
      <c r="B730" s="323" t="inlineStr">
        <is>
          <t>150mm - Gas Tight H/D Cast Iron Clearout (Peepeye)</t>
        </is>
      </c>
      <c r="C730" s="327" t="inlineStr">
        <is>
          <t>ea</t>
        </is>
      </c>
      <c r="E730" s="605" t="n">
        <v>40</v>
      </c>
      <c r="F730" s="583">
        <f>E730*D730</f>
        <v/>
      </c>
    </row>
    <row r="731" ht="14.4" customHeight="1">
      <c r="B731" s="406" t="inlineStr">
        <is>
          <t>150mm Clear Out Cover - L/D - Brass</t>
        </is>
      </c>
      <c r="C731" s="327" t="inlineStr">
        <is>
          <t>ea</t>
        </is>
      </c>
      <c r="E731" s="605" t="n">
        <v>30</v>
      </c>
      <c r="F731" s="583">
        <f>E731*D731</f>
        <v/>
      </c>
    </row>
    <row r="732" ht="14.4" customHeight="1">
      <c r="B732" s="323" t="inlineStr">
        <is>
          <t>100mm - Gas Tight H/D Cast Iron Clearout (Peepeye)</t>
        </is>
      </c>
      <c r="C732" s="327" t="inlineStr">
        <is>
          <t>ea</t>
        </is>
      </c>
      <c r="E732" s="605" t="n">
        <v>33</v>
      </c>
      <c r="F732" s="583">
        <f>E732*D732</f>
        <v/>
      </c>
    </row>
    <row r="733" ht="14.4" customHeight="1">
      <c r="B733" s="406" t="inlineStr">
        <is>
          <t>100mm Clear Out Cover - L/D - Brass</t>
        </is>
      </c>
      <c r="C733" s="327" t="inlineStr">
        <is>
          <t>ea</t>
        </is>
      </c>
      <c r="E733" s="605" t="n">
        <v>23.26</v>
      </c>
      <c r="F733" s="583">
        <f>E733*D733</f>
        <v/>
      </c>
    </row>
    <row r="734" ht="14.4" customHeight="1">
      <c r="B734" s="406" t="inlineStr">
        <is>
          <t xml:space="preserve">100 mm Inspection Opening </t>
        </is>
      </c>
      <c r="C734" s="327" t="inlineStr">
        <is>
          <t>ea</t>
        </is>
      </c>
      <c r="E734" s="605" t="n">
        <v>50</v>
      </c>
      <c r="F734" s="583">
        <f>E734*D734</f>
        <v/>
      </c>
    </row>
    <row r="735" ht="14.4" customHeight="1">
      <c r="B735" s="323" t="inlineStr">
        <is>
          <t>100mm Trapped point - 100mm Gully Trap</t>
        </is>
      </c>
      <c r="C735" s="327" t="inlineStr">
        <is>
          <t>ea</t>
        </is>
      </c>
      <c r="E735" s="605" t="n">
        <v>7.65</v>
      </c>
      <c r="F735" s="583">
        <f>E735*D735</f>
        <v/>
      </c>
    </row>
    <row r="736" ht="14.4" customHeight="1">
      <c r="B736" s="323" t="inlineStr">
        <is>
          <t>FWG - 100mm Gully Trap</t>
        </is>
      </c>
      <c r="C736" s="327" t="inlineStr">
        <is>
          <t>ea</t>
        </is>
      </c>
      <c r="E736" s="605" t="n">
        <v>7.65</v>
      </c>
      <c r="F736" s="583">
        <f>E736*D736</f>
        <v/>
      </c>
    </row>
    <row r="737" ht="14.4" customHeight="1">
      <c r="B737" s="323" t="inlineStr">
        <is>
          <t>FWG - 100mm 4-way Riser</t>
        </is>
      </c>
      <c r="C737" s="327" t="inlineStr">
        <is>
          <t>ea</t>
        </is>
      </c>
      <c r="E737" s="605" t="n">
        <v>13.59</v>
      </c>
      <c r="F737" s="583">
        <f>E737*D737</f>
        <v/>
      </c>
    </row>
    <row r="738" ht="14.4" customHeight="1">
      <c r="B738" s="323" t="inlineStr">
        <is>
          <t>FWG - Grate - Tile Insert 100*100 Chrome Plated</t>
        </is>
      </c>
      <c r="C738" s="327" t="inlineStr">
        <is>
          <t>ea</t>
        </is>
      </c>
      <c r="E738" s="605" t="n">
        <v>0</v>
      </c>
      <c r="F738" s="583">
        <f>E738*D738</f>
        <v/>
      </c>
    </row>
    <row r="739" ht="14.4" customHeight="1">
      <c r="B739" s="323" t="inlineStr">
        <is>
          <t>In-Wall TD &amp; View Panel - SS</t>
        </is>
      </c>
      <c r="C739" s="327" t="inlineStr">
        <is>
          <t>ea</t>
        </is>
      </c>
      <c r="E739" s="605" t="n">
        <v>75</v>
      </c>
      <c r="F739" s="583">
        <f>E739*D739</f>
        <v/>
      </c>
    </row>
    <row r="740" ht="14.4" customHeight="1">
      <c r="B740" s="323" t="n"/>
      <c r="C740" s="327" t="n"/>
      <c r="E740" s="323" t="n"/>
      <c r="F740" s="583">
        <f>E740*D740</f>
        <v/>
      </c>
    </row>
    <row r="741" ht="14.4" customHeight="1">
      <c r="B741" s="323" t="inlineStr">
        <is>
          <t>100mm PVC 10mm nut hanging clip</t>
        </is>
      </c>
      <c r="C741" s="327" t="inlineStr">
        <is>
          <t>ea</t>
        </is>
      </c>
      <c r="E741" s="605" t="n">
        <v>2</v>
      </c>
      <c r="F741" s="583">
        <f>E741*D741</f>
        <v/>
      </c>
    </row>
    <row r="742" ht="14.4" customHeight="1">
      <c r="B742" s="323" t="inlineStr">
        <is>
          <t>50mm PVC 10mm nut hanging clip</t>
        </is>
      </c>
      <c r="C742" s="327" t="inlineStr">
        <is>
          <t>ea</t>
        </is>
      </c>
      <c r="E742" s="605" t="n">
        <v>1.5</v>
      </c>
      <c r="F742" s="583">
        <f>E742*D742</f>
        <v/>
      </c>
    </row>
    <row r="743" ht="14.4" customHeight="1">
      <c r="B743" s="323" t="inlineStr">
        <is>
          <t>10mm Zinc Threaded Rod</t>
        </is>
      </c>
      <c r="C743" s="327" t="inlineStr">
        <is>
          <t>m</t>
        </is>
      </c>
      <c r="E743" s="605">
        <f>E628</f>
        <v/>
      </c>
      <c r="F743" s="583">
        <f>E743*D743</f>
        <v/>
      </c>
    </row>
    <row r="744" ht="14.4" customHeight="1">
      <c r="B744" s="323" t="n"/>
      <c r="C744" s="327" t="n"/>
      <c r="E744" s="605" t="n"/>
      <c r="F744" s="583">
        <f>E744*D744</f>
        <v/>
      </c>
    </row>
    <row r="745" ht="14.4" customHeight="1">
      <c r="B745" s="323" t="inlineStr">
        <is>
          <t>Glue - Blue - 4Ltr</t>
        </is>
      </c>
      <c r="C745" s="327" t="inlineStr">
        <is>
          <t>ea</t>
        </is>
      </c>
      <c r="E745" s="605" t="n">
        <v>26.4</v>
      </c>
      <c r="F745" s="583">
        <f>E745*D745</f>
        <v/>
      </c>
    </row>
    <row r="746" ht="14.4" customHeight="1">
      <c r="B746" s="323" t="inlineStr">
        <is>
          <t>Primer - Red - 4Ltr</t>
        </is>
      </c>
      <c r="C746" s="327" t="inlineStr">
        <is>
          <t>ea</t>
        </is>
      </c>
      <c r="E746" s="605" t="n">
        <v>23</v>
      </c>
      <c r="F746" s="583">
        <f>E746*D746</f>
        <v/>
      </c>
    </row>
    <row r="747" ht="14.4" customHeight="1">
      <c r="B747" s="323" t="inlineStr">
        <is>
          <t>Detectable SEWER Marker Tape - 250m</t>
        </is>
      </c>
      <c r="C747" s="327" t="inlineStr">
        <is>
          <t>ea</t>
        </is>
      </c>
      <c r="E747" s="605" t="n">
        <v>75</v>
      </c>
      <c r="F747" s="583">
        <f>E747*D747</f>
        <v/>
      </c>
    </row>
    <row r="748" ht="14.4" customHeight="1">
      <c r="B748" s="323" t="inlineStr">
        <is>
          <t xml:space="preserve">100mm AbleFlex Roll </t>
        </is>
      </c>
      <c r="C748" s="327" t="inlineStr">
        <is>
          <t>ea</t>
        </is>
      </c>
      <c r="E748" s="605" t="n">
        <v>22</v>
      </c>
      <c r="F748" s="583">
        <f>E748*D748</f>
        <v/>
      </c>
    </row>
    <row r="749" ht="14.4" customHeight="1">
      <c r="B749" s="323" t="inlineStr">
        <is>
          <t>Concrete Mix bag</t>
        </is>
      </c>
      <c r="C749" s="327" t="inlineStr">
        <is>
          <t>ea</t>
        </is>
      </c>
      <c r="E749" s="605" t="n">
        <v>10</v>
      </c>
      <c r="F749" s="583">
        <f>E749*D749</f>
        <v/>
      </c>
    </row>
    <row r="750" ht="14.4" customHeight="1">
      <c r="B750" s="323" t="n"/>
      <c r="C750" s="327" t="n"/>
      <c r="E750" s="605" t="n"/>
      <c r="F750" s="583">
        <f>E750*D750</f>
        <v/>
      </c>
    </row>
    <row r="751" ht="14.4" customHeight="1">
      <c r="B751" s="406" t="inlineStr">
        <is>
          <t>External Sewer Mains fitting</t>
        </is>
      </c>
      <c r="C751" s="327" t="inlineStr">
        <is>
          <t>ea</t>
        </is>
      </c>
      <c r="E751" s="605" t="n">
        <v>520</v>
      </c>
      <c r="F751" s="583">
        <f>E751*D751</f>
        <v/>
      </c>
    </row>
    <row r="752" ht="14.4" customHeight="1">
      <c r="B752" s="406" t="inlineStr">
        <is>
          <t>Vents Complete</t>
        </is>
      </c>
      <c r="C752" s="327" t="inlineStr">
        <is>
          <t>ea</t>
        </is>
      </c>
      <c r="E752" s="605" t="n">
        <v>230</v>
      </c>
      <c r="F752" s="583">
        <f>E752*D752</f>
        <v/>
      </c>
    </row>
    <row r="753" ht="14.4" customHeight="1">
      <c r="B753" s="406" t="inlineStr">
        <is>
          <t>Office Drainage mat</t>
        </is>
      </c>
      <c r="C753" s="327" t="inlineStr">
        <is>
          <t>ea</t>
        </is>
      </c>
      <c r="E753" s="605" t="n">
        <v>2800</v>
      </c>
      <c r="F753" s="583">
        <f>E753*D753</f>
        <v/>
      </c>
    </row>
    <row r="754" ht="14.4" customHeight="1">
      <c r="B754" s="406" t="inlineStr">
        <is>
          <t>Dock Office Drainage Mat</t>
        </is>
      </c>
      <c r="C754" s="327" t="inlineStr">
        <is>
          <t>ea</t>
        </is>
      </c>
      <c r="E754" s="605" t="n">
        <v>950</v>
      </c>
      <c r="F754" s="583">
        <f>E754*D754</f>
        <v/>
      </c>
    </row>
    <row r="755" ht="14.4" customHeight="1">
      <c r="B755" s="406" t="inlineStr">
        <is>
          <t xml:space="preserve">misc. </t>
        </is>
      </c>
      <c r="C755" s="327" t="inlineStr">
        <is>
          <t>ea</t>
        </is>
      </c>
      <c r="E755" s="605" t="n">
        <v>1250</v>
      </c>
      <c r="F755" s="583">
        <f>E755*D755</f>
        <v/>
      </c>
    </row>
    <row r="756" ht="14.4" customHeight="1">
      <c r="B756" s="406" t="inlineStr">
        <is>
          <t xml:space="preserve">Overflow Gully </t>
        </is>
      </c>
      <c r="C756" s="327" t="inlineStr">
        <is>
          <t>ea</t>
        </is>
      </c>
      <c r="E756" s="610" t="n">
        <v>200</v>
      </c>
      <c r="F756" s="583">
        <f>E756*D756</f>
        <v/>
      </c>
    </row>
    <row r="757" ht="14.4" customHeight="1">
      <c r="B757" s="406" t="inlineStr">
        <is>
          <t>Tundish with HT</t>
        </is>
      </c>
      <c r="C757" s="327" t="inlineStr">
        <is>
          <t>ea</t>
        </is>
      </c>
      <c r="E757" s="610" t="n">
        <v>60</v>
      </c>
      <c r="F757" s="583">
        <f>E757*D757</f>
        <v/>
      </c>
    </row>
    <row r="758" ht="14.4" customHeight="1">
      <c r="B758" s="406" t="inlineStr">
        <is>
          <t>COS</t>
        </is>
      </c>
      <c r="C758" s="327" t="inlineStr">
        <is>
          <t>ea</t>
        </is>
      </c>
      <c r="E758" s="610" t="n">
        <v>120</v>
      </c>
      <c r="F758" s="583">
        <f>E758*D758</f>
        <v/>
      </c>
    </row>
    <row r="759" ht="14.4" customHeight="1">
      <c r="B759" s="406" t="inlineStr">
        <is>
          <t xml:space="preserve">Tundish </t>
        </is>
      </c>
      <c r="C759" s="327" t="inlineStr">
        <is>
          <t>ea</t>
        </is>
      </c>
      <c r="E759" s="605" t="n">
        <v>61.33</v>
      </c>
      <c r="F759" s="583">
        <f>E759*D759</f>
        <v/>
      </c>
    </row>
    <row r="760" ht="14.4" customHeight="1">
      <c r="B760" s="406" t="inlineStr">
        <is>
          <t>SIVEL EXPANSION JOINT</t>
        </is>
      </c>
      <c r="C760" s="327" t="inlineStr">
        <is>
          <t>ea</t>
        </is>
      </c>
      <c r="E760" s="610" t="n">
        <v>100</v>
      </c>
      <c r="F760" s="583">
        <f>E760*D760</f>
        <v/>
      </c>
    </row>
    <row r="761" ht="28.8" customHeight="1">
      <c r="B761" s="409" t="inlineStr">
        <is>
          <t>FWG-130x130 STAINLESS STEEL GRATE WITH 80Ø VERTICAL OUTLET. SPS MODEL Q130/80SR</t>
        </is>
      </c>
      <c r="C761" s="327" t="inlineStr">
        <is>
          <t>ea</t>
        </is>
      </c>
      <c r="E761" s="610" t="n">
        <v>250</v>
      </c>
      <c r="F761" s="583">
        <f>E761*D761</f>
        <v/>
      </c>
    </row>
    <row r="762" ht="43.2" customHeight="1">
      <c r="B762" s="409" t="inlineStr">
        <is>
          <t>FWG/BT - 200x200 PUSH IN BASKET TRAP WITH 316 STAINLESS STEEL GRATE CLASS 'C' SPS MODEL
Q200 SR6-BT WITH FIXED SECONDARY STRAINER</t>
        </is>
      </c>
      <c r="C762" s="327" t="inlineStr">
        <is>
          <t>ea</t>
        </is>
      </c>
      <c r="E762" s="610" t="n">
        <v>250</v>
      </c>
      <c r="F762" s="583">
        <f>E762*D762</f>
        <v/>
      </c>
    </row>
    <row r="763" ht="14.4" customHeight="1">
      <c r="B763" s="409" t="inlineStr">
        <is>
          <t>Fire Collars &amp; Misc</t>
        </is>
      </c>
      <c r="C763" s="327" t="inlineStr">
        <is>
          <t>ea</t>
        </is>
      </c>
      <c r="E763" s="605" t="n">
        <v>300</v>
      </c>
      <c r="F763" s="583">
        <f>E763*D763</f>
        <v/>
      </c>
    </row>
    <row r="764" ht="14.4" customHeight="1">
      <c r="B764" s="409" t="inlineStr">
        <is>
          <t xml:space="preserve">plaster /slip trap </t>
        </is>
      </c>
      <c r="C764" s="327" t="inlineStr">
        <is>
          <t>ea</t>
        </is>
      </c>
      <c r="E764" s="610" t="n">
        <v>1200</v>
      </c>
      <c r="F764" s="583">
        <f>E764*D764</f>
        <v/>
      </c>
    </row>
    <row r="765" ht="14.4" customHeight="1">
      <c r="B765" s="454" t="inlineStr">
        <is>
          <t xml:space="preserve">Material for 150mm sewer property connection </t>
        </is>
      </c>
      <c r="C765" s="452" t="inlineStr">
        <is>
          <t>ea</t>
        </is>
      </c>
      <c r="D765" s="396" t="n">
        <v>1</v>
      </c>
      <c r="E765" s="607" t="n">
        <v>900</v>
      </c>
      <c r="F765" s="608">
        <f>E765*D765</f>
        <v/>
      </c>
    </row>
    <row r="766" ht="14.4" customHeight="1">
      <c r="B766" s="454" t="inlineStr">
        <is>
          <t xml:space="preserve">sewer maintenance shaft </t>
        </is>
      </c>
      <c r="C766" s="452" t="inlineStr">
        <is>
          <t>ea</t>
        </is>
      </c>
      <c r="D766" s="396" t="n">
        <v>2</v>
      </c>
      <c r="E766" s="607" t="n">
        <v>5250</v>
      </c>
      <c r="F766" s="608">
        <f>E766*D766</f>
        <v/>
      </c>
    </row>
    <row r="767"/>
    <row r="768" ht="14.4" customHeight="1">
      <c r="B768" s="324" t="inlineStr">
        <is>
          <t xml:space="preserve">Trade Waste </t>
        </is>
      </c>
    </row>
    <row r="769" ht="14.4" customHeight="1">
      <c r="B769" s="326" t="inlineStr">
        <is>
          <t>Description</t>
        </is>
      </c>
    </row>
    <row r="770"/>
    <row r="771">
      <c r="B771" s="38" t="inlineStr">
        <is>
          <t>Geberit Hdpe Pipe 110mm</t>
        </is>
      </c>
      <c r="C771" s="40" t="inlineStr">
        <is>
          <t>m</t>
        </is>
      </c>
      <c r="D771" s="40" t="n">
        <v>16.28</v>
      </c>
      <c r="E771" s="583" t="n">
        <v>17</v>
      </c>
      <c r="F771" s="608">
        <f>E771*D771</f>
        <v/>
      </c>
      <c r="G771" t="n">
        <v>17</v>
      </c>
      <c r="H771" s="540" t="inlineStr">
        <is>
          <t>ADOPTED qty per QUANTITY_RECONCILIATION TPS_Site (vector-verified H003) - 110 HDPE trade waste 16.28 m</t>
        </is>
      </c>
    </row>
    <row r="772"/>
    <row r="773"/>
    <row r="774" ht="14.4" customHeight="1">
      <c r="B774" s="324" t="inlineStr">
        <is>
          <t>STORMWATER DRAINAGE</t>
        </is>
      </c>
    </row>
    <row r="775" ht="14.4" customHeight="1">
      <c r="B775" s="326" t="inlineStr">
        <is>
          <t>Description</t>
        </is>
      </c>
    </row>
    <row r="776" ht="14.4" customHeight="1">
      <c r="B776" s="323" t="n"/>
    </row>
    <row r="777" ht="14.4" customHeight="1">
      <c r="B777" s="323" t="n"/>
    </row>
    <row r="778" ht="14.4" customHeight="1">
      <c r="B778" s="406" t="inlineStr">
        <is>
          <t>PIPE 600MM - RIBBED</t>
        </is>
      </c>
      <c r="C778" s="327" t="inlineStr">
        <is>
          <t>m</t>
        </is>
      </c>
      <c r="E778" s="609" t="n">
        <v>165.6</v>
      </c>
      <c r="F778" s="583">
        <f>E778*D778</f>
        <v/>
      </c>
    </row>
    <row r="779" ht="14.4" customHeight="1">
      <c r="B779" s="406" t="inlineStr">
        <is>
          <t>PIPE 450MM - RIBBED</t>
        </is>
      </c>
      <c r="C779" s="327" t="inlineStr">
        <is>
          <t>m</t>
        </is>
      </c>
      <c r="E779" s="609" t="n">
        <v>89.69999999999999</v>
      </c>
      <c r="F779" s="583">
        <f>E779*D779</f>
        <v/>
      </c>
    </row>
    <row r="780" ht="14.4" customHeight="1">
      <c r="B780" s="406" t="inlineStr">
        <is>
          <t xml:space="preserve">PIPE 375MM - RIBBED BLACK MAX </t>
        </is>
      </c>
      <c r="C780" s="327" t="inlineStr">
        <is>
          <t>m</t>
        </is>
      </c>
      <c r="E780" s="609" t="n">
        <v>66.23999999999999</v>
      </c>
      <c r="F780" s="583">
        <f>E780*D780</f>
        <v/>
      </c>
    </row>
    <row r="781" ht="14.4" customHeight="1">
      <c r="B781" s="406" t="inlineStr">
        <is>
          <t xml:space="preserve">PIPE 300MM - RIBBED BLACK MAX </t>
        </is>
      </c>
      <c r="C781" s="327" t="inlineStr">
        <is>
          <t>m</t>
        </is>
      </c>
      <c r="E781" s="609" t="n">
        <v>0</v>
      </c>
      <c r="F781" s="583">
        <f>E781*D781</f>
        <v/>
      </c>
    </row>
    <row r="782" ht="14.4" customHeight="1">
      <c r="B782" s="406" t="inlineStr">
        <is>
          <t>PIPE DWV SN8 PVC S/WELD  375MM</t>
        </is>
      </c>
      <c r="C782" s="327" t="inlineStr">
        <is>
          <t>m</t>
        </is>
      </c>
      <c r="E782" s="609" t="n">
        <v>85.10459999999999</v>
      </c>
      <c r="F782" s="583">
        <f>E782*D782</f>
        <v/>
      </c>
    </row>
    <row r="783" ht="14.4" customHeight="1">
      <c r="B783" s="406" t="inlineStr">
        <is>
          <t>PIPE DWV SN8 PVC S/WELD  300MM</t>
        </is>
      </c>
      <c r="C783" s="327" t="inlineStr">
        <is>
          <t>m</t>
        </is>
      </c>
      <c r="E783" s="609" t="n">
        <v>84.17999999999999</v>
      </c>
      <c r="F783" s="583">
        <f>E783*D783</f>
        <v/>
      </c>
    </row>
    <row r="784" ht="14.4" customHeight="1">
      <c r="B784" s="323" t="inlineStr">
        <is>
          <t>PIPE DWV SN4 PVC S/WELD  300MM</t>
        </is>
      </c>
      <c r="C784" s="327" t="inlineStr">
        <is>
          <t>m</t>
        </is>
      </c>
      <c r="E784" s="609" t="n">
        <v>68.77</v>
      </c>
      <c r="F784" s="583">
        <f>E784*D784</f>
        <v/>
      </c>
    </row>
    <row r="785" ht="14.4" customHeight="1">
      <c r="B785" s="323" t="inlineStr">
        <is>
          <t>PIPE SW H/D PVC S/WELD  300MM</t>
        </is>
      </c>
      <c r="C785" s="327" t="inlineStr">
        <is>
          <t>m</t>
        </is>
      </c>
      <c r="E785" s="609" t="n">
        <v>55.2</v>
      </c>
      <c r="F785" s="583">
        <f>E785*D785</f>
        <v/>
      </c>
    </row>
    <row r="786" ht="14.4" customHeight="1">
      <c r="B786" s="406" t="inlineStr">
        <is>
          <t>PIPE DWV SN8 PVC S/WELD  225MM</t>
        </is>
      </c>
      <c r="C786" s="327" t="inlineStr">
        <is>
          <t>m</t>
        </is>
      </c>
      <c r="D786" s="40" t="n">
        <v>6.91</v>
      </c>
      <c r="E786" s="609" t="n">
        <v>55.2</v>
      </c>
      <c r="F786" s="583">
        <f>E786*D786</f>
        <v/>
      </c>
      <c r="G786" t="n">
        <v>7</v>
      </c>
      <c r="H786" s="540" t="inlineStr">
        <is>
          <t>ADOPTED qty per QUANTITY_RECONCILIATION TPS_Site (vector-verified H003) - 225 DWV storm connection stubs 6.91 m (stubs only - runs are TCS line 81, interface L2)</t>
        </is>
      </c>
    </row>
    <row r="787" ht="14.4" customHeight="1">
      <c r="B787" s="406" t="inlineStr">
        <is>
          <t>PIPE DWV SN4 PVC S/WELD  225MM</t>
        </is>
      </c>
      <c r="C787" s="327" t="inlineStr">
        <is>
          <t>m</t>
        </is>
      </c>
      <c r="E787" s="609" t="n">
        <v>42.77999999999999</v>
      </c>
      <c r="F787" s="583">
        <f>E787*D787</f>
        <v/>
      </c>
    </row>
    <row r="788" ht="14.4" customHeight="1">
      <c r="B788" s="323" t="inlineStr">
        <is>
          <t>PIPE SW H/D PVC S/WELD  225MM</t>
        </is>
      </c>
      <c r="C788" s="327" t="inlineStr">
        <is>
          <t>m</t>
        </is>
      </c>
      <c r="E788" s="609" t="n">
        <v>32.66</v>
      </c>
      <c r="F788" s="583">
        <f>E788*D788</f>
        <v/>
      </c>
    </row>
    <row r="789" ht="14.4" customHeight="1">
      <c r="B789" s="406" t="inlineStr">
        <is>
          <t>PIPE DWV SN8 PVC S/WELD  150MM</t>
        </is>
      </c>
      <c r="C789" s="327" t="inlineStr">
        <is>
          <t>m</t>
        </is>
      </c>
      <c r="E789" s="609" t="n">
        <v>19.55</v>
      </c>
      <c r="F789" s="583">
        <f>E789*D789</f>
        <v/>
      </c>
    </row>
    <row r="790" ht="14.4" customHeight="1">
      <c r="B790" s="323" t="inlineStr">
        <is>
          <t>PIPE DWV SN4 PVC S/WELD  150MM</t>
        </is>
      </c>
      <c r="C790" s="327" t="inlineStr">
        <is>
          <t>m</t>
        </is>
      </c>
      <c r="E790" s="609" t="n">
        <v>16.1</v>
      </c>
      <c r="F790" s="583">
        <f>E790*D790</f>
        <v/>
      </c>
    </row>
    <row r="791" ht="14.4" customHeight="1">
      <c r="B791" s="323" t="inlineStr">
        <is>
          <t>PIPE DWV SN8 PVC S/WELD  150MM - Suspended</t>
        </is>
      </c>
      <c r="C791" s="327" t="inlineStr">
        <is>
          <t>m</t>
        </is>
      </c>
      <c r="E791" s="609" t="n">
        <v>19.55</v>
      </c>
      <c r="F791" s="583">
        <f>E791*D791</f>
        <v/>
      </c>
    </row>
    <row r="792" ht="14.4" customHeight="1">
      <c r="B792" s="406" t="inlineStr">
        <is>
          <t>PIPE DWV SN4 PVC S/WELD  150MM</t>
        </is>
      </c>
      <c r="C792" s="405" t="inlineStr">
        <is>
          <t>m</t>
        </is>
      </c>
      <c r="E792" s="609" t="n">
        <v>16.56</v>
      </c>
      <c r="F792" s="583">
        <f>E792*D792</f>
        <v/>
      </c>
    </row>
    <row r="793" ht="14.4" customHeight="1">
      <c r="B793" s="406" t="inlineStr">
        <is>
          <t>PIPE DWV SN8 PVC S/WELD  100MM</t>
        </is>
      </c>
      <c r="C793" s="405" t="inlineStr">
        <is>
          <t>m</t>
        </is>
      </c>
      <c r="E793" s="609">
        <f>(2415.3/(83*6))*1.38</f>
        <v/>
      </c>
      <c r="F793" s="583">
        <f>E793*D793</f>
        <v/>
      </c>
    </row>
    <row r="794" ht="14.4" customHeight="1">
      <c r="B794" s="406" t="inlineStr">
        <is>
          <t>PIPE DWV SN4 PVC S/WELD  100MM</t>
        </is>
      </c>
      <c r="C794" s="405" t="inlineStr">
        <is>
          <t>m</t>
        </is>
      </c>
      <c r="E794" s="609" t="n">
        <v>6.899999999999999</v>
      </c>
      <c r="F794" s="583">
        <f>E794*D794</f>
        <v/>
      </c>
    </row>
    <row r="795" ht="14.4" customHeight="1">
      <c r="B795" s="406" t="inlineStr">
        <is>
          <t>PIPE DWV SN8 PVC S/WELD  50MM</t>
        </is>
      </c>
      <c r="C795" s="405" t="inlineStr">
        <is>
          <t>m</t>
        </is>
      </c>
      <c r="E795" s="609">
        <f>(2415.3/(83*6))*1.38</f>
        <v/>
      </c>
      <c r="F795" s="583">
        <f>E795*D795</f>
        <v/>
      </c>
    </row>
    <row r="796" ht="14.4" customHeight="1">
      <c r="B796" s="406" t="n"/>
      <c r="C796" s="405" t="n"/>
      <c r="E796" s="609" t="n">
        <v>0</v>
      </c>
      <c r="F796" s="583">
        <f>E796*D796</f>
        <v/>
      </c>
    </row>
    <row r="797" ht="14.4" customHeight="1">
      <c r="B797" s="334" t="inlineStr">
        <is>
          <t>DWV Grade Option</t>
        </is>
      </c>
      <c r="C797" s="327" t="n"/>
      <c r="E797" s="609" t="n">
        <v>0</v>
      </c>
      <c r="F797" s="583">
        <f>E797*D797</f>
        <v/>
      </c>
    </row>
    <row r="798" ht="14.4" customHeight="1">
      <c r="B798" s="406" t="n"/>
      <c r="C798" s="327" t="inlineStr">
        <is>
          <t>ea</t>
        </is>
      </c>
      <c r="E798" s="609" t="n">
        <v>0</v>
      </c>
      <c r="F798" s="583">
        <f>E798*D798</f>
        <v/>
      </c>
    </row>
    <row r="799" ht="14.4" customHeight="1">
      <c r="B799" t="inlineStr">
        <is>
          <t>600*225 Ribbed Saddle</t>
        </is>
      </c>
      <c r="C799" s="327" t="inlineStr">
        <is>
          <t>ea</t>
        </is>
      </c>
      <c r="E799" s="609" t="n">
        <v>676.1999999999999</v>
      </c>
      <c r="F799" s="583">
        <f>E799*D799</f>
        <v/>
      </c>
    </row>
    <row r="800" ht="14.4" customHeight="1">
      <c r="B800" t="inlineStr">
        <is>
          <t>600*45Deg RIBBED Bend</t>
        </is>
      </c>
      <c r="C800" s="327" t="inlineStr">
        <is>
          <t>ea</t>
        </is>
      </c>
      <c r="E800" s="609" t="n">
        <v>896.9999999999999</v>
      </c>
      <c r="F800" s="583">
        <f>E800*D800</f>
        <v/>
      </c>
    </row>
    <row r="801" ht="14.4" customHeight="1">
      <c r="B801" t="inlineStr">
        <is>
          <t>600*450 Ribbed Reducer</t>
        </is>
      </c>
      <c r="C801" s="327" t="inlineStr">
        <is>
          <t>ea</t>
        </is>
      </c>
      <c r="E801" s="609" t="n">
        <v>1518</v>
      </c>
      <c r="F801" s="583">
        <f>E801*D801</f>
        <v/>
      </c>
    </row>
    <row r="802" ht="14.4" customHeight="1">
      <c r="B802" t="inlineStr">
        <is>
          <t>450*375 Ribbed*PVC Reducer</t>
        </is>
      </c>
      <c r="C802" s="327" t="inlineStr">
        <is>
          <t>ea</t>
        </is>
      </c>
      <c r="E802" s="609" t="n">
        <v>634.8</v>
      </c>
      <c r="F802" s="583">
        <f>E802*D802</f>
        <v/>
      </c>
    </row>
    <row r="803" ht="14.4" customHeight="1">
      <c r="B803" t="inlineStr">
        <is>
          <t>450 45 Deg ribbed Bend</t>
        </is>
      </c>
      <c r="C803" s="327" t="inlineStr">
        <is>
          <t>ea</t>
        </is>
      </c>
      <c r="E803" s="609" t="n">
        <v>800.4</v>
      </c>
      <c r="F803" s="583">
        <f>E803*D803</f>
        <v/>
      </c>
    </row>
    <row r="804" ht="14.4" customHeight="1">
      <c r="B804" t="inlineStr">
        <is>
          <t>450 * 225 Ribbed Saddle</t>
        </is>
      </c>
      <c r="C804" s="327" t="inlineStr">
        <is>
          <t>ea</t>
        </is>
      </c>
      <c r="E804" s="609" t="n">
        <v>441.6</v>
      </c>
      <c r="F804" s="583">
        <f>E804*D804</f>
        <v/>
      </c>
    </row>
    <row r="805" ht="14.4" customHeight="1">
      <c r="B805" s="406" t="inlineStr">
        <is>
          <t>375mm X 45Deg Junction</t>
        </is>
      </c>
      <c r="C805" s="327" t="inlineStr">
        <is>
          <t>ea</t>
        </is>
      </c>
      <c r="E805" s="609" t="n">
        <v>579.5999999999999</v>
      </c>
      <c r="F805" s="583">
        <f>E805*D805</f>
        <v/>
      </c>
    </row>
    <row r="806" ht="14.4" customHeight="1">
      <c r="B806" s="406" t="inlineStr">
        <is>
          <t>375X300X45D PVC JUNCTION</t>
        </is>
      </c>
      <c r="C806" s="327" t="inlineStr">
        <is>
          <t>ea</t>
        </is>
      </c>
      <c r="E806" s="609" t="n">
        <v>776.0981999999999</v>
      </c>
      <c r="F806" s="583">
        <f>E806*D806</f>
        <v/>
      </c>
    </row>
    <row r="807" ht="14.4" customHeight="1">
      <c r="B807" s="406" t="inlineStr">
        <is>
          <t>375X225X45D PVC JUNCTION</t>
        </is>
      </c>
      <c r="C807" s="327" t="inlineStr">
        <is>
          <t>ea</t>
        </is>
      </c>
      <c r="E807" s="609" t="n">
        <v>777.4781999999999</v>
      </c>
      <c r="F807" s="583">
        <f>E807*D807</f>
        <v/>
      </c>
    </row>
    <row r="808" ht="14.4" customHeight="1">
      <c r="B808" s="406" t="inlineStr">
        <is>
          <t>375MM X 300MM Reducer</t>
        </is>
      </c>
      <c r="C808" s="327" t="inlineStr">
        <is>
          <t>ea</t>
        </is>
      </c>
      <c r="E808" s="609" t="n">
        <v>524.4</v>
      </c>
      <c r="F808" s="583">
        <f>E808*D808</f>
        <v/>
      </c>
    </row>
    <row r="809" ht="14.4" customHeight="1">
      <c r="B809" s="406" t="inlineStr">
        <is>
          <t>375MM X 225MM Reducer</t>
        </is>
      </c>
      <c r="C809" s="327" t="inlineStr">
        <is>
          <t>ea</t>
        </is>
      </c>
      <c r="E809" s="609" t="n">
        <v>496.8</v>
      </c>
      <c r="F809" s="583">
        <f>E809*D809</f>
        <v/>
      </c>
    </row>
    <row r="810" ht="14.4" customHeight="1">
      <c r="B810" s="406" t="inlineStr">
        <is>
          <t>375MM X 90Deg Bend</t>
        </is>
      </c>
      <c r="C810" s="327" t="inlineStr">
        <is>
          <t>ea</t>
        </is>
      </c>
      <c r="E810" s="609" t="n">
        <v>745.1999999999999</v>
      </c>
      <c r="F810" s="583">
        <f>E810*D810</f>
        <v/>
      </c>
    </row>
    <row r="811" ht="14.4" customHeight="1">
      <c r="B811" s="406" t="inlineStr">
        <is>
          <t>375MM X 45Deg Bend</t>
        </is>
      </c>
      <c r="C811" s="327" t="inlineStr">
        <is>
          <t>ea</t>
        </is>
      </c>
      <c r="E811" s="609" t="n">
        <v>621</v>
      </c>
      <c r="F811" s="583">
        <f>E811*D811</f>
        <v/>
      </c>
    </row>
    <row r="812" ht="14.4" customHeight="1">
      <c r="B812" s="406" t="inlineStr">
        <is>
          <t>300MM * 45D PVC JUNCTION</t>
        </is>
      </c>
      <c r="C812" s="327" t="inlineStr">
        <is>
          <t>ea</t>
        </is>
      </c>
      <c r="E812" s="609" t="n">
        <v>496.8</v>
      </c>
      <c r="F812" s="583">
        <f>E812*D812</f>
        <v/>
      </c>
    </row>
    <row r="813" ht="14.4" customHeight="1">
      <c r="B813" s="406" t="inlineStr">
        <is>
          <t>300X225X45D PVC JUNCTION</t>
        </is>
      </c>
      <c r="C813" s="327" t="inlineStr">
        <is>
          <t>ea</t>
        </is>
      </c>
      <c r="E813" s="609" t="n">
        <v>441.6</v>
      </c>
      <c r="F813" s="583">
        <f>E813*D813</f>
        <v/>
      </c>
    </row>
    <row r="814" ht="14.4" customHeight="1">
      <c r="B814" s="406" t="inlineStr">
        <is>
          <t>300MM X 225MM Reducer</t>
        </is>
      </c>
      <c r="C814" s="327" t="inlineStr">
        <is>
          <t>ea</t>
        </is>
      </c>
      <c r="E814" s="609" t="n">
        <v>262.2</v>
      </c>
      <c r="F814" s="583">
        <f>E814*D814</f>
        <v/>
      </c>
    </row>
    <row r="815" ht="14.4" customHeight="1">
      <c r="B815" s="406" t="inlineStr">
        <is>
          <t>300MM X 90Deg Bend</t>
        </is>
      </c>
      <c r="C815" s="327" t="inlineStr">
        <is>
          <t>ea</t>
        </is>
      </c>
      <c r="E815" s="609" t="n">
        <v>345</v>
      </c>
      <c r="F815" s="583">
        <f>E815*D815</f>
        <v/>
      </c>
    </row>
    <row r="816" ht="14.4" customHeight="1">
      <c r="B816" s="406" t="inlineStr">
        <is>
          <t>300MM X 45Deg Bend</t>
        </is>
      </c>
      <c r="C816" s="327" t="inlineStr">
        <is>
          <t>ea</t>
        </is>
      </c>
      <c r="E816" s="609" t="n">
        <v>262.2</v>
      </c>
      <c r="F816" s="583">
        <f>E816*D816</f>
        <v/>
      </c>
    </row>
    <row r="817" ht="14.4" customHeight="1">
      <c r="B817" s="406" t="inlineStr">
        <is>
          <t>300MM X 150 Junction</t>
        </is>
      </c>
      <c r="C817" s="327" t="inlineStr">
        <is>
          <t>ea</t>
        </is>
      </c>
      <c r="E817" s="609" t="n">
        <v>455.4</v>
      </c>
      <c r="F817" s="583">
        <f>E817*D817</f>
        <v/>
      </c>
    </row>
    <row r="818" ht="14.4" customHeight="1">
      <c r="B818" s="406" t="inlineStr">
        <is>
          <t>225MM * 45D PVC JUNCTION</t>
        </is>
      </c>
      <c r="C818" s="327" t="inlineStr">
        <is>
          <t>ea</t>
        </is>
      </c>
      <c r="E818" s="609" t="n">
        <v>117.645</v>
      </c>
      <c r="F818" s="583">
        <f>E818*D818</f>
        <v/>
      </c>
    </row>
    <row r="819" ht="14.4" customHeight="1">
      <c r="B819" s="406" t="inlineStr">
        <is>
          <t>225X150X45D PVC JUNCTION</t>
        </is>
      </c>
      <c r="C819" s="327" t="inlineStr">
        <is>
          <t>ea</t>
        </is>
      </c>
      <c r="E819" s="609" t="n">
        <v>289.8</v>
      </c>
      <c r="F819" s="583">
        <f>E819*D819</f>
        <v/>
      </c>
    </row>
    <row r="820" ht="14.4" customHeight="1">
      <c r="B820" s="406" t="inlineStr">
        <is>
          <t>225MM X 90Deg Bend</t>
        </is>
      </c>
      <c r="C820" s="327" t="inlineStr">
        <is>
          <t>ea</t>
        </is>
      </c>
      <c r="D820" s="40" t="n">
        <v>10</v>
      </c>
      <c r="E820" s="609" t="n">
        <v>85.55999999999999</v>
      </c>
      <c r="F820" s="583">
        <f>E820*D820</f>
        <v/>
      </c>
    </row>
    <row r="821" ht="14.4" customHeight="1">
      <c r="B821" s="406" t="inlineStr">
        <is>
          <t>225MM X 45Deg Bend</t>
        </is>
      </c>
      <c r="C821" s="327" t="inlineStr">
        <is>
          <t>ea</t>
        </is>
      </c>
      <c r="E821" s="609" t="n">
        <v>84.17999999999999</v>
      </c>
      <c r="F821" s="583">
        <f>E821*D821</f>
        <v/>
      </c>
    </row>
    <row r="822" ht="14.4" customHeight="1">
      <c r="B822" s="406" t="inlineStr">
        <is>
          <t>225MM X 150MM Reducer</t>
        </is>
      </c>
      <c r="C822" s="405" t="inlineStr">
        <is>
          <t>ea</t>
        </is>
      </c>
      <c r="E822" s="609" t="n">
        <v>62.09999999999999</v>
      </c>
      <c r="F822" s="583">
        <f>E822*D822</f>
        <v/>
      </c>
    </row>
    <row r="823" ht="14.4" customHeight="1">
      <c r="B823" s="406" t="inlineStr">
        <is>
          <t>150 PVC DWV 45Deg Junct</t>
        </is>
      </c>
      <c r="C823" s="327" t="inlineStr">
        <is>
          <t>ea</t>
        </is>
      </c>
      <c r="E823" s="609" t="n">
        <v>24.84</v>
      </c>
      <c r="F823" s="583">
        <f>E823*D823</f>
        <v/>
      </c>
    </row>
    <row r="824" ht="14.4" customHeight="1">
      <c r="B824" s="406" t="inlineStr">
        <is>
          <t>150MM X 90Deg Bend</t>
        </is>
      </c>
      <c r="C824" s="327" t="inlineStr">
        <is>
          <t>ea</t>
        </is>
      </c>
      <c r="E824" s="609" t="n">
        <v>22.08</v>
      </c>
      <c r="F824" s="583">
        <f>E824*D824</f>
        <v/>
      </c>
    </row>
    <row r="825" ht="14.4" customHeight="1">
      <c r="B825" s="406" t="inlineStr">
        <is>
          <t>150MM X 45Deg Bend</t>
        </is>
      </c>
      <c r="C825" s="327" t="inlineStr">
        <is>
          <t>ea</t>
        </is>
      </c>
      <c r="E825" s="609" t="n">
        <v>16.56</v>
      </c>
      <c r="F825" s="583">
        <f>E825*D825</f>
        <v/>
      </c>
    </row>
    <row r="826" ht="14.4" customHeight="1">
      <c r="B826" s="406" t="inlineStr">
        <is>
          <t>150X100X45D PVC JUNCTION</t>
        </is>
      </c>
      <c r="C826" s="405" t="inlineStr">
        <is>
          <t>ea</t>
        </is>
      </c>
      <c r="E826" s="609" t="n">
        <v>22.08</v>
      </c>
      <c r="F826" s="583">
        <f>E826*D826</f>
        <v/>
      </c>
    </row>
    <row r="827" ht="14.4" customHeight="1">
      <c r="B827" s="406" t="inlineStr">
        <is>
          <t>PVC PIPE REDUCER 150X 100 mm</t>
        </is>
      </c>
      <c r="C827" s="405" t="inlineStr">
        <is>
          <t>ea</t>
        </is>
      </c>
      <c r="E827" s="609" t="n">
        <v>22.08</v>
      </c>
      <c r="F827" s="583">
        <f>E827*D827</f>
        <v/>
      </c>
    </row>
    <row r="828" ht="14.4" customHeight="1">
      <c r="B828" s="406" t="inlineStr">
        <is>
          <t xml:space="preserve">100MM * 45D PVC JUNCTION </t>
        </is>
      </c>
      <c r="C828" s="405" t="inlineStr">
        <is>
          <t>ea</t>
        </is>
      </c>
      <c r="E828" s="609" t="n">
        <v>6.486</v>
      </c>
      <c r="F828" s="583">
        <f>E828*D828</f>
        <v/>
      </c>
    </row>
    <row r="829" ht="14.4" customHeight="1">
      <c r="B829" s="406" t="inlineStr">
        <is>
          <t>100X50 X45D PVC JUNCTION</t>
        </is>
      </c>
      <c r="C829" s="405" t="inlineStr">
        <is>
          <t>ea</t>
        </is>
      </c>
      <c r="E829" s="609" t="n">
        <v>22.08</v>
      </c>
      <c r="F829" s="583">
        <f>E829*D829</f>
        <v/>
      </c>
    </row>
    <row r="830" ht="14.4" customHeight="1">
      <c r="B830" s="406" t="inlineStr">
        <is>
          <t>PVC PIPE REDUCER 100X 50 mm</t>
        </is>
      </c>
      <c r="C830" s="405" t="inlineStr">
        <is>
          <t>ea</t>
        </is>
      </c>
      <c r="E830" s="609" t="n">
        <v>22.08</v>
      </c>
      <c r="F830" s="583">
        <f>E830*D830</f>
        <v/>
      </c>
    </row>
    <row r="831" ht="14.4" customHeight="1">
      <c r="B831" s="406" t="inlineStr">
        <is>
          <t>100MM X 90Deg Bend</t>
        </is>
      </c>
      <c r="C831" s="405" t="inlineStr">
        <is>
          <t>ea</t>
        </is>
      </c>
      <c r="E831" s="609" t="n">
        <v>16.56</v>
      </c>
      <c r="F831" s="583">
        <f>E831*D831</f>
        <v/>
      </c>
    </row>
    <row r="832" ht="14.4" customHeight="1">
      <c r="B832" s="406" t="inlineStr">
        <is>
          <t>100MM X 45Deg Bend</t>
        </is>
      </c>
      <c r="C832" s="405" t="inlineStr">
        <is>
          <t>ea</t>
        </is>
      </c>
      <c r="E832" s="609" t="n">
        <v>16.56</v>
      </c>
      <c r="F832" s="583">
        <f>E832*D832</f>
        <v/>
      </c>
    </row>
    <row r="833" ht="14.4" customHeight="1">
      <c r="B833" s="406" t="inlineStr">
        <is>
          <t>50 PVC X 45D PVC JUNCTION</t>
        </is>
      </c>
      <c r="C833" s="405" t="inlineStr">
        <is>
          <t>ea</t>
        </is>
      </c>
      <c r="E833" s="609" t="n">
        <v>19.32</v>
      </c>
      <c r="F833" s="583">
        <f>E833*D833</f>
        <v/>
      </c>
    </row>
    <row r="834" ht="14.4" customHeight="1">
      <c r="B834" s="406" t="inlineStr">
        <is>
          <t>50MM X 90Deg  PVC Bend</t>
        </is>
      </c>
      <c r="C834" s="405" t="inlineStr">
        <is>
          <t>ea</t>
        </is>
      </c>
      <c r="E834" s="609" t="n">
        <v>0.8969999999999999</v>
      </c>
      <c r="F834" s="583">
        <f>E834*D834</f>
        <v/>
      </c>
    </row>
    <row r="835" ht="14.4" customHeight="1">
      <c r="B835" s="406" t="inlineStr">
        <is>
          <t>50MM X 45Deg  PVC Bend</t>
        </is>
      </c>
      <c r="C835" s="405" t="inlineStr">
        <is>
          <t>ea</t>
        </is>
      </c>
      <c r="E835" s="609" t="n">
        <v>0.8969999999999999</v>
      </c>
      <c r="F835" s="583">
        <f>E835*D835</f>
        <v/>
      </c>
    </row>
    <row r="836" ht="14.4" customHeight="1">
      <c r="B836" s="406" t="n"/>
      <c r="C836" s="405" t="n"/>
      <c r="E836" s="609" t="n">
        <v>0</v>
      </c>
      <c r="F836" s="583">
        <f>E836*D836</f>
        <v/>
      </c>
    </row>
    <row r="837" ht="14.4" customHeight="1">
      <c r="B837" s="406" t="n"/>
      <c r="C837" s="405" t="n"/>
      <c r="E837" s="609" t="n">
        <v>0</v>
      </c>
      <c r="F837" s="583">
        <f>E837*D837</f>
        <v/>
      </c>
    </row>
    <row r="838" ht="14.4" customHeight="1">
      <c r="B838" s="323" t="inlineStr">
        <is>
          <t>150mm PVC 10mm nut hanging clip</t>
        </is>
      </c>
      <c r="C838" s="327" t="inlineStr">
        <is>
          <t>ea</t>
        </is>
      </c>
      <c r="E838" s="609" t="n">
        <v>2.622</v>
      </c>
      <c r="F838" s="583">
        <f>E838*D838</f>
        <v/>
      </c>
    </row>
    <row r="839" ht="14.4" customHeight="1">
      <c r="B839" s="323" t="inlineStr">
        <is>
          <t>10mm Zinc Threaded Rod</t>
        </is>
      </c>
      <c r="C839" s="327" t="inlineStr">
        <is>
          <t>m</t>
        </is>
      </c>
      <c r="E839" s="609" t="n">
        <v>2.76</v>
      </c>
      <c r="F839" s="583">
        <f>E839*D839</f>
        <v/>
      </c>
    </row>
    <row r="840" ht="14.4" customHeight="1">
      <c r="B840" s="323" t="inlineStr">
        <is>
          <t>Glue - Blue - 4Ltr</t>
        </is>
      </c>
      <c r="C840" s="327" t="inlineStr">
        <is>
          <t>ea</t>
        </is>
      </c>
      <c r="E840" s="609" t="n">
        <v>36.432</v>
      </c>
      <c r="F840" s="583">
        <f>E840*D840</f>
        <v/>
      </c>
    </row>
    <row r="841" ht="14.4" customHeight="1">
      <c r="B841" s="323" t="inlineStr">
        <is>
          <t>Primer - Red - 4Ltr</t>
        </is>
      </c>
      <c r="C841" s="327" t="inlineStr">
        <is>
          <t>ea</t>
        </is>
      </c>
      <c r="E841" s="609" t="n">
        <v>31.74</v>
      </c>
      <c r="F841" s="583">
        <f>E841*D841</f>
        <v/>
      </c>
    </row>
    <row r="842" ht="14.4" customHeight="1">
      <c r="B842" s="323" t="n"/>
      <c r="C842" s="327" t="n"/>
      <c r="E842" s="609" t="n">
        <v>0</v>
      </c>
      <c r="F842" s="583">
        <f>E842*D842</f>
        <v/>
      </c>
    </row>
    <row r="843" ht="14.4" customHeight="1">
      <c r="B843" s="410" t="inlineStr">
        <is>
          <t>SW_RRJ (RIBBED) Fittings</t>
        </is>
      </c>
      <c r="C843" s="327" t="n"/>
      <c r="E843" s="609" t="n">
        <v>0</v>
      </c>
      <c r="F843" s="583">
        <f>E843*D843</f>
        <v/>
      </c>
    </row>
    <row r="844" ht="14.4" customHeight="1">
      <c r="B844" s="323" t="n"/>
      <c r="C844" s="327" t="n"/>
      <c r="E844" s="609" t="n">
        <v>0</v>
      </c>
      <c r="F844" s="583">
        <f>E844*D844</f>
        <v/>
      </c>
    </row>
    <row r="845" ht="14.4" customHeight="1">
      <c r="B845" s="406" t="inlineStr">
        <is>
          <t>375MM X 45Deg  Bend</t>
        </is>
      </c>
      <c r="C845" s="327" t="inlineStr">
        <is>
          <t>ea</t>
        </is>
      </c>
      <c r="E845" s="609" t="n">
        <v>362.1396</v>
      </c>
      <c r="F845" s="583">
        <f>E845*D845</f>
        <v/>
      </c>
    </row>
    <row r="846" ht="14.4" customHeight="1">
      <c r="B846" s="406" t="inlineStr">
        <is>
          <t>DN 375 X DN150 45 DEG BLACKMAX REDUCING JUNCTION (PVC FAB)</t>
        </is>
      </c>
      <c r="C846" s="327" t="inlineStr">
        <is>
          <t>ea</t>
        </is>
      </c>
      <c r="E846" s="609" t="n">
        <v>827.9999999999999</v>
      </c>
      <c r="F846" s="583">
        <f>E846*D846</f>
        <v/>
      </c>
    </row>
    <row r="847" ht="14.4" customHeight="1">
      <c r="B847" s="406" t="inlineStr">
        <is>
          <t>DN375 x dn225 BlackMax® Reducing Adaptor FF RRJ x DWV SWJ (PVC Fab)</t>
        </is>
      </c>
      <c r="C847" s="327" t="inlineStr">
        <is>
          <t>ea</t>
        </is>
      </c>
      <c r="E847" s="609" t="n">
        <v>552</v>
      </c>
      <c r="F847" s="583">
        <f>E847*D847</f>
        <v/>
      </c>
    </row>
    <row r="848" ht="14.4" customHeight="1">
      <c r="B848" s="406" t="n"/>
      <c r="C848" s="327" t="n"/>
      <c r="E848" s="609" t="n">
        <v>0</v>
      </c>
      <c r="F848" s="583">
        <f>E848*D848</f>
        <v/>
      </c>
    </row>
    <row r="849" ht="14.4" customHeight="1">
      <c r="B849" s="406" t="inlineStr">
        <is>
          <t>DN 300 X DN150 45 DEG BLACKMAX REDUCING JUNCTION (PVC FAB)</t>
        </is>
      </c>
      <c r="C849" s="327" t="inlineStr">
        <is>
          <t>ea</t>
        </is>
      </c>
      <c r="E849" s="609" t="n">
        <v>690</v>
      </c>
      <c r="F849" s="583">
        <f>E849*D849</f>
        <v/>
      </c>
    </row>
    <row r="850" ht="14.4" customHeight="1">
      <c r="B850" s="406" t="inlineStr">
        <is>
          <t xml:space="preserve">DN300 BLACK MAX 45 DEG BEND </t>
        </is>
      </c>
      <c r="C850" s="327" t="inlineStr">
        <is>
          <t>ea</t>
        </is>
      </c>
      <c r="E850" s="609" t="n">
        <v>413.9999999999999</v>
      </c>
      <c r="F850" s="583">
        <f>E850*D850</f>
        <v/>
      </c>
    </row>
    <row r="851" ht="14.4" customHeight="1">
      <c r="B851" s="406" t="inlineStr">
        <is>
          <t>DN300 x dn225 BlackMax® Reducing Adaptor FF RRJ x DWV SWJ (PVC Fab)</t>
        </is>
      </c>
      <c r="C851" s="327" t="inlineStr">
        <is>
          <t>ea</t>
        </is>
      </c>
      <c r="E851" s="609" t="n">
        <v>413.9999999999999</v>
      </c>
      <c r="F851" s="583">
        <f>E851*D851</f>
        <v/>
      </c>
    </row>
    <row r="852" ht="14.4" customHeight="1">
      <c r="B852" s="406" t="inlineStr">
        <is>
          <t xml:space="preserve">DN300 BLACK MAX 45 DEG BEND </t>
        </is>
      </c>
      <c r="C852" s="327" t="inlineStr">
        <is>
          <t>ea</t>
        </is>
      </c>
      <c r="E852" s="609" t="n">
        <v>413.9999999999999</v>
      </c>
      <c r="F852" s="583">
        <f>E852*D852</f>
        <v/>
      </c>
    </row>
    <row r="853" ht="14.4" customHeight="1">
      <c r="B853" s="406" t="n"/>
      <c r="C853" s="327" t="inlineStr">
        <is>
          <t>ea</t>
        </is>
      </c>
      <c r="E853" s="609" t="n">
        <v>0</v>
      </c>
      <c r="F853" s="583">
        <f>E853*D853</f>
        <v/>
      </c>
    </row>
    <row r="854" ht="14.4" customHeight="1">
      <c r="B854" s="406" t="inlineStr">
        <is>
          <t xml:space="preserve">150mm Cap </t>
        </is>
      </c>
      <c r="C854" s="327" t="inlineStr">
        <is>
          <t>ea</t>
        </is>
      </c>
      <c r="E854" s="609" t="n">
        <v>20.7</v>
      </c>
      <c r="F854" s="583">
        <f>E854*D854</f>
        <v/>
      </c>
    </row>
    <row r="855" ht="14.4" customHeight="1">
      <c r="B855" s="406" t="inlineStr">
        <is>
          <t xml:space="preserve">	150mm expansion coupler</t>
        </is>
      </c>
      <c r="C855" s="405" t="inlineStr">
        <is>
          <t>ea</t>
        </is>
      </c>
      <c r="E855" s="609" t="n">
        <v>110.4</v>
      </c>
      <c r="F855" s="583">
        <f>E855*D855</f>
        <v/>
      </c>
    </row>
    <row r="856" ht="14.4" customHeight="1">
      <c r="B856" s="406" t="inlineStr">
        <is>
          <t xml:space="preserve">	450X450 GRATED SW GULLY</t>
        </is>
      </c>
      <c r="C856" s="405" t="inlineStr">
        <is>
          <t>ea</t>
        </is>
      </c>
      <c r="E856" s="605" t="n">
        <v>180</v>
      </c>
      <c r="F856" s="583">
        <f>E856*D856</f>
        <v/>
      </c>
    </row>
    <row r="857"/>
    <row r="858"/>
    <row r="859" ht="14.4" customHeight="1">
      <c r="B859" s="324" t="inlineStr">
        <is>
          <t>FITOFF</t>
        </is>
      </c>
    </row>
    <row r="860"/>
    <row r="861" ht="14.4" customHeight="1">
      <c r="B861" t="inlineStr">
        <is>
          <t>Fit-Off Material; Ground &amp; First Floor -</t>
        </is>
      </c>
      <c r="C861" s="405" t="inlineStr">
        <is>
          <t>ea</t>
        </is>
      </c>
      <c r="E861" s="605" t="n">
        <v>180</v>
      </c>
      <c r="F861" s="583">
        <f>E861*D861</f>
        <v/>
      </c>
    </row>
    <row r="862" ht="14.4" customHeight="1">
      <c r="B862" t="inlineStr">
        <is>
          <t>Fit-Off Material; Ground &amp; First Floor -</t>
        </is>
      </c>
      <c r="C862" s="405" t="inlineStr">
        <is>
          <t>ea</t>
        </is>
      </c>
      <c r="E862" s="605" t="n">
        <v>0</v>
      </c>
      <c r="F862" s="583">
        <f>E862*D862</f>
        <v/>
      </c>
    </row>
    <row r="863"/>
    <row r="864"/>
    <row r="865"/>
    <row r="866">
      <c r="C866" s="491" t="inlineStr">
        <is>
          <t>SUB TOTALS</t>
        </is>
      </c>
    </row>
    <row r="867">
      <c r="F867" s="583">
        <f>SUM(F15:F866)</f>
        <v/>
      </c>
    </row>
    <row r="868"/>
    <row r="869"/>
    <row r="870">
      <c r="E870" s="611" t="inlineStr">
        <is>
          <t>Contingency</t>
        </is>
      </c>
      <c r="F870" s="392" t="n">
        <v>1.18</v>
      </c>
    </row>
    <row r="871">
      <c r="E871" s="640" t="inlineStr">
        <is>
          <t>Deliveries</t>
        </is>
      </c>
      <c r="F871" s="608" t="n">
        <v>5000</v>
      </c>
    </row>
    <row r="872"/>
    <row r="873">
      <c r="C873" s="491" t="inlineStr">
        <is>
          <t>TOTALS</t>
        </is>
      </c>
    </row>
    <row r="874">
      <c r="F874" s="583">
        <f>F867*F870+F871</f>
        <v/>
      </c>
    </row>
    <row r="875"/>
    <row r="876"/>
    <row r="877"/>
    <row r="878"/>
    <row r="879" ht="10.8" customHeight="1" thickBot="1"/>
    <row r="880" ht="15" customFormat="1" customHeight="1" s="120" thickBot="1">
      <c r="B880" s="173" t="inlineStr">
        <is>
          <t>Excavation/Quarry/Misc/ Takeoff.</t>
        </is>
      </c>
      <c r="C880" s="121" t="n"/>
      <c r="D880" s="122" t="n"/>
      <c r="E880" s="612" t="n"/>
      <c r="F880" s="612" t="n"/>
      <c r="G880" s="612" t="n"/>
      <c r="H880" s="613" t="n"/>
      <c r="K880" s="196" t="n"/>
    </row>
    <row r="881" ht="14.4" customFormat="1" customHeight="1" s="120">
      <c r="B881" s="126" t="n"/>
      <c r="C881" s="193" t="inlineStr">
        <is>
          <t>Qty</t>
        </is>
      </c>
      <c r="D881" s="193" t="inlineStr">
        <is>
          <t>Unit</t>
        </is>
      </c>
      <c r="E881" s="614" t="n"/>
      <c r="F881" s="614" t="n"/>
      <c r="G881" s="612" t="n"/>
      <c r="H881" s="613" t="n"/>
      <c r="K881" s="196" t="n"/>
    </row>
    <row r="882" ht="14.4" customFormat="1" customHeight="1" s="120">
      <c r="B882" s="411" t="inlineStr">
        <is>
          <t>Avrg Trench = .900D*.450W</t>
        </is>
      </c>
      <c r="C882" s="196">
        <f>C886</f>
        <v/>
      </c>
      <c r="D882" s="196" t="inlineStr">
        <is>
          <t>m</t>
        </is>
      </c>
      <c r="E882" s="612" t="n"/>
      <c r="F882" s="612" t="n"/>
      <c r="G882" s="612" t="n"/>
      <c r="H882" s="613" t="n"/>
      <c r="K882" s="196" t="n"/>
    </row>
    <row r="883" ht="14.4" customFormat="1" customHeight="1" s="120">
      <c r="B883" s="335" t="inlineStr">
        <is>
          <t>L/M Of Asphalt Reinstate</t>
        </is>
      </c>
      <c r="C883" s="196" t="n">
        <v>0</v>
      </c>
      <c r="D883" s="196" t="inlineStr">
        <is>
          <t>m</t>
        </is>
      </c>
      <c r="E883" s="612" t="n"/>
      <c r="F883" s="612" t="n"/>
      <c r="G883" s="612" t="n"/>
      <c r="H883" s="613" t="n"/>
      <c r="K883" s="196" t="n"/>
    </row>
    <row r="884" ht="14.4" customFormat="1" customHeight="1" s="120">
      <c r="B884" s="335" t="inlineStr">
        <is>
          <t>M2 Of Asphalt Reinstate</t>
        </is>
      </c>
      <c r="C884" s="196" t="n">
        <v>0</v>
      </c>
      <c r="D884" s="196" t="inlineStr">
        <is>
          <t>m2</t>
        </is>
      </c>
      <c r="E884" s="612" t="n"/>
      <c r="F884" s="612" t="n"/>
      <c r="G884" s="612" t="n"/>
      <c r="H884" s="613" t="n"/>
      <c r="K884" s="196" t="n"/>
    </row>
    <row r="885" ht="14.4" customFormat="1" customHeight="1" s="120">
      <c r="B885" s="335" t="inlineStr">
        <is>
          <t>L/M Of CBR Reinstate</t>
        </is>
      </c>
      <c r="C885" s="196" t="n">
        <v>0</v>
      </c>
      <c r="D885" s="196" t="inlineStr">
        <is>
          <t>m</t>
        </is>
      </c>
      <c r="E885" s="612" t="n"/>
      <c r="F885" s="612" t="n"/>
      <c r="G885" s="612" t="n"/>
      <c r="H885" s="613" t="n"/>
      <c r="K885" s="196" t="n"/>
    </row>
    <row r="886" ht="14.4" customFormat="1" customHeight="1" s="120">
      <c r="B886" s="411" t="inlineStr">
        <is>
          <t>L/M of Inground Pipe (Average Depth)</t>
        </is>
      </c>
      <c r="C886" s="412">
        <f>D173+D349+D353+D360+D361+D705+D706+D771</f>
        <v/>
      </c>
      <c r="D886" s="196" t="inlineStr">
        <is>
          <t>m</t>
        </is>
      </c>
      <c r="E886" s="612" t="n"/>
      <c r="F886" s="612" t="n"/>
      <c r="G886" s="612" t="n"/>
      <c r="H886" s="613" t="n"/>
      <c r="K886" s="196" t="n"/>
    </row>
    <row r="887" ht="14.4" customFormat="1" customHeight="1" s="120">
      <c r="B887" s="411" t="inlineStr">
        <is>
          <t>L/M of Inground Pipe (Deeper Than Average Depth)</t>
        </is>
      </c>
      <c r="C887" s="337" t="n"/>
      <c r="D887" s="196" t="inlineStr">
        <is>
          <t>m</t>
        </is>
      </c>
      <c r="E887" s="612" t="n"/>
      <c r="F887" s="612" t="n"/>
      <c r="G887" s="612" t="n"/>
      <c r="H887" s="613" t="n"/>
      <c r="K887" s="196" t="n"/>
    </row>
    <row r="888" ht="14.4" customFormat="1" customHeight="1" s="120">
      <c r="B888" s="411" t="inlineStr">
        <is>
          <t>Avergage of trtenches 'Shared'…. Shared trench Factor</t>
        </is>
      </c>
      <c r="C888" s="338" t="n">
        <v>0.1</v>
      </c>
      <c r="D888" s="196" t="inlineStr">
        <is>
          <t>m</t>
        </is>
      </c>
      <c r="F888" s="612" t="n"/>
      <c r="G888" s="612" t="n"/>
      <c r="H888" s="613" t="n"/>
      <c r="K888" s="196" t="n"/>
    </row>
    <row r="889" ht="14.4" customFormat="1" customHeight="1" s="120">
      <c r="B889" s="411" t="inlineStr">
        <is>
          <t>SEWER / SW / TW - InGrnd</t>
        </is>
      </c>
      <c r="C889" s="338" t="n"/>
      <c r="D889" s="196" t="inlineStr">
        <is>
          <t>m</t>
        </is>
      </c>
      <c r="E889" s="413">
        <f>C889/(C886+C887)</f>
        <v/>
      </c>
      <c r="F889" s="612" t="n"/>
      <c r="G889" s="612" t="n"/>
      <c r="H889" s="613" t="n"/>
      <c r="K889" s="196" t="n"/>
    </row>
    <row r="890" ht="14.4" customFormat="1" customHeight="1" s="120">
      <c r="B890" s="411" t="inlineStr">
        <is>
          <t>WAT / FIRE - InGrnd</t>
        </is>
      </c>
      <c r="C890" s="338" t="n"/>
      <c r="D890" s="196" t="inlineStr">
        <is>
          <t>m</t>
        </is>
      </c>
      <c r="E890" s="413">
        <f>C890/(C886+C887)</f>
        <v/>
      </c>
      <c r="F890" s="612" t="n"/>
      <c r="G890" s="612" t="n"/>
      <c r="H890" s="613" t="n"/>
      <c r="K890" s="196" t="n"/>
    </row>
    <row r="891" ht="14.4" customFormat="1" customHeight="1" s="120">
      <c r="B891" s="411" t="inlineStr">
        <is>
          <t>SPK - InGrnd</t>
        </is>
      </c>
      <c r="C891" s="338" t="n"/>
      <c r="D891" s="196" t="inlineStr">
        <is>
          <t>m</t>
        </is>
      </c>
      <c r="E891" s="413">
        <f>C891/(C886+C887)</f>
        <v/>
      </c>
      <c r="F891" s="612" t="n"/>
      <c r="G891" s="612" t="n"/>
      <c r="H891" s="613" t="n"/>
      <c r="K891" s="196" t="n"/>
    </row>
    <row r="892" ht="14.4" customFormat="1" customHeight="1" s="120">
      <c r="B892" s="335" t="n"/>
      <c r="F892" s="612" t="n"/>
      <c r="G892" s="612" t="n"/>
      <c r="H892" s="613" t="n"/>
      <c r="K892" s="196" t="n"/>
    </row>
    <row r="893" ht="14.4" customFormat="1" customHeight="1" s="120">
      <c r="B893" s="126" t="n"/>
      <c r="E893" s="612" t="n"/>
      <c r="F893" s="612" t="n"/>
      <c r="G893" s="612" t="n"/>
      <c r="H893" s="613" t="n"/>
      <c r="K893" s="196" t="n"/>
    </row>
    <row r="894" ht="72" customFormat="1" customHeight="1" s="339">
      <c r="B894" s="340" t="n"/>
      <c r="C894" s="341" t="inlineStr">
        <is>
          <t>D</t>
        </is>
      </c>
      <c r="D894" s="341" t="inlineStr">
        <is>
          <t>W</t>
        </is>
      </c>
      <c r="E894" s="612" t="inlineStr">
        <is>
          <t>L</t>
        </is>
      </c>
      <c r="F894" s="615" t="inlineStr">
        <is>
          <t>Spoil/Compact Factor;</t>
        </is>
      </c>
      <c r="G894" s="415" t="inlineStr">
        <is>
          <t>Shared Trench Factor</t>
        </is>
      </c>
      <c r="H894" s="616" t="inlineStr">
        <is>
          <t>Total m3 - EXCAVATED</t>
        </is>
      </c>
      <c r="I894" s="343" t="inlineStr">
        <is>
          <t>Total M3 - Bed, Pipe, Cover reduction</t>
        </is>
      </c>
      <c r="J894" s="343" t="inlineStr">
        <is>
          <t>Total M3 - Backfill Req (Less Bed&amp;Pipe)</t>
        </is>
      </c>
      <c r="K894" s="343" t="inlineStr">
        <is>
          <t>Total M3 - Spoil - REMOVE</t>
        </is>
      </c>
      <c r="L894" s="415" t="inlineStr">
        <is>
          <t>TCS Load - Haulage &amp; dump rate only</t>
        </is>
      </c>
    </row>
    <row r="895" ht="14.4" customFormat="1" customHeight="1" s="120">
      <c r="B895" s="335">
        <f>B886</f>
        <v/>
      </c>
      <c r="C895" s="344" t="n">
        <v>0.95</v>
      </c>
      <c r="D895" s="344" t="n">
        <v>0.6</v>
      </c>
      <c r="E895" s="336">
        <f>C886</f>
        <v/>
      </c>
      <c r="F895" s="416" t="n">
        <v>1.3</v>
      </c>
      <c r="G895" s="345">
        <f>C888</f>
        <v/>
      </c>
      <c r="H895" s="199">
        <f>(C895*D895*E895)*F895-(C895*D895*E895*G895)</f>
        <v/>
      </c>
      <c r="I895" s="346" t="n"/>
      <c r="J895" s="346" t="n"/>
      <c r="K895" s="347" t="n"/>
    </row>
    <row r="896" ht="14.4" customFormat="1" customHeight="1" s="120">
      <c r="B896" s="411">
        <f>B887</f>
        <v/>
      </c>
      <c r="C896" s="344" t="n">
        <v>1.1</v>
      </c>
      <c r="D896" s="344" t="n">
        <v>0.5</v>
      </c>
      <c r="E896" s="336">
        <f>C887</f>
        <v/>
      </c>
      <c r="F896" s="416" t="n">
        <v>1.3</v>
      </c>
      <c r="G896" s="344" t="n">
        <v>0</v>
      </c>
      <c r="H896" s="199">
        <f>(C896*D896*E896)*F896</f>
        <v/>
      </c>
      <c r="I896" s="346" t="n"/>
      <c r="J896" s="346" t="n"/>
      <c r="K896" s="347" t="n"/>
    </row>
    <row r="897" ht="14.4" customFormat="1" customHeight="1" s="120">
      <c r="B897" s="411" t="inlineStr">
        <is>
          <t>L/M of Bed, Pipe, Cover material reduction (Average Depth)</t>
        </is>
      </c>
      <c r="C897" s="344" t="n">
        <v>0.35</v>
      </c>
      <c r="D897" s="345">
        <f>D895</f>
        <v/>
      </c>
      <c r="E897" s="345">
        <f>E895</f>
        <v/>
      </c>
      <c r="F897" s="416" t="n">
        <v>0</v>
      </c>
      <c r="G897" s="345">
        <f>C888</f>
        <v/>
      </c>
      <c r="H897" s="199" t="n"/>
      <c r="I897" s="199">
        <f>(C897*D897*E897)-(C897*D897*E897*G897)</f>
        <v/>
      </c>
      <c r="J897" s="199" t="n"/>
      <c r="K897" s="347" t="n"/>
    </row>
    <row r="898" ht="14.4" customFormat="1" customHeight="1" s="120">
      <c r="B898" s="411" t="inlineStr">
        <is>
          <t>L/M of Bed, Pipe, Cover material reduction (Deeper Than Average Depth)</t>
        </is>
      </c>
      <c r="C898" s="344" t="n">
        <v>0.2</v>
      </c>
      <c r="D898" s="345">
        <f>D896</f>
        <v/>
      </c>
      <c r="E898" s="348">
        <f>E896</f>
        <v/>
      </c>
      <c r="F898" s="416" t="n">
        <v>0</v>
      </c>
      <c r="G898" s="345">
        <f>G896</f>
        <v/>
      </c>
      <c r="H898" s="199" t="n"/>
      <c r="I898" s="199">
        <f>(C898*D898*E898)-(C898*D898*E898*G898)</f>
        <v/>
      </c>
      <c r="J898" s="199" t="n"/>
      <c r="K898" s="347" t="n"/>
    </row>
    <row r="899" ht="14.4" customFormat="1" customHeight="1" s="120">
      <c r="B899" s="411" t="inlineStr">
        <is>
          <t>L/M of BACKFILL required (Average Depth)</t>
        </is>
      </c>
      <c r="C899" s="345">
        <f>C895</f>
        <v/>
      </c>
      <c r="D899" s="345">
        <f>D895</f>
        <v/>
      </c>
      <c r="E899" s="348">
        <f>E895</f>
        <v/>
      </c>
      <c r="F899" s="416" t="n">
        <v>1.3</v>
      </c>
      <c r="G899" s="345">
        <f>C888</f>
        <v/>
      </c>
      <c r="H899" s="199" t="n"/>
      <c r="I899" s="199" t="n"/>
      <c r="J899" s="199">
        <f>(C899*D899*E899*F899)-(C899*D899*E899*G899)-I897</f>
        <v/>
      </c>
      <c r="K899" s="347" t="n"/>
    </row>
    <row r="900" ht="14.4" customFormat="1" customHeight="1" s="120">
      <c r="B900" s="411" t="inlineStr">
        <is>
          <t>L/M of BACKFILL required (Deeper Than Average Depth)</t>
        </is>
      </c>
      <c r="C900" s="345">
        <f>C896</f>
        <v/>
      </c>
      <c r="D900" s="345">
        <f>D896</f>
        <v/>
      </c>
      <c r="E900" s="345">
        <f>E896</f>
        <v/>
      </c>
      <c r="F900" s="416" t="n">
        <v>1.3</v>
      </c>
      <c r="G900" s="345">
        <f>G896</f>
        <v/>
      </c>
      <c r="H900" s="199" t="n"/>
      <c r="I900" s="199" t="n"/>
      <c r="J900" s="199">
        <f>(C900*D900*E900*F900)-(C900*D900*E900*G900)-I898</f>
        <v/>
      </c>
      <c r="K900" s="347" t="n"/>
    </row>
    <row r="901" ht="15" customFormat="1" customHeight="1" s="120" thickBot="1">
      <c r="B901" s="335" t="n"/>
      <c r="C901" s="347" t="n"/>
      <c r="D901" s="347" t="n"/>
      <c r="E901" s="347" t="n"/>
      <c r="F901" s="417" t="n"/>
      <c r="G901" s="199" t="n"/>
      <c r="H901" s="347" t="n"/>
      <c r="I901" s="346" t="n"/>
      <c r="J901" s="346" t="n"/>
      <c r="K901" s="199" t="inlineStr">
        <is>
          <t>QTY</t>
        </is>
      </c>
      <c r="L901" s="349" t="inlineStr">
        <is>
          <t>Rate</t>
        </is>
      </c>
      <c r="M901" s="349" t="inlineStr">
        <is>
          <t>Total</t>
        </is>
      </c>
    </row>
    <row r="902" ht="15" customFormat="1" customHeight="1" s="120" thickBot="1">
      <c r="B902" s="335" t="n"/>
      <c r="C902" s="347" t="n"/>
      <c r="D902" s="347" t="n"/>
      <c r="E902" s="347" t="n"/>
      <c r="F902" s="417" t="n"/>
      <c r="G902" s="199" t="n"/>
      <c r="H902" s="350">
        <f>SUM(H895:H901)</f>
        <v/>
      </c>
      <c r="I902" s="350">
        <f>SUM(I895:I901)</f>
        <v/>
      </c>
      <c r="J902" s="350">
        <f>SUM(J895:J901)</f>
        <v/>
      </c>
      <c r="K902" s="351">
        <f>H902-J902</f>
        <v/>
      </c>
      <c r="L902" s="617" t="n">
        <v>15</v>
      </c>
      <c r="M902" s="618">
        <f>K902*L902</f>
        <v/>
      </c>
      <c r="O902" s="192" t="n"/>
    </row>
    <row r="903" ht="14.4" customFormat="1" customHeight="1" s="120">
      <c r="B903" s="335" t="n"/>
      <c r="C903" s="196" t="n"/>
      <c r="D903" s="196" t="n"/>
      <c r="E903" s="196" t="n"/>
      <c r="F903" s="417" t="n"/>
      <c r="G903" s="199" t="n"/>
      <c r="H903" s="613" t="n"/>
      <c r="K903" s="196" t="n"/>
      <c r="O903" s="346" t="n"/>
    </row>
    <row r="904" ht="14.4" customFormat="1" customHeight="1" s="120">
      <c r="B904" s="335" t="n"/>
      <c r="C904" s="196" t="n"/>
      <c r="D904" s="196" t="n"/>
      <c r="E904" s="196" t="n"/>
      <c r="F904" s="417" t="n"/>
      <c r="G904" s="199" t="n"/>
      <c r="H904" s="613" t="n"/>
      <c r="K904" s="196" t="n"/>
      <c r="O904" s="346" t="n"/>
    </row>
    <row r="905" ht="14.4" customFormat="1" customHeight="1" s="120">
      <c r="B905" s="335" t="n"/>
      <c r="C905" s="196" t="n"/>
      <c r="D905" s="196" t="n"/>
      <c r="E905" s="196" t="n"/>
      <c r="F905" s="417" t="n"/>
      <c r="G905" s="199" t="n"/>
      <c r="H905" s="613" t="n"/>
      <c r="K905" s="196" t="n"/>
      <c r="O905" s="346" t="n"/>
    </row>
    <row r="906" ht="14.4" customFormat="1" customHeight="1" s="120">
      <c r="B906" s="335" t="n"/>
      <c r="C906" s="196" t="n"/>
      <c r="D906" s="196" t="n"/>
      <c r="E906" s="196" t="n"/>
      <c r="F906" s="417" t="n"/>
      <c r="G906" s="199" t="n"/>
      <c r="H906" s="613" t="n"/>
      <c r="K906" s="196" t="n"/>
      <c r="O906" s="346" t="n"/>
    </row>
    <row r="907" ht="7.2" customFormat="1" customHeight="1" s="120">
      <c r="B907" s="354" t="n"/>
      <c r="C907" s="231" t="n"/>
      <c r="D907" s="231" t="n"/>
      <c r="E907" s="231" t="n"/>
      <c r="F907" s="619" t="n"/>
      <c r="G907" s="619" t="n"/>
      <c r="H907" s="620" t="n"/>
      <c r="I907" s="231" t="n"/>
      <c r="K907" s="196" t="n"/>
    </row>
    <row r="908" ht="14.4" customFormat="1" customHeight="1" s="120">
      <c r="B908" s="126" t="inlineStr">
        <is>
          <t>Thrust Block Concrete</t>
        </is>
      </c>
      <c r="C908" s="196" t="inlineStr">
        <is>
          <t>m3/TB</t>
        </is>
      </c>
      <c r="D908" s="196" t="inlineStr">
        <is>
          <t>Qty</t>
        </is>
      </c>
      <c r="E908" s="612" t="inlineStr">
        <is>
          <t>Total m3</t>
        </is>
      </c>
      <c r="F908" s="120" t="inlineStr">
        <is>
          <t>Contingency</t>
        </is>
      </c>
      <c r="G908" s="614" t="inlineStr">
        <is>
          <t>Total m3</t>
        </is>
      </c>
      <c r="H908" s="621" t="inlineStr">
        <is>
          <t>Total Cost</t>
        </is>
      </c>
      <c r="K908" s="196" t="n"/>
    </row>
    <row r="909" ht="14.4" customFormat="1" customHeight="1" s="120">
      <c r="B909" s="335" t="n"/>
      <c r="C909" s="196" t="n">
        <v>0.1</v>
      </c>
      <c r="D909" s="338" t="n"/>
      <c r="E909" s="196">
        <f>D909*C909</f>
        <v/>
      </c>
      <c r="F909" s="417" t="n">
        <v>1.1</v>
      </c>
      <c r="G909" s="198">
        <f>E909*F909</f>
        <v/>
      </c>
      <c r="H909" s="613">
        <f>G909*E934</f>
        <v/>
      </c>
      <c r="I909" s="622" t="n"/>
      <c r="K909" s="196" t="n"/>
    </row>
    <row r="910" ht="14.4" customFormat="1" customHeight="1" s="323">
      <c r="C910" s="327" t="n"/>
      <c r="D910" s="327" t="n"/>
      <c r="E910" s="605" t="n"/>
      <c r="F910" s="605" t="n"/>
    </row>
    <row r="911" ht="15" customFormat="1" customHeight="1" s="323" thickBot="1">
      <c r="C911" s="327" t="n"/>
      <c r="D911" s="327" t="n"/>
      <c r="E911" s="605" t="n"/>
      <c r="F911" s="605" t="n"/>
    </row>
    <row r="912" ht="15" customFormat="1" customHeight="1" s="323" thickBot="1">
      <c r="B912" s="173" t="inlineStr">
        <is>
          <t>Quarry &amp; Concrete Product</t>
        </is>
      </c>
      <c r="C912" s="121" t="n"/>
      <c r="D912" s="122" t="n"/>
      <c r="E912" s="612" t="n"/>
      <c r="F912" s="612" t="n"/>
      <c r="G912" s="612" t="n"/>
      <c r="H912" s="613" t="n"/>
      <c r="I912" s="120" t="n"/>
      <c r="J912" s="120" t="n"/>
      <c r="K912" s="120" t="n"/>
      <c r="L912" s="120" t="n"/>
      <c r="M912" s="120" t="n"/>
      <c r="N912" s="120" t="n"/>
      <c r="O912" s="120" t="n"/>
      <c r="P912" s="120" t="n"/>
    </row>
    <row r="913" ht="15" customFormat="1" customHeight="1" s="323" thickBot="1">
      <c r="B913" s="192" t="n"/>
      <c r="C913" s="120" t="n"/>
      <c r="D913" s="120" t="n"/>
      <c r="E913" s="612" t="n"/>
      <c r="F913" s="612" t="n"/>
      <c r="G913" s="612" t="n"/>
      <c r="H913" s="613" t="n"/>
      <c r="I913" s="120" t="n"/>
      <c r="J913" s="120" t="n"/>
      <c r="K913" s="120" t="n"/>
      <c r="L913" s="120" t="n"/>
      <c r="M913" s="341" t="n">
        <v>1.4</v>
      </c>
      <c r="N913" s="120" t="n"/>
      <c r="O913" s="120" t="n"/>
      <c r="P913" s="120" t="n"/>
    </row>
    <row r="914" ht="43.8" customFormat="1" customHeight="1" s="355" thickBot="1">
      <c r="B914" s="356" t="inlineStr">
        <is>
          <t>Description</t>
        </is>
      </c>
      <c r="C914" s="349" t="inlineStr">
        <is>
          <t>Unit/LM</t>
        </is>
      </c>
      <c r="D914" s="349" t="inlineStr">
        <is>
          <t>Unit</t>
        </is>
      </c>
      <c r="E914" s="614" t="inlineStr">
        <is>
          <t>Rate</t>
        </is>
      </c>
      <c r="F914" s="614" t="inlineStr">
        <is>
          <t>Rate/LM</t>
        </is>
      </c>
      <c r="G914" s="612" t="n"/>
      <c r="H914" s="612" t="n"/>
      <c r="I914" s="349" t="inlineStr">
        <is>
          <t>QTY</t>
        </is>
      </c>
      <c r="J914" s="343" t="inlineStr">
        <is>
          <t>Shared Trench Factor</t>
        </is>
      </c>
      <c r="K914" s="349" t="inlineStr">
        <is>
          <t>Total Req.</t>
        </is>
      </c>
      <c r="L914" s="349" t="inlineStr">
        <is>
          <t>Total</t>
        </is>
      </c>
      <c r="M914" s="349" t="inlineStr">
        <is>
          <t>Contingency</t>
        </is>
      </c>
      <c r="N914" s="357" t="inlineStr">
        <is>
          <t>TOTAL</t>
        </is>
      </c>
      <c r="O914" s="418" t="inlineStr">
        <is>
          <t>Drainage Use</t>
        </is>
      </c>
      <c r="P914" s="415" t="inlineStr">
        <is>
          <t>Fire/WAT Use</t>
        </is>
      </c>
      <c r="Q914" s="419" t="inlineStr">
        <is>
          <t>SPK Use</t>
        </is>
      </c>
    </row>
    <row r="915" ht="15" customFormat="1" customHeight="1" s="323" thickBot="1">
      <c r="B915" s="120" t="inlineStr">
        <is>
          <t>5-7mm Stone</t>
        </is>
      </c>
      <c r="C915" s="358" t="n">
        <v>0.203</v>
      </c>
      <c r="D915" s="359" t="inlineStr">
        <is>
          <t>Ton</t>
        </is>
      </c>
      <c r="E915" s="623">
        <f>E927</f>
        <v/>
      </c>
      <c r="F915" s="623">
        <f>E915*C915</f>
        <v/>
      </c>
      <c r="G915" s="612" t="n"/>
      <c r="H915" s="613" t="n"/>
      <c r="I915" s="361">
        <f>C915*(C886+C887)</f>
        <v/>
      </c>
      <c r="J915" s="345">
        <f>C888</f>
        <v/>
      </c>
      <c r="K915" s="362">
        <f>I915-(I915*J915)</f>
        <v/>
      </c>
      <c r="L915" s="622">
        <f>K915*E915</f>
        <v/>
      </c>
      <c r="M915" s="605">
        <f>(L915*M913)-L915</f>
        <v/>
      </c>
      <c r="N915" s="624">
        <f>L915*M913</f>
        <v/>
      </c>
      <c r="O915" s="622">
        <f>N915*E889</f>
        <v/>
      </c>
      <c r="P915" s="120" t="n"/>
      <c r="Q915" s="605" t="n"/>
      <c r="R915" s="605" t="n"/>
    </row>
    <row r="916" ht="14.4" customFormat="1" customHeight="1" s="323">
      <c r="B916" s="120" t="inlineStr">
        <is>
          <t>5-7mm Stone</t>
        </is>
      </c>
      <c r="C916" s="358" t="n">
        <v>0.14</v>
      </c>
      <c r="D916" s="196" t="inlineStr">
        <is>
          <t>m3</t>
        </is>
      </c>
      <c r="E916" s="612">
        <f>E927</f>
        <v/>
      </c>
      <c r="F916" s="612">
        <f>(E916*C916)*1.95</f>
        <v/>
      </c>
      <c r="G916" s="612" t="n"/>
      <c r="H916" s="613" t="n"/>
      <c r="I916" s="120" t="n"/>
      <c r="J916" s="120" t="n"/>
      <c r="L916" s="622" t="n"/>
      <c r="N916" s="364" t="n"/>
      <c r="O916" s="120" t="n"/>
      <c r="P916" s="120" t="n"/>
    </row>
    <row r="917" ht="14.4" customFormat="1" customHeight="1" s="323">
      <c r="B917" s="120" t="inlineStr">
        <is>
          <t>10-12mm Stone</t>
        </is>
      </c>
      <c r="C917" s="358" t="n">
        <v>0.45</v>
      </c>
      <c r="D917" s="196" t="inlineStr">
        <is>
          <t>Ton</t>
        </is>
      </c>
      <c r="E917" s="612">
        <f>E928</f>
        <v/>
      </c>
      <c r="F917" s="612">
        <f>E917*C917</f>
        <v/>
      </c>
      <c r="G917" s="612" t="n"/>
      <c r="H917" s="613" t="n"/>
      <c r="I917" s="120" t="n">
        <v>0</v>
      </c>
      <c r="J917" s="120" t="n"/>
      <c r="L917" s="622">
        <f>I917*E917</f>
        <v/>
      </c>
      <c r="N917" s="625">
        <f>L917*$L$290</f>
        <v/>
      </c>
      <c r="O917" s="120" t="n"/>
      <c r="P917" s="120" t="n"/>
    </row>
    <row r="918" ht="15" customFormat="1" customHeight="1" s="323" thickBot="1">
      <c r="B918" s="120" t="inlineStr">
        <is>
          <t>80-110mm Stone</t>
        </is>
      </c>
      <c r="C918" s="120" t="n">
        <v>0</v>
      </c>
      <c r="D918" s="196" t="inlineStr">
        <is>
          <t>Ton</t>
        </is>
      </c>
      <c r="E918" s="612">
        <f>E929</f>
        <v/>
      </c>
      <c r="F918" s="612">
        <f>E918*C918</f>
        <v/>
      </c>
      <c r="G918" s="612" t="n"/>
      <c r="H918" s="613" t="n"/>
      <c r="I918" s="120" t="n">
        <v>0</v>
      </c>
      <c r="J918" s="120" t="n"/>
      <c r="L918" s="622">
        <f>I918*E918</f>
        <v/>
      </c>
      <c r="N918" s="625">
        <f>L918*$L$290</f>
        <v/>
      </c>
      <c r="O918" s="120" t="n"/>
      <c r="P918" s="120" t="n"/>
    </row>
    <row r="919" ht="15" customFormat="1" customHeight="1" s="323" thickBot="1">
      <c r="B919" s="120" t="inlineStr">
        <is>
          <t>Medium River / Bed Sand</t>
        </is>
      </c>
      <c r="C919" s="358" t="n">
        <v>0.225</v>
      </c>
      <c r="D919" s="359" t="inlineStr">
        <is>
          <t>Ton</t>
        </is>
      </c>
      <c r="E919" s="623">
        <f>E930</f>
        <v/>
      </c>
      <c r="F919" s="623">
        <f>E919*C919</f>
        <v/>
      </c>
      <c r="G919" s="612" t="n"/>
      <c r="H919" s="613" t="n"/>
      <c r="I919" s="361">
        <f>C919*(C886+C887)</f>
        <v/>
      </c>
      <c r="J919" s="345">
        <f>C888</f>
        <v/>
      </c>
      <c r="K919" s="362">
        <f>I919-(I919*J919)</f>
        <v/>
      </c>
      <c r="L919" s="622">
        <f>K919*E919</f>
        <v/>
      </c>
      <c r="M919" s="605">
        <f>(L919*M913)-L919</f>
        <v/>
      </c>
      <c r="N919" s="624">
        <f>L919*M913</f>
        <v/>
      </c>
      <c r="O919" s="120" t="n"/>
      <c r="P919" s="622">
        <f>N919*E890</f>
        <v/>
      </c>
      <c r="Q919" s="605">
        <f>N919*E891</f>
        <v/>
      </c>
    </row>
    <row r="920" ht="14.4" customFormat="1" customHeight="1" s="323">
      <c r="B920" s="120" t="inlineStr">
        <is>
          <t>Medium River / Bed Sand</t>
        </is>
      </c>
      <c r="C920" s="358" t="n">
        <v>0.14</v>
      </c>
      <c r="D920" s="196" t="inlineStr">
        <is>
          <t>m3</t>
        </is>
      </c>
      <c r="E920" s="612">
        <f>E930</f>
        <v/>
      </c>
      <c r="F920" s="612">
        <f>(E920*C920)*1.5</f>
        <v/>
      </c>
      <c r="G920" s="612" t="n"/>
      <c r="H920" s="613" t="n"/>
      <c r="I920" s="120" t="n"/>
      <c r="J920" s="120" t="n"/>
      <c r="L920" s="622" t="n"/>
      <c r="N920" s="364" t="n"/>
      <c r="O920" s="120" t="n"/>
      <c r="P920" s="120" t="n"/>
    </row>
    <row r="921" ht="14.4" customFormat="1" customHeight="1" s="323">
      <c r="B921" s="120" t="inlineStr">
        <is>
          <t>CBR15 Road Base</t>
        </is>
      </c>
      <c r="C921" s="358" t="n">
        <v>0.36</v>
      </c>
      <c r="D921" s="196" t="inlineStr">
        <is>
          <t>Ton</t>
        </is>
      </c>
      <c r="E921" s="612">
        <f>F931</f>
        <v/>
      </c>
      <c r="F921" s="612">
        <f>E921*C921</f>
        <v/>
      </c>
      <c r="G921" s="612" t="n"/>
      <c r="H921" s="613" t="n"/>
      <c r="I921" s="120">
        <f>C885*C921</f>
        <v/>
      </c>
      <c r="J921" s="120" t="n"/>
      <c r="L921" s="622">
        <f>I921*E921</f>
        <v/>
      </c>
      <c r="N921" s="625">
        <f>L921*$L$290</f>
        <v/>
      </c>
      <c r="O921" s="120" t="n"/>
      <c r="P921" s="120" t="n"/>
    </row>
    <row r="922" ht="14.4" customFormat="1" customHeight="1" s="323">
      <c r="B922" s="120" t="inlineStr">
        <is>
          <t>CBR45</t>
        </is>
      </c>
      <c r="C922" s="358" t="n">
        <v>0.36</v>
      </c>
      <c r="D922" s="196" t="inlineStr">
        <is>
          <t>Ton</t>
        </is>
      </c>
      <c r="E922" s="612">
        <f>F932</f>
        <v/>
      </c>
      <c r="F922" s="612">
        <f>E922*C922</f>
        <v/>
      </c>
      <c r="G922" s="612" t="n"/>
      <c r="H922" s="613" t="n"/>
      <c r="I922" s="120">
        <f>C922*C885</f>
        <v/>
      </c>
      <c r="J922" s="120" t="n"/>
      <c r="L922" s="622">
        <f>I922*E922</f>
        <v/>
      </c>
      <c r="N922" s="625">
        <f>L922*$L$290</f>
        <v/>
      </c>
      <c r="O922" s="120" t="n"/>
      <c r="P922" s="120" t="n"/>
    </row>
    <row r="923" ht="15" customFormat="1" customHeight="1" s="323" thickBot="1">
      <c r="B923" s="120" t="inlineStr">
        <is>
          <t>LEANMIX</t>
        </is>
      </c>
      <c r="C923" s="358" t="n">
        <v>0.3</v>
      </c>
      <c r="D923" s="196" t="inlineStr">
        <is>
          <t>m3</t>
        </is>
      </c>
      <c r="E923" s="612">
        <f>N933</f>
        <v/>
      </c>
      <c r="F923" s="612">
        <f>E923*C923</f>
        <v/>
      </c>
      <c r="G923" s="612" t="n"/>
      <c r="H923" s="613" t="n"/>
      <c r="I923" s="120">
        <f>C923*C883</f>
        <v/>
      </c>
      <c r="J923" s="120" t="n"/>
      <c r="L923" s="622">
        <f>E923*I923</f>
        <v/>
      </c>
      <c r="N923" s="626">
        <f>L923*$L$290</f>
        <v/>
      </c>
      <c r="O923" s="120" t="n"/>
      <c r="P923" s="120" t="n"/>
    </row>
    <row r="924" ht="15" customFormat="1" customHeight="1" s="323" thickBot="1">
      <c r="B924" s="120" t="n"/>
      <c r="C924" s="120" t="n"/>
      <c r="D924" s="196" t="n"/>
      <c r="E924" s="627" t="n"/>
      <c r="F924" s="627" t="n"/>
      <c r="G924" s="612" t="n"/>
      <c r="H924" s="613" t="n"/>
      <c r="I924" s="120" t="n"/>
      <c r="J924" s="120" t="n"/>
      <c r="K924" s="120" t="n"/>
      <c r="L924" s="120" t="n"/>
      <c r="M924" s="120" t="n"/>
      <c r="N924" s="120" t="n"/>
      <c r="O924" s="120" t="n"/>
      <c r="P924" s="120" t="n"/>
    </row>
    <row r="925" ht="14.4" customFormat="1" customHeight="1" s="323">
      <c r="B925" s="123" t="n"/>
      <c r="C925" s="368" t="n"/>
      <c r="D925" s="369" t="n"/>
      <c r="E925" s="628" t="inlineStr">
        <is>
          <t>TCS</t>
        </is>
      </c>
      <c r="F925" s="629" t="inlineStr">
        <is>
          <t>Q2</t>
        </is>
      </c>
      <c r="G925" s="613" t="n"/>
      <c r="H925" s="612" t="n"/>
      <c r="I925" s="612" t="n"/>
      <c r="J925" s="612" t="n"/>
      <c r="K925" s="612" t="n"/>
      <c r="L925" s="612" t="n"/>
      <c r="M925" s="612" t="n"/>
      <c r="N925" s="612" t="n"/>
      <c r="O925" s="612" t="n"/>
    </row>
    <row r="926" ht="15" customFormat="1" customHeight="1" s="323" thickBot="1">
      <c r="B926" s="372" t="inlineStr">
        <is>
          <t>Description</t>
        </is>
      </c>
      <c r="C926" s="373" t="n"/>
      <c r="D926" s="374" t="inlineStr">
        <is>
          <t>Unit</t>
        </is>
      </c>
      <c r="E926" s="630" t="inlineStr">
        <is>
          <t>Rate</t>
        </is>
      </c>
      <c r="F926" s="630" t="inlineStr">
        <is>
          <t>Rate</t>
        </is>
      </c>
      <c r="G926" s="631" t="n"/>
      <c r="H926" s="612" t="n"/>
      <c r="I926" s="613" t="n"/>
      <c r="J926" s="612" t="n"/>
      <c r="K926" s="613" t="n"/>
      <c r="L926" s="612" t="n"/>
      <c r="M926" s="613" t="n"/>
      <c r="N926" s="612" t="n"/>
      <c r="O926" s="613" t="n"/>
    </row>
    <row r="927" ht="14.4" customFormat="1" customHeight="1" s="323">
      <c r="B927" s="120" t="inlineStr">
        <is>
          <t>5-7mm Stone</t>
        </is>
      </c>
      <c r="C927" s="196" t="n"/>
      <c r="D927" s="377" t="inlineStr">
        <is>
          <t>T</t>
        </is>
      </c>
      <c r="E927" s="632" t="n">
        <v>62</v>
      </c>
      <c r="F927" s="633" t="n">
        <v>31</v>
      </c>
      <c r="G927" s="613" t="n"/>
      <c r="H927" s="612" t="n"/>
      <c r="I927" s="613" t="n"/>
      <c r="J927" s="612" t="n"/>
      <c r="K927" s="613" t="n"/>
      <c r="L927" s="612" t="n"/>
      <c r="M927" s="613" t="n"/>
      <c r="N927" s="612" t="n"/>
      <c r="O927" s="613" t="n"/>
    </row>
    <row r="928" ht="14.4" customFormat="1" customHeight="1" s="323">
      <c r="B928" s="120" t="inlineStr">
        <is>
          <t>10-12mm Stone</t>
        </is>
      </c>
      <c r="C928" s="196" t="n"/>
      <c r="D928" s="377" t="inlineStr">
        <is>
          <t>T</t>
        </is>
      </c>
      <c r="E928" s="632" t="n">
        <v>62</v>
      </c>
      <c r="F928" s="634" t="n">
        <v>39</v>
      </c>
      <c r="G928" s="613" t="n"/>
      <c r="H928" s="612" t="n"/>
      <c r="I928" s="613" t="n"/>
      <c r="J928" s="612" t="n"/>
      <c r="K928" s="613" t="n"/>
      <c r="L928" s="612" t="n"/>
      <c r="M928" s="613" t="n"/>
      <c r="N928" s="612" t="n"/>
      <c r="O928" s="613" t="n"/>
    </row>
    <row r="929" ht="14.4" customFormat="1" customHeight="1" s="323">
      <c r="B929" s="120" t="inlineStr">
        <is>
          <t>80-110mm Stone</t>
        </is>
      </c>
      <c r="C929" s="196" t="n"/>
      <c r="D929" s="377" t="inlineStr">
        <is>
          <t>T</t>
        </is>
      </c>
      <c r="E929" s="635" t="n">
        <v>25</v>
      </c>
      <c r="F929" s="634" t="n">
        <v>29</v>
      </c>
      <c r="G929" s="613" t="n"/>
      <c r="H929" s="612" t="n"/>
      <c r="I929" s="613" t="n"/>
      <c r="J929" s="636" t="n"/>
      <c r="K929" s="613" t="n"/>
      <c r="L929" s="612" t="n"/>
      <c r="M929" s="613" t="n"/>
      <c r="N929" s="612" t="n"/>
      <c r="O929" s="613" t="n"/>
    </row>
    <row r="930" ht="14.4" customFormat="1" customHeight="1" s="323">
      <c r="B930" s="120" t="inlineStr">
        <is>
          <t>Medium River / Bed Sand</t>
        </is>
      </c>
      <c r="C930" s="196" t="n"/>
      <c r="D930" s="377" t="inlineStr">
        <is>
          <t>T</t>
        </is>
      </c>
      <c r="E930" s="632" t="n">
        <v>62</v>
      </c>
      <c r="F930" s="634" t="n">
        <v>26</v>
      </c>
      <c r="G930" s="613" t="n"/>
      <c r="H930" s="612" t="n"/>
      <c r="I930" s="613" t="n"/>
      <c r="J930" s="612" t="n"/>
      <c r="K930" s="347" t="n"/>
      <c r="L930" s="636" t="n"/>
      <c r="M930" s="613" t="n"/>
      <c r="N930" s="612" t="n"/>
      <c r="O930" s="613" t="n"/>
    </row>
    <row r="931" ht="14.4" customFormat="1" customHeight="1" s="323">
      <c r="B931" s="120" t="inlineStr">
        <is>
          <t>CBR15 Road Base</t>
        </is>
      </c>
      <c r="C931" s="196" t="n"/>
      <c r="D931" s="377" t="inlineStr">
        <is>
          <t>T</t>
        </is>
      </c>
      <c r="E931" s="635" t="n">
        <v>48</v>
      </c>
      <c r="F931" s="634" t="n">
        <v>27</v>
      </c>
      <c r="G931" s="613" t="n"/>
      <c r="H931" s="612" t="n"/>
      <c r="I931" s="613" t="n"/>
      <c r="J931" s="612" t="n"/>
      <c r="K931" s="347" t="n"/>
      <c r="L931" s="636" t="n"/>
      <c r="M931" s="613" t="n"/>
      <c r="N931" s="612" t="n"/>
      <c r="O931" s="613" t="n"/>
    </row>
    <row r="932" ht="14.4" customFormat="1" customHeight="1" s="323">
      <c r="B932" s="120" t="inlineStr">
        <is>
          <t>CBR45</t>
        </is>
      </c>
      <c r="C932" s="196" t="n"/>
      <c r="D932" s="377" t="inlineStr">
        <is>
          <t>T</t>
        </is>
      </c>
      <c r="E932" s="635" t="n">
        <v>50</v>
      </c>
      <c r="F932" s="634" t="n">
        <v>30</v>
      </c>
      <c r="G932" s="613" t="n"/>
      <c r="H932" s="612" t="n"/>
      <c r="I932" s="613" t="n"/>
      <c r="J932" s="612" t="n"/>
      <c r="K932" s="347" t="n"/>
      <c r="L932" s="636" t="n"/>
      <c r="M932" s="613" t="n"/>
      <c r="N932" s="612" t="n"/>
      <c r="O932" s="613" t="n"/>
    </row>
    <row r="933" ht="14.4" customFormat="1" customHeight="1" s="323">
      <c r="B933" s="120" t="inlineStr">
        <is>
          <t>LEANMIX_20mm-12:1</t>
        </is>
      </c>
      <c r="C933" s="196" t="n"/>
      <c r="D933" s="377" t="inlineStr">
        <is>
          <t>M3</t>
        </is>
      </c>
      <c r="E933" s="637" t="n">
        <v>168</v>
      </c>
      <c r="F933" s="634" t="n">
        <v>0</v>
      </c>
      <c r="G933" s="613" t="n"/>
      <c r="H933" s="612" t="n"/>
      <c r="I933" s="613" t="n"/>
      <c r="J933" s="612" t="n"/>
      <c r="K933" s="613" t="n"/>
      <c r="L933" s="612" t="n"/>
      <c r="M933" s="613" t="n"/>
      <c r="N933" s="612" t="n"/>
      <c r="O933" s="613" t="n"/>
    </row>
    <row r="934" ht="15" customFormat="1" customHeight="1" s="323" thickBot="1">
      <c r="B934" s="120" t="inlineStr">
        <is>
          <t>Concrete_25/20/80</t>
        </is>
      </c>
      <c r="C934" s="347" t="n"/>
      <c r="D934" s="377" t="inlineStr">
        <is>
          <t>M3</t>
        </is>
      </c>
      <c r="E934" s="638" t="n">
        <v>153</v>
      </c>
      <c r="F934" s="638" t="n">
        <v>0</v>
      </c>
      <c r="G934" s="613" t="n"/>
      <c r="H934" s="612" t="n"/>
      <c r="I934" s="613" t="n"/>
      <c r="J934" s="612" t="n"/>
      <c r="K934" s="347" t="n"/>
      <c r="L934" s="636" t="n"/>
      <c r="M934" s="613" t="n"/>
      <c r="N934" s="612" t="n"/>
      <c r="O934" s="613" t="n"/>
    </row>
  </sheetData>
  <mergeCells count="6">
    <mergeCell ref="B9:G9"/>
    <mergeCell ref="A6:F6"/>
    <mergeCell ref="D14:E14"/>
    <mergeCell ref="C873:E875"/>
    <mergeCell ref="C866:E868"/>
    <mergeCell ref="J14:P14"/>
  </mergeCells>
  <printOptions gridLines="1"/>
  <pageMargins left="0.46" right="0.42" top="0.37" bottom="0.4" header="0.39" footer="0.38"/>
  <pageSetup orientation="portrait" paperSize="8" scale="80" horizontalDpi="1200" verticalDpi="12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L115"/>
  <sheetViews>
    <sheetView zoomScaleNormal="100" workbookViewId="0">
      <selection activeCell="J14" sqref="J14"/>
    </sheetView>
  </sheetViews>
  <sheetFormatPr baseColWidth="8" defaultColWidth="9.21875" defaultRowHeight="10.2"/>
  <cols>
    <col width="8.21875" customWidth="1" style="38" min="1" max="1"/>
    <col width="79" customWidth="1" style="38" min="2" max="2"/>
    <col width="11.44140625" customWidth="1" style="40" min="3" max="3"/>
    <col width="10.44140625" customWidth="1" style="40" min="4" max="4"/>
    <col width="13.21875" customWidth="1" style="583" min="5" max="5"/>
    <col width="14.21875" customWidth="1" style="583" min="6" max="6"/>
    <col width="12.21875" customWidth="1" style="38" min="7" max="7"/>
    <col width="9.21875" customWidth="1" style="38" min="8" max="8"/>
    <col width="9.5546875" bestFit="1" customWidth="1" style="38" min="9" max="9"/>
    <col width="9.21875" customWidth="1" style="38" min="10" max="256"/>
    <col width="8.21875" customWidth="1" style="38" min="257" max="257"/>
    <col width="70.44140625" bestFit="1" customWidth="1" style="38" min="258" max="258"/>
    <col width="11.44140625" customWidth="1" style="38" min="259" max="259"/>
    <col width="10.44140625" customWidth="1" style="38" min="260" max="260"/>
    <col width="13.21875" customWidth="1" style="38" min="261" max="261"/>
    <col width="14.21875" customWidth="1" style="38" min="262" max="262"/>
    <col width="12.21875" customWidth="1" style="38" min="263" max="263"/>
    <col width="9.21875" customWidth="1" style="38" min="264" max="512"/>
    <col width="8.21875" customWidth="1" style="38" min="513" max="513"/>
    <col width="70.44140625" bestFit="1" customWidth="1" style="38" min="514" max="514"/>
    <col width="11.44140625" customWidth="1" style="38" min="515" max="515"/>
    <col width="10.44140625" customWidth="1" style="38" min="516" max="516"/>
    <col width="13.21875" customWidth="1" style="38" min="517" max="517"/>
    <col width="14.21875" customWidth="1" style="38" min="518" max="518"/>
    <col width="12.21875" customWidth="1" style="38" min="519" max="519"/>
    <col width="9.21875" customWidth="1" style="38" min="520" max="768"/>
    <col width="8.21875" customWidth="1" style="38" min="769" max="769"/>
    <col width="70.44140625" bestFit="1" customWidth="1" style="38" min="770" max="770"/>
    <col width="11.44140625" customWidth="1" style="38" min="771" max="771"/>
    <col width="10.44140625" customWidth="1" style="38" min="772" max="772"/>
    <col width="13.21875" customWidth="1" style="38" min="773" max="773"/>
    <col width="14.21875" customWidth="1" style="38" min="774" max="774"/>
    <col width="12.21875" customWidth="1" style="38" min="775" max="775"/>
    <col width="9.21875" customWidth="1" style="38" min="776" max="1024"/>
    <col width="8.21875" customWidth="1" style="38" min="1025" max="1025"/>
    <col width="70.44140625" bestFit="1" customWidth="1" style="38" min="1026" max="1026"/>
    <col width="11.44140625" customWidth="1" style="38" min="1027" max="1027"/>
    <col width="10.44140625" customWidth="1" style="38" min="1028" max="1028"/>
    <col width="13.21875" customWidth="1" style="38" min="1029" max="1029"/>
    <col width="14.21875" customWidth="1" style="38" min="1030" max="1030"/>
    <col width="12.21875" customWidth="1" style="38" min="1031" max="1031"/>
    <col width="9.21875" customWidth="1" style="38" min="1032" max="1280"/>
    <col width="8.21875" customWidth="1" style="38" min="1281" max="1281"/>
    <col width="70.44140625" bestFit="1" customWidth="1" style="38" min="1282" max="1282"/>
    <col width="11.44140625" customWidth="1" style="38" min="1283" max="1283"/>
    <col width="10.44140625" customWidth="1" style="38" min="1284" max="1284"/>
    <col width="13.21875" customWidth="1" style="38" min="1285" max="1285"/>
    <col width="14.21875" customWidth="1" style="38" min="1286" max="1286"/>
    <col width="12.21875" customWidth="1" style="38" min="1287" max="1287"/>
    <col width="9.21875" customWidth="1" style="38" min="1288" max="1536"/>
    <col width="8.21875" customWidth="1" style="38" min="1537" max="1537"/>
    <col width="70.44140625" bestFit="1" customWidth="1" style="38" min="1538" max="1538"/>
    <col width="11.44140625" customWidth="1" style="38" min="1539" max="1539"/>
    <col width="10.44140625" customWidth="1" style="38" min="1540" max="1540"/>
    <col width="13.21875" customWidth="1" style="38" min="1541" max="1541"/>
    <col width="14.21875" customWidth="1" style="38" min="1542" max="1542"/>
    <col width="12.21875" customWidth="1" style="38" min="1543" max="1543"/>
    <col width="9.21875" customWidth="1" style="38" min="1544" max="1792"/>
    <col width="8.21875" customWidth="1" style="38" min="1793" max="1793"/>
    <col width="70.44140625" bestFit="1" customWidth="1" style="38" min="1794" max="1794"/>
    <col width="11.44140625" customWidth="1" style="38" min="1795" max="1795"/>
    <col width="10.44140625" customWidth="1" style="38" min="1796" max="1796"/>
    <col width="13.21875" customWidth="1" style="38" min="1797" max="1797"/>
    <col width="14.21875" customWidth="1" style="38" min="1798" max="1798"/>
    <col width="12.21875" customWidth="1" style="38" min="1799" max="1799"/>
    <col width="9.21875" customWidth="1" style="38" min="1800" max="2048"/>
    <col width="8.21875" customWidth="1" style="38" min="2049" max="2049"/>
    <col width="70.44140625" bestFit="1" customWidth="1" style="38" min="2050" max="2050"/>
    <col width="11.44140625" customWidth="1" style="38" min="2051" max="2051"/>
    <col width="10.44140625" customWidth="1" style="38" min="2052" max="2052"/>
    <col width="13.21875" customWidth="1" style="38" min="2053" max="2053"/>
    <col width="14.21875" customWidth="1" style="38" min="2054" max="2054"/>
    <col width="12.21875" customWidth="1" style="38" min="2055" max="2055"/>
    <col width="9.21875" customWidth="1" style="38" min="2056" max="2304"/>
    <col width="8.21875" customWidth="1" style="38" min="2305" max="2305"/>
    <col width="70.44140625" bestFit="1" customWidth="1" style="38" min="2306" max="2306"/>
    <col width="11.44140625" customWidth="1" style="38" min="2307" max="2307"/>
    <col width="10.44140625" customWidth="1" style="38" min="2308" max="2308"/>
    <col width="13.21875" customWidth="1" style="38" min="2309" max="2309"/>
    <col width="14.21875" customWidth="1" style="38" min="2310" max="2310"/>
    <col width="12.21875" customWidth="1" style="38" min="2311" max="2311"/>
    <col width="9.21875" customWidth="1" style="38" min="2312" max="2560"/>
    <col width="8.21875" customWidth="1" style="38" min="2561" max="2561"/>
    <col width="70.44140625" bestFit="1" customWidth="1" style="38" min="2562" max="2562"/>
    <col width="11.44140625" customWidth="1" style="38" min="2563" max="2563"/>
    <col width="10.44140625" customWidth="1" style="38" min="2564" max="2564"/>
    <col width="13.21875" customWidth="1" style="38" min="2565" max="2565"/>
    <col width="14.21875" customWidth="1" style="38" min="2566" max="2566"/>
    <col width="12.21875" customWidth="1" style="38" min="2567" max="2567"/>
    <col width="9.21875" customWidth="1" style="38" min="2568" max="2816"/>
    <col width="8.21875" customWidth="1" style="38" min="2817" max="2817"/>
    <col width="70.44140625" bestFit="1" customWidth="1" style="38" min="2818" max="2818"/>
    <col width="11.44140625" customWidth="1" style="38" min="2819" max="2819"/>
    <col width="10.44140625" customWidth="1" style="38" min="2820" max="2820"/>
    <col width="13.21875" customWidth="1" style="38" min="2821" max="2821"/>
    <col width="14.21875" customWidth="1" style="38" min="2822" max="2822"/>
    <col width="12.21875" customWidth="1" style="38" min="2823" max="2823"/>
    <col width="9.21875" customWidth="1" style="38" min="2824" max="3072"/>
    <col width="8.21875" customWidth="1" style="38" min="3073" max="3073"/>
    <col width="70.44140625" bestFit="1" customWidth="1" style="38" min="3074" max="3074"/>
    <col width="11.44140625" customWidth="1" style="38" min="3075" max="3075"/>
    <col width="10.44140625" customWidth="1" style="38" min="3076" max="3076"/>
    <col width="13.21875" customWidth="1" style="38" min="3077" max="3077"/>
    <col width="14.21875" customWidth="1" style="38" min="3078" max="3078"/>
    <col width="12.21875" customWidth="1" style="38" min="3079" max="3079"/>
    <col width="9.21875" customWidth="1" style="38" min="3080" max="3328"/>
    <col width="8.21875" customWidth="1" style="38" min="3329" max="3329"/>
    <col width="70.44140625" bestFit="1" customWidth="1" style="38" min="3330" max="3330"/>
    <col width="11.44140625" customWidth="1" style="38" min="3331" max="3331"/>
    <col width="10.44140625" customWidth="1" style="38" min="3332" max="3332"/>
    <col width="13.21875" customWidth="1" style="38" min="3333" max="3333"/>
    <col width="14.21875" customWidth="1" style="38" min="3334" max="3334"/>
    <col width="12.21875" customWidth="1" style="38" min="3335" max="3335"/>
    <col width="9.21875" customWidth="1" style="38" min="3336" max="3584"/>
    <col width="8.21875" customWidth="1" style="38" min="3585" max="3585"/>
    <col width="70.44140625" bestFit="1" customWidth="1" style="38" min="3586" max="3586"/>
    <col width="11.44140625" customWidth="1" style="38" min="3587" max="3587"/>
    <col width="10.44140625" customWidth="1" style="38" min="3588" max="3588"/>
    <col width="13.21875" customWidth="1" style="38" min="3589" max="3589"/>
    <col width="14.21875" customWidth="1" style="38" min="3590" max="3590"/>
    <col width="12.21875" customWidth="1" style="38" min="3591" max="3591"/>
    <col width="9.21875" customWidth="1" style="38" min="3592" max="3840"/>
    <col width="8.21875" customWidth="1" style="38" min="3841" max="3841"/>
    <col width="70.44140625" bestFit="1" customWidth="1" style="38" min="3842" max="3842"/>
    <col width="11.44140625" customWidth="1" style="38" min="3843" max="3843"/>
    <col width="10.44140625" customWidth="1" style="38" min="3844" max="3844"/>
    <col width="13.21875" customWidth="1" style="38" min="3845" max="3845"/>
    <col width="14.21875" customWidth="1" style="38" min="3846" max="3846"/>
    <col width="12.21875" customWidth="1" style="38" min="3847" max="3847"/>
    <col width="9.21875" customWidth="1" style="38" min="3848" max="4096"/>
    <col width="8.21875" customWidth="1" style="38" min="4097" max="4097"/>
    <col width="70.44140625" bestFit="1" customWidth="1" style="38" min="4098" max="4098"/>
    <col width="11.44140625" customWidth="1" style="38" min="4099" max="4099"/>
    <col width="10.44140625" customWidth="1" style="38" min="4100" max="4100"/>
    <col width="13.21875" customWidth="1" style="38" min="4101" max="4101"/>
    <col width="14.21875" customWidth="1" style="38" min="4102" max="4102"/>
    <col width="12.21875" customWidth="1" style="38" min="4103" max="4103"/>
    <col width="9.21875" customWidth="1" style="38" min="4104" max="4352"/>
    <col width="8.21875" customWidth="1" style="38" min="4353" max="4353"/>
    <col width="70.44140625" bestFit="1" customWidth="1" style="38" min="4354" max="4354"/>
    <col width="11.44140625" customWidth="1" style="38" min="4355" max="4355"/>
    <col width="10.44140625" customWidth="1" style="38" min="4356" max="4356"/>
    <col width="13.21875" customWidth="1" style="38" min="4357" max="4357"/>
    <col width="14.21875" customWidth="1" style="38" min="4358" max="4358"/>
    <col width="12.21875" customWidth="1" style="38" min="4359" max="4359"/>
    <col width="9.21875" customWidth="1" style="38" min="4360" max="4608"/>
    <col width="8.21875" customWidth="1" style="38" min="4609" max="4609"/>
    <col width="70.44140625" bestFit="1" customWidth="1" style="38" min="4610" max="4610"/>
    <col width="11.44140625" customWidth="1" style="38" min="4611" max="4611"/>
    <col width="10.44140625" customWidth="1" style="38" min="4612" max="4612"/>
    <col width="13.21875" customWidth="1" style="38" min="4613" max="4613"/>
    <col width="14.21875" customWidth="1" style="38" min="4614" max="4614"/>
    <col width="12.21875" customWidth="1" style="38" min="4615" max="4615"/>
    <col width="9.21875" customWidth="1" style="38" min="4616" max="4864"/>
    <col width="8.21875" customWidth="1" style="38" min="4865" max="4865"/>
    <col width="70.44140625" bestFit="1" customWidth="1" style="38" min="4866" max="4866"/>
    <col width="11.44140625" customWidth="1" style="38" min="4867" max="4867"/>
    <col width="10.44140625" customWidth="1" style="38" min="4868" max="4868"/>
    <col width="13.21875" customWidth="1" style="38" min="4869" max="4869"/>
    <col width="14.21875" customWidth="1" style="38" min="4870" max="4870"/>
    <col width="12.21875" customWidth="1" style="38" min="4871" max="4871"/>
    <col width="9.21875" customWidth="1" style="38" min="4872" max="5120"/>
    <col width="8.21875" customWidth="1" style="38" min="5121" max="5121"/>
    <col width="70.44140625" bestFit="1" customWidth="1" style="38" min="5122" max="5122"/>
    <col width="11.44140625" customWidth="1" style="38" min="5123" max="5123"/>
    <col width="10.44140625" customWidth="1" style="38" min="5124" max="5124"/>
    <col width="13.21875" customWidth="1" style="38" min="5125" max="5125"/>
    <col width="14.21875" customWidth="1" style="38" min="5126" max="5126"/>
    <col width="12.21875" customWidth="1" style="38" min="5127" max="5127"/>
    <col width="9.21875" customWidth="1" style="38" min="5128" max="5376"/>
    <col width="8.21875" customWidth="1" style="38" min="5377" max="5377"/>
    <col width="70.44140625" bestFit="1" customWidth="1" style="38" min="5378" max="5378"/>
    <col width="11.44140625" customWidth="1" style="38" min="5379" max="5379"/>
    <col width="10.44140625" customWidth="1" style="38" min="5380" max="5380"/>
    <col width="13.21875" customWidth="1" style="38" min="5381" max="5381"/>
    <col width="14.21875" customWidth="1" style="38" min="5382" max="5382"/>
    <col width="12.21875" customWidth="1" style="38" min="5383" max="5383"/>
    <col width="9.21875" customWidth="1" style="38" min="5384" max="5632"/>
    <col width="8.21875" customWidth="1" style="38" min="5633" max="5633"/>
    <col width="70.44140625" bestFit="1" customWidth="1" style="38" min="5634" max="5634"/>
    <col width="11.44140625" customWidth="1" style="38" min="5635" max="5635"/>
    <col width="10.44140625" customWidth="1" style="38" min="5636" max="5636"/>
    <col width="13.21875" customWidth="1" style="38" min="5637" max="5637"/>
    <col width="14.21875" customWidth="1" style="38" min="5638" max="5638"/>
    <col width="12.21875" customWidth="1" style="38" min="5639" max="5639"/>
    <col width="9.21875" customWidth="1" style="38" min="5640" max="5888"/>
    <col width="8.21875" customWidth="1" style="38" min="5889" max="5889"/>
    <col width="70.44140625" bestFit="1" customWidth="1" style="38" min="5890" max="5890"/>
    <col width="11.44140625" customWidth="1" style="38" min="5891" max="5891"/>
    <col width="10.44140625" customWidth="1" style="38" min="5892" max="5892"/>
    <col width="13.21875" customWidth="1" style="38" min="5893" max="5893"/>
    <col width="14.21875" customWidth="1" style="38" min="5894" max="5894"/>
    <col width="12.21875" customWidth="1" style="38" min="5895" max="5895"/>
    <col width="9.21875" customWidth="1" style="38" min="5896" max="6144"/>
    <col width="8.21875" customWidth="1" style="38" min="6145" max="6145"/>
    <col width="70.44140625" bestFit="1" customWidth="1" style="38" min="6146" max="6146"/>
    <col width="11.44140625" customWidth="1" style="38" min="6147" max="6147"/>
    <col width="10.44140625" customWidth="1" style="38" min="6148" max="6148"/>
    <col width="13.21875" customWidth="1" style="38" min="6149" max="6149"/>
    <col width="14.21875" customWidth="1" style="38" min="6150" max="6150"/>
    <col width="12.21875" customWidth="1" style="38" min="6151" max="6151"/>
    <col width="9.21875" customWidth="1" style="38" min="6152" max="6400"/>
    <col width="8.21875" customWidth="1" style="38" min="6401" max="6401"/>
    <col width="70.44140625" bestFit="1" customWidth="1" style="38" min="6402" max="6402"/>
    <col width="11.44140625" customWidth="1" style="38" min="6403" max="6403"/>
    <col width="10.44140625" customWidth="1" style="38" min="6404" max="6404"/>
    <col width="13.21875" customWidth="1" style="38" min="6405" max="6405"/>
    <col width="14.21875" customWidth="1" style="38" min="6406" max="6406"/>
    <col width="12.21875" customWidth="1" style="38" min="6407" max="6407"/>
    <col width="9.21875" customWidth="1" style="38" min="6408" max="6656"/>
    <col width="8.21875" customWidth="1" style="38" min="6657" max="6657"/>
    <col width="70.44140625" bestFit="1" customWidth="1" style="38" min="6658" max="6658"/>
    <col width="11.44140625" customWidth="1" style="38" min="6659" max="6659"/>
    <col width="10.44140625" customWidth="1" style="38" min="6660" max="6660"/>
    <col width="13.21875" customWidth="1" style="38" min="6661" max="6661"/>
    <col width="14.21875" customWidth="1" style="38" min="6662" max="6662"/>
    <col width="12.21875" customWidth="1" style="38" min="6663" max="6663"/>
    <col width="9.21875" customWidth="1" style="38" min="6664" max="6912"/>
    <col width="8.21875" customWidth="1" style="38" min="6913" max="6913"/>
    <col width="70.44140625" bestFit="1" customWidth="1" style="38" min="6914" max="6914"/>
    <col width="11.44140625" customWidth="1" style="38" min="6915" max="6915"/>
    <col width="10.44140625" customWidth="1" style="38" min="6916" max="6916"/>
    <col width="13.21875" customWidth="1" style="38" min="6917" max="6917"/>
    <col width="14.21875" customWidth="1" style="38" min="6918" max="6918"/>
    <col width="12.21875" customWidth="1" style="38" min="6919" max="6919"/>
    <col width="9.21875" customWidth="1" style="38" min="6920" max="7168"/>
    <col width="8.21875" customWidth="1" style="38" min="7169" max="7169"/>
    <col width="70.44140625" bestFit="1" customWidth="1" style="38" min="7170" max="7170"/>
    <col width="11.44140625" customWidth="1" style="38" min="7171" max="7171"/>
    <col width="10.44140625" customWidth="1" style="38" min="7172" max="7172"/>
    <col width="13.21875" customWidth="1" style="38" min="7173" max="7173"/>
    <col width="14.21875" customWidth="1" style="38" min="7174" max="7174"/>
    <col width="12.21875" customWidth="1" style="38" min="7175" max="7175"/>
    <col width="9.21875" customWidth="1" style="38" min="7176" max="7424"/>
    <col width="8.21875" customWidth="1" style="38" min="7425" max="7425"/>
    <col width="70.44140625" bestFit="1" customWidth="1" style="38" min="7426" max="7426"/>
    <col width="11.44140625" customWidth="1" style="38" min="7427" max="7427"/>
    <col width="10.44140625" customWidth="1" style="38" min="7428" max="7428"/>
    <col width="13.21875" customWidth="1" style="38" min="7429" max="7429"/>
    <col width="14.21875" customWidth="1" style="38" min="7430" max="7430"/>
    <col width="12.21875" customWidth="1" style="38" min="7431" max="7431"/>
    <col width="9.21875" customWidth="1" style="38" min="7432" max="7680"/>
    <col width="8.21875" customWidth="1" style="38" min="7681" max="7681"/>
    <col width="70.44140625" bestFit="1" customWidth="1" style="38" min="7682" max="7682"/>
    <col width="11.44140625" customWidth="1" style="38" min="7683" max="7683"/>
    <col width="10.44140625" customWidth="1" style="38" min="7684" max="7684"/>
    <col width="13.21875" customWidth="1" style="38" min="7685" max="7685"/>
    <col width="14.21875" customWidth="1" style="38" min="7686" max="7686"/>
    <col width="12.21875" customWidth="1" style="38" min="7687" max="7687"/>
    <col width="9.21875" customWidth="1" style="38" min="7688" max="7936"/>
    <col width="8.21875" customWidth="1" style="38" min="7937" max="7937"/>
    <col width="70.44140625" bestFit="1" customWidth="1" style="38" min="7938" max="7938"/>
    <col width="11.44140625" customWidth="1" style="38" min="7939" max="7939"/>
    <col width="10.44140625" customWidth="1" style="38" min="7940" max="7940"/>
    <col width="13.21875" customWidth="1" style="38" min="7941" max="7941"/>
    <col width="14.21875" customWidth="1" style="38" min="7942" max="7942"/>
    <col width="12.21875" customWidth="1" style="38" min="7943" max="7943"/>
    <col width="9.21875" customWidth="1" style="38" min="7944" max="8192"/>
    <col width="8.21875" customWidth="1" style="38" min="8193" max="8193"/>
    <col width="70.44140625" bestFit="1" customWidth="1" style="38" min="8194" max="8194"/>
    <col width="11.44140625" customWidth="1" style="38" min="8195" max="8195"/>
    <col width="10.44140625" customWidth="1" style="38" min="8196" max="8196"/>
    <col width="13.21875" customWidth="1" style="38" min="8197" max="8197"/>
    <col width="14.21875" customWidth="1" style="38" min="8198" max="8198"/>
    <col width="12.21875" customWidth="1" style="38" min="8199" max="8199"/>
    <col width="9.21875" customWidth="1" style="38" min="8200" max="8448"/>
    <col width="8.21875" customWidth="1" style="38" min="8449" max="8449"/>
    <col width="70.44140625" bestFit="1" customWidth="1" style="38" min="8450" max="8450"/>
    <col width="11.44140625" customWidth="1" style="38" min="8451" max="8451"/>
    <col width="10.44140625" customWidth="1" style="38" min="8452" max="8452"/>
    <col width="13.21875" customWidth="1" style="38" min="8453" max="8453"/>
    <col width="14.21875" customWidth="1" style="38" min="8454" max="8454"/>
    <col width="12.21875" customWidth="1" style="38" min="8455" max="8455"/>
    <col width="9.21875" customWidth="1" style="38" min="8456" max="8704"/>
    <col width="8.21875" customWidth="1" style="38" min="8705" max="8705"/>
    <col width="70.44140625" bestFit="1" customWidth="1" style="38" min="8706" max="8706"/>
    <col width="11.44140625" customWidth="1" style="38" min="8707" max="8707"/>
    <col width="10.44140625" customWidth="1" style="38" min="8708" max="8708"/>
    <col width="13.21875" customWidth="1" style="38" min="8709" max="8709"/>
    <col width="14.21875" customWidth="1" style="38" min="8710" max="8710"/>
    <col width="12.21875" customWidth="1" style="38" min="8711" max="8711"/>
    <col width="9.21875" customWidth="1" style="38" min="8712" max="8960"/>
    <col width="8.21875" customWidth="1" style="38" min="8961" max="8961"/>
    <col width="70.44140625" bestFit="1" customWidth="1" style="38" min="8962" max="8962"/>
    <col width="11.44140625" customWidth="1" style="38" min="8963" max="8963"/>
    <col width="10.44140625" customWidth="1" style="38" min="8964" max="8964"/>
    <col width="13.21875" customWidth="1" style="38" min="8965" max="8965"/>
    <col width="14.21875" customWidth="1" style="38" min="8966" max="8966"/>
    <col width="12.21875" customWidth="1" style="38" min="8967" max="8967"/>
    <col width="9.21875" customWidth="1" style="38" min="8968" max="9216"/>
    <col width="8.21875" customWidth="1" style="38" min="9217" max="9217"/>
    <col width="70.44140625" bestFit="1" customWidth="1" style="38" min="9218" max="9218"/>
    <col width="11.44140625" customWidth="1" style="38" min="9219" max="9219"/>
    <col width="10.44140625" customWidth="1" style="38" min="9220" max="9220"/>
    <col width="13.21875" customWidth="1" style="38" min="9221" max="9221"/>
    <col width="14.21875" customWidth="1" style="38" min="9222" max="9222"/>
    <col width="12.21875" customWidth="1" style="38" min="9223" max="9223"/>
    <col width="9.21875" customWidth="1" style="38" min="9224" max="9472"/>
    <col width="8.21875" customWidth="1" style="38" min="9473" max="9473"/>
    <col width="70.44140625" bestFit="1" customWidth="1" style="38" min="9474" max="9474"/>
    <col width="11.44140625" customWidth="1" style="38" min="9475" max="9475"/>
    <col width="10.44140625" customWidth="1" style="38" min="9476" max="9476"/>
    <col width="13.21875" customWidth="1" style="38" min="9477" max="9477"/>
    <col width="14.21875" customWidth="1" style="38" min="9478" max="9478"/>
    <col width="12.21875" customWidth="1" style="38" min="9479" max="9479"/>
    <col width="9.21875" customWidth="1" style="38" min="9480" max="9728"/>
    <col width="8.21875" customWidth="1" style="38" min="9729" max="9729"/>
    <col width="70.44140625" bestFit="1" customWidth="1" style="38" min="9730" max="9730"/>
    <col width="11.44140625" customWidth="1" style="38" min="9731" max="9731"/>
    <col width="10.44140625" customWidth="1" style="38" min="9732" max="9732"/>
    <col width="13.21875" customWidth="1" style="38" min="9733" max="9733"/>
    <col width="14.21875" customWidth="1" style="38" min="9734" max="9734"/>
    <col width="12.21875" customWidth="1" style="38" min="9735" max="9735"/>
    <col width="9.21875" customWidth="1" style="38" min="9736" max="9984"/>
    <col width="8.21875" customWidth="1" style="38" min="9985" max="9985"/>
    <col width="70.44140625" bestFit="1" customWidth="1" style="38" min="9986" max="9986"/>
    <col width="11.44140625" customWidth="1" style="38" min="9987" max="9987"/>
    <col width="10.44140625" customWidth="1" style="38" min="9988" max="9988"/>
    <col width="13.21875" customWidth="1" style="38" min="9989" max="9989"/>
    <col width="14.21875" customWidth="1" style="38" min="9990" max="9990"/>
    <col width="12.21875" customWidth="1" style="38" min="9991" max="9991"/>
    <col width="9.21875" customWidth="1" style="38" min="9992" max="10240"/>
    <col width="8.21875" customWidth="1" style="38" min="10241" max="10241"/>
    <col width="70.44140625" bestFit="1" customWidth="1" style="38" min="10242" max="10242"/>
    <col width="11.44140625" customWidth="1" style="38" min="10243" max="10243"/>
    <col width="10.44140625" customWidth="1" style="38" min="10244" max="10244"/>
    <col width="13.21875" customWidth="1" style="38" min="10245" max="10245"/>
    <col width="14.21875" customWidth="1" style="38" min="10246" max="10246"/>
    <col width="12.21875" customWidth="1" style="38" min="10247" max="10247"/>
    <col width="9.21875" customWidth="1" style="38" min="10248" max="10496"/>
    <col width="8.21875" customWidth="1" style="38" min="10497" max="10497"/>
    <col width="70.44140625" bestFit="1" customWidth="1" style="38" min="10498" max="10498"/>
    <col width="11.44140625" customWidth="1" style="38" min="10499" max="10499"/>
    <col width="10.44140625" customWidth="1" style="38" min="10500" max="10500"/>
    <col width="13.21875" customWidth="1" style="38" min="10501" max="10501"/>
    <col width="14.21875" customWidth="1" style="38" min="10502" max="10502"/>
    <col width="12.21875" customWidth="1" style="38" min="10503" max="10503"/>
    <col width="9.21875" customWidth="1" style="38" min="10504" max="10752"/>
    <col width="8.21875" customWidth="1" style="38" min="10753" max="10753"/>
    <col width="70.44140625" bestFit="1" customWidth="1" style="38" min="10754" max="10754"/>
    <col width="11.44140625" customWidth="1" style="38" min="10755" max="10755"/>
    <col width="10.44140625" customWidth="1" style="38" min="10756" max="10756"/>
    <col width="13.21875" customWidth="1" style="38" min="10757" max="10757"/>
    <col width="14.21875" customWidth="1" style="38" min="10758" max="10758"/>
    <col width="12.21875" customWidth="1" style="38" min="10759" max="10759"/>
    <col width="9.21875" customWidth="1" style="38" min="10760" max="11008"/>
    <col width="8.21875" customWidth="1" style="38" min="11009" max="11009"/>
    <col width="70.44140625" bestFit="1" customWidth="1" style="38" min="11010" max="11010"/>
    <col width="11.44140625" customWidth="1" style="38" min="11011" max="11011"/>
    <col width="10.44140625" customWidth="1" style="38" min="11012" max="11012"/>
    <col width="13.21875" customWidth="1" style="38" min="11013" max="11013"/>
    <col width="14.21875" customWidth="1" style="38" min="11014" max="11014"/>
    <col width="12.21875" customWidth="1" style="38" min="11015" max="11015"/>
    <col width="9.21875" customWidth="1" style="38" min="11016" max="11264"/>
    <col width="8.21875" customWidth="1" style="38" min="11265" max="11265"/>
    <col width="70.44140625" bestFit="1" customWidth="1" style="38" min="11266" max="11266"/>
    <col width="11.44140625" customWidth="1" style="38" min="11267" max="11267"/>
    <col width="10.44140625" customWidth="1" style="38" min="11268" max="11268"/>
    <col width="13.21875" customWidth="1" style="38" min="11269" max="11269"/>
    <col width="14.21875" customWidth="1" style="38" min="11270" max="11270"/>
    <col width="12.21875" customWidth="1" style="38" min="11271" max="11271"/>
    <col width="9.21875" customWidth="1" style="38" min="11272" max="11520"/>
    <col width="8.21875" customWidth="1" style="38" min="11521" max="11521"/>
    <col width="70.44140625" bestFit="1" customWidth="1" style="38" min="11522" max="11522"/>
    <col width="11.44140625" customWidth="1" style="38" min="11523" max="11523"/>
    <col width="10.44140625" customWidth="1" style="38" min="11524" max="11524"/>
    <col width="13.21875" customWidth="1" style="38" min="11525" max="11525"/>
    <col width="14.21875" customWidth="1" style="38" min="11526" max="11526"/>
    <col width="12.21875" customWidth="1" style="38" min="11527" max="11527"/>
    <col width="9.21875" customWidth="1" style="38" min="11528" max="11776"/>
    <col width="8.21875" customWidth="1" style="38" min="11777" max="11777"/>
    <col width="70.44140625" bestFit="1" customWidth="1" style="38" min="11778" max="11778"/>
    <col width="11.44140625" customWidth="1" style="38" min="11779" max="11779"/>
    <col width="10.44140625" customWidth="1" style="38" min="11780" max="11780"/>
    <col width="13.21875" customWidth="1" style="38" min="11781" max="11781"/>
    <col width="14.21875" customWidth="1" style="38" min="11782" max="11782"/>
    <col width="12.21875" customWidth="1" style="38" min="11783" max="11783"/>
    <col width="9.21875" customWidth="1" style="38" min="11784" max="12032"/>
    <col width="8.21875" customWidth="1" style="38" min="12033" max="12033"/>
    <col width="70.44140625" bestFit="1" customWidth="1" style="38" min="12034" max="12034"/>
    <col width="11.44140625" customWidth="1" style="38" min="12035" max="12035"/>
    <col width="10.44140625" customWidth="1" style="38" min="12036" max="12036"/>
    <col width="13.21875" customWidth="1" style="38" min="12037" max="12037"/>
    <col width="14.21875" customWidth="1" style="38" min="12038" max="12038"/>
    <col width="12.21875" customWidth="1" style="38" min="12039" max="12039"/>
    <col width="9.21875" customWidth="1" style="38" min="12040" max="12288"/>
    <col width="8.21875" customWidth="1" style="38" min="12289" max="12289"/>
    <col width="70.44140625" bestFit="1" customWidth="1" style="38" min="12290" max="12290"/>
    <col width="11.44140625" customWidth="1" style="38" min="12291" max="12291"/>
    <col width="10.44140625" customWidth="1" style="38" min="12292" max="12292"/>
    <col width="13.21875" customWidth="1" style="38" min="12293" max="12293"/>
    <col width="14.21875" customWidth="1" style="38" min="12294" max="12294"/>
    <col width="12.21875" customWidth="1" style="38" min="12295" max="12295"/>
    <col width="9.21875" customWidth="1" style="38" min="12296" max="12544"/>
    <col width="8.21875" customWidth="1" style="38" min="12545" max="12545"/>
    <col width="70.44140625" bestFit="1" customWidth="1" style="38" min="12546" max="12546"/>
    <col width="11.44140625" customWidth="1" style="38" min="12547" max="12547"/>
    <col width="10.44140625" customWidth="1" style="38" min="12548" max="12548"/>
    <col width="13.21875" customWidth="1" style="38" min="12549" max="12549"/>
    <col width="14.21875" customWidth="1" style="38" min="12550" max="12550"/>
    <col width="12.21875" customWidth="1" style="38" min="12551" max="12551"/>
    <col width="9.21875" customWidth="1" style="38" min="12552" max="12800"/>
    <col width="8.21875" customWidth="1" style="38" min="12801" max="12801"/>
    <col width="70.44140625" bestFit="1" customWidth="1" style="38" min="12802" max="12802"/>
    <col width="11.44140625" customWidth="1" style="38" min="12803" max="12803"/>
    <col width="10.44140625" customWidth="1" style="38" min="12804" max="12804"/>
    <col width="13.21875" customWidth="1" style="38" min="12805" max="12805"/>
    <col width="14.21875" customWidth="1" style="38" min="12806" max="12806"/>
    <col width="12.21875" customWidth="1" style="38" min="12807" max="12807"/>
    <col width="9.21875" customWidth="1" style="38" min="12808" max="13056"/>
    <col width="8.21875" customWidth="1" style="38" min="13057" max="13057"/>
    <col width="70.44140625" bestFit="1" customWidth="1" style="38" min="13058" max="13058"/>
    <col width="11.44140625" customWidth="1" style="38" min="13059" max="13059"/>
    <col width="10.44140625" customWidth="1" style="38" min="13060" max="13060"/>
    <col width="13.21875" customWidth="1" style="38" min="13061" max="13061"/>
    <col width="14.21875" customWidth="1" style="38" min="13062" max="13062"/>
    <col width="12.21875" customWidth="1" style="38" min="13063" max="13063"/>
    <col width="9.21875" customWidth="1" style="38" min="13064" max="13312"/>
    <col width="8.21875" customWidth="1" style="38" min="13313" max="13313"/>
    <col width="70.44140625" bestFit="1" customWidth="1" style="38" min="13314" max="13314"/>
    <col width="11.44140625" customWidth="1" style="38" min="13315" max="13315"/>
    <col width="10.44140625" customWidth="1" style="38" min="13316" max="13316"/>
    <col width="13.21875" customWidth="1" style="38" min="13317" max="13317"/>
    <col width="14.21875" customWidth="1" style="38" min="13318" max="13318"/>
    <col width="12.21875" customWidth="1" style="38" min="13319" max="13319"/>
    <col width="9.21875" customWidth="1" style="38" min="13320" max="13568"/>
    <col width="8.21875" customWidth="1" style="38" min="13569" max="13569"/>
    <col width="70.44140625" bestFit="1" customWidth="1" style="38" min="13570" max="13570"/>
    <col width="11.44140625" customWidth="1" style="38" min="13571" max="13571"/>
    <col width="10.44140625" customWidth="1" style="38" min="13572" max="13572"/>
    <col width="13.21875" customWidth="1" style="38" min="13573" max="13573"/>
    <col width="14.21875" customWidth="1" style="38" min="13574" max="13574"/>
    <col width="12.21875" customWidth="1" style="38" min="13575" max="13575"/>
    <col width="9.21875" customWidth="1" style="38" min="13576" max="13824"/>
    <col width="8.21875" customWidth="1" style="38" min="13825" max="13825"/>
    <col width="70.44140625" bestFit="1" customWidth="1" style="38" min="13826" max="13826"/>
    <col width="11.44140625" customWidth="1" style="38" min="13827" max="13827"/>
    <col width="10.44140625" customWidth="1" style="38" min="13828" max="13828"/>
    <col width="13.21875" customWidth="1" style="38" min="13829" max="13829"/>
    <col width="14.21875" customWidth="1" style="38" min="13830" max="13830"/>
    <col width="12.21875" customWidth="1" style="38" min="13831" max="13831"/>
    <col width="9.21875" customWidth="1" style="38" min="13832" max="14080"/>
    <col width="8.21875" customWidth="1" style="38" min="14081" max="14081"/>
    <col width="70.44140625" bestFit="1" customWidth="1" style="38" min="14082" max="14082"/>
    <col width="11.44140625" customWidth="1" style="38" min="14083" max="14083"/>
    <col width="10.44140625" customWidth="1" style="38" min="14084" max="14084"/>
    <col width="13.21875" customWidth="1" style="38" min="14085" max="14085"/>
    <col width="14.21875" customWidth="1" style="38" min="14086" max="14086"/>
    <col width="12.21875" customWidth="1" style="38" min="14087" max="14087"/>
    <col width="9.21875" customWidth="1" style="38" min="14088" max="14336"/>
    <col width="8.21875" customWidth="1" style="38" min="14337" max="14337"/>
    <col width="70.44140625" bestFit="1" customWidth="1" style="38" min="14338" max="14338"/>
    <col width="11.44140625" customWidth="1" style="38" min="14339" max="14339"/>
    <col width="10.44140625" customWidth="1" style="38" min="14340" max="14340"/>
    <col width="13.21875" customWidth="1" style="38" min="14341" max="14341"/>
    <col width="14.21875" customWidth="1" style="38" min="14342" max="14342"/>
    <col width="12.21875" customWidth="1" style="38" min="14343" max="14343"/>
    <col width="9.21875" customWidth="1" style="38" min="14344" max="14592"/>
    <col width="8.21875" customWidth="1" style="38" min="14593" max="14593"/>
    <col width="70.44140625" bestFit="1" customWidth="1" style="38" min="14594" max="14594"/>
    <col width="11.44140625" customWidth="1" style="38" min="14595" max="14595"/>
    <col width="10.44140625" customWidth="1" style="38" min="14596" max="14596"/>
    <col width="13.21875" customWidth="1" style="38" min="14597" max="14597"/>
    <col width="14.21875" customWidth="1" style="38" min="14598" max="14598"/>
    <col width="12.21875" customWidth="1" style="38" min="14599" max="14599"/>
    <col width="9.21875" customWidth="1" style="38" min="14600" max="14848"/>
    <col width="8.21875" customWidth="1" style="38" min="14849" max="14849"/>
    <col width="70.44140625" bestFit="1" customWidth="1" style="38" min="14850" max="14850"/>
    <col width="11.44140625" customWidth="1" style="38" min="14851" max="14851"/>
    <col width="10.44140625" customWidth="1" style="38" min="14852" max="14852"/>
    <col width="13.21875" customWidth="1" style="38" min="14853" max="14853"/>
    <col width="14.21875" customWidth="1" style="38" min="14854" max="14854"/>
    <col width="12.21875" customWidth="1" style="38" min="14855" max="14855"/>
    <col width="9.21875" customWidth="1" style="38" min="14856" max="15104"/>
    <col width="8.21875" customWidth="1" style="38" min="15105" max="15105"/>
    <col width="70.44140625" bestFit="1" customWidth="1" style="38" min="15106" max="15106"/>
    <col width="11.44140625" customWidth="1" style="38" min="15107" max="15107"/>
    <col width="10.44140625" customWidth="1" style="38" min="15108" max="15108"/>
    <col width="13.21875" customWidth="1" style="38" min="15109" max="15109"/>
    <col width="14.21875" customWidth="1" style="38" min="15110" max="15110"/>
    <col width="12.21875" customWidth="1" style="38" min="15111" max="15111"/>
    <col width="9.21875" customWidth="1" style="38" min="15112" max="15360"/>
    <col width="8.21875" customWidth="1" style="38" min="15361" max="15361"/>
    <col width="70.44140625" bestFit="1" customWidth="1" style="38" min="15362" max="15362"/>
    <col width="11.44140625" customWidth="1" style="38" min="15363" max="15363"/>
    <col width="10.44140625" customWidth="1" style="38" min="15364" max="15364"/>
    <col width="13.21875" customWidth="1" style="38" min="15365" max="15365"/>
    <col width="14.21875" customWidth="1" style="38" min="15366" max="15366"/>
    <col width="12.21875" customWidth="1" style="38" min="15367" max="15367"/>
    <col width="9.21875" customWidth="1" style="38" min="15368" max="15616"/>
    <col width="8.21875" customWidth="1" style="38" min="15617" max="15617"/>
    <col width="70.44140625" bestFit="1" customWidth="1" style="38" min="15618" max="15618"/>
    <col width="11.44140625" customWidth="1" style="38" min="15619" max="15619"/>
    <col width="10.44140625" customWidth="1" style="38" min="15620" max="15620"/>
    <col width="13.21875" customWidth="1" style="38" min="15621" max="15621"/>
    <col width="14.21875" customWidth="1" style="38" min="15622" max="15622"/>
    <col width="12.21875" customWidth="1" style="38" min="15623" max="15623"/>
    <col width="9.21875" customWidth="1" style="38" min="15624" max="15872"/>
    <col width="8.21875" customWidth="1" style="38" min="15873" max="15873"/>
    <col width="70.44140625" bestFit="1" customWidth="1" style="38" min="15874" max="15874"/>
    <col width="11.44140625" customWidth="1" style="38" min="15875" max="15875"/>
    <col width="10.44140625" customWidth="1" style="38" min="15876" max="15876"/>
    <col width="13.21875" customWidth="1" style="38" min="15877" max="15877"/>
    <col width="14.21875" customWidth="1" style="38" min="15878" max="15878"/>
    <col width="12.21875" customWidth="1" style="38" min="15879" max="15879"/>
    <col width="9.21875" customWidth="1" style="38" min="15880" max="16128"/>
    <col width="8.21875" customWidth="1" style="38" min="16129" max="16129"/>
    <col width="70.44140625" bestFit="1" customWidth="1" style="38" min="16130" max="16130"/>
    <col width="11.44140625" customWidth="1" style="38" min="16131" max="16131"/>
    <col width="10.44140625" customWidth="1" style="38" min="16132" max="16132"/>
    <col width="13.21875" customWidth="1" style="38" min="16133" max="16133"/>
    <col width="14.21875" customWidth="1" style="38" min="16134" max="16134"/>
    <col width="12.21875" customWidth="1" style="38" min="16135" max="16135"/>
    <col width="9.21875" customWidth="1" style="38" min="16136" max="16384"/>
  </cols>
  <sheetData>
    <row r="1">
      <c r="B1" s="39" t="inlineStr">
        <is>
          <t xml:space="preserve">Project: </t>
        </is>
      </c>
    </row>
    <row r="2">
      <c r="B2" s="39" t="inlineStr">
        <is>
          <t>Tricore   -</t>
        </is>
      </c>
    </row>
    <row r="3">
      <c r="B3" s="38" t="inlineStr">
        <is>
          <t>Stage 1 Version 1</t>
        </is>
      </c>
    </row>
    <row r="4" ht="13.8" customHeight="1">
      <c r="A4" s="42" t="inlineStr">
        <is>
          <t xml:space="preserve">Item  </t>
        </is>
      </c>
      <c r="B4" s="43" t="n"/>
      <c r="I4" s="584" t="inlineStr">
        <is>
          <t>Source</t>
        </is>
      </c>
    </row>
    <row r="5" ht="10.8" customHeight="1" thickBot="1">
      <c r="A5" s="42" t="n"/>
      <c r="C5" s="42" t="n"/>
      <c r="D5" s="42" t="n"/>
      <c r="E5" s="588" t="n"/>
      <c r="F5" s="588" t="n"/>
    </row>
    <row r="6">
      <c r="A6" s="42" t="n"/>
      <c r="B6" s="150" t="inlineStr">
        <is>
          <t>BASED ON:</t>
        </is>
      </c>
      <c r="C6" s="151" t="n"/>
      <c r="D6" s="42" t="n"/>
      <c r="E6" s="588" t="n"/>
      <c r="F6" s="588" t="n"/>
    </row>
    <row r="7">
      <c r="A7" s="42" t="n"/>
      <c r="B7" s="100" t="inlineStr">
        <is>
          <t>Work ROSTER Example #3 - 6-Day Week, 10Hr Days, Stay @ Rocky for W/E, Return Every 2nd W/E. (FLY)</t>
        </is>
      </c>
      <c r="C7" s="152" t="n"/>
      <c r="D7" s="42" t="n"/>
      <c r="E7" s="588" t="n"/>
      <c r="F7" s="588" t="n"/>
      <c r="I7" s="540" t="inlineStr">
        <is>
          <t>frozen from [2] CQU ROK_Staff Costing.V1_Steph (2024 FIFO build) - link severed 26/07/26; re-based x1.08 below</t>
        </is>
      </c>
    </row>
    <row r="8">
      <c r="A8" s="42" t="n"/>
      <c r="B8" s="503" t="inlineStr">
        <is>
          <t>Working Days/Month</t>
        </is>
      </c>
      <c r="C8" s="158" t="n">
        <v>21</v>
      </c>
      <c r="D8" s="42" t="n"/>
      <c r="E8" s="588" t="n"/>
      <c r="F8" s="588" t="n"/>
      <c r="I8" s="540" t="inlineStr">
        <is>
          <t>frozen from [2] CQU ROK_Staff Costing.V1_Steph (2024 FIFO build) - link severed 26/07/26; re-based x1.08 below</t>
        </is>
      </c>
    </row>
    <row r="9">
      <c r="A9" s="42" t="n"/>
      <c r="B9" s="503" t="inlineStr">
        <is>
          <t>No-Work Days/Month</t>
        </is>
      </c>
      <c r="C9" s="158" t="n">
        <v>7</v>
      </c>
      <c r="D9" s="42" t="n"/>
      <c r="E9" s="588" t="n"/>
      <c r="F9" s="588" t="n"/>
      <c r="I9" s="540" t="inlineStr">
        <is>
          <t>frozen from [2] CQU ROK_Staff Costing.V1_Steph (2024 FIFO build) - link severed 26/07/26; re-based x1.08 below</t>
        </is>
      </c>
    </row>
    <row r="10" ht="10.8" customHeight="1" thickBot="1">
      <c r="A10" s="42" t="n"/>
      <c r="B10" s="153" t="inlineStr">
        <is>
          <t>Avrg Hours / Month</t>
        </is>
      </c>
      <c r="C10" s="158" t="n">
        <v>210</v>
      </c>
      <c r="D10" s="42" t="n"/>
      <c r="E10" s="588" t="n"/>
      <c r="F10" s="588" t="n"/>
      <c r="I10" s="540" t="inlineStr">
        <is>
          <t>frozen from [2] CQU ROK_Staff Costing.V1_Steph (2024 FIFO build) - link severed 26/07/26; re-based x1.08 below</t>
        </is>
      </c>
    </row>
    <row r="11" ht="10.8" customHeight="1" thickBot="1">
      <c r="A11" s="42" t="n"/>
      <c r="C11" s="42" t="n"/>
      <c r="D11" s="42" t="n"/>
      <c r="E11" s="588" t="n"/>
      <c r="F11" s="588" t="n"/>
    </row>
    <row r="12" ht="18" customHeight="1" thickBot="1">
      <c r="A12" s="42" t="n"/>
      <c r="B12" s="642" t="inlineStr">
        <is>
          <t>STAFF</t>
        </is>
      </c>
      <c r="C12" s="586" t="n"/>
      <c r="D12" s="586" t="n"/>
      <c r="E12" s="586" t="n"/>
      <c r="F12" s="587" t="n"/>
    </row>
    <row r="13" ht="10.8" customHeight="1" thickBot="1">
      <c r="A13" s="42" t="n"/>
      <c r="C13" s="42" t="inlineStr">
        <is>
          <t>Unit</t>
        </is>
      </c>
      <c r="D13" s="42" t="inlineStr">
        <is>
          <t>REQ</t>
        </is>
      </c>
      <c r="E13" s="588" t="inlineStr">
        <is>
          <t>Cost ex GST</t>
        </is>
      </c>
      <c r="F13" s="588" t="inlineStr">
        <is>
          <t>Total ex GST</t>
        </is>
      </c>
    </row>
    <row r="14" ht="10.8" customHeight="1" thickBot="1">
      <c r="A14" s="42" t="n"/>
      <c r="B14" s="46" t="inlineStr">
        <is>
          <t>TRADESMAN_LEADING HAND</t>
        </is>
      </c>
      <c r="C14" s="136" t="inlineStr">
        <is>
          <t>HR</t>
        </is>
      </c>
      <c r="D14" s="136" t="n">
        <v>1</v>
      </c>
      <c r="E14" s="643">
        <f>E17/$C$10</f>
        <v/>
      </c>
      <c r="F14" s="644">
        <f>D14*E14</f>
        <v/>
      </c>
      <c r="I14" s="645" t="inlineStr">
        <is>
          <t>frozen from [2] CQU ROK_Staff Costing.V1_Steph (2024 FIFO build) - link severed 26/07/26; re-based x1.08 below</t>
        </is>
      </c>
    </row>
    <row r="15">
      <c r="A15" s="42" t="n"/>
      <c r="B15" s="167" t="inlineStr">
        <is>
          <t>** for Roster Examples # 3</t>
        </is>
      </c>
      <c r="C15" s="139" t="inlineStr">
        <is>
          <t>DAY</t>
        </is>
      </c>
      <c r="D15" s="133" t="n">
        <v>1</v>
      </c>
      <c r="E15" s="646">
        <f>E17/$C$8</f>
        <v/>
      </c>
      <c r="F15" s="647">
        <f>D15*E15</f>
        <v/>
      </c>
      <c r="I15" s="583" t="n"/>
    </row>
    <row r="16">
      <c r="A16" s="42" t="n"/>
      <c r="B16" s="168">
        <f>B14</f>
        <v/>
      </c>
      <c r="C16" s="139" t="inlineStr">
        <is>
          <t>WEEK</t>
        </is>
      </c>
      <c r="D16" s="133" t="n">
        <v>1</v>
      </c>
      <c r="E16" s="646">
        <f>E17/4</f>
        <v/>
      </c>
      <c r="F16" s="647">
        <f>D16*E16</f>
        <v/>
      </c>
      <c r="I16" s="583" t="n"/>
    </row>
    <row r="17" ht="10.8" customHeight="1" thickBot="1">
      <c r="A17" s="42" t="n"/>
      <c r="B17" s="168" t="n"/>
      <c r="C17" s="139" t="inlineStr">
        <is>
          <t>MONTH</t>
        </is>
      </c>
      <c r="D17" s="138" t="n">
        <v>1</v>
      </c>
      <c r="E17" s="648" t="n">
        <v>27922.32</v>
      </c>
      <c r="F17" s="647">
        <f>D17*E17</f>
        <v/>
      </c>
      <c r="I17" s="645" t="inlineStr">
        <is>
          <t>LH monthly: $25,854 (frozen [2]) x 1.08 ROK uplift = $27,922.32 literal; hr/day/week formula-derived (/210, /21, /4) -&gt; $132.9634/hr</t>
        </is>
      </c>
    </row>
    <row r="18">
      <c r="A18" s="42" t="n"/>
      <c r="B18" s="100" t="n"/>
      <c r="C18" s="53" t="n"/>
      <c r="E18" s="595" t="n"/>
      <c r="F18" s="649" t="n"/>
      <c r="I18" s="583" t="n"/>
    </row>
    <row r="19" ht="10.8" customHeight="1" thickBot="1">
      <c r="A19" s="42" t="n"/>
      <c r="B19" s="153" t="inlineStr">
        <is>
          <t>QTY Staff in Crew</t>
        </is>
      </c>
      <c r="C19" s="172">
        <f>COUNTA(B16,B17,B18)</f>
        <v/>
      </c>
      <c r="D19" s="170" t="n"/>
      <c r="E19" s="650" t="n"/>
      <c r="F19" s="651" t="n"/>
      <c r="I19" s="583" t="n"/>
    </row>
    <row r="20" ht="10.8" customHeight="1" thickBot="1">
      <c r="A20" s="42" t="n"/>
      <c r="B20" s="39" t="n"/>
      <c r="E20" s="595" t="n"/>
      <c r="F20" s="583" t="n"/>
      <c r="I20" s="583" t="n"/>
    </row>
    <row r="21" ht="10.8" customHeight="1" thickBot="1">
      <c r="A21" s="42" t="n"/>
      <c r="B21" s="46" t="inlineStr">
        <is>
          <t>TRADESMAN_PLUMBER_OPERATOR</t>
        </is>
      </c>
      <c r="C21" s="136" t="inlineStr">
        <is>
          <t>HR</t>
        </is>
      </c>
      <c r="D21" s="136" t="n">
        <v>1</v>
      </c>
      <c r="E21" s="643">
        <f>E24/$C$10</f>
        <v/>
      </c>
      <c r="F21" s="644">
        <f>D21*E21</f>
        <v/>
      </c>
      <c r="I21" s="645" t="inlineStr">
        <is>
          <t>frozen from [2] CQU ROK_Staff Costing.V1_Steph (2024 FIFO build) - link severed 26/07/26; re-based x1.08 below</t>
        </is>
      </c>
    </row>
    <row r="22">
      <c r="A22" s="42" t="n"/>
      <c r="B22" s="167" t="inlineStr">
        <is>
          <t>** for Roster Examples # 3</t>
        </is>
      </c>
      <c r="C22" s="139" t="inlineStr">
        <is>
          <t>DAY</t>
        </is>
      </c>
      <c r="D22" s="133" t="n">
        <v>1</v>
      </c>
      <c r="E22" s="646">
        <f>E24/$C$8</f>
        <v/>
      </c>
      <c r="F22" s="647">
        <f>D22*E22</f>
        <v/>
      </c>
      <c r="I22" s="583" t="n"/>
    </row>
    <row r="23">
      <c r="A23" s="42" t="n"/>
      <c r="B23" s="168">
        <f>B21</f>
        <v/>
      </c>
      <c r="C23" s="139" t="inlineStr">
        <is>
          <t>WEEK</t>
        </is>
      </c>
      <c r="D23" s="133" t="n">
        <v>1</v>
      </c>
      <c r="E23" s="646">
        <f>E24/4</f>
        <v/>
      </c>
      <c r="F23" s="647">
        <f>D23*E23</f>
        <v/>
      </c>
      <c r="I23" s="583" t="n"/>
    </row>
    <row r="24" ht="10.8" customHeight="1" thickBot="1">
      <c r="A24" s="42" t="n"/>
      <c r="B24" s="168" t="n"/>
      <c r="C24" s="137" t="inlineStr">
        <is>
          <t>MONTH</t>
        </is>
      </c>
      <c r="D24" s="138" t="n">
        <v>1</v>
      </c>
      <c r="E24" s="648" t="n">
        <v>21345.61604210526</v>
      </c>
      <c r="F24" s="647">
        <f>D24*E24</f>
        <v/>
      </c>
      <c r="I24" s="645" t="inlineStr">
        <is>
          <t>Trades monthly: $19,764.4593 (frozen [2]) x 1.08 = $21,345.6160 literal -&gt; $101.6458/hr</t>
        </is>
      </c>
    </row>
    <row r="25">
      <c r="A25" s="42" t="n"/>
      <c r="B25" s="100" t="n"/>
      <c r="E25" s="595" t="n"/>
      <c r="F25" s="649" t="n"/>
      <c r="I25" s="583" t="n"/>
    </row>
    <row r="26" ht="10.8" customHeight="1" thickBot="1">
      <c r="A26" s="42" t="n"/>
      <c r="B26" s="153" t="inlineStr">
        <is>
          <t>QTY Staff in Crew</t>
        </is>
      </c>
      <c r="C26" s="172">
        <f>COUNTA(B23,B24,B25)</f>
        <v/>
      </c>
      <c r="D26" s="170" t="n"/>
      <c r="E26" s="650" t="n"/>
      <c r="F26" s="651" t="n"/>
      <c r="I26" s="583" t="n"/>
    </row>
    <row r="27" ht="10.8" customHeight="1" thickBot="1">
      <c r="A27" s="42" t="n"/>
      <c r="B27" s="504" t="n"/>
      <c r="E27" s="583" t="n"/>
      <c r="F27" s="583" t="n"/>
      <c r="I27" s="583" t="n"/>
    </row>
    <row r="28" ht="10.8" customHeight="1" thickBot="1">
      <c r="A28" s="42" t="n"/>
      <c r="B28" s="46" t="inlineStr">
        <is>
          <t>T/A &amp; Apprentice</t>
        </is>
      </c>
      <c r="C28" s="136" t="inlineStr">
        <is>
          <t>HR</t>
        </is>
      </c>
      <c r="D28" s="136" t="n">
        <v>1</v>
      </c>
      <c r="E28" s="643">
        <f>E31/$C$10</f>
        <v/>
      </c>
      <c r="F28" s="644">
        <f>D28*E28</f>
        <v/>
      </c>
      <c r="I28" s="645" t="inlineStr">
        <is>
          <t>frozen from [2] CQU ROK_Staff Costing.V1_Steph (2024 FIFO build) - link severed 26/07/26; re-based x1.08 below</t>
        </is>
      </c>
    </row>
    <row r="29">
      <c r="A29" s="42" t="n"/>
      <c r="B29" s="167" t="inlineStr">
        <is>
          <t>** for Roster Examples # 3</t>
        </is>
      </c>
      <c r="C29" s="139" t="inlineStr">
        <is>
          <t>DAY</t>
        </is>
      </c>
      <c r="D29" s="133" t="n">
        <v>1</v>
      </c>
      <c r="E29" s="646">
        <f>E31/$C$8</f>
        <v/>
      </c>
      <c r="F29" s="647">
        <f>D29*E29</f>
        <v/>
      </c>
      <c r="I29" s="583" t="n"/>
    </row>
    <row r="30">
      <c r="A30" s="42" t="n"/>
      <c r="B30" s="168">
        <f>B28</f>
        <v/>
      </c>
      <c r="C30" s="139" t="inlineStr">
        <is>
          <t>WEEK</t>
        </is>
      </c>
      <c r="D30" s="133" t="n">
        <v>1</v>
      </c>
      <c r="E30" s="646">
        <f>E31/4</f>
        <v/>
      </c>
      <c r="F30" s="647">
        <f>D30*E30</f>
        <v/>
      </c>
      <c r="I30" s="583" t="n"/>
    </row>
    <row r="31" ht="10.8" customHeight="1" thickBot="1">
      <c r="A31" s="42" t="n"/>
      <c r="B31" s="168" t="n"/>
      <c r="C31" s="137" t="inlineStr">
        <is>
          <t>MONTH</t>
        </is>
      </c>
      <c r="D31" s="138" t="n">
        <v>1</v>
      </c>
      <c r="E31" s="648" t="n">
        <v>17419.716</v>
      </c>
      <c r="F31" s="647">
        <f>D31*E31</f>
        <v/>
      </c>
      <c r="I31" s="645" t="inlineStr">
        <is>
          <t>T/A monthly: $16,129.3667 (frozen [2]) x 1.08 = $17,419.7160 literal -&gt; $82.9510/hr</t>
        </is>
      </c>
    </row>
    <row r="32">
      <c r="A32" s="42" t="n"/>
      <c r="B32" s="100" t="n"/>
      <c r="E32" s="595" t="n"/>
      <c r="F32" s="649" t="n"/>
      <c r="I32" s="583" t="n"/>
    </row>
    <row r="33" ht="10.8" customHeight="1" thickBot="1">
      <c r="A33" s="42" t="n"/>
      <c r="B33" s="153" t="inlineStr">
        <is>
          <t>QTY Staff in Crew</t>
        </is>
      </c>
      <c r="C33" s="172">
        <f>COUNTA(B30,B31,B32)</f>
        <v/>
      </c>
      <c r="D33" s="170" t="n"/>
      <c r="E33" s="650" t="n"/>
      <c r="F33" s="651" t="n"/>
      <c r="I33" s="583" t="n"/>
    </row>
    <row r="34" ht="6" customHeight="1">
      <c r="A34" s="42" t="n"/>
      <c r="B34" s="145" t="n"/>
      <c r="C34" s="146" t="n"/>
      <c r="D34" s="146" t="n"/>
      <c r="E34" s="652" t="n"/>
      <c r="F34" s="653" t="n"/>
      <c r="I34" s="583" t="n"/>
    </row>
    <row r="35" ht="10.8" customHeight="1" thickBot="1">
      <c r="A35" s="42" t="n"/>
      <c r="B35" s="39" t="n"/>
      <c r="E35" s="595" t="n"/>
      <c r="F35" s="583" t="n"/>
      <c r="I35" s="583" t="n"/>
    </row>
    <row r="36" ht="10.8" customHeight="1" thickBot="1">
      <c r="A36" s="42" t="n"/>
      <c r="B36" s="46" t="inlineStr">
        <is>
          <t>Crew #1 - InGround Drainage</t>
        </is>
      </c>
      <c r="C36" s="136" t="inlineStr">
        <is>
          <t>HR</t>
        </is>
      </c>
      <c r="D36" s="136" t="n">
        <v>1</v>
      </c>
      <c r="E36" s="654">
        <f>E39/$C$10</f>
        <v/>
      </c>
      <c r="F36" s="644">
        <f>D36*E36</f>
        <v/>
      </c>
      <c r="I36" s="583" t="n"/>
    </row>
    <row r="37">
      <c r="A37" s="42" t="n"/>
      <c r="B37" s="167" t="inlineStr">
        <is>
          <t>** for Roster Examples # 3</t>
        </is>
      </c>
      <c r="C37" s="139" t="inlineStr">
        <is>
          <t>DAY</t>
        </is>
      </c>
      <c r="D37" s="133" t="n">
        <v>1</v>
      </c>
      <c r="E37" s="595">
        <f>E39/$C$8</f>
        <v/>
      </c>
      <c r="F37" s="647">
        <f>D37*E37</f>
        <v/>
      </c>
      <c r="I37" s="583" t="n"/>
    </row>
    <row r="38">
      <c r="A38" s="42" t="n"/>
      <c r="B38" s="168">
        <f>B21</f>
        <v/>
      </c>
      <c r="C38" s="139" t="inlineStr">
        <is>
          <t>WEEK</t>
        </is>
      </c>
      <c r="D38" s="133" t="n">
        <v>1</v>
      </c>
      <c r="E38" s="595">
        <f>E39/4</f>
        <v/>
      </c>
      <c r="F38" s="647">
        <f>D38*E38</f>
        <v/>
      </c>
      <c r="I38" s="583" t="n"/>
    </row>
    <row r="39" ht="10.8" customHeight="1" thickBot="1">
      <c r="A39" s="42" t="n"/>
      <c r="B39" s="168">
        <f>B21</f>
        <v/>
      </c>
      <c r="C39" s="139" t="inlineStr">
        <is>
          <t>MONTH</t>
        </is>
      </c>
      <c r="D39" s="138" t="n">
        <v>1</v>
      </c>
      <c r="E39" s="655">
        <f>(E24*2)+E31</f>
        <v/>
      </c>
      <c r="F39" s="647">
        <f>D39*E39</f>
        <v/>
      </c>
      <c r="I39" s="583" t="n"/>
    </row>
    <row r="40">
      <c r="A40" s="42" t="n"/>
      <c r="B40" s="100">
        <f>B28</f>
        <v/>
      </c>
      <c r="C40" s="53" t="n"/>
      <c r="E40" s="583" t="n"/>
      <c r="F40" s="649" t="n"/>
      <c r="I40" s="583" t="n"/>
    </row>
    <row r="41" ht="10.8" customHeight="1" thickBot="1">
      <c r="A41" s="42" t="n"/>
      <c r="B41" s="153" t="inlineStr">
        <is>
          <t>QTY Staff in Crew</t>
        </is>
      </c>
      <c r="C41" s="172">
        <f>COUNTA(B38,B39,B40)</f>
        <v/>
      </c>
      <c r="D41" s="170" t="n"/>
      <c r="E41" s="650" t="n"/>
      <c r="F41" s="651" t="n"/>
      <c r="I41" s="583" t="n"/>
    </row>
    <row r="42" ht="10.8" customHeight="1" thickBot="1">
      <c r="A42" s="42" t="n"/>
      <c r="B42" s="504" t="n"/>
      <c r="E42" s="583" t="n"/>
      <c r="F42" s="583" t="n"/>
      <c r="I42" s="583" t="n"/>
    </row>
    <row r="43" ht="10.8" customHeight="1" thickBot="1">
      <c r="A43" s="42" t="n"/>
      <c r="B43" s="46" t="inlineStr">
        <is>
          <t>Crew #2 - InGround Water/Fire</t>
        </is>
      </c>
      <c r="C43" s="136" t="inlineStr">
        <is>
          <t>HR</t>
        </is>
      </c>
      <c r="D43" s="136" t="n">
        <v>1</v>
      </c>
      <c r="E43" s="654">
        <f>E46/$C$10</f>
        <v/>
      </c>
      <c r="F43" s="644">
        <f>D43*E43</f>
        <v/>
      </c>
      <c r="I43" s="583" t="n"/>
    </row>
    <row r="44">
      <c r="A44" s="42" t="n"/>
      <c r="B44" s="167" t="inlineStr">
        <is>
          <t>** for Roster Examples # 3</t>
        </is>
      </c>
      <c r="C44" s="139" t="inlineStr">
        <is>
          <t>DAY</t>
        </is>
      </c>
      <c r="D44" s="133" t="n">
        <v>1</v>
      </c>
      <c r="E44" s="595">
        <f>E46/$C$8</f>
        <v/>
      </c>
      <c r="F44" s="647">
        <f>D44*E44</f>
        <v/>
      </c>
      <c r="I44" s="583" t="n"/>
    </row>
    <row r="45">
      <c r="A45" s="42" t="n"/>
      <c r="B45" s="168">
        <f>B21</f>
        <v/>
      </c>
      <c r="C45" s="139" t="inlineStr">
        <is>
          <t>WEEK</t>
        </is>
      </c>
      <c r="D45" s="133" t="n">
        <v>1</v>
      </c>
      <c r="E45" s="595">
        <f>E46/4</f>
        <v/>
      </c>
      <c r="F45" s="647">
        <f>D45*E45</f>
        <v/>
      </c>
      <c r="I45" s="583" t="n"/>
    </row>
    <row r="46" ht="10.8" customHeight="1" thickBot="1">
      <c r="A46" s="42" t="n"/>
      <c r="B46" s="168">
        <f>B21</f>
        <v/>
      </c>
      <c r="C46" s="139" t="inlineStr">
        <is>
          <t>MONTH</t>
        </is>
      </c>
      <c r="D46" s="138" t="n">
        <v>1</v>
      </c>
      <c r="E46" s="655">
        <f>(E24*2)+E31</f>
        <v/>
      </c>
      <c r="F46" s="647">
        <f>D46*E46</f>
        <v/>
      </c>
      <c r="I46" s="583" t="n"/>
    </row>
    <row r="47">
      <c r="A47" s="42" t="n"/>
      <c r="B47" s="100">
        <f>B28</f>
        <v/>
      </c>
      <c r="C47" s="53" t="n"/>
      <c r="E47" s="583" t="n"/>
      <c r="F47" s="649" t="n"/>
      <c r="I47" s="583" t="n"/>
    </row>
    <row r="48" ht="10.8" customHeight="1" thickBot="1">
      <c r="A48" s="42" t="n"/>
      <c r="B48" s="153" t="inlineStr">
        <is>
          <t>QTY Staff in Crew</t>
        </is>
      </c>
      <c r="C48" s="172">
        <f>COUNTA(B45,B46,B47)</f>
        <v/>
      </c>
      <c r="D48" s="170" t="n"/>
      <c r="E48" s="650" t="n"/>
      <c r="F48" s="651" t="n"/>
      <c r="I48" s="583" t="n"/>
    </row>
    <row r="49">
      <c r="A49" s="42" t="n"/>
      <c r="B49" s="504" t="n"/>
      <c r="C49" s="430" t="n"/>
      <c r="E49" s="583" t="n"/>
      <c r="F49" s="583" t="n"/>
      <c r="I49" s="583" t="n"/>
    </row>
    <row r="50" ht="10.8" customHeight="1" thickBot="1">
      <c r="A50" s="42" t="n"/>
      <c r="B50" s="504" t="n"/>
      <c r="E50" s="583" t="n"/>
      <c r="F50" s="583" t="n"/>
      <c r="I50" s="583" t="n"/>
    </row>
    <row r="51" ht="10.8" customHeight="1" thickBot="1">
      <c r="A51" s="42" t="n"/>
      <c r="B51" s="46" t="inlineStr">
        <is>
          <t>Crew #3 - Above Ground Drainage</t>
        </is>
      </c>
      <c r="C51" s="136" t="inlineStr">
        <is>
          <t>HR</t>
        </is>
      </c>
      <c r="D51" s="136" t="n">
        <v>1</v>
      </c>
      <c r="E51" s="654">
        <f>E43</f>
        <v/>
      </c>
      <c r="F51" s="644">
        <f>D51*E51</f>
        <v/>
      </c>
      <c r="I51" s="583" t="n"/>
    </row>
    <row r="52" ht="10.8" customHeight="1" thickBot="1">
      <c r="A52" s="42" t="n"/>
      <c r="B52" s="167">
        <f>B44</f>
        <v/>
      </c>
      <c r="C52" s="139" t="inlineStr">
        <is>
          <t>DAY</t>
        </is>
      </c>
      <c r="D52" s="133" t="n">
        <v>1</v>
      </c>
      <c r="E52" s="654">
        <f>E44</f>
        <v/>
      </c>
      <c r="F52" s="647">
        <f>D52*E52</f>
        <v/>
      </c>
      <c r="I52" s="583" t="n"/>
    </row>
    <row r="53" ht="10.8" customHeight="1" thickBot="1">
      <c r="A53" s="42" t="n"/>
      <c r="B53" s="431">
        <f>B45</f>
        <v/>
      </c>
      <c r="C53" s="139" t="inlineStr">
        <is>
          <t>WEEK</t>
        </is>
      </c>
      <c r="D53" s="133" t="n">
        <v>1</v>
      </c>
      <c r="E53" s="654">
        <f>E45</f>
        <v/>
      </c>
      <c r="F53" s="647">
        <f>D53*E53</f>
        <v/>
      </c>
      <c r="I53" s="583" t="n"/>
    </row>
    <row r="54" ht="10.8" customHeight="1" thickBot="1">
      <c r="A54" s="42" t="n"/>
      <c r="B54" s="431">
        <f>B46</f>
        <v/>
      </c>
      <c r="C54" s="139" t="inlineStr">
        <is>
          <t>MONTH</t>
        </is>
      </c>
      <c r="D54" s="138" t="n">
        <v>1</v>
      </c>
      <c r="E54" s="654">
        <f>E46</f>
        <v/>
      </c>
      <c r="F54" s="647">
        <f>D54*E54</f>
        <v/>
      </c>
      <c r="I54" s="583" t="n"/>
    </row>
    <row r="55">
      <c r="A55" s="42" t="n"/>
      <c r="B55" s="431">
        <f>B47</f>
        <v/>
      </c>
      <c r="C55" s="53" t="n"/>
      <c r="E55" s="583" t="n"/>
      <c r="F55" s="649" t="n"/>
      <c r="I55" s="583" t="n"/>
    </row>
    <row r="56" ht="10.8" customHeight="1" thickBot="1">
      <c r="A56" s="42" t="n"/>
      <c r="B56" s="153" t="inlineStr">
        <is>
          <t>QTY Staff in Crew</t>
        </is>
      </c>
      <c r="C56" s="172">
        <f>COUNTA(B53,B54,B55)</f>
        <v/>
      </c>
      <c r="D56" s="170" t="n"/>
      <c r="E56" s="650" t="n"/>
      <c r="F56" s="651" t="n"/>
      <c r="I56" s="583" t="n"/>
    </row>
    <row r="57">
      <c r="A57" s="42" t="n"/>
      <c r="B57" s="504" t="n"/>
      <c r="C57" s="430" t="n"/>
      <c r="E57" s="583" t="n"/>
      <c r="F57" s="583" t="n"/>
      <c r="I57" s="583" t="n"/>
    </row>
    <row r="58" ht="10.8" customHeight="1" thickBot="1">
      <c r="A58" s="42" t="n"/>
      <c r="B58" s="504" t="n"/>
      <c r="E58" s="583" t="n"/>
      <c r="F58" s="583" t="n"/>
      <c r="I58" s="583" t="n"/>
    </row>
    <row r="59" ht="10.8" customHeight="1" thickBot="1">
      <c r="A59" s="42" t="n"/>
      <c r="B59" s="46" t="inlineStr">
        <is>
          <t>Crew #4 - Above Ground WATER/FIRE</t>
        </is>
      </c>
      <c r="C59" s="136" t="inlineStr">
        <is>
          <t>HR</t>
        </is>
      </c>
      <c r="D59" s="136" t="n">
        <v>1</v>
      </c>
      <c r="E59" s="654">
        <f>E51</f>
        <v/>
      </c>
      <c r="F59" s="644">
        <f>D59*E59</f>
        <v/>
      </c>
      <c r="I59" s="583" t="n"/>
    </row>
    <row r="60" ht="10.8" customHeight="1" thickBot="1">
      <c r="A60" s="42" t="n"/>
      <c r="B60" s="167">
        <f>B52</f>
        <v/>
      </c>
      <c r="C60" s="139" t="inlineStr">
        <is>
          <t>DAY</t>
        </is>
      </c>
      <c r="D60" s="133" t="n">
        <v>1</v>
      </c>
      <c r="E60" s="654">
        <f>E52</f>
        <v/>
      </c>
      <c r="F60" s="647">
        <f>D60*E60</f>
        <v/>
      </c>
      <c r="I60" s="583" t="n"/>
    </row>
    <row r="61" ht="10.8" customHeight="1" thickBot="1">
      <c r="A61" s="42" t="n"/>
      <c r="B61" s="431">
        <f>B53</f>
        <v/>
      </c>
      <c r="C61" s="139" t="inlineStr">
        <is>
          <t>WEEK</t>
        </is>
      </c>
      <c r="D61" s="133" t="n">
        <v>1</v>
      </c>
      <c r="E61" s="654">
        <f>E53</f>
        <v/>
      </c>
      <c r="F61" s="647">
        <f>D61*E61</f>
        <v/>
      </c>
      <c r="I61" s="583" t="n"/>
    </row>
    <row r="62" ht="10.8" customHeight="1" thickBot="1">
      <c r="A62" s="42" t="n"/>
      <c r="B62" s="431">
        <f>B54</f>
        <v/>
      </c>
      <c r="C62" s="139" t="inlineStr">
        <is>
          <t>MONTH</t>
        </is>
      </c>
      <c r="D62" s="138" t="n">
        <v>1</v>
      </c>
      <c r="E62" s="654">
        <f>E54</f>
        <v/>
      </c>
      <c r="F62" s="647">
        <f>D62*E62</f>
        <v/>
      </c>
      <c r="I62" s="583" t="n"/>
    </row>
    <row r="63">
      <c r="A63" s="42" t="n"/>
      <c r="B63" s="431">
        <f>B55</f>
        <v/>
      </c>
      <c r="C63" s="53" t="n"/>
      <c r="E63" s="583" t="n"/>
      <c r="F63" s="649" t="n"/>
      <c r="I63" s="583" t="n"/>
    </row>
    <row r="64" ht="10.8" customHeight="1" thickBot="1">
      <c r="A64" s="42" t="n"/>
      <c r="B64" s="153" t="inlineStr">
        <is>
          <t>QTY Staff in Crew</t>
        </is>
      </c>
      <c r="C64" s="172">
        <f>COUNTA(B61,B62,B63)</f>
        <v/>
      </c>
      <c r="D64" s="170" t="n"/>
      <c r="E64" s="650" t="n"/>
      <c r="F64" s="651" t="n"/>
      <c r="I64" s="583" t="n"/>
    </row>
    <row r="65">
      <c r="A65" s="42" t="n"/>
      <c r="B65" s="504" t="n"/>
      <c r="C65" s="430" t="n"/>
      <c r="E65" s="583" t="n"/>
      <c r="F65" s="583" t="n"/>
      <c r="I65" s="583" t="n"/>
    </row>
    <row r="66" ht="10.8" customHeight="1" thickBot="1">
      <c r="A66" s="42" t="n"/>
      <c r="B66" s="504" t="n"/>
      <c r="E66" s="583" t="n"/>
      <c r="F66" s="583" t="n"/>
      <c r="I66" s="583" t="n"/>
    </row>
    <row r="67" ht="10.8" customHeight="1" thickBot="1">
      <c r="A67" s="42" t="n"/>
      <c r="B67" s="46" t="inlineStr">
        <is>
          <t>Crew #5 - Above Ground FitOff / Misc</t>
        </is>
      </c>
      <c r="C67" s="136" t="inlineStr">
        <is>
          <t>HR</t>
        </is>
      </c>
      <c r="D67" s="136" t="n">
        <v>1</v>
      </c>
      <c r="E67" s="654">
        <f>E59</f>
        <v/>
      </c>
      <c r="F67" s="644">
        <f>D67*E67</f>
        <v/>
      </c>
      <c r="I67" s="583" t="n"/>
    </row>
    <row r="68" ht="10.8" customHeight="1" thickBot="1">
      <c r="A68" s="42" t="n"/>
      <c r="B68" s="167">
        <f>B60</f>
        <v/>
      </c>
      <c r="C68" s="139" t="inlineStr">
        <is>
          <t>DAY</t>
        </is>
      </c>
      <c r="D68" s="133" t="n">
        <v>1</v>
      </c>
      <c r="E68" s="654">
        <f>E60</f>
        <v/>
      </c>
      <c r="F68" s="647">
        <f>D68*E68</f>
        <v/>
      </c>
      <c r="I68" s="583" t="n"/>
    </row>
    <row r="69" ht="10.8" customHeight="1" thickBot="1">
      <c r="A69" s="42" t="n"/>
      <c r="B69" s="431">
        <f>B61</f>
        <v/>
      </c>
      <c r="C69" s="139" t="inlineStr">
        <is>
          <t>WEEK</t>
        </is>
      </c>
      <c r="D69" s="133" t="n">
        <v>1</v>
      </c>
      <c r="E69" s="654">
        <f>E61</f>
        <v/>
      </c>
      <c r="F69" s="647">
        <f>D69*E69</f>
        <v/>
      </c>
      <c r="I69" s="583" t="n"/>
    </row>
    <row r="70" ht="10.8" customHeight="1" thickBot="1">
      <c r="A70" s="42" t="n"/>
      <c r="B70" s="431">
        <f>B62</f>
        <v/>
      </c>
      <c r="C70" s="139" t="inlineStr">
        <is>
          <t>MONTH</t>
        </is>
      </c>
      <c r="D70" s="138" t="n">
        <v>1</v>
      </c>
      <c r="E70" s="654">
        <f>E62</f>
        <v/>
      </c>
      <c r="F70" s="647">
        <f>D70*E70</f>
        <v/>
      </c>
      <c r="I70" s="583" t="n"/>
    </row>
    <row r="71">
      <c r="A71" s="42" t="n"/>
      <c r="B71" s="431">
        <f>B63</f>
        <v/>
      </c>
      <c r="C71" s="53" t="n"/>
      <c r="E71" s="583" t="n"/>
      <c r="F71" s="649" t="n"/>
      <c r="I71" s="583" t="n"/>
    </row>
    <row r="72" ht="10.8" customHeight="1" thickBot="1">
      <c r="A72" s="42" t="n"/>
      <c r="B72" s="153" t="inlineStr">
        <is>
          <t>QTY Staff in Crew</t>
        </is>
      </c>
      <c r="C72" s="172">
        <f>COUNTA(B69,B70,B71)</f>
        <v/>
      </c>
      <c r="D72" s="170" t="n"/>
      <c r="E72" s="650" t="n"/>
      <c r="F72" s="651" t="n"/>
      <c r="I72" s="583" t="n"/>
    </row>
    <row r="73">
      <c r="A73" s="42" t="n"/>
      <c r="B73" s="504" t="n"/>
      <c r="C73" s="430" t="n"/>
      <c r="E73" s="583" t="n"/>
      <c r="F73" s="583" t="n"/>
      <c r="I73" s="583" t="n"/>
    </row>
    <row r="74" ht="10.8" customHeight="1" thickBot="1">
      <c r="A74" s="42" t="n"/>
      <c r="B74" s="504" t="n"/>
      <c r="E74" s="583" t="n"/>
      <c r="F74" s="583" t="n"/>
      <c r="I74" s="583" t="n"/>
    </row>
    <row r="75" ht="10.8" customHeight="1" thickBot="1">
      <c r="A75" s="42" t="n"/>
      <c r="B75" s="46" t="inlineStr">
        <is>
          <t>Crew #6 - DEMO</t>
        </is>
      </c>
      <c r="C75" s="136" t="inlineStr">
        <is>
          <t>HR</t>
        </is>
      </c>
      <c r="D75" s="136" t="n">
        <v>1</v>
      </c>
      <c r="E75" s="654">
        <f>E78/$C$10</f>
        <v/>
      </c>
      <c r="F75" s="644">
        <f>D75*E75</f>
        <v/>
      </c>
      <c r="I75" s="583" t="n"/>
    </row>
    <row r="76" ht="10.8" customHeight="1" thickBot="1">
      <c r="A76" s="42" t="n"/>
      <c r="B76" s="167">
        <f>B68</f>
        <v/>
      </c>
      <c r="C76" s="139" t="inlineStr">
        <is>
          <t>DAY</t>
        </is>
      </c>
      <c r="D76" s="133" t="n">
        <v>1</v>
      </c>
      <c r="E76" s="595">
        <f>E78/$C$8</f>
        <v/>
      </c>
      <c r="F76" s="647">
        <f>D76*E76</f>
        <v/>
      </c>
      <c r="I76" s="583" t="n"/>
    </row>
    <row r="77" ht="10.8" customHeight="1" thickBot="1">
      <c r="A77" s="42" t="n"/>
      <c r="B77" s="431">
        <f>B69</f>
        <v/>
      </c>
      <c r="C77" s="139" t="inlineStr">
        <is>
          <t>WEEK</t>
        </is>
      </c>
      <c r="D77" s="133" t="n">
        <v>1</v>
      </c>
      <c r="E77" s="595">
        <f>E78/4</f>
        <v/>
      </c>
      <c r="F77" s="647">
        <f>D77*E77</f>
        <v/>
      </c>
      <c r="I77" s="583" t="n"/>
    </row>
    <row r="78" ht="10.8" customHeight="1" thickBot="1">
      <c r="A78" s="42" t="n"/>
      <c r="B78" s="431">
        <f>B71</f>
        <v/>
      </c>
      <c r="C78" s="139" t="inlineStr">
        <is>
          <t>MONTH</t>
        </is>
      </c>
      <c r="D78" s="138" t="n">
        <v>1</v>
      </c>
      <c r="E78" s="654">
        <f>(E24)+E31</f>
        <v/>
      </c>
      <c r="F78" s="647">
        <f>D78*E78</f>
        <v/>
      </c>
      <c r="I78" s="583" t="n"/>
    </row>
    <row r="79">
      <c r="A79" s="42" t="n"/>
      <c r="C79" s="53" t="n"/>
      <c r="E79" s="583" t="n"/>
      <c r="F79" s="649" t="n"/>
      <c r="I79" s="583" t="n"/>
    </row>
    <row r="80" ht="10.8" customHeight="1" thickBot="1">
      <c r="A80" s="42" t="n"/>
      <c r="B80" s="153" t="inlineStr">
        <is>
          <t>QTY Staff in Crew</t>
        </is>
      </c>
      <c r="C80" s="172">
        <f>COUNTA(B77,B78)</f>
        <v/>
      </c>
      <c r="D80" s="170" t="n"/>
      <c r="E80" s="650" t="n"/>
      <c r="F80" s="651" t="n"/>
      <c r="I80" s="583" t="n"/>
    </row>
    <row r="81">
      <c r="A81" s="42" t="n"/>
      <c r="B81" s="504" t="n"/>
      <c r="C81" s="430" t="n"/>
      <c r="E81" s="583" t="n"/>
      <c r="F81" s="583" t="n"/>
      <c r="I81" s="583" t="n"/>
    </row>
    <row r="82">
      <c r="A82" s="42" t="n"/>
      <c r="B82" s="504" t="n"/>
      <c r="C82" s="430" t="n"/>
      <c r="E82" s="583" t="n"/>
      <c r="F82" s="583" t="n"/>
      <c r="I82" s="583" t="n"/>
    </row>
    <row r="83">
      <c r="A83" s="42" t="n"/>
      <c r="B83" s="504" t="n"/>
      <c r="C83" s="430" t="n"/>
      <c r="E83" s="583" t="n"/>
      <c r="F83" s="583" t="n"/>
      <c r="I83" s="583" t="n"/>
    </row>
    <row r="84">
      <c r="A84" s="42" t="n"/>
      <c r="B84" s="504" t="n"/>
      <c r="C84" s="430" t="n"/>
      <c r="E84" s="583" t="n"/>
      <c r="F84" s="583" t="n"/>
      <c r="I84" s="583" t="n"/>
    </row>
    <row r="85" ht="6" customHeight="1">
      <c r="A85" s="42" t="inlineStr">
        <is>
          <t>`</t>
        </is>
      </c>
      <c r="B85" s="145" t="n"/>
      <c r="C85" s="146" t="n"/>
      <c r="D85" s="146" t="n"/>
      <c r="E85" s="652" t="n"/>
      <c r="F85" s="653" t="n"/>
      <c r="I85" s="583" t="n"/>
    </row>
    <row r="86">
      <c r="A86" s="42" t="n"/>
      <c r="B86" s="39" t="n"/>
      <c r="E86" s="583" t="n"/>
      <c r="F86" s="583" t="n"/>
      <c r="I86" s="583" t="n"/>
    </row>
    <row r="87" hidden="1" ht="10.8" customHeight="1" thickBot="1">
      <c r="A87" s="42" t="n"/>
      <c r="B87" s="154" t="inlineStr">
        <is>
          <t>FULL team, FULL Duration, as per Program</t>
        </is>
      </c>
      <c r="C87" s="136" t="inlineStr">
        <is>
          <t>HR</t>
        </is>
      </c>
      <c r="D87" s="136" t="n">
        <v>0</v>
      </c>
      <c r="E87" s="643">
        <f>E90/$C$10</f>
        <v/>
      </c>
      <c r="F87" s="644">
        <f>D87*E87</f>
        <v/>
      </c>
      <c r="I87" s="583" t="n"/>
    </row>
    <row r="88" hidden="1">
      <c r="A88" s="42" t="n"/>
      <c r="B88" s="167" t="inlineStr">
        <is>
          <t>** for Roster Examples # 3</t>
        </is>
      </c>
      <c r="C88" s="139" t="inlineStr">
        <is>
          <t>DAY</t>
        </is>
      </c>
      <c r="D88" s="133" t="n">
        <v>0</v>
      </c>
      <c r="E88" s="646">
        <f>E90/$C$8</f>
        <v/>
      </c>
      <c r="F88" s="647">
        <f>D88*E88</f>
        <v/>
      </c>
      <c r="I88" s="583" t="n"/>
    </row>
    <row r="89" hidden="1">
      <c r="A89" s="42" t="n"/>
      <c r="B89" s="168">
        <f>B36</f>
        <v/>
      </c>
      <c r="C89" s="139" t="inlineStr">
        <is>
          <t>WEEK</t>
        </is>
      </c>
      <c r="D89" s="133" t="n">
        <v>0</v>
      </c>
      <c r="E89" s="646">
        <f>E90/4</f>
        <v/>
      </c>
      <c r="F89" s="647">
        <f>D89*E89</f>
        <v/>
      </c>
      <c r="I89" s="583" t="n"/>
    </row>
    <row r="90" hidden="1" ht="10.8" customHeight="1" thickBot="1">
      <c r="A90" s="42" t="n"/>
      <c r="B90" s="168">
        <f>B43</f>
        <v/>
      </c>
      <c r="C90" s="139" t="inlineStr">
        <is>
          <t>MONTH</t>
        </is>
      </c>
      <c r="D90" s="138" t="n">
        <v>4</v>
      </c>
      <c r="E90" s="648">
        <f>E46+E39+E17</f>
        <v/>
      </c>
      <c r="F90" s="647">
        <f>D90*E90</f>
        <v/>
      </c>
      <c r="I90" s="583" t="n"/>
    </row>
    <row r="91" hidden="1">
      <c r="A91" s="42" t="n"/>
      <c r="B91" s="100">
        <f>B14</f>
        <v/>
      </c>
      <c r="C91" s="53" t="n"/>
      <c r="E91" s="583" t="n"/>
      <c r="F91" s="649" t="n"/>
      <c r="I91" s="583" t="n"/>
    </row>
    <row r="92" hidden="1" ht="10.8" customHeight="1" thickBot="1">
      <c r="A92" s="42" t="n"/>
      <c r="B92" s="153" t="inlineStr">
        <is>
          <t>QTY Staff in Crew</t>
        </is>
      </c>
      <c r="C92" s="172">
        <f>C48+C41+C19</f>
        <v/>
      </c>
      <c r="D92" s="170" t="n"/>
      <c r="E92" s="650" t="n"/>
      <c r="F92" s="651" t="n"/>
      <c r="I92" s="583" t="n"/>
    </row>
    <row r="93">
      <c r="A93" s="42" t="n"/>
      <c r="B93" s="39" t="n"/>
      <c r="E93" s="583" t="n"/>
      <c r="F93" s="583" t="n"/>
      <c r="I93" s="583" t="n"/>
    </row>
    <row r="94" ht="6" customHeight="1">
      <c r="A94" s="42" t="inlineStr">
        <is>
          <t>`</t>
        </is>
      </c>
      <c r="B94" s="145" t="n"/>
      <c r="C94" s="146" t="n"/>
      <c r="D94" s="146" t="n"/>
      <c r="E94" s="652" t="n"/>
      <c r="F94" s="653" t="n"/>
      <c r="I94" s="583" t="n"/>
    </row>
    <row r="95">
      <c r="A95" s="42" t="n"/>
      <c r="B95" s="39" t="n"/>
      <c r="E95" s="583" t="n"/>
      <c r="F95" s="583" t="n"/>
      <c r="I95" s="583" t="n"/>
    </row>
    <row r="96" ht="10.8" customHeight="1" thickBot="1">
      <c r="A96" s="42" t="n"/>
      <c r="B96" s="39" t="n"/>
      <c r="E96" s="583" t="n"/>
      <c r="F96" s="583" t="n"/>
      <c r="I96" s="583" t="n"/>
    </row>
    <row r="97" ht="18" customHeight="1" thickBot="1">
      <c r="A97" s="42" t="n"/>
      <c r="B97" s="642" t="inlineStr">
        <is>
          <t>ACCOMODATION</t>
        </is>
      </c>
      <c r="C97" s="586" t="n"/>
      <c r="D97" s="586" t="n"/>
      <c r="E97" s="586" t="n"/>
      <c r="F97" s="587" t="n"/>
    </row>
    <row r="98">
      <c r="A98" s="42" t="n"/>
      <c r="C98" s="42" t="inlineStr">
        <is>
          <t>Unit</t>
        </is>
      </c>
      <c r="D98" s="42" t="inlineStr">
        <is>
          <t>REQ</t>
        </is>
      </c>
      <c r="E98" s="588" t="inlineStr">
        <is>
          <t>Cost</t>
        </is>
      </c>
      <c r="F98" s="588" t="inlineStr">
        <is>
          <t>Total EX GST</t>
        </is>
      </c>
      <c r="G98" s="489" t="n"/>
    </row>
    <row r="99" ht="10.8" customHeight="1" thickBot="1">
      <c r="A99" s="42" t="n"/>
      <c r="B99" s="39" t="n"/>
      <c r="E99" s="583" t="n"/>
      <c r="F99" s="583" t="n"/>
      <c r="I99" s="583" t="n"/>
    </row>
    <row r="100" ht="10.8" customHeight="1" thickBot="1">
      <c r="A100" s="42" t="n"/>
      <c r="B100" s="46">
        <f>Accomodation_Master!B266</f>
        <v/>
      </c>
      <c r="C100" s="136" t="n"/>
      <c r="D100" s="136" t="n"/>
      <c r="E100" s="656" t="inlineStr">
        <is>
          <t>*Changed to ex GST</t>
        </is>
      </c>
      <c r="F100" s="644" t="n"/>
      <c r="G100" s="242" t="n">
        <v>11</v>
      </c>
      <c r="I100" s="583" t="n"/>
    </row>
    <row r="101">
      <c r="A101" s="42" t="n"/>
      <c r="B101" s="167" t="inlineStr">
        <is>
          <t>** for Roster Examples # 3</t>
        </is>
      </c>
      <c r="C101" s="139" t="inlineStr">
        <is>
          <t>NIGHT</t>
        </is>
      </c>
      <c r="D101" s="133" t="n">
        <v>0</v>
      </c>
      <c r="E101" s="646">
        <f>E102/7</f>
        <v/>
      </c>
      <c r="F101" s="647">
        <f>D101*E101</f>
        <v/>
      </c>
      <c r="I101" s="583" t="n"/>
    </row>
    <row r="102">
      <c r="A102" s="42" t="n"/>
      <c r="B102" s="168" t="n"/>
      <c r="C102" s="139" t="inlineStr">
        <is>
          <t>WEEK</t>
        </is>
      </c>
      <c r="D102" s="133" t="n">
        <v>0</v>
      </c>
      <c r="E102" s="646">
        <f>E103/4</f>
        <v/>
      </c>
      <c r="F102" s="647">
        <f>D102*E102</f>
        <v/>
      </c>
      <c r="I102" s="583" t="n"/>
    </row>
    <row r="103" ht="10.8" customHeight="1" thickBot="1">
      <c r="A103" s="42" t="n"/>
      <c r="B103" s="168">
        <f>B21</f>
        <v/>
      </c>
      <c r="C103" s="139" t="inlineStr">
        <is>
          <t>MONTH</t>
        </is>
      </c>
      <c r="D103" s="138" t="n">
        <v>0</v>
      </c>
      <c r="E103" s="648">
        <f>(Accomodation_Master!E308)-(Accomodation_Master!E308/G100)</f>
        <v/>
      </c>
      <c r="F103" s="647">
        <f>D103*E103</f>
        <v/>
      </c>
      <c r="I103" s="583" t="n"/>
      <c r="K103" s="596" t="n"/>
      <c r="L103" s="596" t="n"/>
    </row>
    <row r="104">
      <c r="A104" s="42" t="n"/>
      <c r="B104" s="100">
        <f>B21</f>
        <v/>
      </c>
      <c r="C104" s="53" t="n"/>
      <c r="E104" s="583" t="n"/>
      <c r="F104" s="649" t="n"/>
      <c r="I104" s="583" t="n"/>
    </row>
    <row r="105">
      <c r="A105" s="152" t="n"/>
      <c r="B105" s="100">
        <f>B28</f>
        <v/>
      </c>
      <c r="E105" s="583" t="n"/>
      <c r="F105" s="657" t="n"/>
      <c r="I105" s="583" t="n"/>
    </row>
    <row r="106" ht="10.8" customHeight="1" thickBot="1">
      <c r="A106" s="42" t="n"/>
      <c r="B106" s="153" t="inlineStr">
        <is>
          <t>QTY Staff in Crew</t>
        </is>
      </c>
      <c r="C106" s="172">
        <f>COUNTA(B103,B104,B105)</f>
        <v/>
      </c>
      <c r="D106" s="170" t="n"/>
      <c r="E106" s="650" t="n"/>
      <c r="F106" s="651" t="n"/>
      <c r="I106" s="583" t="n"/>
    </row>
    <row r="107" ht="10.8" customHeight="1" thickBot="1">
      <c r="A107" s="42" t="n"/>
      <c r="B107" s="39" t="n"/>
      <c r="E107" s="583" t="n"/>
      <c r="F107" s="583" t="n"/>
      <c r="I107" s="583" t="n"/>
    </row>
    <row r="108" ht="10.8" customHeight="1" thickBot="1">
      <c r="A108" s="42" t="n"/>
      <c r="B108" s="46" t="inlineStr">
        <is>
          <t>Individual - PER PERSON</t>
        </is>
      </c>
      <c r="C108" s="136" t="n"/>
      <c r="D108" s="136" t="n"/>
      <c r="E108" s="656" t="inlineStr">
        <is>
          <t>*Changed to ex GST</t>
        </is>
      </c>
      <c r="F108" s="644" t="n"/>
      <c r="G108" s="242" t="n">
        <v>11</v>
      </c>
      <c r="I108" s="583" t="n"/>
    </row>
    <row r="109">
      <c r="A109" s="42" t="n"/>
      <c r="B109" s="167" t="inlineStr">
        <is>
          <t>** for Roster Examples # 3</t>
        </is>
      </c>
      <c r="C109" s="139" t="inlineStr">
        <is>
          <t>NIGHT</t>
        </is>
      </c>
      <c r="D109" s="133" t="n">
        <v>0</v>
      </c>
      <c r="E109" s="646">
        <f>(Accomodation_Master!F364)-(Accomodation_Master!F364/G108)</f>
        <v/>
      </c>
      <c r="F109" s="647">
        <f>D109*E109</f>
        <v/>
      </c>
      <c r="I109" s="583" t="n"/>
    </row>
    <row r="110">
      <c r="A110" s="42" t="n"/>
      <c r="B110" s="210">
        <f>Accomodation_Master!$B$364</f>
        <v/>
      </c>
      <c r="C110" s="139" t="inlineStr">
        <is>
          <t>WEEK</t>
        </is>
      </c>
      <c r="D110" s="133" t="n">
        <v>0</v>
      </c>
      <c r="E110" s="646">
        <f>E109*7</f>
        <v/>
      </c>
      <c r="F110" s="647">
        <f>D110*E110</f>
        <v/>
      </c>
      <c r="I110" s="583" t="n"/>
    </row>
    <row r="111" ht="10.8" customHeight="1" thickBot="1">
      <c r="A111" s="42" t="n"/>
      <c r="B111" s="168" t="n"/>
      <c r="C111" s="139" t="inlineStr">
        <is>
          <t>MONTH</t>
        </is>
      </c>
      <c r="D111" s="138" t="n">
        <v>0</v>
      </c>
      <c r="E111" s="648">
        <f>E110*4</f>
        <v/>
      </c>
      <c r="F111" s="647">
        <f>D111*E111</f>
        <v/>
      </c>
      <c r="I111" s="583" t="n"/>
    </row>
    <row r="112">
      <c r="A112" s="42" t="n"/>
      <c r="B112" s="100" t="n"/>
      <c r="C112" s="53" t="n"/>
      <c r="E112" s="583" t="n"/>
      <c r="F112" s="649" t="n"/>
      <c r="I112" s="583" t="n"/>
    </row>
    <row r="113" ht="10.8" customHeight="1" thickBot="1">
      <c r="A113" s="152" t="n"/>
      <c r="B113" s="132" t="n"/>
      <c r="C113" s="170" t="n"/>
      <c r="D113" s="170" t="n"/>
      <c r="E113" s="650" t="n"/>
      <c r="F113" s="651" t="n"/>
      <c r="I113" s="583" t="n"/>
    </row>
    <row r="114">
      <c r="A114" s="42" t="n"/>
      <c r="B114" s="39" t="n"/>
      <c r="E114" s="583" t="n"/>
      <c r="F114" s="583" t="n"/>
      <c r="I114" s="583" t="n"/>
    </row>
    <row r="115">
      <c r="A115" s="42" t="n"/>
      <c r="B115" s="39" t="n"/>
      <c r="E115" s="583" t="n"/>
      <c r="F115" s="583" t="n"/>
      <c r="I115" s="583" t="n"/>
    </row>
  </sheetData>
  <mergeCells count="2">
    <mergeCell ref="B12:F12"/>
    <mergeCell ref="B97:F97"/>
  </mergeCells>
  <printOptions gridLines="1"/>
  <pageMargins left="0.46" right="0.42" top="0.37" bottom="0.4" header="0.39" footer="0.38"/>
  <pageSetup orientation="portrait" paperSize="8" scale="80" horizontalDpi="1200" verticalDpi="1200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N257"/>
  <sheetViews>
    <sheetView topLeftCell="A137" zoomScale="95" zoomScaleNormal="95" workbookViewId="0">
      <selection activeCell="D156" sqref="D156"/>
    </sheetView>
  </sheetViews>
  <sheetFormatPr baseColWidth="8" defaultColWidth="8.77734375" defaultRowHeight="14.4"/>
  <cols>
    <col width="49.21875" customWidth="1" style="120" min="1" max="1"/>
    <col width="12" bestFit="1" customWidth="1" style="120" min="2" max="2"/>
    <col width="5.77734375" customWidth="1" style="612" min="3" max="3"/>
    <col width="11.77734375" customWidth="1" style="612" min="4" max="4"/>
    <col width="8.21875" bestFit="1" customWidth="1" style="612" min="5" max="5"/>
    <col width="11.5546875" customWidth="1" style="612" min="6" max="6"/>
    <col width="13.77734375" customWidth="1" style="613" min="7" max="7"/>
    <col width="8.77734375" customWidth="1" style="120" min="8" max="9"/>
    <col width="11" customWidth="1" style="120" min="10" max="10"/>
    <col width="10.21875" bestFit="1" customWidth="1" style="120" min="11" max="11"/>
    <col width="11.21875" customWidth="1" style="120" min="12" max="12"/>
    <col width="8.77734375" customWidth="1" style="120" min="13" max="16384"/>
  </cols>
  <sheetData>
    <row r="1"/>
    <row r="2">
      <c r="A2" s="196" t="n"/>
      <c r="B2" s="196" t="n"/>
      <c r="I2" s="196" t="n"/>
    </row>
    <row r="3">
      <c r="A3" s="250" t="inlineStr">
        <is>
          <t>FIRE SERVICES - IN GROUND</t>
        </is>
      </c>
      <c r="B3" s="251" t="n"/>
      <c r="I3" s="251" t="n"/>
    </row>
    <row r="4">
      <c r="A4" s="254" t="inlineStr">
        <is>
          <t>Description</t>
        </is>
      </c>
      <c r="B4" s="257" t="inlineStr">
        <is>
          <t>Unit</t>
        </is>
      </c>
      <c r="C4" s="658" t="n"/>
      <c r="D4" s="257" t="inlineStr">
        <is>
          <t>Rate</t>
        </is>
      </c>
      <c r="E4" s="658" t="n"/>
      <c r="F4" s="257" t="inlineStr">
        <is>
          <t>Total</t>
        </is>
      </c>
      <c r="I4" s="257" t="inlineStr">
        <is>
          <t>Qty</t>
        </is>
      </c>
      <c r="N4" s="584" t="inlineStr">
        <is>
          <t>Source</t>
        </is>
      </c>
    </row>
    <row r="5">
      <c r="A5" s="247" t="inlineStr">
        <is>
          <t>200 HDPE PN16 SDR11 - REDLINE</t>
        </is>
      </c>
      <c r="B5" s="246" t="inlineStr">
        <is>
          <t>m</t>
        </is>
      </c>
      <c r="D5" s="659" t="n">
        <v>33.92083333333333</v>
      </c>
      <c r="F5" s="612">
        <f>I5*D5</f>
        <v/>
      </c>
      <c r="G5" s="497" t="inlineStr">
        <is>
          <t>COMPLETED don’t edit</t>
        </is>
      </c>
      <c r="H5" s="259" t="n"/>
      <c r="I5" s="246" t="n">
        <v>480</v>
      </c>
      <c r="J5" s="259" t="n"/>
      <c r="K5" s="259" t="n"/>
      <c r="L5" s="259" t="n"/>
      <c r="N5" s="540" t="inlineStr">
        <is>
          <t>frozen from [3] 240614 Pipe &amp; Fittings Price Comparison (Jun-2024 cache) - link severed 26/07/26; &gt;=2yr old at 2027 start - Phase 5 re-source pending</t>
        </is>
      </c>
    </row>
    <row r="6">
      <c r="A6" s="247" t="inlineStr">
        <is>
          <t>180 HDPE PN16 SDR11 - REDLINE</t>
        </is>
      </c>
      <c r="B6" s="246" t="inlineStr">
        <is>
          <t>m</t>
        </is>
      </c>
      <c r="D6" s="659" t="n">
        <v>25.46666666666667</v>
      </c>
      <c r="F6" s="612">
        <f>I6*D6</f>
        <v/>
      </c>
      <c r="G6" s="660" t="n"/>
      <c r="I6" s="246" t="n">
        <v>5052</v>
      </c>
      <c r="N6" s="540" t="inlineStr">
        <is>
          <t>frozen from [3] 240614 Pipe &amp; Fittings Price Comparison (Jun-2024 cache) - link severed 26/07/26; &gt;=2yr old at 2027 start - Phase 5 re-source pending</t>
        </is>
      </c>
    </row>
    <row r="7">
      <c r="A7" s="247" t="inlineStr">
        <is>
          <t>125 HDPE PN16 SDR11 - REDLINE</t>
        </is>
      </c>
      <c r="B7" s="246" t="inlineStr">
        <is>
          <t>m</t>
        </is>
      </c>
      <c r="D7" s="659" t="n">
        <v>12.31416666666667</v>
      </c>
      <c r="F7" s="612">
        <f>I7*D7</f>
        <v/>
      </c>
      <c r="G7" s="660" t="n"/>
      <c r="I7" s="246" t="n">
        <v>1068</v>
      </c>
      <c r="N7" s="540" t="inlineStr">
        <is>
          <t>frozen from [3] 240614 Pipe &amp; Fittings Price Comparison (Jun-2024 cache) - link severed 26/07/26; &gt;=2yr old at 2027 start - Phase 5 re-source pending</t>
        </is>
      </c>
    </row>
    <row r="8">
      <c r="A8" s="247" t="inlineStr">
        <is>
          <t>32 HDPE PN16 SDR11 - BLUELINE</t>
        </is>
      </c>
      <c r="B8" s="246" t="inlineStr">
        <is>
          <t>m</t>
        </is>
      </c>
      <c r="D8" s="659" t="n">
        <v>1.2159</v>
      </c>
      <c r="F8" s="612">
        <f>I8*D8</f>
        <v/>
      </c>
      <c r="G8" s="660" t="n"/>
      <c r="I8" s="246" t="n">
        <v>100</v>
      </c>
      <c r="N8" s="540" t="inlineStr">
        <is>
          <t>frozen from [3] 240614 Pipe &amp; Fittings Price Comparison (Jun-2024 cache) - link severed 26/07/26; &gt;=2yr old at 2027 start - Phase 5 re-source pending</t>
        </is>
      </c>
    </row>
    <row r="9" ht="7.95" customHeight="1">
      <c r="A9" s="247" t="n"/>
      <c r="B9" s="247" t="n"/>
      <c r="D9" s="659" t="n"/>
      <c r="G9" s="660" t="n"/>
      <c r="I9" s="247" t="n"/>
    </row>
    <row r="10">
      <c r="A10" s="247" t="inlineStr">
        <is>
          <t>200 EF Coupler</t>
        </is>
      </c>
      <c r="B10" s="246" t="inlineStr">
        <is>
          <t>ea</t>
        </is>
      </c>
      <c r="D10" s="659" t="n">
        <v>44.06</v>
      </c>
      <c r="F10" s="612">
        <f>I10*D10</f>
        <v/>
      </c>
      <c r="G10" s="497" t="inlineStr">
        <is>
          <t>COMPLETED don’t edit</t>
        </is>
      </c>
      <c r="I10" s="246" t="n">
        <v>30</v>
      </c>
      <c r="N10" s="540" t="inlineStr">
        <is>
          <t>frozen from [3] 240614 Pipe &amp; Fittings Price Comparison (Jun-2024 cache) - link severed 26/07/26; &gt;=2yr old at 2027 start - Phase 5 re-source pending</t>
        </is>
      </c>
    </row>
    <row r="11">
      <c r="A11" s="247" t="inlineStr">
        <is>
          <t>180 EF Coupler</t>
        </is>
      </c>
      <c r="B11" s="246" t="inlineStr">
        <is>
          <t>ea</t>
        </is>
      </c>
      <c r="D11" s="659" t="n">
        <v>25.72</v>
      </c>
      <c r="F11" s="612">
        <f>I11*D11</f>
        <v/>
      </c>
      <c r="G11" s="660" t="n"/>
      <c r="I11" s="246" t="n">
        <v>200</v>
      </c>
      <c r="N11" s="540" t="inlineStr">
        <is>
          <t>frozen from [3] 240614 Pipe &amp; Fittings Price Comparison (Jun-2024 cache) - link severed 26/07/26; &gt;=2yr old at 2027 start - Phase 5 re-source pending</t>
        </is>
      </c>
    </row>
    <row r="12">
      <c r="A12" s="247" t="inlineStr">
        <is>
          <t>125 EF Coupler</t>
        </is>
      </c>
      <c r="B12" s="246" t="inlineStr">
        <is>
          <t>ea</t>
        </is>
      </c>
      <c r="D12" s="659" t="n">
        <v>14.11</v>
      </c>
      <c r="F12" s="612">
        <f>I12*D12</f>
        <v/>
      </c>
      <c r="G12" s="660" t="n"/>
      <c r="I12" s="246" t="n">
        <v>100</v>
      </c>
      <c r="N12" s="540" t="inlineStr">
        <is>
          <t>frozen from [3] 240614 Pipe &amp; Fittings Price Comparison (Jun-2024 cache) - link severed 26/07/26; &gt;=2yr old at 2027 start - Phase 5 re-source pending</t>
        </is>
      </c>
    </row>
    <row r="13">
      <c r="A13" s="247" t="inlineStr">
        <is>
          <t>200 EF 45DFeg Bend</t>
        </is>
      </c>
      <c r="B13" s="246" t="inlineStr">
        <is>
          <t>ea</t>
        </is>
      </c>
      <c r="D13" s="659" t="n">
        <v>109.16</v>
      </c>
      <c r="F13" s="612">
        <f>I13*D13</f>
        <v/>
      </c>
      <c r="G13" s="660" t="n"/>
      <c r="I13" s="246" t="n">
        <v>2</v>
      </c>
      <c r="N13" s="540" t="inlineStr">
        <is>
          <t>frozen from [3] 240614 Pipe &amp; Fittings Price Comparison (Jun-2024 cache) - link severed 26/07/26; &gt;=2yr old at 2027 start - Phase 5 re-source pending</t>
        </is>
      </c>
    </row>
    <row r="14">
      <c r="A14" s="247" t="inlineStr">
        <is>
          <t>180 EF 45DFeg Bend</t>
        </is>
      </c>
      <c r="B14" s="246" t="inlineStr">
        <is>
          <t>ea</t>
        </is>
      </c>
      <c r="D14" s="659" t="n">
        <v>97.97</v>
      </c>
      <c r="F14" s="612">
        <f>I14*D14</f>
        <v/>
      </c>
      <c r="G14" s="660" t="n"/>
      <c r="I14" s="246" t="n">
        <v>130</v>
      </c>
      <c r="N14" s="540" t="inlineStr">
        <is>
          <t>frozen from [3] 240614 Pipe &amp; Fittings Price Comparison (Jun-2024 cache) - link severed 26/07/26; &gt;=2yr old at 2027 start - Phase 5 re-source pending</t>
        </is>
      </c>
    </row>
    <row r="15">
      <c r="A15" s="247" t="inlineStr">
        <is>
          <t>125 EF 45DFeg Bend</t>
        </is>
      </c>
      <c r="B15" s="246" t="inlineStr">
        <is>
          <t>ea</t>
        </is>
      </c>
      <c r="D15" s="659" t="n">
        <v>44.69</v>
      </c>
      <c r="F15" s="612">
        <f>I15*D15</f>
        <v/>
      </c>
      <c r="G15" s="497" t="inlineStr">
        <is>
          <t>COMPLETED don’t edit</t>
        </is>
      </c>
      <c r="I15" s="246" t="n">
        <v>25</v>
      </c>
      <c r="N15" s="540" t="inlineStr">
        <is>
          <t>frozen from [3] 240614 Pipe &amp; Fittings Price Comparison (Jun-2024 cache) - link severed 26/07/26; &gt;=2yr old at 2027 start - Phase 5 re-source pending</t>
        </is>
      </c>
    </row>
    <row r="16">
      <c r="A16" s="247" t="inlineStr">
        <is>
          <t>200 EF 90DFeg Bend</t>
        </is>
      </c>
      <c r="B16" s="246" t="inlineStr">
        <is>
          <t>ea</t>
        </is>
      </c>
      <c r="D16" s="659" t="n">
        <v>109.16</v>
      </c>
      <c r="F16" s="612">
        <f>I16*D16</f>
        <v/>
      </c>
      <c r="G16" s="660" t="n"/>
      <c r="I16" s="246" t="n">
        <v>6</v>
      </c>
      <c r="N16" s="540" t="inlineStr">
        <is>
          <t>frozen from [3] 240614 Pipe &amp; Fittings Price Comparison (Jun-2024 cache) - link severed 26/07/26; &gt;=2yr old at 2027 start - Phase 5 re-source pending</t>
        </is>
      </c>
    </row>
    <row r="17">
      <c r="A17" s="247" t="inlineStr">
        <is>
          <t>180 EF 90DFeg Bend</t>
        </is>
      </c>
      <c r="B17" s="246" t="inlineStr">
        <is>
          <t>ea</t>
        </is>
      </c>
      <c r="D17" s="659" t="n">
        <v>97.81</v>
      </c>
      <c r="F17" s="612">
        <f>I17*D17</f>
        <v/>
      </c>
      <c r="G17" s="660" t="n"/>
      <c r="I17" s="246" t="n">
        <v>80</v>
      </c>
      <c r="N17" s="540" t="inlineStr">
        <is>
          <t>frozen from [3] 240614 Pipe &amp; Fittings Price Comparison (Jun-2024 cache) - link severed 26/07/26; &gt;=2yr old at 2027 start - Phase 5 re-source pending</t>
        </is>
      </c>
    </row>
    <row r="18">
      <c r="A18" s="247" t="inlineStr">
        <is>
          <t>125 EF 90DFeg Bend</t>
        </is>
      </c>
      <c r="B18" s="246" t="inlineStr">
        <is>
          <t>ea</t>
        </is>
      </c>
      <c r="D18" s="659" t="n">
        <v>44.65</v>
      </c>
      <c r="F18" s="612">
        <f>I18*D18</f>
        <v/>
      </c>
      <c r="G18" s="660" t="n"/>
      <c r="I18" s="246" t="n">
        <v>80</v>
      </c>
      <c r="N18" s="540" t="inlineStr">
        <is>
          <t>frozen from [3] 240614 Pipe &amp; Fittings Price Comparison (Jun-2024 cache) - link severed 26/07/26; &gt;=2yr old at 2027 start - Phase 5 re-source pending</t>
        </is>
      </c>
    </row>
    <row r="19">
      <c r="A19" s="247" t="inlineStr">
        <is>
          <t>200 EF TEE</t>
        </is>
      </c>
      <c r="B19" s="246" t="inlineStr">
        <is>
          <t>ea</t>
        </is>
      </c>
      <c r="D19" s="659" t="n">
        <v>109.75</v>
      </c>
      <c r="F19" s="612">
        <f>I19*D19</f>
        <v/>
      </c>
      <c r="G19" s="660" t="n"/>
      <c r="I19" s="246" t="n">
        <v>3</v>
      </c>
      <c r="N19" s="540" t="inlineStr">
        <is>
          <t>frozen from [3] 240614 Pipe &amp; Fittings Price Comparison (Jun-2024 cache) - link severed 26/07/26; &gt;=2yr old at 2027 start - Phase 5 re-source pending</t>
        </is>
      </c>
    </row>
    <row r="20">
      <c r="A20" s="247" t="inlineStr">
        <is>
          <t>180 EF TEE</t>
        </is>
      </c>
      <c r="B20" s="246" t="inlineStr">
        <is>
          <t>ea</t>
        </is>
      </c>
      <c r="D20" s="659" t="n">
        <v>114.28</v>
      </c>
      <c r="F20" s="612">
        <f>I20*D20</f>
        <v/>
      </c>
      <c r="G20" s="497" t="inlineStr">
        <is>
          <t>COMPLETED don’t edit</t>
        </is>
      </c>
      <c r="I20" s="246" t="n">
        <v>40</v>
      </c>
      <c r="N20" s="540" t="inlineStr">
        <is>
          <t>frozen from [3] 240614 Pipe &amp; Fittings Price Comparison (Jun-2024 cache) - link severed 26/07/26; &gt;=2yr old at 2027 start - Phase 5 re-source pending</t>
        </is>
      </c>
    </row>
    <row r="21">
      <c r="A21" s="247" t="inlineStr">
        <is>
          <t>125 EF TEE</t>
        </is>
      </c>
      <c r="B21" s="246" t="inlineStr">
        <is>
          <t>ea</t>
        </is>
      </c>
      <c r="D21" s="659" t="n">
        <v>49.25</v>
      </c>
      <c r="F21" s="612">
        <f>I21*D21</f>
        <v/>
      </c>
      <c r="G21" s="660" t="n"/>
      <c r="I21" s="246" t="n">
        <v>1</v>
      </c>
      <c r="N21" s="540" t="inlineStr">
        <is>
          <t>frozen from [3] 240614 Pipe &amp; Fittings Price Comparison (Jun-2024 cache) - link severed 26/07/26; &gt;=2yr old at 2027 start - Phase 5 re-source pending</t>
        </is>
      </c>
    </row>
    <row r="22">
      <c r="A22" s="247" t="inlineStr">
        <is>
          <t>200*180 EF TEE</t>
        </is>
      </c>
      <c r="B22" s="246" t="inlineStr">
        <is>
          <t>ea</t>
        </is>
      </c>
      <c r="D22" s="659" t="n">
        <v>209.47</v>
      </c>
      <c r="F22" s="612">
        <f>I22*D22</f>
        <v/>
      </c>
      <c r="G22" s="660" t="n"/>
      <c r="I22" s="246" t="n">
        <v>2</v>
      </c>
      <c r="N22" s="540" t="inlineStr">
        <is>
          <t>frozen from [3] 240614 Pipe &amp; Fittings Price Comparison (Jun-2024 cache) - link severed 26/07/26; &gt;=2yr old at 2027 start - Phase 5 re-source pending</t>
        </is>
      </c>
    </row>
    <row r="23">
      <c r="A23" s="247" t="inlineStr">
        <is>
          <t>200*125 EF TEE</t>
        </is>
      </c>
      <c r="B23" s="246" t="inlineStr">
        <is>
          <t>ea</t>
        </is>
      </c>
      <c r="D23" s="659" t="n">
        <v>218.42</v>
      </c>
      <c r="F23" s="612">
        <f>I23*D23</f>
        <v/>
      </c>
      <c r="G23" s="660" t="n"/>
      <c r="I23" s="246" t="n">
        <v>2</v>
      </c>
      <c r="N23" s="540" t="inlineStr">
        <is>
          <t>frozen from [3] 240614 Pipe &amp; Fittings Price Comparison (Jun-2024 cache) - link severed 26/07/26; &gt;=2yr old at 2027 start - Phase 5 re-source pending</t>
        </is>
      </c>
    </row>
    <row r="24">
      <c r="A24" s="247" t="inlineStr">
        <is>
          <t>180*125 EF TEE</t>
        </is>
      </c>
      <c r="B24" s="246" t="inlineStr">
        <is>
          <t>ea</t>
        </is>
      </c>
      <c r="D24" s="659" t="n">
        <v>122.13</v>
      </c>
      <c r="F24" s="612">
        <f>I24*D24</f>
        <v/>
      </c>
      <c r="G24" s="660" t="n"/>
      <c r="I24" s="246" t="n">
        <v>40</v>
      </c>
      <c r="N24" s="540" t="inlineStr">
        <is>
          <t>frozen from [3] 240614 Pipe &amp; Fittings Price Comparison (Jun-2024 cache) - link severed 26/07/26; &gt;=2yr old at 2027 start - Phase 5 re-source pending</t>
        </is>
      </c>
    </row>
    <row r="25">
      <c r="A25" s="247" t="inlineStr">
        <is>
          <t>200*180 EF Reducer</t>
        </is>
      </c>
      <c r="B25" s="246" t="inlineStr">
        <is>
          <t>ea</t>
        </is>
      </c>
      <c r="D25" s="659" t="n">
        <v>125.62</v>
      </c>
      <c r="F25" s="612">
        <f>I25*D25</f>
        <v/>
      </c>
      <c r="G25" s="497" t="inlineStr">
        <is>
          <t>COMPLETED don’t edit</t>
        </is>
      </c>
      <c r="I25" s="246" t="n">
        <v>4</v>
      </c>
      <c r="N25" s="540" t="inlineStr">
        <is>
          <t>frozen from [3] 240614 Pipe &amp; Fittings Price Comparison (Jun-2024 cache) - link severed 26/07/26; &gt;=2yr old at 2027 start - Phase 5 re-source pending</t>
        </is>
      </c>
    </row>
    <row r="26">
      <c r="A26" s="247" t="inlineStr">
        <is>
          <t>180*125 EF Reducer</t>
        </is>
      </c>
      <c r="B26" s="246" t="inlineStr">
        <is>
          <t>ea</t>
        </is>
      </c>
      <c r="D26" s="659" t="n">
        <v>60.1</v>
      </c>
      <c r="F26" s="612">
        <f>I26*D26</f>
        <v/>
      </c>
      <c r="G26" s="660" t="n"/>
      <c r="I26" s="246" t="n">
        <v>20</v>
      </c>
      <c r="N26" s="540" t="inlineStr">
        <is>
          <t>frozen from [3] 240614 Pipe &amp; Fittings Price Comparison (Jun-2024 cache) - link severed 26/07/26; &gt;=2yr old at 2027 start - Phase 5 re-source pending</t>
        </is>
      </c>
    </row>
    <row r="27">
      <c r="A27" s="247" t="inlineStr">
        <is>
          <t>200PE*8"(200m) - MaxiStub W/Backing Ring</t>
        </is>
      </c>
      <c r="B27" s="246" t="inlineStr">
        <is>
          <t>ea</t>
        </is>
      </c>
      <c r="D27" s="659" t="n">
        <v>342.35</v>
      </c>
      <c r="F27" s="612">
        <f>I27*D27</f>
        <v/>
      </c>
      <c r="G27" s="660" t="n"/>
      <c r="I27" s="246" t="n">
        <v>10</v>
      </c>
      <c r="N27" s="540" t="inlineStr">
        <is>
          <t>frozen from [3] 240614 Pipe &amp; Fittings Price Comparison (Jun-2024 cache) - link severed 26/07/26; &gt;=2yr old at 2027 start - Phase 5 re-source pending</t>
        </is>
      </c>
    </row>
    <row r="28">
      <c r="A28" s="247" t="inlineStr">
        <is>
          <t>180PE*6"(150mm) - MaxiStub W/Backing Ring</t>
        </is>
      </c>
      <c r="B28" s="246" t="inlineStr">
        <is>
          <t>ea</t>
        </is>
      </c>
      <c r="D28" s="659" t="n">
        <v>129.77</v>
      </c>
      <c r="F28" s="612">
        <f>I28*D28</f>
        <v/>
      </c>
      <c r="G28" s="660" t="n"/>
      <c r="I28" s="246" t="n">
        <v>60</v>
      </c>
      <c r="N28" s="540" t="inlineStr">
        <is>
          <t>frozen from [3] 240614 Pipe &amp; Fittings Price Comparison (Jun-2024 cache) - link severed 26/07/26; &gt;=2yr old at 2027 start - Phase 5 re-source pending</t>
        </is>
      </c>
    </row>
    <row r="29">
      <c r="A29" s="247" t="inlineStr">
        <is>
          <t>125PE*4" (100mm) - MaxiStub W/Backing Ring</t>
        </is>
      </c>
      <c r="B29" s="246" t="inlineStr">
        <is>
          <t>ea</t>
        </is>
      </c>
      <c r="D29" s="659" t="n">
        <v>92.67</v>
      </c>
      <c r="F29" s="612">
        <f>I29*D29</f>
        <v/>
      </c>
      <c r="G29" s="660" t="n"/>
      <c r="I29" s="246" t="n">
        <v>20</v>
      </c>
      <c r="N29" s="540" t="inlineStr">
        <is>
          <t>frozen from [3] 240614 Pipe &amp; Fittings Price Comparison (Jun-2024 cache) - link severed 26/07/26; &gt;=2yr old at 2027 start - Phase 5 re-source pending</t>
        </is>
      </c>
    </row>
    <row r="30">
      <c r="A30" s="247" t="inlineStr">
        <is>
          <t xml:space="preserve">180mm PE x 150mm GALV ADAPTER - PLASSON Brand </t>
        </is>
      </c>
      <c r="B30" s="246" t="inlineStr">
        <is>
          <t>ea</t>
        </is>
      </c>
      <c r="D30" s="661" t="n">
        <v>313.19</v>
      </c>
      <c r="F30" s="612">
        <f>I30*D30</f>
        <v/>
      </c>
      <c r="G30" s="497" t="inlineStr">
        <is>
          <t>COMPLETED don’t edit</t>
        </is>
      </c>
      <c r="I30" s="246" t="n">
        <v>10</v>
      </c>
      <c r="N30" s="540" t="inlineStr">
        <is>
          <t>frozen from [3] 240614 Pipe &amp; Fittings Price Comparison (Jun-2024 cache) - link severed 26/07/26; &gt;=2yr old at 2027 start - Phase 5 re-source pending</t>
        </is>
      </c>
    </row>
    <row r="31">
      <c r="A31" s="247" t="inlineStr">
        <is>
          <t xml:space="preserve">125mm PE x 100mm GALV ADAPTER - PLASSON Brand </t>
        </is>
      </c>
      <c r="B31" s="246" t="inlineStr">
        <is>
          <t>ea</t>
        </is>
      </c>
      <c r="D31" s="661" t="n">
        <v>204.11</v>
      </c>
      <c r="F31" s="612">
        <f>I31*D31</f>
        <v/>
      </c>
      <c r="G31" s="660" t="n"/>
      <c r="I31" s="246" t="n">
        <v>50</v>
      </c>
      <c r="N31" s="540" t="inlineStr">
        <is>
          <t>frozen from [3] 240614 Pipe &amp; Fittings Price Comparison (Jun-2024 cache) - link severed 26/07/26; &gt;=2yr old at 2027 start - Phase 5 re-source pending</t>
        </is>
      </c>
    </row>
    <row r="32" ht="6.6" customHeight="1">
      <c r="A32" s="247" t="n"/>
      <c r="B32" s="247" t="n"/>
      <c r="G32" s="660" t="n"/>
      <c r="I32" s="247" t="n"/>
    </row>
    <row r="33">
      <c r="A33" t="inlineStr">
        <is>
          <t>180mm PE x 150mm GALV ADAPTER</t>
        </is>
      </c>
      <c r="B33" s="291" t="inlineStr">
        <is>
          <t>ea</t>
        </is>
      </c>
      <c r="D33" s="661" t="n">
        <v>315.71</v>
      </c>
      <c r="F33" s="612">
        <f>I33*D33</f>
        <v/>
      </c>
      <c r="G33" s="660" t="n"/>
      <c r="I33" s="291" t="n">
        <v>10</v>
      </c>
      <c r="N33" s="540" t="inlineStr">
        <is>
          <t>frozen from [3] 240614 Pipe &amp; Fittings Price Comparison (Jun-2024 cache) - link severed 26/07/26; &gt;=2yr old at 2027 start - Phase 5 re-source pending</t>
        </is>
      </c>
    </row>
    <row r="34">
      <c r="A34" t="inlineStr">
        <is>
          <t>125mm PE x 100mm GALV ADAPTER</t>
        </is>
      </c>
      <c r="B34" s="291" t="inlineStr">
        <is>
          <t>ea</t>
        </is>
      </c>
      <c r="D34" s="661" t="n">
        <v>201.43</v>
      </c>
      <c r="F34" s="612">
        <f>I34*D34</f>
        <v/>
      </c>
      <c r="G34" s="660" t="n"/>
      <c r="I34" s="291" t="n">
        <v>50</v>
      </c>
      <c r="N34" s="540" t="inlineStr">
        <is>
          <t>frozen from [3] 240614 Pipe &amp; Fittings Price Comparison (Jun-2024 cache) - link severed 26/07/26; &gt;=2yr old at 2027 start - Phase 5 re-source pending</t>
        </is>
      </c>
    </row>
    <row r="35">
      <c r="A35" s="247" t="inlineStr">
        <is>
          <t>200 Long SPIG 45DFeg Bend</t>
        </is>
      </c>
      <c r="B35" s="246" t="inlineStr">
        <is>
          <t>ea</t>
        </is>
      </c>
      <c r="D35" s="661" t="n">
        <v>68.54000000000001</v>
      </c>
      <c r="F35" s="612">
        <f>I35*D35</f>
        <v/>
      </c>
      <c r="G35" s="497" t="inlineStr">
        <is>
          <t>COMPLETED don’t edit</t>
        </is>
      </c>
      <c r="I35" s="246" t="n">
        <v>2</v>
      </c>
      <c r="N35" s="540" t="inlineStr">
        <is>
          <t>frozen from [3] 240614 Pipe &amp; Fittings Price Comparison (Jun-2024 cache) - link severed 26/07/26; &gt;=2yr old at 2027 start - Phase 5 re-source pending</t>
        </is>
      </c>
    </row>
    <row r="36">
      <c r="A36" s="247" t="inlineStr">
        <is>
          <t>180 Long SPIG 45DFeg Bend</t>
        </is>
      </c>
      <c r="B36" s="246" t="inlineStr">
        <is>
          <t>ea</t>
        </is>
      </c>
      <c r="D36" s="661" t="n">
        <v>64.45999999999999</v>
      </c>
      <c r="F36" s="612">
        <f>I36*D36</f>
        <v/>
      </c>
      <c r="G36" s="660" t="n"/>
      <c r="I36" s="246" t="n">
        <v>130</v>
      </c>
      <c r="N36" s="540" t="inlineStr">
        <is>
          <t>frozen from [3] 240614 Pipe &amp; Fittings Price Comparison (Jun-2024 cache) - link severed 26/07/26; &gt;=2yr old at 2027 start - Phase 5 re-source pending</t>
        </is>
      </c>
    </row>
    <row r="37">
      <c r="A37" s="247" t="inlineStr">
        <is>
          <t>125 Long SPIG 45DFeg Bend</t>
        </is>
      </c>
      <c r="B37" s="246" t="inlineStr">
        <is>
          <t>ea</t>
        </is>
      </c>
      <c r="D37" s="661" t="n">
        <v>38.76</v>
      </c>
      <c r="F37" s="612">
        <f>I37*D37</f>
        <v/>
      </c>
      <c r="G37" s="660" t="n"/>
      <c r="I37" s="246" t="n">
        <v>25</v>
      </c>
      <c r="N37" s="540" t="inlineStr">
        <is>
          <t>frozen from [3] 240614 Pipe &amp; Fittings Price Comparison (Jun-2024 cache) - link severed 26/07/26; &gt;=2yr old at 2027 start - Phase 5 re-source pending</t>
        </is>
      </c>
    </row>
    <row r="38">
      <c r="A38" s="247" t="inlineStr">
        <is>
          <t>200 Long SPIG 90DFeg Bend</t>
        </is>
      </c>
      <c r="B38" s="246" t="inlineStr">
        <is>
          <t>ea</t>
        </is>
      </c>
      <c r="D38" s="661" t="n">
        <v>86.17</v>
      </c>
      <c r="F38" s="612">
        <f>I38*D38</f>
        <v/>
      </c>
      <c r="G38" s="660" t="n"/>
      <c r="I38" s="246" t="n">
        <v>6</v>
      </c>
      <c r="N38" s="540" t="inlineStr">
        <is>
          <t>frozen from [3] 240614 Pipe &amp; Fittings Price Comparison (Jun-2024 cache) - link severed 26/07/26; &gt;=2yr old at 2027 start - Phase 5 re-source pending</t>
        </is>
      </c>
    </row>
    <row r="39">
      <c r="A39" s="247" t="inlineStr">
        <is>
          <t>180 Long SPIG 90DFeg Bend</t>
        </is>
      </c>
      <c r="B39" s="246" t="inlineStr">
        <is>
          <t>ea</t>
        </is>
      </c>
      <c r="D39" s="661" t="n">
        <v>68.11</v>
      </c>
      <c r="F39" s="612">
        <f>I39*D39</f>
        <v/>
      </c>
      <c r="G39" s="660" t="n"/>
      <c r="I39" s="246" t="n">
        <v>80</v>
      </c>
      <c r="N39" s="540" t="inlineStr">
        <is>
          <t>frozen from [3] 240614 Pipe &amp; Fittings Price Comparison (Jun-2024 cache) - link severed 26/07/26; &gt;=2yr old at 2027 start - Phase 5 re-source pending</t>
        </is>
      </c>
    </row>
    <row r="40">
      <c r="A40" s="247" t="inlineStr">
        <is>
          <t>125 Long SPIG 90DFeg Bend</t>
        </is>
      </c>
      <c r="B40" s="246" t="inlineStr">
        <is>
          <t>ea</t>
        </is>
      </c>
      <c r="D40" s="661" t="n">
        <v>31.65</v>
      </c>
      <c r="F40" s="612">
        <f>I40*D40</f>
        <v/>
      </c>
      <c r="G40" s="497" t="inlineStr">
        <is>
          <t>COMPLETED don’t edit</t>
        </is>
      </c>
      <c r="I40" s="246" t="n">
        <v>80</v>
      </c>
      <c r="N40" s="540" t="inlineStr">
        <is>
          <t>frozen from [3] 240614 Pipe &amp; Fittings Price Comparison (Jun-2024 cache) - link severed 26/07/26; &gt;=2yr old at 2027 start - Phase 5 re-source pending</t>
        </is>
      </c>
    </row>
    <row r="41">
      <c r="A41" s="247" t="inlineStr">
        <is>
          <t>200 Long SPIG TEE</t>
        </is>
      </c>
      <c r="B41" s="246" t="inlineStr">
        <is>
          <t>ea</t>
        </is>
      </c>
      <c r="D41" s="661" t="n">
        <v>127.64</v>
      </c>
      <c r="F41" s="612">
        <f>I41*D41</f>
        <v/>
      </c>
      <c r="G41" s="660" t="n"/>
      <c r="I41" s="246" t="n">
        <v>3</v>
      </c>
      <c r="N41" s="540" t="inlineStr">
        <is>
          <t>frozen from [3] 240614 Pipe &amp; Fittings Price Comparison (Jun-2024 cache) - link severed 26/07/26; &gt;=2yr old at 2027 start - Phase 5 re-source pending</t>
        </is>
      </c>
    </row>
    <row r="42">
      <c r="A42" s="247" t="inlineStr">
        <is>
          <t>180 Long SPIG TEE</t>
        </is>
      </c>
      <c r="B42" s="246" t="inlineStr">
        <is>
          <t>ea</t>
        </is>
      </c>
      <c r="D42" s="661" t="n">
        <v>114.22</v>
      </c>
      <c r="F42" s="612">
        <f>I42*D42</f>
        <v/>
      </c>
      <c r="G42" s="660" t="n"/>
      <c r="I42" s="246" t="n">
        <v>40</v>
      </c>
      <c r="N42" s="540" t="inlineStr">
        <is>
          <t>frozen from [3] 240614 Pipe &amp; Fittings Price Comparison (Jun-2024 cache) - link severed 26/07/26; &gt;=2yr old at 2027 start - Phase 5 re-source pending</t>
        </is>
      </c>
    </row>
    <row r="43">
      <c r="A43" s="247" t="inlineStr">
        <is>
          <t>125 Long SPIG TEE</t>
        </is>
      </c>
      <c r="B43" s="246" t="inlineStr">
        <is>
          <t>ea</t>
        </is>
      </c>
      <c r="D43" s="661" t="n">
        <v>38.26</v>
      </c>
      <c r="F43" s="612">
        <f>I43*D43</f>
        <v/>
      </c>
      <c r="G43" s="660" t="n"/>
      <c r="I43" s="246" t="n">
        <v>1</v>
      </c>
      <c r="N43" s="540" t="inlineStr">
        <is>
          <t>frozen from [3] 240614 Pipe &amp; Fittings Price Comparison (Jun-2024 cache) - link severed 26/07/26; &gt;=2yr old at 2027 start - Phase 5 re-source pending</t>
        </is>
      </c>
    </row>
    <row r="44">
      <c r="A44" s="247" t="inlineStr">
        <is>
          <t>200*180 Long SPIG TEE</t>
        </is>
      </c>
      <c r="B44" s="246" t="inlineStr">
        <is>
          <t>ea</t>
        </is>
      </c>
      <c r="D44" s="661" t="n">
        <v>183.48</v>
      </c>
      <c r="F44" s="612">
        <f>I44*D44</f>
        <v/>
      </c>
      <c r="G44" s="660" t="n"/>
      <c r="I44" s="246" t="n">
        <v>2</v>
      </c>
      <c r="N44" s="540" t="inlineStr">
        <is>
          <t>frozen from [3] 240614 Pipe &amp; Fittings Price Comparison (Jun-2024 cache) - link severed 26/07/26; &gt;=2yr old at 2027 start - Phase 5 re-source pending</t>
        </is>
      </c>
    </row>
    <row r="45">
      <c r="A45" s="247" t="inlineStr">
        <is>
          <t>200*125 Long SPIG TEE</t>
        </is>
      </c>
      <c r="B45" s="246" t="inlineStr">
        <is>
          <t>ea</t>
        </is>
      </c>
      <c r="D45" s="661" t="n">
        <v>192.43</v>
      </c>
      <c r="F45" s="612">
        <f>I45*D45</f>
        <v/>
      </c>
      <c r="G45" s="497" t="inlineStr">
        <is>
          <t>COMPLETED don’t edit</t>
        </is>
      </c>
      <c r="I45" s="246" t="n">
        <v>2</v>
      </c>
      <c r="N45" s="540" t="inlineStr">
        <is>
          <t>frozen from [3] 240614 Pipe &amp; Fittings Price Comparison (Jun-2024 cache) - link severed 26/07/26; &gt;=2yr old at 2027 start - Phase 5 re-source pending</t>
        </is>
      </c>
    </row>
    <row r="46">
      <c r="A46" s="247" t="inlineStr">
        <is>
          <t>180*125 Long SPIG TEE</t>
        </is>
      </c>
      <c r="B46" s="246" t="inlineStr">
        <is>
          <t>ea</t>
        </is>
      </c>
      <c r="D46" s="661" t="n">
        <v>185.71</v>
      </c>
      <c r="F46" s="612">
        <f>I46*D46</f>
        <v/>
      </c>
      <c r="G46" s="660" t="n"/>
      <c r="I46" s="246" t="n">
        <v>40</v>
      </c>
      <c r="N46" s="540" t="inlineStr">
        <is>
          <t>frozen from [3] 240614 Pipe &amp; Fittings Price Comparison (Jun-2024 cache) - link severed 26/07/26; &gt;=2yr old at 2027 start - Phase 5 re-source pending</t>
        </is>
      </c>
    </row>
    <row r="47">
      <c r="A47" s="247" t="inlineStr">
        <is>
          <t>200*180 Long SPIG Reducer</t>
        </is>
      </c>
      <c r="B47" s="246" t="inlineStr">
        <is>
          <t>ea</t>
        </is>
      </c>
      <c r="D47" s="661" t="n">
        <v>55.84</v>
      </c>
      <c r="F47" s="612">
        <f>I47*D47</f>
        <v/>
      </c>
      <c r="G47" s="660" t="n"/>
      <c r="I47" s="246" t="n">
        <v>4</v>
      </c>
      <c r="N47" s="540" t="inlineStr">
        <is>
          <t>frozen from [3] 240614 Pipe &amp; Fittings Price Comparison (Jun-2024 cache) - link severed 26/07/26; &gt;=2yr old at 2027 start - Phase 5 re-source pending</t>
        </is>
      </c>
    </row>
    <row r="48">
      <c r="A48" s="247" t="inlineStr">
        <is>
          <t>180*125 Long SPIG Reducer</t>
        </is>
      </c>
      <c r="B48" s="246" t="inlineStr">
        <is>
          <t>ea</t>
        </is>
      </c>
      <c r="D48" s="661" t="n">
        <v>39.83</v>
      </c>
      <c r="F48" s="612">
        <f>I48*D48</f>
        <v/>
      </c>
      <c r="G48" s="660" t="n"/>
      <c r="I48" s="246" t="n">
        <v>20</v>
      </c>
      <c r="N48" s="540" t="inlineStr">
        <is>
          <t>frozen from [3] 240614 Pipe &amp; Fittings Price Comparison (Jun-2024 cache) - link severed 26/07/26; &gt;=2yr old at 2027 start - Phase 5 re-source pending</t>
        </is>
      </c>
    </row>
    <row r="49" ht="7.2" customHeight="1">
      <c r="A49" s="247" t="n"/>
      <c r="B49" s="247" t="n"/>
      <c r="D49" s="661" t="n">
        <v>0</v>
      </c>
      <c r="G49" s="660" t="n"/>
      <c r="I49" s="247" t="n"/>
      <c r="N49" s="540" t="inlineStr">
        <is>
          <t>frozen from [3] 240614 Pipe &amp; Fittings Price Comparison (Jun-2024 cache) - link severed 26/07/26; &gt;=2yr old at 2027 start - Phase 5 re-source pending</t>
        </is>
      </c>
    </row>
    <row r="50">
      <c r="A50" s="247" t="inlineStr">
        <is>
          <t>200 FL DICL Sluice Valve</t>
        </is>
      </c>
      <c r="B50" s="246" t="inlineStr">
        <is>
          <t>ea</t>
        </is>
      </c>
      <c r="D50" s="661" t="n">
        <v>679.41</v>
      </c>
      <c r="F50" s="612">
        <f>I50*D50</f>
        <v/>
      </c>
      <c r="G50" s="497" t="inlineStr">
        <is>
          <t>COMPLETED don’t edit</t>
        </is>
      </c>
      <c r="I50" s="246" t="n">
        <v>6</v>
      </c>
      <c r="N50" s="540" t="inlineStr">
        <is>
          <t>frozen from [3] 240614 Pipe &amp; Fittings Price Comparison (Jun-2024 cache) - link severed 26/07/26; &gt;=2yr old at 2027 start - Phase 5 re-source pending</t>
        </is>
      </c>
    </row>
    <row r="51">
      <c r="A51" s="247" t="inlineStr">
        <is>
          <t>150 FL DICL Sluice Valve</t>
        </is>
      </c>
      <c r="B51" s="246" t="inlineStr">
        <is>
          <t>ea</t>
        </is>
      </c>
      <c r="D51" s="661" t="n">
        <v>323.53</v>
      </c>
      <c r="F51" s="612">
        <f>I51*D51</f>
        <v/>
      </c>
      <c r="G51" s="660" t="n"/>
      <c r="I51" s="246" t="n">
        <v>60</v>
      </c>
      <c r="N51" s="540" t="inlineStr">
        <is>
          <t>frozen from [3] 240614 Pipe &amp; Fittings Price Comparison (Jun-2024 cache) - link severed 26/07/26; &gt;=2yr old at 2027 start - Phase 5 re-source pending</t>
        </is>
      </c>
    </row>
    <row r="52">
      <c r="A52" s="247" t="inlineStr">
        <is>
          <t>100 FL DICL Sluice Valve</t>
        </is>
      </c>
      <c r="B52" s="246" t="inlineStr">
        <is>
          <t>ea</t>
        </is>
      </c>
      <c r="D52" s="661" t="n">
        <v>202.94</v>
      </c>
      <c r="F52" s="612">
        <f>I52*D52</f>
        <v/>
      </c>
      <c r="G52" s="660" t="n"/>
      <c r="I52" s="246" t="n">
        <v>30</v>
      </c>
      <c r="N52" s="540" t="inlineStr">
        <is>
          <t>frozen from [3] 240614 Pipe &amp; Fittings Price Comparison (Jun-2024 cache) - link severed 26/07/26; &gt;=2yr old at 2027 start - Phase 5 re-source pending</t>
        </is>
      </c>
    </row>
    <row r="53">
      <c r="A53" s="247" t="inlineStr">
        <is>
          <t>Valve Spindle Riser - 600Long</t>
        </is>
      </c>
      <c r="B53" s="246" t="inlineStr">
        <is>
          <t>ea</t>
        </is>
      </c>
      <c r="D53" s="661" t="n">
        <v>136.94</v>
      </c>
      <c r="F53" s="612">
        <f>I53*D53</f>
        <v/>
      </c>
      <c r="G53" s="660" t="n"/>
      <c r="I53" s="246" t="n">
        <v>96</v>
      </c>
      <c r="N53" s="540" t="inlineStr">
        <is>
          <t>frozen from [3] 240614 Pipe &amp; Fittings Price Comparison (Jun-2024 cache) - link severed 26/07/26; &gt;=2yr old at 2027 start - Phase 5 re-source pending</t>
        </is>
      </c>
    </row>
    <row r="54">
      <c r="A54" s="247" t="inlineStr">
        <is>
          <t>Valve Box - Cast Iron Trafficable - Rectangle Type "V"</t>
        </is>
      </c>
      <c r="B54" s="246" t="inlineStr">
        <is>
          <t>ea</t>
        </is>
      </c>
      <c r="D54" s="661" t="n">
        <v>123.53</v>
      </c>
      <c r="F54" s="612">
        <f>I54*D54</f>
        <v/>
      </c>
      <c r="G54" s="660" t="n"/>
      <c r="I54" s="246" t="n">
        <v>70</v>
      </c>
      <c r="N54" s="540" t="inlineStr">
        <is>
          <t>frozen from [3] 240614 Pipe &amp; Fittings Price Comparison (Jun-2024 cache) - link severed 26/07/26; &gt;=2yr old at 2027 start - Phase 5 re-source pending</t>
        </is>
      </c>
    </row>
    <row r="55">
      <c r="A55" s="247" t="inlineStr">
        <is>
          <t>Valve Box - Non-Trafficable - Plastic Surround with CI Drop In "V"</t>
        </is>
      </c>
      <c r="B55" s="246" t="inlineStr">
        <is>
          <t>ea</t>
        </is>
      </c>
      <c r="D55" s="661" t="n">
        <v>98.81999999999999</v>
      </c>
      <c r="F55" s="612">
        <f>I55*D55</f>
        <v/>
      </c>
      <c r="G55" s="497" t="inlineStr">
        <is>
          <t>COMPLETED don’t edit</t>
        </is>
      </c>
      <c r="I55" s="246" t="n">
        <v>30</v>
      </c>
      <c r="N55" s="540" t="inlineStr">
        <is>
          <t>frozen from [3] 240614 Pipe &amp; Fittings Price Comparison (Jun-2024 cache) - link severed 26/07/26; &gt;=2yr old at 2027 start - Phase 5 re-source pending</t>
        </is>
      </c>
    </row>
    <row r="56" ht="6.6" customHeight="1">
      <c r="A56" s="247" t="n"/>
      <c r="B56" s="247" t="n"/>
      <c r="D56" s="661" t="n"/>
      <c r="G56" s="660" t="n"/>
      <c r="I56" s="247" t="n"/>
    </row>
    <row r="57">
      <c r="A57" s="247" t="inlineStr">
        <is>
          <t>200*150mm DICL FL Reducer</t>
        </is>
      </c>
      <c r="B57" s="246" t="inlineStr">
        <is>
          <t>ea</t>
        </is>
      </c>
      <c r="D57" s="661" t="n">
        <v>291.18</v>
      </c>
      <c r="F57" s="612">
        <f>I57*D57</f>
        <v/>
      </c>
      <c r="G57" s="660" t="n"/>
      <c r="I57" s="246" t="n">
        <v>2</v>
      </c>
      <c r="N57" s="540" t="inlineStr">
        <is>
          <t>frozen from [3] 240614 Pipe &amp; Fittings Price Comparison (Jun-2024 cache) - link severed 26/07/26; &gt;=2yr old at 2027 start - Phase 5 re-source pending</t>
        </is>
      </c>
    </row>
    <row r="58">
      <c r="A58" s="247" t="inlineStr">
        <is>
          <t>200*100mm DICL FL Reducer</t>
        </is>
      </c>
      <c r="B58" s="246" t="inlineStr">
        <is>
          <t>ea</t>
        </is>
      </c>
      <c r="D58" s="661" t="n">
        <v>330</v>
      </c>
      <c r="F58" s="612">
        <f>I58*D58</f>
        <v/>
      </c>
      <c r="G58" s="660" t="n"/>
      <c r="I58" s="246" t="n">
        <v>2</v>
      </c>
      <c r="N58" s="540" t="inlineStr">
        <is>
          <t>frozen from [3] 240614 Pipe &amp; Fittings Price Comparison (Jun-2024 cache) - link severed 26/07/26; &gt;=2yr old at 2027 start - Phase 5 re-source pending</t>
        </is>
      </c>
    </row>
    <row r="59">
      <c r="A59" s="247" t="inlineStr">
        <is>
          <t>150*100mm DICL FL Reducer</t>
        </is>
      </c>
      <c r="B59" s="246" t="inlineStr">
        <is>
          <t>ea</t>
        </is>
      </c>
      <c r="D59" s="661" t="n">
        <v>156</v>
      </c>
      <c r="F59" s="612">
        <f>I59*D59</f>
        <v/>
      </c>
      <c r="G59" s="660" t="n"/>
      <c r="I59" s="246" t="n">
        <v>6</v>
      </c>
      <c r="N59" s="540" t="inlineStr">
        <is>
          <t>frozen from [3] 240614 Pipe &amp; Fittings Price Comparison (Jun-2024 cache) - link severed 26/07/26; &gt;=2yr old at 2027 start - Phase 5 re-source pending</t>
        </is>
      </c>
    </row>
    <row r="60">
      <c r="A60" s="247" t="inlineStr">
        <is>
          <t>150mm DICL FL * SP Adapter</t>
        </is>
      </c>
      <c r="B60" s="246" t="inlineStr">
        <is>
          <t>ea</t>
        </is>
      </c>
      <c r="D60" s="661" t="n">
        <v>106.24</v>
      </c>
      <c r="F60" s="612">
        <f>I60*D60</f>
        <v/>
      </c>
      <c r="G60" s="497" t="inlineStr">
        <is>
          <t>COMPLETED don’t edit</t>
        </is>
      </c>
      <c r="I60" s="246" t="n">
        <v>12</v>
      </c>
      <c r="N60" s="540" t="inlineStr">
        <is>
          <t>frozen from [3] 240614 Pipe &amp; Fittings Price Comparison (Jun-2024 cache) - link severed 26/07/26; &gt;=2yr old at 2027 start - Phase 5 re-source pending</t>
        </is>
      </c>
    </row>
    <row r="61">
      <c r="A61" s="247" t="inlineStr">
        <is>
          <t>100mm DICL FL * SP Adapter</t>
        </is>
      </c>
      <c r="B61" s="246" t="inlineStr">
        <is>
          <t>ea</t>
        </is>
      </c>
      <c r="D61" s="661" t="n">
        <v>70.59</v>
      </c>
      <c r="F61" s="612">
        <f>I61*D61</f>
        <v/>
      </c>
      <c r="G61" s="660" t="n"/>
      <c r="I61" s="246" t="n">
        <v>8</v>
      </c>
      <c r="N61" s="540" t="inlineStr">
        <is>
          <t>frozen from [3] 240614 Pipe &amp; Fittings Price Comparison (Jun-2024 cache) - link severed 26/07/26; &gt;=2yr old at 2027 start - Phase 5 re-source pending</t>
        </is>
      </c>
    </row>
    <row r="62">
      <c r="A62" s="247" t="inlineStr">
        <is>
          <t>200mm DICL FL 90Deg Bend</t>
        </is>
      </c>
      <c r="B62" s="246" t="inlineStr">
        <is>
          <t>ea</t>
        </is>
      </c>
      <c r="D62" s="661" t="n">
        <v>516.35</v>
      </c>
      <c r="F62" s="612">
        <f>I62*D62</f>
        <v/>
      </c>
      <c r="G62" s="660" t="n"/>
      <c r="I62" s="246" t="n">
        <v>2</v>
      </c>
      <c r="N62" s="540" t="inlineStr">
        <is>
          <t>frozen from [3] 240614 Pipe &amp; Fittings Price Comparison (Jun-2024 cache) - link severed 26/07/26; &gt;=2yr old at 2027 start - Phase 5 re-source pending</t>
        </is>
      </c>
    </row>
    <row r="63">
      <c r="A63" s="247" t="inlineStr">
        <is>
          <t>150mm DICL FL 90Deg Bend</t>
        </is>
      </c>
      <c r="B63" s="246" t="inlineStr">
        <is>
          <t>ea</t>
        </is>
      </c>
      <c r="D63" s="661" t="n">
        <v>198.88</v>
      </c>
      <c r="F63" s="612">
        <f>I63*D63</f>
        <v/>
      </c>
      <c r="G63" s="660" t="n"/>
      <c r="I63" s="246" t="n">
        <v>8</v>
      </c>
      <c r="N63" s="540" t="inlineStr">
        <is>
          <t>frozen from [3] 240614 Pipe &amp; Fittings Price Comparison (Jun-2024 cache) - link severed 26/07/26; &gt;=2yr old at 2027 start - Phase 5 re-source pending</t>
        </is>
      </c>
    </row>
    <row r="64">
      <c r="A64" s="247" t="inlineStr">
        <is>
          <t>100mm DICL FL 90Deg Bend</t>
        </is>
      </c>
      <c r="B64" s="246" t="inlineStr">
        <is>
          <t>ea</t>
        </is>
      </c>
      <c r="D64" s="661" t="n">
        <v>108.71</v>
      </c>
      <c r="F64" s="612">
        <f>I64*D64</f>
        <v/>
      </c>
      <c r="G64" s="660" t="n"/>
      <c r="I64" s="246" t="n">
        <v>4</v>
      </c>
      <c r="N64" s="540" t="inlineStr">
        <is>
          <t>frozen from [3] 240614 Pipe &amp; Fittings Price Comparison (Jun-2024 cache) - link severed 26/07/26; &gt;=2yr old at 2027 start - Phase 5 re-source pending</t>
        </is>
      </c>
    </row>
    <row r="65">
      <c r="A65" s="247" t="inlineStr">
        <is>
          <t>200mm DICL FL TEE</t>
        </is>
      </c>
      <c r="B65" s="246" t="inlineStr">
        <is>
          <t>ea</t>
        </is>
      </c>
      <c r="D65" s="661" t="n">
        <v>672.65</v>
      </c>
      <c r="F65" s="612">
        <f>I65*D65</f>
        <v/>
      </c>
      <c r="G65" s="497" t="inlineStr">
        <is>
          <t>COMPLETED don’t edit</t>
        </is>
      </c>
      <c r="I65" s="246" t="n">
        <v>2</v>
      </c>
      <c r="N65" s="540" t="inlineStr">
        <is>
          <t>frozen from [3] 240614 Pipe &amp; Fittings Price Comparison (Jun-2024 cache) - link severed 26/07/26; &gt;=2yr old at 2027 start - Phase 5 re-source pending</t>
        </is>
      </c>
    </row>
    <row r="66">
      <c r="A66" s="247" t="inlineStr">
        <is>
          <t>150mm DICL FL TEE</t>
        </is>
      </c>
      <c r="B66" s="246" t="inlineStr">
        <is>
          <t>ea</t>
        </is>
      </c>
      <c r="D66" s="661" t="n">
        <v>228.24</v>
      </c>
      <c r="F66" s="612">
        <f>I66*D66</f>
        <v/>
      </c>
      <c r="G66" s="660" t="n"/>
      <c r="I66" s="246" t="n">
        <v>15</v>
      </c>
      <c r="N66" s="540" t="inlineStr">
        <is>
          <t>frozen from [3] 240614 Pipe &amp; Fittings Price Comparison (Jun-2024 cache) - link severed 26/07/26; &gt;=2yr old at 2027 start - Phase 5 re-source pending</t>
        </is>
      </c>
    </row>
    <row r="67">
      <c r="A67" s="247" t="inlineStr">
        <is>
          <t>100mm DICL FL TEE</t>
        </is>
      </c>
      <c r="B67" s="246" t="inlineStr">
        <is>
          <t>ea</t>
        </is>
      </c>
      <c r="D67" s="661" t="n">
        <v>128.24</v>
      </c>
      <c r="F67" s="612">
        <f>I67*D67</f>
        <v/>
      </c>
      <c r="G67" s="660" t="n"/>
      <c r="I67" s="246" t="n">
        <v>2</v>
      </c>
      <c r="N67" s="540" t="inlineStr">
        <is>
          <t>frozen from [3] 240614 Pipe &amp; Fittings Price Comparison (Jun-2024 cache) - link severed 26/07/26; &gt;=2yr old at 2027 start - Phase 5 re-source pending</t>
        </is>
      </c>
    </row>
    <row r="68">
      <c r="A68" s="247" t="inlineStr">
        <is>
          <t>200*150*200 DICL FL TEE</t>
        </is>
      </c>
      <c r="B68" s="246" t="inlineStr">
        <is>
          <t>ea</t>
        </is>
      </c>
      <c r="D68" s="661" t="n">
        <v>536.76</v>
      </c>
      <c r="F68" s="612">
        <f>I68*D68</f>
        <v/>
      </c>
      <c r="G68" s="660" t="n"/>
      <c r="I68" s="246" t="n">
        <v>2</v>
      </c>
      <c r="N68" s="540" t="inlineStr">
        <is>
          <t>frozen from [3] 240614 Pipe &amp; Fittings Price Comparison (Jun-2024 cache) - link severed 26/07/26; &gt;=2yr old at 2027 start - Phase 5 re-source pending</t>
        </is>
      </c>
    </row>
    <row r="69">
      <c r="A69" s="247" t="inlineStr">
        <is>
          <t>200*100*200 DICL FL TEE</t>
        </is>
      </c>
      <c r="B69" s="246" t="inlineStr">
        <is>
          <t>ea</t>
        </is>
      </c>
      <c r="D69" s="661" t="n">
        <v>576.47</v>
      </c>
      <c r="F69" s="612">
        <f>I69*D69</f>
        <v/>
      </c>
      <c r="G69" s="660" t="n"/>
      <c r="I69" s="246" t="n">
        <v>1</v>
      </c>
      <c r="N69" s="540" t="inlineStr">
        <is>
          <t>frozen from [3] 240614 Pipe &amp; Fittings Price Comparison (Jun-2024 cache) - link severed 26/07/26; &gt;=2yr old at 2027 start - Phase 5 re-source pending</t>
        </is>
      </c>
    </row>
    <row r="70">
      <c r="A70" s="247" t="inlineStr">
        <is>
          <t>150-100-150 DICL FL TEE</t>
        </is>
      </c>
      <c r="B70" s="246" t="inlineStr">
        <is>
          <t>ea</t>
        </is>
      </c>
      <c r="D70" s="661" t="n">
        <v>198.82</v>
      </c>
      <c r="F70" s="612">
        <f>I70*D70</f>
        <v/>
      </c>
      <c r="G70" s="497" t="inlineStr">
        <is>
          <t>COMPLETED don’t edit</t>
        </is>
      </c>
      <c r="I70" s="246" t="n">
        <v>6</v>
      </c>
      <c r="N70" s="540" t="inlineStr">
        <is>
          <t>frozen from [3] 240614 Pipe &amp; Fittings Price Comparison (Jun-2024 cache) - link severed 26/07/26; &gt;=2yr old at 2027 start - Phase 5 re-source pending</t>
        </is>
      </c>
    </row>
    <row r="71">
      <c r="A71" s="247" t="inlineStr">
        <is>
          <t>200mm DICL FL Pipe @ 1000</t>
        </is>
      </c>
      <c r="B71" s="246" t="inlineStr">
        <is>
          <t>ea</t>
        </is>
      </c>
      <c r="D71" s="661" t="n">
        <v>898.8200000000001</v>
      </c>
      <c r="F71" s="612">
        <f>I71*D71</f>
        <v/>
      </c>
      <c r="G71" s="660" t="n"/>
      <c r="I71" s="246" t="n">
        <v>1</v>
      </c>
      <c r="N71" s="540" t="inlineStr">
        <is>
          <t>frozen from [3] 240614 Pipe &amp; Fittings Price Comparison (Jun-2024 cache) - link severed 26/07/26; &gt;=2yr old at 2027 start - Phase 5 re-source pending</t>
        </is>
      </c>
    </row>
    <row r="72">
      <c r="A72" s="247" t="inlineStr">
        <is>
          <t>200mm DICL FL Pipe @ 600</t>
        </is>
      </c>
      <c r="B72" s="246" t="inlineStr">
        <is>
          <t>ea</t>
        </is>
      </c>
      <c r="D72" s="661" t="n">
        <v>640</v>
      </c>
      <c r="F72" s="612">
        <f>I72*D72</f>
        <v/>
      </c>
      <c r="G72" s="660" t="n"/>
      <c r="I72" s="246" t="n">
        <v>1</v>
      </c>
      <c r="N72" s="540" t="inlineStr">
        <is>
          <t>frozen from [3] 240614 Pipe &amp; Fittings Price Comparison (Jun-2024 cache) - link severed 26/07/26; &gt;=2yr old at 2027 start - Phase 5 re-source pending</t>
        </is>
      </c>
    </row>
    <row r="73">
      <c r="A73" s="247" t="inlineStr">
        <is>
          <t>200mm DICL FL Pipe @ 300</t>
        </is>
      </c>
      <c r="B73" s="246" t="inlineStr">
        <is>
          <t>ea</t>
        </is>
      </c>
      <c r="D73" s="661" t="n">
        <v>355.29</v>
      </c>
      <c r="F73" s="612">
        <f>I73*D73</f>
        <v/>
      </c>
      <c r="G73" s="660" t="n"/>
      <c r="I73" s="246" t="n">
        <v>1</v>
      </c>
      <c r="N73" s="540" t="inlineStr">
        <is>
          <t>frozen from [3] 240614 Pipe &amp; Fittings Price Comparison (Jun-2024 cache) - link severed 26/07/26; &gt;=2yr old at 2027 start - Phase 5 re-source pending</t>
        </is>
      </c>
    </row>
    <row r="74">
      <c r="A74" s="247" t="inlineStr">
        <is>
          <t>150mm DICL FL Pipe @ 1000</t>
        </is>
      </c>
      <c r="B74" s="246" t="inlineStr">
        <is>
          <t>ea</t>
        </is>
      </c>
      <c r="D74" s="661" t="n">
        <v>534.41</v>
      </c>
      <c r="F74" s="612">
        <f>I74*D74</f>
        <v/>
      </c>
      <c r="G74" s="660" t="n"/>
      <c r="I74" s="246" t="n">
        <v>1</v>
      </c>
      <c r="N74" s="540" t="inlineStr">
        <is>
          <t>frozen from [3] 240614 Pipe &amp; Fittings Price Comparison (Jun-2024 cache) - link severed 26/07/26; &gt;=2yr old at 2027 start - Phase 5 re-source pending</t>
        </is>
      </c>
    </row>
    <row r="75">
      <c r="A75" s="247" t="inlineStr">
        <is>
          <t>150mm DICL FL Pipe @ 600</t>
        </is>
      </c>
      <c r="B75" s="246" t="inlineStr">
        <is>
          <t>ea</t>
        </is>
      </c>
      <c r="D75" s="661" t="n">
        <v>280</v>
      </c>
      <c r="F75" s="612">
        <f>I75*D75</f>
        <v/>
      </c>
      <c r="G75" s="497" t="inlineStr">
        <is>
          <t>COMPLETED don’t edit</t>
        </is>
      </c>
      <c r="I75" s="246" t="n">
        <v>1</v>
      </c>
      <c r="N75" s="540" t="inlineStr">
        <is>
          <t>frozen from [3] 240614 Pipe &amp; Fittings Price Comparison (Jun-2024 cache) - link severed 26/07/26; &gt;=2yr old at 2027 start - Phase 5 re-source pending</t>
        </is>
      </c>
    </row>
    <row r="76">
      <c r="A76" s="247" t="inlineStr">
        <is>
          <t>150mm DICL FL Pipe @ 450</t>
        </is>
      </c>
      <c r="B76" s="246" t="inlineStr">
        <is>
          <t>ea</t>
        </is>
      </c>
      <c r="D76" s="661" t="n">
        <v>236.47</v>
      </c>
      <c r="F76" s="612">
        <f>I76*D76</f>
        <v/>
      </c>
      <c r="G76" s="660" t="n"/>
      <c r="I76" s="246" t="n">
        <v>1</v>
      </c>
      <c r="N76" s="540" t="inlineStr">
        <is>
          <t>frozen from [3] 240614 Pipe &amp; Fittings Price Comparison (Jun-2024 cache) - link severed 26/07/26; &gt;=2yr old at 2027 start - Phase 5 re-source pending</t>
        </is>
      </c>
    </row>
    <row r="77">
      <c r="A77" s="247" t="inlineStr">
        <is>
          <t>150mm DICL FL Pipe @ 300</t>
        </is>
      </c>
      <c r="B77" s="246" t="inlineStr">
        <is>
          <t>ea</t>
        </is>
      </c>
      <c r="D77" s="661" t="n">
        <v>178.8</v>
      </c>
      <c r="F77" s="612">
        <f>I77*D77</f>
        <v/>
      </c>
      <c r="G77" s="660" t="n"/>
      <c r="I77" s="246" t="n">
        <v>8</v>
      </c>
      <c r="N77" s="540" t="inlineStr">
        <is>
          <t>frozen from [3] 240614 Pipe &amp; Fittings Price Comparison (Jun-2024 cache) - link severed 26/07/26; &gt;=2yr old at 2027 start - Phase 5 re-source pending</t>
        </is>
      </c>
    </row>
    <row r="78">
      <c r="A78" s="247" t="inlineStr">
        <is>
          <t>100mm DICL FL Pipe @ 1000</t>
        </is>
      </c>
      <c r="B78" s="246" t="inlineStr">
        <is>
          <t>ea</t>
        </is>
      </c>
      <c r="D78" s="661" t="n">
        <v>362.35</v>
      </c>
      <c r="F78" s="612">
        <f>I78*D78</f>
        <v/>
      </c>
      <c r="G78" s="660" t="n"/>
      <c r="I78" s="246" t="n">
        <v>1</v>
      </c>
      <c r="N78" s="540" t="inlineStr">
        <is>
          <t>frozen from [3] 240614 Pipe &amp; Fittings Price Comparison (Jun-2024 cache) - link severed 26/07/26; &gt;=2yr old at 2027 start - Phase 5 re-source pending</t>
        </is>
      </c>
    </row>
    <row r="79">
      <c r="A79" s="247" t="inlineStr">
        <is>
          <t>100mm DICL FL Pipe @ 600</t>
        </is>
      </c>
      <c r="B79" s="246" t="inlineStr">
        <is>
          <t>ea</t>
        </is>
      </c>
      <c r="D79" s="661" t="n">
        <v>144.71</v>
      </c>
      <c r="F79" s="612">
        <f>I79*D79</f>
        <v/>
      </c>
      <c r="G79" s="660" t="n"/>
      <c r="I79" s="246" t="n">
        <v>1</v>
      </c>
      <c r="N79" s="540" t="inlineStr">
        <is>
          <t>frozen from [3] 240614 Pipe &amp; Fittings Price Comparison (Jun-2024 cache) - link severed 26/07/26; &gt;=2yr old at 2027 start - Phase 5 re-source pending</t>
        </is>
      </c>
    </row>
    <row r="80">
      <c r="A80" s="247" t="inlineStr">
        <is>
          <t>100mm DICL FL Pipe @ 450</t>
        </is>
      </c>
      <c r="B80" s="246" t="inlineStr">
        <is>
          <t>ea</t>
        </is>
      </c>
      <c r="D80" s="661" t="n">
        <v>135.88</v>
      </c>
      <c r="F80" s="612">
        <f>I80*D80</f>
        <v/>
      </c>
      <c r="G80" s="497" t="inlineStr">
        <is>
          <t>COMPLETED don’t edit</t>
        </is>
      </c>
      <c r="I80" s="246" t="n">
        <v>1</v>
      </c>
      <c r="N80" s="540" t="inlineStr">
        <is>
          <t>frozen from [3] 240614 Pipe &amp; Fittings Price Comparison (Jun-2024 cache) - link severed 26/07/26; &gt;=2yr old at 2027 start - Phase 5 re-source pending</t>
        </is>
      </c>
    </row>
    <row r="81">
      <c r="A81" s="247" t="inlineStr">
        <is>
          <t>100mm DICL FL Pipe @ 300</t>
        </is>
      </c>
      <c r="B81" s="246" t="inlineStr">
        <is>
          <t>ea</t>
        </is>
      </c>
      <c r="D81" s="661" t="n">
        <v>76.47</v>
      </c>
      <c r="F81" s="612">
        <f>I81*D81</f>
        <v/>
      </c>
      <c r="G81" s="660" t="n"/>
      <c r="I81" s="246" t="n">
        <v>4</v>
      </c>
      <c r="N81" s="540" t="inlineStr">
        <is>
          <t>frozen from [3] 240614 Pipe &amp; Fittings Price Comparison (Jun-2024 cache) - link severed 26/07/26; &gt;=2yr old at 2027 start - Phase 5 re-source pending</t>
        </is>
      </c>
    </row>
    <row r="82">
      <c r="A82" s="247" t="inlineStr">
        <is>
          <t>150mm DICL FL Deadplate</t>
        </is>
      </c>
      <c r="B82" s="246" t="inlineStr">
        <is>
          <t>ea</t>
        </is>
      </c>
      <c r="D82" s="661" t="n">
        <v>67.65000000000001</v>
      </c>
      <c r="F82" s="612">
        <f>I82*D82</f>
        <v/>
      </c>
      <c r="G82" s="660" t="n"/>
      <c r="I82" s="246" t="n">
        <v>25</v>
      </c>
      <c r="N82" s="540" t="inlineStr">
        <is>
          <t>frozen from [3] 240614 Pipe &amp; Fittings Price Comparison (Jun-2024 cache) - link severed 26/07/26; &gt;=2yr old at 2027 start - Phase 5 re-source pending</t>
        </is>
      </c>
    </row>
    <row r="83">
      <c r="A83" s="247" t="inlineStr">
        <is>
          <t xml:space="preserve">100mm DICL FL Deadplate </t>
        </is>
      </c>
      <c r="B83" s="246" t="inlineStr">
        <is>
          <t>ea</t>
        </is>
      </c>
      <c r="D83" s="661" t="n">
        <v>43.53</v>
      </c>
      <c r="F83" s="612">
        <f>I83*D83</f>
        <v/>
      </c>
      <c r="G83" s="660" t="n"/>
      <c r="I83" s="246" t="n">
        <v>45</v>
      </c>
      <c r="N83" s="540" t="inlineStr">
        <is>
          <t>frozen from [3] 240614 Pipe &amp; Fittings Price Comparison (Jun-2024 cache) - link severed 26/07/26; &gt;=2yr old at 2027 start - Phase 5 re-source pending</t>
        </is>
      </c>
    </row>
    <row r="84" ht="7.95" customHeight="1">
      <c r="A84" s="247" t="n"/>
      <c r="B84" s="247" t="n"/>
      <c r="D84" s="661" t="n"/>
      <c r="G84" s="660" t="n"/>
      <c r="I84" s="247" t="n"/>
    </row>
    <row r="85">
      <c r="A85" s="247" t="inlineStr">
        <is>
          <t>200mm PE*DI Gasket Kit Complete</t>
        </is>
      </c>
      <c r="B85" s="246" t="inlineStr">
        <is>
          <t>ea</t>
        </is>
      </c>
      <c r="D85" s="661" t="n">
        <v>67.06</v>
      </c>
      <c r="F85" s="612">
        <f>I85*D85</f>
        <v/>
      </c>
      <c r="G85" s="497" t="inlineStr">
        <is>
          <t>COMPLETED don’t edit</t>
        </is>
      </c>
      <c r="I85" s="246" t="n">
        <v>12</v>
      </c>
      <c r="N85" s="540" t="inlineStr">
        <is>
          <t>frozen from [3] 240614 Pipe &amp; Fittings Price Comparison (Jun-2024 cache) - link severed 26/07/26; &gt;=2yr old at 2027 start - Phase 5 re-source pending</t>
        </is>
      </c>
    </row>
    <row r="86">
      <c r="A86" s="247" t="inlineStr">
        <is>
          <t>200mm DI*DI Gasket Kit Complete</t>
        </is>
      </c>
      <c r="B86" s="246" t="inlineStr">
        <is>
          <t>ea</t>
        </is>
      </c>
      <c r="D86" s="661" t="n">
        <v>46.71</v>
      </c>
      <c r="F86" s="612">
        <f>I86*D86</f>
        <v/>
      </c>
      <c r="G86" s="660" t="n"/>
      <c r="I86" s="246" t="n">
        <v>12</v>
      </c>
      <c r="N86" s="540" t="inlineStr">
        <is>
          <t>frozen from [3] 240614 Pipe &amp; Fittings Price Comparison (Jun-2024 cache) - link severed 26/07/26; &gt;=2yr old at 2027 start - Phase 5 re-source pending</t>
        </is>
      </c>
    </row>
    <row r="87">
      <c r="A87" s="247" t="inlineStr">
        <is>
          <t>150mm PE*DI Gasket Kit Complete</t>
        </is>
      </c>
      <c r="B87" s="246" t="inlineStr">
        <is>
          <t>ea</t>
        </is>
      </c>
      <c r="D87" s="661" t="n">
        <v>60</v>
      </c>
      <c r="F87" s="612">
        <f>I87*D87</f>
        <v/>
      </c>
      <c r="G87" s="660" t="n"/>
      <c r="I87" s="246" t="n">
        <v>60</v>
      </c>
      <c r="N87" s="540" t="inlineStr">
        <is>
          <t>frozen from [3] 240614 Pipe &amp; Fittings Price Comparison (Jun-2024 cache) - link severed 26/07/26; &gt;=2yr old at 2027 start - Phase 5 re-source pending</t>
        </is>
      </c>
    </row>
    <row r="88">
      <c r="A88" s="247" t="inlineStr">
        <is>
          <t>150mm DI*DI Gasket Kit Complete</t>
        </is>
      </c>
      <c r="B88" s="246" t="inlineStr">
        <is>
          <t>ea</t>
        </is>
      </c>
      <c r="D88" s="661" t="n">
        <v>42.35</v>
      </c>
      <c r="F88" s="612">
        <f>I88*D88</f>
        <v/>
      </c>
      <c r="G88" s="660" t="n"/>
      <c r="I88" s="246" t="n">
        <v>60</v>
      </c>
      <c r="N88" s="540" t="inlineStr">
        <is>
          <t>frozen from [3] 240614 Pipe &amp; Fittings Price Comparison (Jun-2024 cache) - link severed 26/07/26; &gt;=2yr old at 2027 start - Phase 5 re-source pending</t>
        </is>
      </c>
    </row>
    <row r="89">
      <c r="A89" s="247" t="inlineStr">
        <is>
          <t>100mm PE*DI Gasket Kit Complete</t>
        </is>
      </c>
      <c r="B89" s="246" t="inlineStr">
        <is>
          <t>ea</t>
        </is>
      </c>
      <c r="D89" s="661" t="n">
        <v>24.71</v>
      </c>
      <c r="F89" s="612">
        <f>I89*D89</f>
        <v/>
      </c>
      <c r="G89" s="660" t="n"/>
      <c r="I89" s="246" t="n">
        <v>30</v>
      </c>
      <c r="N89" s="540" t="inlineStr">
        <is>
          <t>frozen from [3] 240614 Pipe &amp; Fittings Price Comparison (Jun-2024 cache) - link severed 26/07/26; &gt;=2yr old at 2027 start - Phase 5 re-source pending</t>
        </is>
      </c>
    </row>
    <row r="90">
      <c r="A90" s="247" t="inlineStr">
        <is>
          <t>100mm DI*DI Gasket Kit Complete</t>
        </is>
      </c>
      <c r="B90" s="246" t="inlineStr">
        <is>
          <t>ea</t>
        </is>
      </c>
      <c r="D90" s="661" t="n">
        <v>20</v>
      </c>
      <c r="F90" s="612">
        <f>I90*D90</f>
        <v/>
      </c>
      <c r="G90" s="497" t="inlineStr">
        <is>
          <t>COMPLETED don’t edit</t>
        </is>
      </c>
      <c r="I90" s="246" t="n">
        <v>30</v>
      </c>
      <c r="N90" s="540" t="inlineStr">
        <is>
          <t>frozen from [3] 240614 Pipe &amp; Fittings Price Comparison (Jun-2024 cache) - link severed 26/07/26; &gt;=2yr old at 2027 start - Phase 5 re-source pending</t>
        </is>
      </c>
    </row>
    <row r="91" ht="9.6" customHeight="1">
      <c r="A91" s="247" t="n"/>
      <c r="B91" s="247" t="n"/>
      <c r="D91" s="661" t="n"/>
      <c r="G91" s="660" t="n"/>
      <c r="I91" s="247" t="n"/>
    </row>
    <row r="92">
      <c r="A92" s="247" t="inlineStr">
        <is>
          <t>150mm SS Gibault Adapter Coupling</t>
        </is>
      </c>
      <c r="B92" s="246" t="inlineStr">
        <is>
          <t>ea</t>
        </is>
      </c>
      <c r="D92" s="661" t="n">
        <v>108.71</v>
      </c>
      <c r="F92" s="612">
        <f>I92*D92</f>
        <v/>
      </c>
      <c r="G92" s="660" t="n"/>
      <c r="I92" s="246" t="n">
        <v>20</v>
      </c>
      <c r="N92" s="540" t="inlineStr">
        <is>
          <t>frozen from [3] 240614 Pipe &amp; Fittings Price Comparison (Jun-2024 cache) - link severed 26/07/26; &gt;=2yr old at 2027 start - Phase 5 re-source pending</t>
        </is>
      </c>
    </row>
    <row r="93">
      <c r="A93" s="247" t="inlineStr">
        <is>
          <t>100mm SS Gibault Adapter Coupling</t>
        </is>
      </c>
      <c r="B93" s="246" t="inlineStr">
        <is>
          <t>ea</t>
        </is>
      </c>
      <c r="D93" s="661" t="n">
        <v>87.06</v>
      </c>
      <c r="F93" s="612">
        <f>I93*D93</f>
        <v/>
      </c>
      <c r="G93" s="660" t="n"/>
      <c r="I93" s="246" t="n">
        <v>14</v>
      </c>
      <c r="N93" s="540" t="inlineStr">
        <is>
          <t>frozen from [3] 240614 Pipe &amp; Fittings Price Comparison (Jun-2024 cache) - link severed 26/07/26; &gt;=2yr old at 2027 start - Phase 5 re-source pending</t>
        </is>
      </c>
    </row>
    <row r="94">
      <c r="A94" s="247" t="inlineStr">
        <is>
          <t>180mm PE GRIPPER Adapter Coupling</t>
        </is>
      </c>
      <c r="B94" s="246" t="inlineStr">
        <is>
          <t>ea</t>
        </is>
      </c>
      <c r="D94" s="661" t="n">
        <v>305.88</v>
      </c>
      <c r="F94" s="612">
        <f>I94*D94</f>
        <v/>
      </c>
      <c r="G94" s="660" t="n"/>
      <c r="I94" s="246" t="n">
        <v>12</v>
      </c>
      <c r="N94" s="540" t="inlineStr">
        <is>
          <t>frozen from [3] 240614 Pipe &amp; Fittings Price Comparison (Jun-2024 cache) - link severed 26/07/26; &gt;=2yr old at 2027 start - Phase 5 re-source pending</t>
        </is>
      </c>
    </row>
    <row r="95">
      <c r="A95" s="247" t="inlineStr">
        <is>
          <t>125mm PE GRIPPER Adapter Coupling</t>
        </is>
      </c>
      <c r="B95" s="246" t="inlineStr">
        <is>
          <t>ea</t>
        </is>
      </c>
      <c r="D95" s="661" t="n">
        <v>182.35</v>
      </c>
      <c r="F95" s="612">
        <f>I95*D95</f>
        <v/>
      </c>
      <c r="G95" s="497" t="inlineStr">
        <is>
          <t>COMPLETED don’t edit</t>
        </is>
      </c>
      <c r="I95" s="246" t="n">
        <v>8</v>
      </c>
      <c r="N95" s="540" t="inlineStr">
        <is>
          <t>frozen from [3] 240614 Pipe &amp; Fittings Price Comparison (Jun-2024 cache) - link severed 26/07/26; &gt;=2yr old at 2027 start - Phase 5 re-source pending</t>
        </is>
      </c>
    </row>
    <row r="96">
      <c r="A96" s="247" t="inlineStr">
        <is>
          <t>180mm PE GRIPPER * 150FL Adapter Coupling</t>
        </is>
      </c>
      <c r="B96" s="246" t="inlineStr">
        <is>
          <t>ea</t>
        </is>
      </c>
      <c r="D96" s="661" t="n">
        <v>229.41</v>
      </c>
      <c r="F96" s="612">
        <f>I96*D96</f>
        <v/>
      </c>
      <c r="G96" s="660" t="n"/>
      <c r="I96" s="246" t="n">
        <v>4</v>
      </c>
      <c r="N96" s="540" t="inlineStr">
        <is>
          <t>frozen from [3] 240614 Pipe &amp; Fittings Price Comparison (Jun-2024 cache) - link severed 26/07/26; &gt;=2yr old at 2027 start - Phase 5 re-source pending</t>
        </is>
      </c>
    </row>
    <row r="97">
      <c r="A97" s="247" t="inlineStr">
        <is>
          <t>125mm PE GRIPPER * 100FL Adapter Coupling</t>
        </is>
      </c>
      <c r="B97" s="246" t="inlineStr">
        <is>
          <t>ea</t>
        </is>
      </c>
      <c r="D97" s="661" t="n">
        <v>152.94</v>
      </c>
      <c r="F97" s="612">
        <f>I97*D97</f>
        <v/>
      </c>
      <c r="G97" s="660" t="n"/>
      <c r="I97" s="246" t="n">
        <v>4</v>
      </c>
      <c r="N97" s="540" t="inlineStr">
        <is>
          <t>frozen from [3] 240614 Pipe &amp; Fittings Price Comparison (Jun-2024 cache) - link severed 26/07/26; &gt;=2yr old at 2027 start - Phase 5 re-source pending</t>
        </is>
      </c>
    </row>
    <row r="98">
      <c r="A98" s="247" t="inlineStr">
        <is>
          <t>180mm PE GRIPPER Sluice Valve</t>
        </is>
      </c>
      <c r="B98" s="246" t="inlineStr">
        <is>
          <t>ea</t>
        </is>
      </c>
      <c r="D98" s="661" t="n">
        <v>690</v>
      </c>
      <c r="F98" s="612">
        <f>I98*D98</f>
        <v/>
      </c>
      <c r="G98" s="660" t="n"/>
      <c r="I98" s="246" t="n">
        <v>20</v>
      </c>
      <c r="N98" s="540" t="inlineStr">
        <is>
          <t>frozen from [3] 240614 Pipe &amp; Fittings Price Comparison (Jun-2024 cache) - link severed 26/07/26; &gt;=2yr old at 2027 start - Phase 5 re-source pending</t>
        </is>
      </c>
    </row>
    <row r="99">
      <c r="A99" s="247" t="inlineStr">
        <is>
          <t>125mm PE GRIPPER Sluice Valve</t>
        </is>
      </c>
      <c r="B99" s="246" t="inlineStr">
        <is>
          <t>ea</t>
        </is>
      </c>
      <c r="D99" s="661" t="n">
        <v>408.47</v>
      </c>
      <c r="F99" s="612">
        <f>I99*D99</f>
        <v/>
      </c>
      <c r="G99" s="660" t="n"/>
      <c r="I99" s="246" t="n">
        <v>20</v>
      </c>
      <c r="N99" s="540" t="inlineStr">
        <is>
          <t>frozen from [3] 240614 Pipe &amp; Fittings Price Comparison (Jun-2024 cache) - link severed 26/07/26; &gt;=2yr old at 2027 start - Phase 5 re-source pending</t>
        </is>
      </c>
    </row>
    <row r="100" ht="10.2" customHeight="1">
      <c r="A100" s="247" t="n"/>
      <c r="B100" s="247" t="n"/>
      <c r="D100" s="661" t="n"/>
      <c r="G100" s="497" t="inlineStr">
        <is>
          <t>COMPLETED don’t edit</t>
        </is>
      </c>
      <c r="I100" s="247" t="n"/>
    </row>
    <row r="101">
      <c r="A101" s="247" t="inlineStr">
        <is>
          <t>Detectable Tape - Fire x 250m</t>
        </is>
      </c>
      <c r="B101" s="246" t="inlineStr">
        <is>
          <t>ea</t>
        </is>
      </c>
      <c r="D101" s="661" t="n">
        <v>90</v>
      </c>
      <c r="F101" s="612">
        <f>I101*D101</f>
        <v/>
      </c>
      <c r="G101" s="660" t="n"/>
      <c r="I101" s="246" t="n">
        <v>28</v>
      </c>
      <c r="N101" s="540" t="inlineStr">
        <is>
          <t>frozen from [3] 240614 Pipe &amp; Fittings Price Comparison (Jun-2024 cache) - link severed 26/07/26; &gt;=2yr old at 2027 start - Phase 5 re-source pending</t>
        </is>
      </c>
    </row>
    <row r="102">
      <c r="A102" s="247" t="inlineStr">
        <is>
          <t>Alcohol Weld Wipes</t>
        </is>
      </c>
      <c r="B102" s="246" t="inlineStr">
        <is>
          <t>ea</t>
        </is>
      </c>
      <c r="D102" s="661" t="n">
        <v>13.5</v>
      </c>
      <c r="F102" s="612">
        <f>I102*D102</f>
        <v/>
      </c>
      <c r="G102" s="660" t="n"/>
      <c r="I102" s="246" t="n">
        <v>150</v>
      </c>
      <c r="N102" s="540" t="inlineStr">
        <is>
          <t>frozen from [3] 240614 Pipe &amp; Fittings Price Comparison (Jun-2024 cache) - link severed 26/07/26; &gt;=2yr old at 2027 start - Phase 5 re-source pending</t>
        </is>
      </c>
    </row>
    <row r="103">
      <c r="A103" s="247" t="inlineStr">
        <is>
          <t>Denzo Tape 100mm roll</t>
        </is>
      </c>
      <c r="B103" s="246" t="inlineStr">
        <is>
          <t>ea</t>
        </is>
      </c>
      <c r="D103" s="661" t="n">
        <v>27.14</v>
      </c>
      <c r="F103" s="612">
        <f>I103*D103</f>
        <v/>
      </c>
      <c r="G103" s="660" t="n"/>
      <c r="I103" s="246" t="n">
        <v>150</v>
      </c>
      <c r="N103" s="540" t="inlineStr">
        <is>
          <t>frozen from [3] 240614 Pipe &amp; Fittings Price Comparison (Jun-2024 cache) - link severed 26/07/26; &gt;=2yr old at 2027 start - Phase 5 re-source pending</t>
        </is>
      </c>
    </row>
    <row r="104">
      <c r="A104" s="247" t="inlineStr">
        <is>
          <t>Black over-wrap tape - roll</t>
        </is>
      </c>
      <c r="B104" s="246" t="inlineStr">
        <is>
          <t>ea</t>
        </is>
      </c>
      <c r="D104" s="661" t="n">
        <v>27.14</v>
      </c>
      <c r="F104" s="612">
        <f>I104*D104</f>
        <v/>
      </c>
      <c r="G104" s="660" t="n"/>
      <c r="I104" s="246" t="n">
        <v>150</v>
      </c>
      <c r="N104" s="540" t="inlineStr">
        <is>
          <t>frozen from [3] 240614 Pipe &amp; Fittings Price Comparison (Jun-2024 cache) - link severed 26/07/26; &gt;=2yr old at 2027 start - Phase 5 re-source pending</t>
        </is>
      </c>
    </row>
    <row r="105">
      <c r="A105" s="247" t="n"/>
      <c r="B105" s="247" t="n"/>
      <c r="I105" s="247" t="n"/>
    </row>
    <row r="106">
      <c r="A106" s="250" t="inlineStr">
        <is>
          <t>FIRE SERVICES - ABOVE GROUND</t>
        </is>
      </c>
      <c r="B106" s="252" t="n"/>
      <c r="I106" s="252" t="n"/>
    </row>
    <row r="107">
      <c r="A107" s="254" t="inlineStr">
        <is>
          <t>Description</t>
        </is>
      </c>
      <c r="B107" s="255" t="inlineStr">
        <is>
          <t>Unit</t>
        </is>
      </c>
      <c r="C107" s="658" t="n"/>
      <c r="D107" s="257" t="inlineStr">
        <is>
          <t>Rate</t>
        </is>
      </c>
      <c r="E107" s="658" t="n"/>
      <c r="F107" s="257" t="inlineStr">
        <is>
          <t>Total</t>
        </is>
      </c>
      <c r="G107" s="497" t="inlineStr">
        <is>
          <t>COMPLETED don’t edit</t>
        </is>
      </c>
      <c r="I107" s="255" t="inlineStr">
        <is>
          <t>Qty</t>
        </is>
      </c>
    </row>
    <row r="108">
      <c r="A108" s="247" t="inlineStr">
        <is>
          <t>150mm MED DUTY Galv Pipe</t>
        </is>
      </c>
      <c r="B108" s="249" t="inlineStr">
        <is>
          <t>m</t>
        </is>
      </c>
      <c r="D108" s="661" t="n">
        <v>43.84615384615385</v>
      </c>
      <c r="F108" s="612">
        <f>I108*D108</f>
        <v/>
      </c>
      <c r="G108" s="660" t="n"/>
      <c r="I108" s="249" t="n">
        <v>90</v>
      </c>
      <c r="N108" s="540" t="inlineStr">
        <is>
          <t>frozen from [3] 240614 Pipe &amp; Fittings Price Comparison (Jun-2024 cache) - link severed 26/07/26; &gt;=2yr old at 2027 start - Phase 5 re-source pending</t>
        </is>
      </c>
    </row>
    <row r="109">
      <c r="A109" s="247" t="inlineStr">
        <is>
          <t>100mm MED DUTY Galv Pipe w/RG Ends</t>
        </is>
      </c>
      <c r="B109" s="249" t="inlineStr">
        <is>
          <t>m</t>
        </is>
      </c>
      <c r="D109" s="661" t="n">
        <v>28.46153846153846</v>
      </c>
      <c r="F109" s="612">
        <f>I109*D109</f>
        <v/>
      </c>
      <c r="G109" s="660" t="n"/>
      <c r="I109" s="249" t="n">
        <v>12</v>
      </c>
      <c r="N109" s="540" t="inlineStr">
        <is>
          <t>frozen from [3] 240614 Pipe &amp; Fittings Price Comparison (Jun-2024 cache) - link severed 26/07/26; &gt;=2yr old at 2027 start - Phase 5 re-source pending</t>
        </is>
      </c>
    </row>
    <row r="110">
      <c r="A110" s="247" t="inlineStr">
        <is>
          <t>100mm Class B Copper Pipe</t>
        </is>
      </c>
      <c r="B110" s="249" t="inlineStr">
        <is>
          <t>m</t>
        </is>
      </c>
      <c r="D110" s="661" t="n">
        <v>106.2416666666667</v>
      </c>
      <c r="F110" s="612">
        <f>I110*D110</f>
        <v/>
      </c>
      <c r="G110" s="660" t="n"/>
      <c r="I110" s="249" t="n">
        <v>12</v>
      </c>
      <c r="N110" s="540" t="inlineStr">
        <is>
          <t>frozen from [3] 240614 Pipe &amp; Fittings Price Comparison (Jun-2024 cache) - link severed 26/07/26; &gt;=2yr old at 2027 start - Phase 5 re-source pending</t>
        </is>
      </c>
    </row>
    <row r="111">
      <c r="A111" s="247" t="inlineStr">
        <is>
          <t>25mm Class B Copper Pipe</t>
        </is>
      </c>
      <c r="B111" s="249" t="inlineStr">
        <is>
          <t>m</t>
        </is>
      </c>
      <c r="D111" s="661" t="n">
        <v>59.82</v>
      </c>
      <c r="F111" s="612">
        <f>I111*D111</f>
        <v/>
      </c>
      <c r="G111" s="660" t="n"/>
      <c r="I111" s="249" t="n">
        <v>12</v>
      </c>
      <c r="N111" s="540" t="inlineStr">
        <is>
          <t>frozen from [3] 240614 Pipe &amp; Fittings Price Comparison (Jun-2024 cache) - link severed 26/07/26; &gt;=2yr old at 2027 start - Phase 5 re-source pending</t>
        </is>
      </c>
    </row>
    <row r="112" ht="7.95" customHeight="1">
      <c r="A112" s="247" t="n"/>
      <c r="B112" s="249" t="n"/>
      <c r="G112" s="497" t="inlineStr">
        <is>
          <t>COMPLETED don’t edit</t>
        </is>
      </c>
      <c r="I112" s="249" t="n"/>
    </row>
    <row r="113">
      <c r="A113" s="247" t="inlineStr">
        <is>
          <t>150mm Galv RG Coupling</t>
        </is>
      </c>
      <c r="B113" s="249" t="inlineStr">
        <is>
          <t>ea</t>
        </is>
      </c>
      <c r="D113" s="661" t="n">
        <v>12.83</v>
      </c>
      <c r="F113" s="612">
        <f>I113*D113</f>
        <v/>
      </c>
      <c r="G113" s="660" t="n"/>
      <c r="I113" s="249" t="n">
        <v>30</v>
      </c>
      <c r="N113" s="540" t="inlineStr">
        <is>
          <t>frozen from [3] 240614 Pipe &amp; Fittings Price Comparison (Jun-2024 cache) - link severed 26/07/26; &gt;=2yr old at 2027 start - Phase 5 re-source pending</t>
        </is>
      </c>
    </row>
    <row r="114">
      <c r="A114" s="247" t="inlineStr">
        <is>
          <t>100mm Galv RG Coupling</t>
        </is>
      </c>
      <c r="B114" s="249" t="inlineStr">
        <is>
          <t>ea</t>
        </is>
      </c>
      <c r="D114" s="661" t="n">
        <v>7.55</v>
      </c>
      <c r="F114" s="612">
        <f>I114*D114</f>
        <v/>
      </c>
      <c r="G114" s="660" t="n"/>
      <c r="I114" s="249" t="n">
        <v>10</v>
      </c>
      <c r="N114" s="540" t="inlineStr">
        <is>
          <t>frozen from [3] 240614 Pipe &amp; Fittings Price Comparison (Jun-2024 cache) - link severed 26/07/26; &gt;=2yr old at 2027 start - Phase 5 re-source pending</t>
        </is>
      </c>
    </row>
    <row r="115">
      <c r="A115" s="247" t="inlineStr">
        <is>
          <t>150mm Galv RG TEE</t>
        </is>
      </c>
      <c r="B115" s="249" t="inlineStr">
        <is>
          <t>ea</t>
        </is>
      </c>
      <c r="D115" s="661" t="n">
        <v>35.5</v>
      </c>
      <c r="F115" s="612">
        <f>I115*D115</f>
        <v/>
      </c>
      <c r="G115" s="660" t="n"/>
      <c r="I115" s="249" t="n">
        <v>3</v>
      </c>
      <c r="N115" s="540" t="inlineStr">
        <is>
          <t>frozen from [3] 240614 Pipe &amp; Fittings Price Comparison (Jun-2024 cache) - link severed 26/07/26; &gt;=2yr old at 2027 start - Phase 5 re-source pending</t>
        </is>
      </c>
    </row>
    <row r="116">
      <c r="A116" s="247" t="inlineStr">
        <is>
          <t>100mm Galv RG TEE</t>
        </is>
      </c>
      <c r="B116" s="249" t="inlineStr">
        <is>
          <t>ea</t>
        </is>
      </c>
      <c r="D116" s="661" t="n">
        <v>16.93</v>
      </c>
      <c r="F116" s="612">
        <f>I116*D116</f>
        <v/>
      </c>
      <c r="G116" s="660" t="n"/>
      <c r="I116" s="249" t="n">
        <v>2</v>
      </c>
      <c r="N116" s="540" t="inlineStr">
        <is>
          <t>frozen from [3] 240614 Pipe &amp; Fittings Price Comparison (Jun-2024 cache) - link severed 26/07/26; &gt;=2yr old at 2027 start - Phase 5 re-source pending</t>
        </is>
      </c>
    </row>
    <row r="117">
      <c r="A117" s="247" t="inlineStr">
        <is>
          <t>150mm Galv RG BEND 90Deg</t>
        </is>
      </c>
      <c r="B117" s="249" t="inlineStr">
        <is>
          <t>ea</t>
        </is>
      </c>
      <c r="D117" s="661" t="n">
        <v>22.85</v>
      </c>
      <c r="F117" s="612">
        <f>I117*D117</f>
        <v/>
      </c>
      <c r="G117" s="497" t="inlineStr">
        <is>
          <t>COMPLETED don’t edit</t>
        </is>
      </c>
      <c r="I117" s="249" t="n">
        <v>20</v>
      </c>
      <c r="N117" s="540" t="inlineStr">
        <is>
          <t>frozen from [3] 240614 Pipe &amp; Fittings Price Comparison (Jun-2024 cache) - link severed 26/07/26; &gt;=2yr old at 2027 start - Phase 5 re-source pending</t>
        </is>
      </c>
    </row>
    <row r="118">
      <c r="A118" s="247" t="inlineStr">
        <is>
          <t>100mm Galv RG BEND 90Deg</t>
        </is>
      </c>
      <c r="B118" s="249" t="inlineStr">
        <is>
          <t>ea</t>
        </is>
      </c>
      <c r="D118" s="661" t="n">
        <v>10.62</v>
      </c>
      <c r="F118" s="612">
        <f>I118*D118</f>
        <v/>
      </c>
      <c r="G118" s="660" t="n"/>
      <c r="I118" s="249" t="n">
        <v>6</v>
      </c>
      <c r="N118" s="540" t="inlineStr">
        <is>
          <t>frozen from [3] 240614 Pipe &amp; Fittings Price Comparison (Jun-2024 cache) - link severed 26/07/26; &gt;=2yr old at 2027 start - Phase 5 re-source pending</t>
        </is>
      </c>
    </row>
    <row r="119">
      <c r="A119" s="247" t="inlineStr">
        <is>
          <t>150mm Galv RG BEND 45Deg</t>
        </is>
      </c>
      <c r="B119" s="249" t="inlineStr">
        <is>
          <t>ea</t>
        </is>
      </c>
      <c r="D119" s="661" t="n">
        <v>23.5</v>
      </c>
      <c r="F119" s="612">
        <f>I119*D119</f>
        <v/>
      </c>
      <c r="G119" s="660" t="n"/>
      <c r="I119" s="249" t="n">
        <v>8</v>
      </c>
      <c r="N119" s="540" t="inlineStr">
        <is>
          <t>frozen from [3] 240614 Pipe &amp; Fittings Price Comparison (Jun-2024 cache) - link severed 26/07/26; &gt;=2yr old at 2027 start - Phase 5 re-source pending</t>
        </is>
      </c>
    </row>
    <row r="120">
      <c r="A120" s="247" t="inlineStr">
        <is>
          <t>100mm Galv RG BEND 45Deg</t>
        </is>
      </c>
      <c r="B120" s="249" t="inlineStr">
        <is>
          <t>ea</t>
        </is>
      </c>
      <c r="D120" s="661" t="n">
        <v>11.4</v>
      </c>
      <c r="F120" s="612">
        <f>I120*D120</f>
        <v/>
      </c>
      <c r="G120" s="660" t="n"/>
      <c r="I120" s="249" t="n">
        <v>6</v>
      </c>
      <c r="N120" s="540" t="inlineStr">
        <is>
          <t>frozen from [3] 240614 Pipe &amp; Fittings Price Comparison (Jun-2024 cache) - link severed 26/07/26; &gt;=2yr old at 2027 start - Phase 5 re-source pending</t>
        </is>
      </c>
    </row>
    <row r="121">
      <c r="A121" s="247" t="inlineStr">
        <is>
          <t>150mm Galv RG x 100mm FLANGE Adapt</t>
        </is>
      </c>
      <c r="B121" s="249" t="inlineStr">
        <is>
          <t>ea</t>
        </is>
      </c>
      <c r="D121" s="661" t="n">
        <v>30.75</v>
      </c>
      <c r="F121" s="612">
        <f>I121*D121</f>
        <v/>
      </c>
      <c r="G121" s="660" t="n"/>
      <c r="I121" s="249" t="n">
        <v>10</v>
      </c>
      <c r="N121" s="540" t="inlineStr">
        <is>
          <t>frozen from [3] 240614 Pipe &amp; Fittings Price Comparison (Jun-2024 cache) - link severed 26/07/26; &gt;=2yr old at 2027 start - Phase 5 re-source pending</t>
        </is>
      </c>
    </row>
    <row r="122">
      <c r="A122" s="247" t="inlineStr">
        <is>
          <t>100mm Galv RG x 100mm FLANGE Adapt</t>
        </is>
      </c>
      <c r="B122" s="249" t="inlineStr">
        <is>
          <t>ea</t>
        </is>
      </c>
      <c r="D122" s="661" t="n">
        <v>23.21</v>
      </c>
      <c r="F122" s="612">
        <f>I122*D122</f>
        <v/>
      </c>
      <c r="G122" s="497" t="inlineStr">
        <is>
          <t>COMPLETED don’t edit</t>
        </is>
      </c>
      <c r="I122" s="249" t="n">
        <v>8</v>
      </c>
      <c r="N122" s="540" t="inlineStr">
        <is>
          <t>frozen from [3] 240614 Pipe &amp; Fittings Price Comparison (Jun-2024 cache) - link severed 26/07/26; &gt;=2yr old at 2027 start - Phase 5 re-source pending</t>
        </is>
      </c>
    </row>
    <row r="123">
      <c r="A123" s="247" t="inlineStr">
        <is>
          <t>150mm RG Butterfly Valve Geared Wheel</t>
        </is>
      </c>
      <c r="B123" s="249" t="inlineStr">
        <is>
          <t>ea</t>
        </is>
      </c>
      <c r="D123" s="661" t="n">
        <v>217.8</v>
      </c>
      <c r="F123" s="612">
        <f>I123*D123</f>
        <v/>
      </c>
      <c r="G123" s="660" t="n"/>
      <c r="I123" s="249" t="n">
        <v>6</v>
      </c>
      <c r="N123" s="540" t="inlineStr">
        <is>
          <t>frozen from [3] 240614 Pipe &amp; Fittings Price Comparison (Jun-2024 cache) - link severed 26/07/26; &gt;=2yr old at 2027 start - Phase 5 re-source pending</t>
        </is>
      </c>
    </row>
    <row r="124">
      <c r="A124" s="247" t="inlineStr">
        <is>
          <t>100mm RG Butterfly Valve Geared Wheel</t>
        </is>
      </c>
      <c r="B124" s="249" t="inlineStr">
        <is>
          <t>ea</t>
        </is>
      </c>
      <c r="D124" s="661" t="n">
        <v>169.4</v>
      </c>
      <c r="F124" s="612">
        <f>I124*D124</f>
        <v/>
      </c>
      <c r="G124" s="660" t="n"/>
      <c r="I124" s="249" t="n">
        <v>6</v>
      </c>
      <c r="N124" s="540" t="inlineStr">
        <is>
          <t>frozen from [3] 240614 Pipe &amp; Fittings Price Comparison (Jun-2024 cache) - link severed 26/07/26; &gt;=2yr old at 2027 start - Phase 5 re-source pending</t>
        </is>
      </c>
    </row>
    <row r="125" ht="10.2" customHeight="1">
      <c r="A125" s="247" t="n"/>
      <c r="B125" s="249" t="n"/>
      <c r="D125" s="661" t="n"/>
      <c r="G125" s="660" t="n"/>
      <c r="I125" s="249" t="n"/>
    </row>
    <row r="126">
      <c r="A126" s="247" t="inlineStr">
        <is>
          <t>150mm H-Pattern Booster Assembly Complete</t>
        </is>
      </c>
      <c r="B126" s="249" t="inlineStr">
        <is>
          <t>ea</t>
        </is>
      </c>
      <c r="D126" s="661" t="n">
        <v>2350</v>
      </c>
      <c r="F126" s="612">
        <f>I126*D126</f>
        <v/>
      </c>
      <c r="G126" s="660" t="n"/>
      <c r="I126" s="249" t="n">
        <v>1</v>
      </c>
      <c r="N126" s="540" t="inlineStr">
        <is>
          <t>frozen from [3] 240614 Pipe &amp; Fittings Price Comparison (Jun-2024 cache) - link severed 26/07/26; &gt;=2yr old at 2027 start - Phase 5 re-source pending</t>
        </is>
      </c>
    </row>
    <row r="127">
      <c r="A127" s="247" t="inlineStr">
        <is>
          <t>Booster Cabinet - Compl with doors and stickers</t>
        </is>
      </c>
      <c r="B127" s="249" t="inlineStr">
        <is>
          <t>ea</t>
        </is>
      </c>
      <c r="D127" s="661" t="n">
        <v>1155</v>
      </c>
      <c r="F127" s="612">
        <f>I127*D127</f>
        <v/>
      </c>
      <c r="G127" s="497" t="inlineStr">
        <is>
          <t>COMPLETED don’t edit</t>
        </is>
      </c>
      <c r="I127" s="249" t="n">
        <v>1</v>
      </c>
      <c r="N127" s="540" t="inlineStr">
        <is>
          <t>frozen from [3] 240614 Pipe &amp; Fittings Price Comparison (Jun-2024 cache) - link severed 26/07/26; &gt;=2yr old at 2027 start - Phase 5 re-source pending</t>
        </is>
      </c>
    </row>
    <row r="128" ht="9" customHeight="1">
      <c r="A128" s="247" t="n"/>
      <c r="B128" s="249" t="n"/>
      <c r="D128" s="661" t="n"/>
      <c r="G128" s="660" t="n"/>
      <c r="I128" s="249" t="n"/>
    </row>
    <row r="129">
      <c r="A129" s="247" t="inlineStr">
        <is>
          <t>100mm Dual Pillar Hydrant Complete_ Flanged Base 1500 High w/landing Valves</t>
        </is>
      </c>
      <c r="B129" s="246" t="inlineStr">
        <is>
          <t>ea</t>
        </is>
      </c>
      <c r="D129" s="661" t="n">
        <v>365</v>
      </c>
      <c r="F129" s="612">
        <f>I129*D129</f>
        <v/>
      </c>
      <c r="G129" s="660" t="n"/>
      <c r="I129" s="246" t="n">
        <v>53</v>
      </c>
      <c r="N129" s="540" t="inlineStr">
        <is>
          <t>frozen from [3] 240614 Pipe &amp; Fittings Price Comparison (Jun-2024 cache) - link severed 26/07/26; &gt;=2yr old at 2027 start - Phase 5 re-source pending</t>
        </is>
      </c>
    </row>
    <row r="130">
      <c r="A130" s="247" t="inlineStr">
        <is>
          <t>100mm Dual Pillar Hydrant Complete_ RG Base 1500 High w/landing Valves_OPTION</t>
        </is>
      </c>
      <c r="B130" s="246" t="inlineStr">
        <is>
          <t>ea</t>
        </is>
      </c>
      <c r="D130" s="661" t="n">
        <v>365</v>
      </c>
      <c r="F130" s="612">
        <f>I130*D130</f>
        <v/>
      </c>
      <c r="G130" s="660" t="n"/>
      <c r="I130" s="246" t="n">
        <v>53</v>
      </c>
      <c r="N130" s="540" t="inlineStr">
        <is>
          <t>frozen from [3] 240614 Pipe &amp; Fittings Price Comparison (Jun-2024 cache) - link severed 26/07/26; &gt;=2yr old at 2027 start - Phase 5 re-source pending</t>
        </is>
      </c>
    </row>
    <row r="131">
      <c r="A131" s="247" t="inlineStr">
        <is>
          <t xml:space="preserve">65mm RG Landing Valve </t>
        </is>
      </c>
      <c r="B131" s="246" t="inlineStr">
        <is>
          <t>ea</t>
        </is>
      </c>
      <c r="D131" s="661" t="n">
        <v>90</v>
      </c>
      <c r="F131" s="612">
        <f>I131*D131</f>
        <v/>
      </c>
      <c r="G131" s="660" t="n"/>
      <c r="I131" s="246" t="n">
        <v>6</v>
      </c>
      <c r="N131" s="540" t="inlineStr">
        <is>
          <t>frozen from [3] 240614 Pipe &amp; Fittings Price Comparison (Jun-2024 cache) - link severed 26/07/26; &gt;=2yr old at 2027 start - Phase 5 re-source pending</t>
        </is>
      </c>
    </row>
    <row r="132">
      <c r="A132" s="247" t="inlineStr">
        <is>
          <t>Red caps and chain - suit 65mm QLD Landing valve</t>
        </is>
      </c>
      <c r="B132" s="246" t="inlineStr">
        <is>
          <t>ea</t>
        </is>
      </c>
      <c r="D132" s="661" t="n">
        <v>5</v>
      </c>
      <c r="F132" s="612">
        <f>I132*D132</f>
        <v/>
      </c>
      <c r="G132" s="497" t="inlineStr">
        <is>
          <t>COMPLETED don’t edit</t>
        </is>
      </c>
      <c r="I132" s="246" t="n">
        <v>6</v>
      </c>
      <c r="N132" s="540" t="inlineStr">
        <is>
          <t>frozen from [3] 240614 Pipe &amp; Fittings Price Comparison (Jun-2024 cache) - link severed 26/07/26; &gt;=2yr old at 2027 start - Phase 5 re-source pending</t>
        </is>
      </c>
    </row>
    <row r="133">
      <c r="A133" s="247" t="inlineStr">
        <is>
          <t>36m Fire Hose Reel w/25mm isolation valve</t>
        </is>
      </c>
      <c r="B133" s="249" t="inlineStr">
        <is>
          <t>ea</t>
        </is>
      </c>
      <c r="D133" s="661" t="n">
        <v>125</v>
      </c>
      <c r="F133" s="612">
        <f>I133*D133</f>
        <v/>
      </c>
      <c r="G133" s="660" t="n"/>
      <c r="I133" s="249" t="n">
        <v>5</v>
      </c>
      <c r="N133" s="540" t="inlineStr">
        <is>
          <t>frozen from [3] 240614 Pipe &amp; Fittings Price Comparison (Jun-2024 cache) - link severed 26/07/26; &gt;=2yr old at 2027 start - Phase 5 re-source pending</t>
        </is>
      </c>
    </row>
    <row r="134">
      <c r="A134" s="247" t="inlineStr">
        <is>
          <t>25mm Isolation Ball Valve (for fire hose reel) valve only, with hose nozzle latch</t>
        </is>
      </c>
      <c r="B134" s="249" t="inlineStr">
        <is>
          <t>ea</t>
        </is>
      </c>
      <c r="D134" s="661" t="n">
        <v>39</v>
      </c>
      <c r="F134" s="612">
        <f>I134*D134</f>
        <v/>
      </c>
      <c r="G134" s="660" t="n"/>
      <c r="I134" s="249" t="n">
        <v>85</v>
      </c>
      <c r="N134" s="540" t="inlineStr">
        <is>
          <t>frozen from [3] 240614 Pipe &amp; Fittings Price Comparison (Jun-2024 cache) - link severed 26/07/26; &gt;=2yr old at 2027 start - Phase 5 re-source pending</t>
        </is>
      </c>
    </row>
    <row r="135" ht="10.2" customHeight="1">
      <c r="A135" s="247" t="n"/>
      <c r="B135" s="249" t="n"/>
      <c r="G135" s="660" t="n"/>
      <c r="I135" s="249" t="n"/>
    </row>
    <row r="136">
      <c r="A136" s="247" t="inlineStr">
        <is>
          <t>150mm FL Testable Double Check Valve - Compl. w/Valves</t>
        </is>
      </c>
      <c r="B136" s="249" t="inlineStr">
        <is>
          <t>ea</t>
        </is>
      </c>
      <c r="D136" s="661" t="n">
        <v>3100.7</v>
      </c>
      <c r="F136" s="612">
        <f>I136*D136</f>
        <v/>
      </c>
      <c r="G136" s="660" t="n"/>
      <c r="I136" s="249" t="n">
        <v>1</v>
      </c>
      <c r="N136" s="540" t="inlineStr">
        <is>
          <t>frozen from [3] 240614 Pipe &amp; Fittings Price Comparison (Jun-2024 cache) - link severed 26/07/26; &gt;=2yr old at 2027 start - Phase 5 re-source pending</t>
        </is>
      </c>
    </row>
    <row r="137">
      <c r="A137" s="247" t="inlineStr">
        <is>
          <t>150mm FL RPZD Valve - Compl. w/Valves</t>
        </is>
      </c>
      <c r="B137" s="249" t="inlineStr">
        <is>
          <t>ea</t>
        </is>
      </c>
      <c r="D137" s="661" t="n">
        <v>4237.09</v>
      </c>
      <c r="F137" s="612">
        <f>I137*D137</f>
        <v/>
      </c>
      <c r="G137" s="497" t="inlineStr">
        <is>
          <t>COMPLETED don’t edit</t>
        </is>
      </c>
      <c r="I137" s="249" t="n">
        <v>2</v>
      </c>
      <c r="N137" s="540" t="inlineStr">
        <is>
          <t>frozen from [3] 240614 Pipe &amp; Fittings Price Comparison (Jun-2024 cache) - link severed 26/07/26; &gt;=2yr old at 2027 start - Phase 5 re-source pending</t>
        </is>
      </c>
    </row>
    <row r="138" ht="7.2" customHeight="1">
      <c r="A138" s="247" t="n"/>
      <c r="B138" s="249" t="n"/>
      <c r="D138" s="661" t="n"/>
      <c r="G138" s="660" t="n"/>
      <c r="I138" s="249" t="n"/>
    </row>
    <row r="139">
      <c r="A139" s="247" t="inlineStr">
        <is>
          <t>100mm FL Levered Butterfly Vlave</t>
        </is>
      </c>
      <c r="B139" s="249" t="inlineStr">
        <is>
          <t>ea</t>
        </is>
      </c>
      <c r="D139" s="661" t="n">
        <v>114.44</v>
      </c>
      <c r="F139" s="612">
        <f>I139*D139</f>
        <v/>
      </c>
      <c r="G139" s="660" t="n"/>
      <c r="I139" s="249" t="n">
        <v>10</v>
      </c>
      <c r="N139" s="540" t="inlineStr">
        <is>
          <t>frozen from [3] 240614 Pipe &amp; Fittings Price Comparison (Jun-2024 cache) - link severed 26/07/26; &gt;=2yr old at 2027 start - Phase 5 re-source pending</t>
        </is>
      </c>
    </row>
    <row r="140">
      <c r="A140" s="247" t="inlineStr">
        <is>
          <t>100mm Copper Crimp - TEE</t>
        </is>
      </c>
      <c r="B140" s="249" t="inlineStr">
        <is>
          <t>ea</t>
        </is>
      </c>
      <c r="D140" s="661" t="n">
        <v>219.36</v>
      </c>
      <c r="F140" s="612">
        <f>I140*D140</f>
        <v/>
      </c>
      <c r="G140" s="660" t="n"/>
      <c r="I140" s="249" t="n">
        <v>7</v>
      </c>
      <c r="N140" s="540" t="inlineStr">
        <is>
          <t>frozen from [3] 240614 Pipe &amp; Fittings Price Comparison (Jun-2024 cache) - link severed 26/07/26; &gt;=2yr old at 2027 start - Phase 5 re-source pending</t>
        </is>
      </c>
    </row>
    <row r="141">
      <c r="A141" s="247" t="inlineStr">
        <is>
          <t>100mm Copper Crimp - 90Deg Bend</t>
        </is>
      </c>
      <c r="B141" s="249" t="inlineStr">
        <is>
          <t>ea</t>
        </is>
      </c>
      <c r="D141" s="661" t="n">
        <v>135.09</v>
      </c>
      <c r="F141" s="612">
        <f>I141*D141</f>
        <v/>
      </c>
      <c r="G141" s="660" t="n"/>
      <c r="I141" s="249" t="n">
        <v>8</v>
      </c>
      <c r="N141" s="540" t="inlineStr">
        <is>
          <t>frozen from [3] 240614 Pipe &amp; Fittings Price Comparison (Jun-2024 cache) - link severed 26/07/26; &gt;=2yr old at 2027 start - Phase 5 re-source pending</t>
        </is>
      </c>
    </row>
    <row r="142">
      <c r="A142" s="247" t="inlineStr">
        <is>
          <t>100mm Copper Crimp - 45Deg Bend</t>
        </is>
      </c>
      <c r="B142" s="249" t="inlineStr">
        <is>
          <t>ea</t>
        </is>
      </c>
      <c r="D142" s="661" t="n">
        <v>125.77</v>
      </c>
      <c r="F142" s="612">
        <f>I142*D142</f>
        <v/>
      </c>
      <c r="G142" s="497" t="inlineStr">
        <is>
          <t>COMPLETED don’t edit</t>
        </is>
      </c>
      <c r="I142" s="249" t="n">
        <v>6</v>
      </c>
      <c r="N142" s="540" t="inlineStr">
        <is>
          <t>frozen from [3] 240614 Pipe &amp; Fittings Price Comparison (Jun-2024 cache) - link severed 26/07/26; &gt;=2yr old at 2027 start - Phase 5 re-source pending</t>
        </is>
      </c>
    </row>
    <row r="143">
      <c r="A143" s="247" t="inlineStr">
        <is>
          <t>100mm Copper Crimp - Straight Socket</t>
        </is>
      </c>
      <c r="B143" s="249" t="inlineStr">
        <is>
          <t>ea</t>
        </is>
      </c>
      <c r="D143" s="661" t="n">
        <v>83.25</v>
      </c>
      <c r="F143" s="612">
        <f>I143*D143</f>
        <v/>
      </c>
      <c r="G143" s="660" t="n"/>
      <c r="I143" s="249" t="n">
        <v>12</v>
      </c>
      <c r="N143" s="540" t="inlineStr">
        <is>
          <t>frozen from [3] 240614 Pipe &amp; Fittings Price Comparison (Jun-2024 cache) - link severed 26/07/26; &gt;=2yr old at 2027 start - Phase 5 re-source pending</t>
        </is>
      </c>
    </row>
    <row r="144">
      <c r="A144" s="247" t="inlineStr">
        <is>
          <t>100mm Copper Crimp - 100mm FL Adapter</t>
        </is>
      </c>
      <c r="B144" s="249" t="inlineStr">
        <is>
          <t>ea</t>
        </is>
      </c>
      <c r="D144" s="661" t="n">
        <v>52.25</v>
      </c>
      <c r="F144" s="612">
        <f>I144*D144</f>
        <v/>
      </c>
      <c r="G144" s="660" t="n"/>
      <c r="I144" s="249" t="n">
        <v>12</v>
      </c>
      <c r="N144" s="540" t="inlineStr">
        <is>
          <t>frozen from [3] 240614 Pipe &amp; Fittings Price Comparison (Jun-2024 cache) - link severed 26/07/26; &gt;=2yr old at 2027 start - Phase 5 re-source pending</t>
        </is>
      </c>
    </row>
    <row r="145">
      <c r="A145" s="247" t="inlineStr">
        <is>
          <t>80mm Copper Crimp - TEE</t>
        </is>
      </c>
      <c r="B145" s="249" t="inlineStr">
        <is>
          <t>ea</t>
        </is>
      </c>
      <c r="D145" s="661" t="n">
        <v>175.66</v>
      </c>
      <c r="F145" s="612">
        <f>I145*D145</f>
        <v/>
      </c>
      <c r="G145" s="660" t="n"/>
      <c r="I145" s="249" t="n">
        <v>4</v>
      </c>
      <c r="N145" s="540" t="inlineStr">
        <is>
          <t>frozen from [3] 240614 Pipe &amp; Fittings Price Comparison (Jun-2024 cache) - link severed 26/07/26; &gt;=2yr old at 2027 start - Phase 5 re-source pending</t>
        </is>
      </c>
    </row>
    <row r="146">
      <c r="A146" s="247" t="inlineStr">
        <is>
          <t>100mm*80mm Copper Crimp - REDUCER</t>
        </is>
      </c>
      <c r="B146" s="249" t="inlineStr">
        <is>
          <t>ea</t>
        </is>
      </c>
      <c r="D146" s="661" t="n">
        <v>164.08</v>
      </c>
      <c r="F146" s="612">
        <f>I146*D146</f>
        <v/>
      </c>
      <c r="G146" s="660" t="n"/>
      <c r="I146" s="249" t="n">
        <v>5</v>
      </c>
      <c r="N146" s="540" t="inlineStr">
        <is>
          <t>frozen from [3] 240614 Pipe &amp; Fittings Price Comparison (Jun-2024 cache) - link severed 26/07/26; &gt;=2yr old at 2027 start - Phase 5 re-source pending</t>
        </is>
      </c>
    </row>
    <row r="147" ht="11.55" customHeight="1">
      <c r="A147" s="247" t="n"/>
      <c r="B147" s="247" t="n"/>
      <c r="D147" s="661" t="n"/>
      <c r="G147" s="497" t="inlineStr">
        <is>
          <t>COMPLETED don’t edit</t>
        </is>
      </c>
      <c r="I147" s="247" t="n"/>
    </row>
    <row r="148">
      <c r="A148" s="247" t="inlineStr">
        <is>
          <t>32mm Fi Lockable Ball Valve</t>
        </is>
      </c>
      <c r="B148" s="249" t="inlineStr">
        <is>
          <t>ea</t>
        </is>
      </c>
      <c r="D148" s="661" t="n">
        <v>77.95</v>
      </c>
      <c r="F148" s="612">
        <f>I148*D148</f>
        <v/>
      </c>
      <c r="G148" s="660" t="n"/>
      <c r="I148" s="246" t="n">
        <v>4</v>
      </c>
      <c r="N148" s="540" t="inlineStr">
        <is>
          <t>frozen from [3] 240614 Pipe &amp; Fittings Price Comparison (Jun-2024 cache) - link severed 26/07/26; &gt;=2yr old at 2027 start - Phase 5 re-source pending</t>
        </is>
      </c>
    </row>
    <row r="149">
      <c r="A149" s="247" t="inlineStr">
        <is>
          <t>32mm Cu Crimp * 32mi Adapt</t>
        </is>
      </c>
      <c r="B149" s="249" t="inlineStr">
        <is>
          <t>ea</t>
        </is>
      </c>
      <c r="D149" s="661" t="n">
        <v>17.16</v>
      </c>
      <c r="F149" s="612">
        <f>I149*D149</f>
        <v/>
      </c>
      <c r="G149" s="660" t="n"/>
      <c r="I149" s="246" t="n">
        <v>8</v>
      </c>
      <c r="N149" s="540" t="inlineStr">
        <is>
          <t>frozen from [3] 240614 Pipe &amp; Fittings Price Comparison (Jun-2024 cache) - link severed 26/07/26; &gt;=2yr old at 2027 start - Phase 5 re-source pending</t>
        </is>
      </c>
    </row>
    <row r="150">
      <c r="A150" s="247" t="inlineStr">
        <is>
          <t>32mm Cu Crimp Coupling Straight</t>
        </is>
      </c>
      <c r="B150" s="249" t="inlineStr">
        <is>
          <t>ea</t>
        </is>
      </c>
      <c r="D150" s="661" t="n">
        <v>7.23</v>
      </c>
      <c r="F150" s="612">
        <f>I150*D150</f>
        <v/>
      </c>
      <c r="G150" s="660" t="n"/>
      <c r="I150" s="246" t="n">
        <v>12</v>
      </c>
      <c r="N150" s="540" t="inlineStr">
        <is>
          <t>frozen from [3] 240614 Pipe &amp; Fittings Price Comparison (Jun-2024 cache) - link severed 26/07/26; &gt;=2yr old at 2027 start - Phase 5 re-source pending</t>
        </is>
      </c>
    </row>
    <row r="151">
      <c r="A151" s="247" t="inlineStr">
        <is>
          <t>32mm Cu Crimp 90Deg Bend</t>
        </is>
      </c>
      <c r="B151" s="249" t="inlineStr">
        <is>
          <t>ea</t>
        </is>
      </c>
      <c r="D151" s="661" t="n">
        <v>14.31</v>
      </c>
      <c r="F151" s="612">
        <f>I151*D151</f>
        <v/>
      </c>
      <c r="G151" s="660" t="n"/>
      <c r="I151" s="246" t="n">
        <v>6</v>
      </c>
      <c r="N151" s="540" t="inlineStr">
        <is>
          <t>frozen from [3] 240614 Pipe &amp; Fittings Price Comparison (Jun-2024 cache) - link severed 26/07/26; &gt;=2yr old at 2027 start - Phase 5 re-source pending</t>
        </is>
      </c>
    </row>
    <row r="152">
      <c r="A152" s="247" t="inlineStr">
        <is>
          <t>32mm Cu Crimp 45Deg Bend</t>
        </is>
      </c>
      <c r="B152" s="249" t="inlineStr">
        <is>
          <t>ea</t>
        </is>
      </c>
      <c r="D152" s="661" t="n">
        <v>16.24</v>
      </c>
      <c r="F152" s="612">
        <f>I152*D152</f>
        <v/>
      </c>
      <c r="G152" s="497" t="inlineStr">
        <is>
          <t>COMPLETED don’t edit</t>
        </is>
      </c>
      <c r="I152" s="246" t="n">
        <v>4</v>
      </c>
      <c r="N152" s="540" t="inlineStr">
        <is>
          <t>frozen from [3] 240614 Pipe &amp; Fittings Price Comparison (Jun-2024 cache) - link severed 26/07/26; &gt;=2yr old at 2027 start - Phase 5 re-source pending</t>
        </is>
      </c>
    </row>
    <row r="153">
      <c r="A153" s="247" t="inlineStr">
        <is>
          <t>32mm*25mm Cu Crimp Reducer</t>
        </is>
      </c>
      <c r="B153" s="249" t="inlineStr">
        <is>
          <t>ea</t>
        </is>
      </c>
      <c r="D153" s="661" t="n">
        <v>14.36</v>
      </c>
      <c r="F153" s="612">
        <f>I153*D153</f>
        <v/>
      </c>
      <c r="G153" s="660" t="n"/>
      <c r="I153" s="246" t="n">
        <v>4</v>
      </c>
      <c r="N153" s="540" t="inlineStr">
        <is>
          <t>frozen from [3] 240614 Pipe &amp; Fittings Price Comparison (Jun-2024 cache) - link severed 26/07/26; &gt;=2yr old at 2027 start - Phase 5 re-source pending</t>
        </is>
      </c>
    </row>
    <row r="154">
      <c r="A154" s="247" t="inlineStr">
        <is>
          <t>25mm Fi Lockable Ball Valve</t>
        </is>
      </c>
      <c r="B154" s="249" t="inlineStr">
        <is>
          <t>ea</t>
        </is>
      </c>
      <c r="D154" s="661" t="n">
        <v>46.94</v>
      </c>
      <c r="F154" s="612">
        <f>I154*D154</f>
        <v/>
      </c>
      <c r="G154" s="660" t="n"/>
      <c r="I154" s="246" t="n">
        <v>85</v>
      </c>
      <c r="N154" s="540" t="inlineStr">
        <is>
          <t>frozen from [3] 240614 Pipe &amp; Fittings Price Comparison (Jun-2024 cache) - link severed 26/07/26; &gt;=2yr old at 2027 start - Phase 5 re-source pending</t>
        </is>
      </c>
    </row>
    <row r="155">
      <c r="A155" s="247" t="inlineStr">
        <is>
          <t>25mm Cu Crimp * 25mi Adapt</t>
        </is>
      </c>
      <c r="B155" s="249" t="inlineStr">
        <is>
          <t>ea</t>
        </is>
      </c>
      <c r="D155" s="661" t="n">
        <v>8.460000000000001</v>
      </c>
      <c r="F155" s="612">
        <f>I155*D155</f>
        <v/>
      </c>
      <c r="G155" s="660" t="n"/>
      <c r="I155" s="246" t="n">
        <v>170</v>
      </c>
      <c r="N155" s="540" t="inlineStr">
        <is>
          <t>frozen from [3] 240614 Pipe &amp; Fittings Price Comparison (Jun-2024 cache) - link severed 26/07/26; &gt;=2yr old at 2027 start - Phase 5 re-source pending</t>
        </is>
      </c>
    </row>
    <row r="156">
      <c r="A156" s="247" t="inlineStr">
        <is>
          <t>25mm Cu Crimp Coupling Straight</t>
        </is>
      </c>
      <c r="B156" s="249" t="inlineStr">
        <is>
          <t>ea</t>
        </is>
      </c>
      <c r="D156" s="661" t="n">
        <v>5.74</v>
      </c>
      <c r="F156" s="612">
        <f>I156*D156</f>
        <v/>
      </c>
      <c r="G156" s="660" t="n"/>
      <c r="I156" s="246" t="n">
        <v>170</v>
      </c>
      <c r="N156" s="540" t="inlineStr">
        <is>
          <t>frozen from [3] 240614 Pipe &amp; Fittings Price Comparison (Jun-2024 cache) - link severed 26/07/26; &gt;=2yr old at 2027 start - Phase 5 re-source pending</t>
        </is>
      </c>
    </row>
    <row r="157">
      <c r="A157" s="247" t="inlineStr">
        <is>
          <t>25mm Cu Crimp 90Deg Bend</t>
        </is>
      </c>
      <c r="B157" s="249" t="inlineStr">
        <is>
          <t>ea</t>
        </is>
      </c>
      <c r="D157" s="661" t="n">
        <v>7.7</v>
      </c>
      <c r="F157" s="612">
        <f>I157*D157</f>
        <v/>
      </c>
      <c r="G157" s="497" t="inlineStr">
        <is>
          <t>COMPLETED don’t edit</t>
        </is>
      </c>
      <c r="I157" s="246" t="n">
        <v>170</v>
      </c>
    </row>
    <row r="158">
      <c r="A158" s="247" t="inlineStr">
        <is>
          <t>25mm Cu Crimp 45Deg Bend</t>
        </is>
      </c>
      <c r="B158" s="249" t="inlineStr">
        <is>
          <t>ea</t>
        </is>
      </c>
      <c r="D158" s="661" t="n">
        <v>10.19</v>
      </c>
      <c r="F158" s="612">
        <f>I158*D158</f>
        <v/>
      </c>
      <c r="G158" s="660" t="n"/>
      <c r="I158" s="246" t="n">
        <v>25</v>
      </c>
      <c r="N158" s="540" t="inlineStr">
        <is>
          <t>frozen from [3] 240614 Pipe &amp; Fittings Price Comparison (Jun-2024 cache) - link severed 26/07/26; &gt;=2yr old at 2027 start - Phase 5 re-source pending</t>
        </is>
      </c>
    </row>
    <row r="159">
      <c r="A159" s="247" t="n"/>
      <c r="B159" s="249" t="n"/>
      <c r="G159" s="660" t="n"/>
      <c r="I159" s="247" t="n"/>
    </row>
    <row r="160">
      <c r="A160" s="247" t="inlineStr">
        <is>
          <t>150mm Galv 2 Piece Weld-nut Bracket M12</t>
        </is>
      </c>
      <c r="B160" s="249" t="inlineStr">
        <is>
          <t>ea</t>
        </is>
      </c>
      <c r="D160" s="661" t="n">
        <v>5.86</v>
      </c>
      <c r="F160" s="612">
        <f>I160*D160</f>
        <v/>
      </c>
      <c r="G160" s="660" t="n"/>
      <c r="I160" s="249" t="n">
        <v>80</v>
      </c>
      <c r="N160" s="540" t="inlineStr">
        <is>
          <t>frozen from [3] 240614 Pipe &amp; Fittings Price Comparison (Jun-2024 cache) - link severed 26/07/26; &gt;=2yr old at 2027 start - Phase 5 re-source pending</t>
        </is>
      </c>
    </row>
    <row r="161">
      <c r="A161" s="247" t="inlineStr">
        <is>
          <t>100mm Galv 2 Piece Weld-nut Bracket M12</t>
        </is>
      </c>
      <c r="B161" s="249" t="inlineStr">
        <is>
          <t>ea</t>
        </is>
      </c>
      <c r="D161" s="661" t="n">
        <v>4.41</v>
      </c>
      <c r="F161" s="612">
        <f>I161*D161</f>
        <v/>
      </c>
      <c r="G161" s="660" t="n"/>
      <c r="I161" s="249" t="n">
        <v>10</v>
      </c>
      <c r="N161" s="540" t="inlineStr">
        <is>
          <t>frozen from [3] 240614 Pipe &amp; Fittings Price Comparison (Jun-2024 cache) - link severed 26/07/26; &gt;=2yr old at 2027 start - Phase 5 re-source pending</t>
        </is>
      </c>
    </row>
    <row r="162">
      <c r="A162" s="247" t="inlineStr">
        <is>
          <t>150 Galv 2 Piece Channel Clip</t>
        </is>
      </c>
      <c r="B162" s="249" t="inlineStr">
        <is>
          <t>ea</t>
        </is>
      </c>
      <c r="D162" s="661" t="n">
        <v>5.36</v>
      </c>
      <c r="F162" s="612">
        <f>I162*D162</f>
        <v/>
      </c>
      <c r="G162" s="497" t="inlineStr">
        <is>
          <t>COMPLETED don’t edit</t>
        </is>
      </c>
      <c r="I162" s="249" t="n">
        <v>10</v>
      </c>
      <c r="N162" s="540" t="inlineStr">
        <is>
          <t>frozen from [3] 240614 Pipe &amp; Fittings Price Comparison (Jun-2024 cache) - link severed 26/07/26; &gt;=2yr old at 2027 start - Phase 5 re-source pending</t>
        </is>
      </c>
    </row>
    <row r="163">
      <c r="A163" s="247" t="inlineStr">
        <is>
          <t>100 Galv 2 Piece Channel Clip</t>
        </is>
      </c>
      <c r="B163" s="249" t="inlineStr">
        <is>
          <t>ea</t>
        </is>
      </c>
      <c r="D163" s="661" t="n">
        <v>4.4</v>
      </c>
      <c r="F163" s="612">
        <f>I163*D163</f>
        <v/>
      </c>
      <c r="G163" s="660" t="n"/>
      <c r="I163" s="249" t="n">
        <v>10</v>
      </c>
      <c r="N163" s="540" t="inlineStr">
        <is>
          <t>frozen from [3] 240614 Pipe &amp; Fittings Price Comparison (Jun-2024 cache) - link severed 26/07/26; &gt;=2yr old at 2027 start - Phase 5 re-source pending</t>
        </is>
      </c>
    </row>
    <row r="164">
      <c r="A164" s="247" t="inlineStr">
        <is>
          <t>12mm Galv Threaded Rod</t>
        </is>
      </c>
      <c r="B164" s="249" t="inlineStr">
        <is>
          <t>ea</t>
        </is>
      </c>
      <c r="D164" s="661" t="n">
        <v>10.64</v>
      </c>
      <c r="F164" s="612">
        <f>I164*D164</f>
        <v/>
      </c>
      <c r="G164" s="660" t="n"/>
      <c r="I164" s="249" t="n">
        <v>12</v>
      </c>
      <c r="N164" s="540" t="inlineStr">
        <is>
          <t>frozen from [3] 240614 Pipe &amp; Fittings Price Comparison (Jun-2024 cache) - link severed 26/07/26; &gt;=2yr old at 2027 start - Phase 5 re-source pending</t>
        </is>
      </c>
    </row>
    <row r="165">
      <c r="A165" s="247" t="inlineStr">
        <is>
          <t>Galv Braced Counter Lever Bracket - 450Long</t>
        </is>
      </c>
      <c r="B165" s="249" t="inlineStr">
        <is>
          <t>ea</t>
        </is>
      </c>
      <c r="D165" s="661" t="n">
        <v>20</v>
      </c>
      <c r="F165" s="612">
        <f>I165*D165</f>
        <v/>
      </c>
      <c r="G165" s="660" t="n"/>
      <c r="I165" s="249" t="n">
        <v>6</v>
      </c>
      <c r="N165" s="540" t="inlineStr">
        <is>
          <t>frozen from [3] 240614 Pipe &amp; Fittings Price Comparison (Jun-2024 cache) - link severed 26/07/26; &gt;=2yr old at 2027 start - Phase 5 re-source pending</t>
        </is>
      </c>
    </row>
    <row r="166">
      <c r="A166" s="247" t="inlineStr">
        <is>
          <t>003 Padlock</t>
        </is>
      </c>
      <c r="B166" s="249" t="inlineStr">
        <is>
          <t>ea</t>
        </is>
      </c>
      <c r="D166" s="661" t="n">
        <v>19.5</v>
      </c>
      <c r="F166" s="612">
        <f>I166*D166</f>
        <v/>
      </c>
      <c r="G166" s="660" t="n"/>
      <c r="I166" s="249" t="n">
        <v>20</v>
      </c>
      <c r="N166" s="540" t="inlineStr">
        <is>
          <t>frozen from [3] 240614 Pipe &amp; Fittings Price Comparison (Jun-2024 cache) - link severed 26/07/26; &gt;=2yr old at 2027 start - Phase 5 re-source pending</t>
        </is>
      </c>
    </row>
    <row r="167">
      <c r="A167" s="247" t="inlineStr">
        <is>
          <t>100mm DI*DI Gasket Kit Complete</t>
        </is>
      </c>
      <c r="B167" s="246" t="inlineStr">
        <is>
          <t>ea</t>
        </is>
      </c>
      <c r="D167" s="661">
        <f>D90</f>
        <v/>
      </c>
      <c r="F167" s="612">
        <f>I167*D167</f>
        <v/>
      </c>
      <c r="I167" s="246" t="n">
        <v>24</v>
      </c>
    </row>
    <row r="168">
      <c r="A168" s="247" t="n"/>
      <c r="B168" s="247" t="n"/>
      <c r="I168" s="247" t="n"/>
    </row>
    <row r="169">
      <c r="A169" s="250" t="inlineStr">
        <is>
          <t xml:space="preserve">FIRE SERVICES - Misc. </t>
        </is>
      </c>
      <c r="B169" s="252" t="n"/>
      <c r="I169" s="252" t="n"/>
    </row>
    <row r="170">
      <c r="A170" s="254" t="inlineStr">
        <is>
          <t>Description</t>
        </is>
      </c>
      <c r="B170" s="255" t="inlineStr">
        <is>
          <t>Unit</t>
        </is>
      </c>
      <c r="C170" s="658" t="n"/>
      <c r="D170" s="257" t="inlineStr">
        <is>
          <t>Rate</t>
        </is>
      </c>
      <c r="E170" s="658" t="n"/>
      <c r="F170" s="257" t="inlineStr">
        <is>
          <t>Total</t>
        </is>
      </c>
      <c r="I170" s="255" t="inlineStr">
        <is>
          <t>Qty</t>
        </is>
      </c>
    </row>
    <row r="171">
      <c r="A171" s="247" t="inlineStr">
        <is>
          <t>PE Pipe Scraper/Peeler - 125-250mmPE.Please detail Spec</t>
        </is>
      </c>
      <c r="B171" s="249" t="inlineStr">
        <is>
          <t>ea</t>
        </is>
      </c>
      <c r="D171" s="662" t="n">
        <v>0</v>
      </c>
      <c r="F171" s="612">
        <f>I171*D171</f>
        <v/>
      </c>
      <c r="I171" s="249" t="n">
        <v>1</v>
      </c>
    </row>
    <row r="172">
      <c r="A172" s="247" t="inlineStr">
        <is>
          <t>Electrofusion PE Welder 25-250mmPE. Please detail Spec</t>
        </is>
      </c>
      <c r="B172" s="249" t="inlineStr">
        <is>
          <t>ea</t>
        </is>
      </c>
      <c r="D172" s="662" t="n">
        <v>0</v>
      </c>
      <c r="F172" s="612">
        <f>I172*D172</f>
        <v/>
      </c>
      <c r="I172" s="249" t="n">
        <v>1</v>
      </c>
    </row>
    <row r="173">
      <c r="A173" s="247" t="inlineStr">
        <is>
          <t>PE Butt Welder. Automatic. 125-250mmPE. Please detail Spec</t>
        </is>
      </c>
      <c r="B173" s="249" t="inlineStr">
        <is>
          <t>ea</t>
        </is>
      </c>
      <c r="D173" s="662" t="n">
        <v>0</v>
      </c>
      <c r="F173" s="612">
        <f>I173*D173</f>
        <v/>
      </c>
      <c r="I173" s="249" t="n">
        <v>1</v>
      </c>
    </row>
    <row r="174">
      <c r="A174" s="247" t="inlineStr">
        <is>
          <t>Hand Roll Groover. 65-150mm.</t>
        </is>
      </c>
      <c r="B174" s="249" t="inlineStr">
        <is>
          <t>ea</t>
        </is>
      </c>
      <c r="D174" s="662" t="n">
        <v>0</v>
      </c>
      <c r="F174" s="612">
        <f>I174*D174</f>
        <v/>
      </c>
      <c r="I174" s="249" t="n">
        <v>1</v>
      </c>
    </row>
    <row r="175">
      <c r="A175" s="247" t="inlineStr">
        <is>
          <t>Delivery - To Rockhampton PIPE LENGTHS as quoted</t>
        </is>
      </c>
      <c r="B175" s="249" t="inlineStr">
        <is>
          <t>ea</t>
        </is>
      </c>
      <c r="D175" s="661" t="n">
        <v>2178.48</v>
      </c>
      <c r="F175" s="612">
        <f>I175*D175</f>
        <v/>
      </c>
      <c r="I175" s="249" t="n">
        <v>1</v>
      </c>
      <c r="N175" s="540" t="inlineStr">
        <is>
          <t>frozen from [3] 240614 Pipe &amp; Fittings Price Comparison (Jun-2024 cache) - link severed 26/07/26; &gt;=2yr old at 2027 start - Phase 5 re-source pending</t>
        </is>
      </c>
    </row>
    <row r="176">
      <c r="A176" s="247" t="inlineStr">
        <is>
          <t>Delivery - To Rockhampton Standard/Palletised items</t>
        </is>
      </c>
      <c r="B176" s="249" t="inlineStr">
        <is>
          <t>ea</t>
        </is>
      </c>
      <c r="D176" s="661" t="n">
        <v>2178.48</v>
      </c>
      <c r="F176" s="612">
        <f>I176*D176</f>
        <v/>
      </c>
      <c r="I176" s="249" t="n">
        <v>1</v>
      </c>
      <c r="N176" s="540" t="inlineStr">
        <is>
          <t>frozen from [3] 240614 Pipe &amp; Fittings Price Comparison (Jun-2024 cache) - link severed 26/07/26; &gt;=2yr old at 2027 start - Phase 5 re-source pending</t>
        </is>
      </c>
    </row>
    <row r="177">
      <c r="A177" s="196" t="n"/>
      <c r="B177" s="196" t="n"/>
      <c r="I177" s="196" t="n"/>
    </row>
    <row r="178">
      <c r="A178" s="196" t="n"/>
      <c r="B178" s="196" t="n"/>
      <c r="I178" s="196" t="n"/>
    </row>
    <row r="179">
      <c r="A179" s="196" t="n"/>
      <c r="B179" s="196" t="n"/>
      <c r="I179" s="196" t="n"/>
    </row>
    <row r="180">
      <c r="A180" s="196" t="n"/>
      <c r="B180" s="196" t="n"/>
      <c r="I180" s="196" t="n"/>
    </row>
    <row r="181">
      <c r="A181" s="196" t="n"/>
      <c r="B181" s="196" t="n"/>
      <c r="I181" s="196" t="n"/>
    </row>
    <row r="182">
      <c r="A182" s="196" t="n"/>
      <c r="B182" s="196" t="n"/>
      <c r="I182" s="196" t="n"/>
    </row>
    <row r="183">
      <c r="A183" s="250" t="inlineStr">
        <is>
          <t>Quarry / Gravels / Landscape</t>
        </is>
      </c>
      <c r="B183" s="251" t="n"/>
      <c r="I183" s="251" t="n"/>
    </row>
    <row r="184">
      <c r="A184" s="254" t="inlineStr">
        <is>
          <t>Description</t>
        </is>
      </c>
      <c r="B184" s="255" t="inlineStr">
        <is>
          <t>Unit</t>
        </is>
      </c>
      <c r="C184" s="658" t="n"/>
      <c r="D184" s="257" t="inlineStr">
        <is>
          <t>Rate</t>
        </is>
      </c>
      <c r="E184" s="658" t="n"/>
      <c r="F184" s="257" t="inlineStr">
        <is>
          <t>Total</t>
        </is>
      </c>
      <c r="G184" s="497" t="inlineStr">
        <is>
          <t>COMPLETED don’t edit</t>
        </is>
      </c>
      <c r="I184" s="255" t="inlineStr">
        <is>
          <t>Qty</t>
        </is>
      </c>
      <c r="L184" s="422" t="n"/>
    </row>
    <row r="185">
      <c r="A185" s="247" t="inlineStr">
        <is>
          <t>Bedding / Fill Sand</t>
        </is>
      </c>
      <c r="B185" s="246" t="inlineStr">
        <is>
          <t>m3</t>
        </is>
      </c>
      <c r="D185" s="663" t="n">
        <v>39.75</v>
      </c>
      <c r="F185" s="612">
        <f>I185*D185</f>
        <v/>
      </c>
      <c r="G185" s="660" t="n"/>
      <c r="I185" s="253" t="n">
        <v>822.57958</v>
      </c>
      <c r="L185" s="422" t="n"/>
      <c r="N185" s="540" t="inlineStr">
        <is>
          <t>frozen from [4] 240614 Suppliers Subbies Price Comparison (Jun-2024 cache) - link severed 26/07/26; Phase 5 re-source pending</t>
        </is>
      </c>
    </row>
    <row r="186">
      <c r="A186" s="247" t="inlineStr">
        <is>
          <t>CBR 45/2.5 Roadbase</t>
        </is>
      </c>
      <c r="B186" s="246" t="inlineStr">
        <is>
          <t>m3</t>
        </is>
      </c>
      <c r="D186" s="663" t="n">
        <v>41.9</v>
      </c>
      <c r="F186" s="612">
        <f>I186*D186</f>
        <v/>
      </c>
      <c r="G186" s="660" t="n"/>
      <c r="I186" s="246" t="n">
        <v>10</v>
      </c>
      <c r="L186" s="422" t="n"/>
      <c r="N186" s="540" t="inlineStr">
        <is>
          <t>frozen from [4] 240614 Suppliers Subbies Price Comparison (Jun-2024 cache) - link severed 26/07/26; Phase 5 re-source pending</t>
        </is>
      </c>
    </row>
    <row r="187">
      <c r="A187" s="247" t="inlineStr">
        <is>
          <t>Turf Underlay/Topsoil</t>
        </is>
      </c>
      <c r="B187" s="246" t="inlineStr">
        <is>
          <t>m3</t>
        </is>
      </c>
      <c r="D187" s="663" t="n">
        <v>45.25</v>
      </c>
      <c r="F187" s="612">
        <f>I187*D187</f>
        <v/>
      </c>
      <c r="G187" s="660" t="n"/>
      <c r="I187" s="253" t="n">
        <v>152.7525</v>
      </c>
      <c r="L187" s="422" t="n"/>
      <c r="N187" s="540" t="inlineStr">
        <is>
          <t>frozen from [4] 240614 Suppliers Subbies Price Comparison (Jun-2024 cache) - link severed 26/07/26; Phase 5 re-source pending</t>
        </is>
      </c>
    </row>
    <row r="188">
      <c r="A188" s="247" t="inlineStr">
        <is>
          <t>Standard Garden Woodchip</t>
        </is>
      </c>
      <c r="B188" s="246" t="inlineStr">
        <is>
          <t>m3</t>
        </is>
      </c>
      <c r="D188" s="663" t="n">
        <v>87</v>
      </c>
      <c r="F188" s="612">
        <f>I188*D188</f>
        <v/>
      </c>
      <c r="G188" s="660" t="n"/>
      <c r="I188" s="246" t="n">
        <v>4.058000000000001</v>
      </c>
      <c r="L188" s="422" t="n"/>
      <c r="N188" s="540" t="inlineStr">
        <is>
          <t>frozen from [4] 240614 Suppliers Subbies Price Comparison (Jun-2024 cache) - link severed 26/07/26; Phase 5 re-source pending</t>
        </is>
      </c>
    </row>
    <row r="189">
      <c r="A189" s="247" t="inlineStr">
        <is>
          <t>Turf - Standard Couch or Similar</t>
        </is>
      </c>
      <c r="B189" s="423" t="inlineStr">
        <is>
          <t>Slab (.5m2)</t>
        </is>
      </c>
      <c r="D189" s="663" t="n">
        <v>6.48</v>
      </c>
      <c r="F189" s="612">
        <f>I189*D189</f>
        <v/>
      </c>
      <c r="I189" s="253" t="n">
        <v>3462.389999999999</v>
      </c>
      <c r="L189" s="422" t="n"/>
      <c r="N189" s="540" t="inlineStr">
        <is>
          <t>frozen from [4] 240614 Suppliers Subbies Price Comparison (Jun-2024 cache) - link severed 26/07/26; Phase 5 re-source pending</t>
        </is>
      </c>
    </row>
    <row r="190">
      <c r="A190" s="126" t="n"/>
      <c r="L190" s="422" t="n"/>
    </row>
    <row r="191">
      <c r="A191" s="250" t="inlineStr">
        <is>
          <t>Concrete Product</t>
        </is>
      </c>
      <c r="B191" s="252" t="n"/>
      <c r="I191" s="252" t="n"/>
      <c r="L191" s="422" t="n"/>
    </row>
    <row r="192">
      <c r="A192" s="254" t="inlineStr">
        <is>
          <t>Description</t>
        </is>
      </c>
      <c r="B192" s="255" t="inlineStr">
        <is>
          <t>Unit</t>
        </is>
      </c>
      <c r="C192" s="658" t="n"/>
      <c r="D192" s="257" t="inlineStr">
        <is>
          <t>Rate</t>
        </is>
      </c>
      <c r="E192" s="658" t="n"/>
      <c r="F192" s="257" t="inlineStr">
        <is>
          <t>Total</t>
        </is>
      </c>
      <c r="G192" s="497" t="inlineStr">
        <is>
          <t>COMPLETED don’t edit</t>
        </is>
      </c>
      <c r="I192" s="255" t="inlineStr">
        <is>
          <t>Qty</t>
        </is>
      </c>
      <c r="L192" s="422" t="n"/>
    </row>
    <row r="193" ht="14.55" customHeight="1">
      <c r="A193" s="247" t="inlineStr">
        <is>
          <t>Cement Stabalized Sand (3-5%)</t>
        </is>
      </c>
      <c r="B193" s="249" t="inlineStr">
        <is>
          <t>m3</t>
        </is>
      </c>
      <c r="D193" s="663" t="n">
        <v>169</v>
      </c>
      <c r="F193" s="612">
        <f>I193*D193</f>
        <v/>
      </c>
      <c r="G193" s="660" t="n"/>
      <c r="I193" s="258" t="n">
        <v>515.6836499999999</v>
      </c>
      <c r="L193" s="422" t="n"/>
      <c r="N193" s="540" t="inlineStr">
        <is>
          <t>frozen from [4] 240614 Suppliers Subbies Price Comparison (Jun-2024 cache) - link severed 26/07/26; Phase 5 re-source pending</t>
        </is>
      </c>
    </row>
    <row r="194">
      <c r="A194" s="247" t="inlineStr">
        <is>
          <t>Exposed Agg Concrete - Standard/Cheapest Exposed Agg Stone</t>
        </is>
      </c>
      <c r="B194" s="249" t="inlineStr">
        <is>
          <t>m3</t>
        </is>
      </c>
      <c r="D194" s="663" t="n">
        <v>252</v>
      </c>
      <c r="F194" s="612">
        <f>I194*D194</f>
        <v/>
      </c>
      <c r="G194" s="660" t="n"/>
      <c r="I194" s="258" t="n">
        <v>92.264</v>
      </c>
      <c r="L194" s="422" t="n"/>
      <c r="N194" s="540" t="inlineStr">
        <is>
          <t>frozen from [4] 240614 Suppliers Subbies Price Comparison (Jun-2024 cache) - link severed 26/07/26; Phase 5 re-source pending</t>
        </is>
      </c>
    </row>
    <row r="195">
      <c r="A195" s="247" t="inlineStr">
        <is>
          <t>N25 20mm 80 Slump Concrete</t>
        </is>
      </c>
      <c r="B195" s="249" t="inlineStr">
        <is>
          <t>m3</t>
        </is>
      </c>
      <c r="D195" s="663" t="n">
        <v>263</v>
      </c>
      <c r="F195" s="612">
        <f>I195*D195</f>
        <v/>
      </c>
      <c r="G195" s="660" t="n"/>
      <c r="I195" s="258" t="n">
        <v>15.1008</v>
      </c>
      <c r="L195" s="422" t="n"/>
      <c r="N195" s="540" t="inlineStr">
        <is>
          <t>frozen from [4] 240614 Suppliers Subbies Price Comparison (Jun-2024 cache) - link severed 26/07/26; Phase 5 re-source pending</t>
        </is>
      </c>
    </row>
    <row r="196">
      <c r="A196" s="126" t="n"/>
      <c r="G196" s="660" t="n"/>
      <c r="L196" s="422" t="n"/>
    </row>
    <row r="197">
      <c r="A197" s="250" t="inlineStr">
        <is>
          <t>Asphalt</t>
        </is>
      </c>
      <c r="B197" s="252" t="n"/>
      <c r="I197" s="252" t="n"/>
      <c r="L197" s="422" t="n"/>
    </row>
    <row r="198">
      <c r="A198" s="254" t="inlineStr">
        <is>
          <t>Description</t>
        </is>
      </c>
      <c r="B198" s="255" t="inlineStr">
        <is>
          <t>Unit</t>
        </is>
      </c>
      <c r="C198" s="658" t="n"/>
      <c r="D198" s="257" t="inlineStr">
        <is>
          <t>Rate</t>
        </is>
      </c>
      <c r="E198" s="658" t="n"/>
      <c r="F198" s="257" t="inlineStr">
        <is>
          <t>Total</t>
        </is>
      </c>
      <c r="I198" s="255" t="inlineStr">
        <is>
          <t>Qty</t>
        </is>
      </c>
      <c r="L198" s="422" t="n"/>
    </row>
    <row r="199">
      <c r="A199" s="247" t="inlineStr">
        <is>
          <t>50mm Thick Roadway</t>
        </is>
      </c>
      <c r="B199" s="249" t="inlineStr">
        <is>
          <t>m2</t>
        </is>
      </c>
      <c r="D199" s="662" t="n">
        <v>0</v>
      </c>
      <c r="F199" s="612">
        <f>I199*D199</f>
        <v/>
      </c>
      <c r="I199" s="249" t="n">
        <v>1516.88</v>
      </c>
      <c r="L199" s="422" t="n"/>
    </row>
    <row r="200">
      <c r="A200" s="126" t="n"/>
      <c r="L200" s="422" t="n"/>
    </row>
    <row r="201">
      <c r="A201" s="126" t="n"/>
      <c r="L201" s="422" t="n"/>
    </row>
    <row r="202">
      <c r="A202" s="126" t="n"/>
      <c r="L202" s="422" t="n"/>
    </row>
    <row r="203">
      <c r="A203" s="126" t="n"/>
      <c r="L203" s="422" t="n"/>
    </row>
    <row r="204">
      <c r="A204" s="126" t="n"/>
      <c r="L204" s="422" t="n"/>
    </row>
    <row r="205">
      <c r="A205" s="126" t="n"/>
      <c r="L205" s="422" t="n"/>
    </row>
    <row r="206">
      <c r="A206" s="126" t="n"/>
      <c r="L206" s="422" t="n"/>
    </row>
    <row r="207">
      <c r="A207" s="126" t="n"/>
      <c r="L207" s="422" t="n"/>
    </row>
    <row r="208">
      <c r="A208" s="126" t="n"/>
      <c r="L208" s="422" t="n"/>
    </row>
    <row r="209">
      <c r="A209" s="126" t="n"/>
      <c r="L209" s="422" t="n"/>
    </row>
    <row r="210">
      <c r="A210" s="126" t="n"/>
      <c r="L210" s="422" t="n"/>
    </row>
    <row r="211">
      <c r="A211" s="126" t="n"/>
      <c r="L211" s="422" t="n"/>
    </row>
    <row r="212">
      <c r="A212" s="126" t="n"/>
      <c r="L212" s="422" t="n"/>
    </row>
    <row r="213">
      <c r="A213" s="126" t="n"/>
      <c r="L213" s="422" t="n"/>
    </row>
    <row r="214" ht="15" customHeight="1" thickBot="1">
      <c r="A214" s="126" t="n"/>
      <c r="L214" s="422" t="n"/>
    </row>
    <row r="215" ht="15" customHeight="1" thickBot="1">
      <c r="A215" s="173" t="inlineStr">
        <is>
          <t>Excavation/Quarry/Misc/ Takeoff.</t>
        </is>
      </c>
      <c r="B215" s="122" t="n"/>
      <c r="I215" s="121" t="n"/>
      <c r="L215" s="422" t="n"/>
    </row>
    <row r="216">
      <c r="A216" s="126" t="n"/>
      <c r="B216" s="193" t="inlineStr">
        <is>
          <t>Unit</t>
        </is>
      </c>
      <c r="C216" s="614" t="inlineStr">
        <is>
          <t>Rate</t>
        </is>
      </c>
      <c r="D216" s="614" t="n"/>
      <c r="E216" s="614" t="inlineStr">
        <is>
          <t>Rate</t>
        </is>
      </c>
      <c r="I216" s="193" t="inlineStr">
        <is>
          <t>Qty</t>
        </is>
      </c>
      <c r="L216" s="422" t="n"/>
    </row>
    <row r="217">
      <c r="A217" s="411" t="inlineStr">
        <is>
          <t>Avrg Trench = .900D*.500W</t>
        </is>
      </c>
      <c r="B217" s="422" t="inlineStr">
        <is>
          <t>m</t>
        </is>
      </c>
      <c r="I217" s="196" t="n">
        <v>1250</v>
      </c>
      <c r="L217" s="422" t="n"/>
    </row>
    <row r="218">
      <c r="A218" s="411" t="inlineStr">
        <is>
          <t>L/M Of Asphalt Reinstate</t>
        </is>
      </c>
      <c r="B218" s="422" t="inlineStr">
        <is>
          <t>m</t>
        </is>
      </c>
      <c r="I218" s="196" t="n">
        <v>120</v>
      </c>
      <c r="L218" s="422" t="n"/>
    </row>
    <row r="219">
      <c r="A219" s="411" t="inlineStr">
        <is>
          <t>M2 Of Asphalt Reinstate</t>
        </is>
      </c>
      <c r="B219" s="422" t="inlineStr">
        <is>
          <t>m2</t>
        </is>
      </c>
      <c r="I219" s="196">
        <f>I218*0.8</f>
        <v/>
      </c>
      <c r="L219" s="422" t="n"/>
    </row>
    <row r="220">
      <c r="A220" s="411" t="inlineStr">
        <is>
          <t>L/M Of CBR Reinstate</t>
        </is>
      </c>
      <c r="B220" s="422" t="inlineStr">
        <is>
          <t>m</t>
        </is>
      </c>
      <c r="I220" s="196" t="n">
        <v>968</v>
      </c>
      <c r="L220" s="422" t="n"/>
    </row>
    <row r="221">
      <c r="A221" s="411" t="inlineStr">
        <is>
          <t>L/M of Inground Pipe</t>
        </is>
      </c>
      <c r="B221" s="422" t="inlineStr">
        <is>
          <t>m</t>
        </is>
      </c>
      <c r="I221" s="196" t="n">
        <v>1250</v>
      </c>
      <c r="L221" s="422" t="n"/>
    </row>
    <row r="222">
      <c r="A222" s="411" t="inlineStr">
        <is>
          <t>L/M of Tunnel Bore</t>
        </is>
      </c>
      <c r="B222" s="422" t="inlineStr">
        <is>
          <t>m</t>
        </is>
      </c>
      <c r="C222" s="120" t="n"/>
      <c r="E222" s="120" t="n"/>
      <c r="I222" s="196" t="n">
        <v>75</v>
      </c>
      <c r="L222" s="422" t="n"/>
    </row>
    <row r="223">
      <c r="A223" s="411" t="n"/>
      <c r="C223" s="120" t="n"/>
      <c r="E223" s="120" t="n"/>
      <c r="L223" s="422" t="n"/>
    </row>
    <row r="224">
      <c r="A224" s="126" t="n"/>
      <c r="L224" s="422" t="n"/>
    </row>
    <row r="225">
      <c r="A225" s="126" t="inlineStr">
        <is>
          <t>Spoil Removal</t>
        </is>
      </c>
      <c r="B225" s="422" t="inlineStr">
        <is>
          <t>W</t>
        </is>
      </c>
      <c r="C225" s="636" t="inlineStr">
        <is>
          <t>L</t>
        </is>
      </c>
      <c r="D225" s="636" t="inlineStr">
        <is>
          <t>Spoil Factor;</t>
        </is>
      </c>
      <c r="E225" s="636" t="inlineStr">
        <is>
          <t>L</t>
        </is>
      </c>
      <c r="F225" s="614" t="inlineStr">
        <is>
          <t>Total m3</t>
        </is>
      </c>
      <c r="I225" s="422" t="inlineStr">
        <is>
          <t>D</t>
        </is>
      </c>
      <c r="L225" s="422" t="n"/>
    </row>
    <row r="226">
      <c r="A226" s="411" t="inlineStr">
        <is>
          <t>Average Trench Dimensions</t>
        </is>
      </c>
      <c r="B226" s="422" t="n">
        <v>0.5</v>
      </c>
      <c r="C226" s="196" t="n">
        <v>1250</v>
      </c>
      <c r="D226" s="424" t="n">
        <v>1.3</v>
      </c>
      <c r="E226" s="196" t="n">
        <v>1250</v>
      </c>
      <c r="F226" s="199">
        <f>(I226*B226*C226)*D226</f>
        <v/>
      </c>
      <c r="I226" s="196" t="n">
        <v>0.9</v>
      </c>
      <c r="L226" s="422" t="n"/>
    </row>
    <row r="227">
      <c r="A227" s="411" t="n"/>
      <c r="B227" s="422" t="n"/>
      <c r="C227" s="196" t="n"/>
      <c r="D227" s="424" t="n"/>
      <c r="E227" s="196" t="n"/>
      <c r="F227" s="199" t="n"/>
      <c r="I227" s="196" t="n"/>
      <c r="L227" s="422" t="n"/>
    </row>
    <row r="228">
      <c r="A228" s="411" t="n"/>
      <c r="B228" s="422" t="n"/>
      <c r="C228" s="196" t="n"/>
      <c r="D228" s="424" t="n"/>
      <c r="E228" s="196" t="n"/>
      <c r="F228" s="199" t="n"/>
      <c r="I228" s="196" t="n"/>
      <c r="L228" s="422" t="n"/>
    </row>
    <row r="229" ht="7.2" customHeight="1">
      <c r="A229" s="425" t="n"/>
      <c r="B229" s="231" t="n"/>
      <c r="C229" s="231" t="n"/>
      <c r="D229" s="619" t="n"/>
      <c r="E229" s="231" t="n"/>
      <c r="F229" s="619" t="n"/>
      <c r="G229" s="620" t="n"/>
      <c r="H229" s="231" t="n"/>
      <c r="I229" s="231" t="n"/>
      <c r="L229" s="422" t="n"/>
    </row>
    <row r="230">
      <c r="A230" s="126" t="inlineStr">
        <is>
          <t>Thrust Block Concrete</t>
        </is>
      </c>
      <c r="B230" s="422" t="inlineStr">
        <is>
          <t>Qty</t>
        </is>
      </c>
      <c r="C230" s="636" t="inlineStr">
        <is>
          <t>Total m3</t>
        </is>
      </c>
      <c r="D230" s="426" t="inlineStr">
        <is>
          <t>Contingency</t>
        </is>
      </c>
      <c r="E230" s="636" t="inlineStr">
        <is>
          <t>Total m3</t>
        </is>
      </c>
      <c r="F230" s="614" t="inlineStr">
        <is>
          <t>Total m3</t>
        </is>
      </c>
      <c r="G230" s="621" t="inlineStr">
        <is>
          <t>Total Cost</t>
        </is>
      </c>
      <c r="I230" s="422" t="inlineStr">
        <is>
          <t>m3/TB</t>
        </is>
      </c>
      <c r="L230" s="422" t="n"/>
    </row>
    <row r="231">
      <c r="A231" s="411" t="n"/>
      <c r="B231" s="427" t="n">
        <v>12</v>
      </c>
      <c r="C231" s="196">
        <f>B231*I231</f>
        <v/>
      </c>
      <c r="D231" s="424" t="n">
        <v>1.02</v>
      </c>
      <c r="E231" s="196">
        <f>D231*K231</f>
        <v/>
      </c>
      <c r="F231" s="198">
        <f>(I231*B231*C231)*D231</f>
        <v/>
      </c>
      <c r="G231" s="613">
        <f>F231*D195</f>
        <v/>
      </c>
      <c r="I231" s="196" t="n">
        <v>0.035</v>
      </c>
      <c r="L231" s="422" t="n"/>
    </row>
    <row r="232">
      <c r="A232" s="411" t="n"/>
      <c r="C232" s="120" t="n"/>
      <c r="E232" s="120" t="n"/>
      <c r="L232" s="422" t="n"/>
    </row>
    <row r="233">
      <c r="A233" s="126" t="inlineStr">
        <is>
          <t>Bollard Concrete</t>
        </is>
      </c>
      <c r="B233" s="422" t="inlineStr">
        <is>
          <t>Qty</t>
        </is>
      </c>
      <c r="C233" s="636" t="inlineStr">
        <is>
          <t>Total m3</t>
        </is>
      </c>
      <c r="D233" s="426" t="inlineStr">
        <is>
          <t>Contingency</t>
        </is>
      </c>
      <c r="E233" s="636" t="inlineStr">
        <is>
          <t>Total m3</t>
        </is>
      </c>
      <c r="F233" s="614" t="inlineStr">
        <is>
          <t>Total m3</t>
        </is>
      </c>
      <c r="G233" s="621" t="inlineStr">
        <is>
          <t>Total Cost</t>
        </is>
      </c>
      <c r="I233" s="422" t="inlineStr">
        <is>
          <t>m3/B</t>
        </is>
      </c>
      <c r="L233" s="422" t="n"/>
    </row>
    <row r="234">
      <c r="A234" s="411" t="inlineStr">
        <is>
          <t>Set</t>
        </is>
      </c>
      <c r="B234" s="422" t="n">
        <v>40</v>
      </c>
      <c r="C234" s="196">
        <f>B234*I234</f>
        <v/>
      </c>
      <c r="D234" s="424" t="n">
        <v>1.02</v>
      </c>
      <c r="E234" s="196">
        <f>D234*K234</f>
        <v/>
      </c>
      <c r="F234" s="198">
        <f>(I234*B234*C234)*D234</f>
        <v/>
      </c>
      <c r="G234" s="613">
        <f>F234*D195</f>
        <v/>
      </c>
      <c r="I234" s="196" t="n">
        <v>0.08</v>
      </c>
      <c r="L234" s="422" t="n"/>
    </row>
    <row r="235">
      <c r="A235" s="411" t="inlineStr">
        <is>
          <t>Fill</t>
        </is>
      </c>
      <c r="B235" s="422" t="n">
        <v>40</v>
      </c>
      <c r="C235" s="196">
        <f>B235*I235</f>
        <v/>
      </c>
      <c r="D235" s="424" t="n">
        <v>1.02</v>
      </c>
      <c r="E235" s="196">
        <f>D235*K235</f>
        <v/>
      </c>
      <c r="F235" s="198">
        <f>(I235*B235*C235)*D235</f>
        <v/>
      </c>
      <c r="G235" s="613">
        <f>D195</f>
        <v/>
      </c>
      <c r="I235" s="196" t="n">
        <v>0.09</v>
      </c>
      <c r="L235" s="422" t="n"/>
    </row>
    <row r="236">
      <c r="A236" s="126" t="inlineStr">
        <is>
          <t>Base Slab Concrete</t>
        </is>
      </c>
      <c r="B236" s="422" t="inlineStr">
        <is>
          <t>Qty</t>
        </is>
      </c>
      <c r="C236" s="636" t="inlineStr">
        <is>
          <t>Total m3</t>
        </is>
      </c>
      <c r="D236" s="426" t="inlineStr">
        <is>
          <t>Contingency</t>
        </is>
      </c>
      <c r="E236" s="636" t="inlineStr">
        <is>
          <t>Total m3</t>
        </is>
      </c>
      <c r="F236" s="614" t="inlineStr">
        <is>
          <t>Total m3</t>
        </is>
      </c>
      <c r="G236" s="621" t="inlineStr">
        <is>
          <t>Total Cost</t>
        </is>
      </c>
      <c r="I236" s="422" t="inlineStr">
        <is>
          <t>m3/Base</t>
        </is>
      </c>
      <c r="L236" s="422" t="n"/>
    </row>
    <row r="237">
      <c r="A237" s="411" t="n"/>
      <c r="B237" s="422" t="n">
        <v>10</v>
      </c>
      <c r="C237" s="196">
        <f>B237*I237</f>
        <v/>
      </c>
      <c r="D237" s="424" t="n">
        <v>1.025</v>
      </c>
      <c r="E237" s="196">
        <f>D237*K237</f>
        <v/>
      </c>
      <c r="F237" s="198">
        <f>(I237*B237*C237)*D237</f>
        <v/>
      </c>
      <c r="G237" s="613">
        <f>D195</f>
        <v/>
      </c>
      <c r="I237" s="196" t="n">
        <v>0.75</v>
      </c>
      <c r="L237" s="422" t="n"/>
    </row>
    <row r="238">
      <c r="A238" s="411" t="n"/>
      <c r="C238" s="120" t="n"/>
      <c r="E238" s="120" t="n"/>
      <c r="L238" s="422" t="n"/>
    </row>
    <row r="239">
      <c r="A239" s="126" t="inlineStr">
        <is>
          <t>Above Grnd Pole-Bracket Concrete</t>
        </is>
      </c>
      <c r="B239" s="422" t="inlineStr">
        <is>
          <t>Qty</t>
        </is>
      </c>
      <c r="C239" s="636" t="inlineStr">
        <is>
          <t>Total m3</t>
        </is>
      </c>
      <c r="D239" s="426" t="inlineStr">
        <is>
          <t>Contingency</t>
        </is>
      </c>
      <c r="E239" s="636" t="inlineStr">
        <is>
          <t>Total m3</t>
        </is>
      </c>
      <c r="F239" s="614" t="inlineStr">
        <is>
          <t>Total m3</t>
        </is>
      </c>
      <c r="G239" s="621" t="inlineStr">
        <is>
          <t>Total Cost</t>
        </is>
      </c>
      <c r="I239" s="422" t="inlineStr">
        <is>
          <t>m3/B</t>
        </is>
      </c>
      <c r="L239" s="422" t="n"/>
    </row>
    <row r="240">
      <c r="A240" s="411" t="n"/>
      <c r="B240" s="422" t="n">
        <v>80</v>
      </c>
      <c r="C240" s="196">
        <f>B240*I240</f>
        <v/>
      </c>
      <c r="D240" s="424" t="n">
        <v>1.015</v>
      </c>
      <c r="E240" s="196">
        <f>D240*K240</f>
        <v/>
      </c>
      <c r="F240" s="198">
        <f>(I240*B240*C240)*D240</f>
        <v/>
      </c>
      <c r="G240" s="613">
        <f>D195</f>
        <v/>
      </c>
      <c r="I240" s="196" t="n">
        <v>0.065</v>
      </c>
      <c r="L240" s="422" t="n"/>
    </row>
    <row r="241"/>
    <row r="242" ht="15" customHeight="1" thickBot="1"/>
    <row r="243" ht="15" customHeight="1" thickBot="1">
      <c r="A243" s="173" t="inlineStr">
        <is>
          <t>Quarry &amp; Concrete Product</t>
        </is>
      </c>
      <c r="B243" s="122" t="n"/>
      <c r="I243" s="121" t="n"/>
    </row>
    <row r="244">
      <c r="A244" s="192" t="n"/>
      <c r="H244" s="426" t="n"/>
    </row>
    <row r="245">
      <c r="A245" s="123" t="inlineStr">
        <is>
          <t>Description</t>
        </is>
      </c>
      <c r="B245" s="193" t="inlineStr">
        <is>
          <t>Unit</t>
        </is>
      </c>
      <c r="C245" s="614" t="inlineStr">
        <is>
          <t>Rate</t>
        </is>
      </c>
      <c r="D245" s="614" t="inlineStr">
        <is>
          <t>Rate/LM</t>
        </is>
      </c>
      <c r="E245" s="614" t="inlineStr">
        <is>
          <t>Rate</t>
        </is>
      </c>
      <c r="H245" s="193" t="inlineStr">
        <is>
          <t>QTY</t>
        </is>
      </c>
      <c r="I245" s="193" t="inlineStr">
        <is>
          <t>Unit/LM</t>
        </is>
      </c>
      <c r="J245" s="196" t="n"/>
      <c r="K245" s="193" t="inlineStr">
        <is>
          <t>Total</t>
        </is>
      </c>
      <c r="L245" s="192" t="inlineStr">
        <is>
          <t>Contingency</t>
        </is>
      </c>
      <c r="M245" s="120" t="n">
        <v>1.05</v>
      </c>
    </row>
    <row r="246">
      <c r="A246" s="426" t="inlineStr">
        <is>
          <t>5-7mm Stone</t>
        </is>
      </c>
      <c r="B246" s="422" t="inlineStr">
        <is>
          <t>Ton</t>
        </is>
      </c>
      <c r="C246" s="662" t="n">
        <v>1</v>
      </c>
      <c r="D246" s="612">
        <f>C246*I246</f>
        <v/>
      </c>
      <c r="E246" s="662" t="n">
        <v>1</v>
      </c>
      <c r="H246" s="120">
        <f>I246*I221</f>
        <v/>
      </c>
      <c r="I246" s="120" t="n">
        <v>0.203</v>
      </c>
      <c r="K246" s="622">
        <f>H246*C246</f>
        <v/>
      </c>
      <c r="L246" s="622">
        <f>K246*$M$245</f>
        <v/>
      </c>
    </row>
    <row r="247">
      <c r="A247" s="426" t="inlineStr">
        <is>
          <t>5-7mm Stone</t>
        </is>
      </c>
      <c r="B247" s="422" t="inlineStr">
        <is>
          <t>m3</t>
        </is>
      </c>
      <c r="C247" s="662" t="n">
        <v>1</v>
      </c>
      <c r="D247" s="612">
        <f>C247*I247</f>
        <v/>
      </c>
      <c r="E247" s="662" t="n">
        <v>1</v>
      </c>
      <c r="I247" s="120" t="n">
        <v>0.14</v>
      </c>
      <c r="K247" s="622" t="n"/>
    </row>
    <row r="248">
      <c r="A248" s="426" t="inlineStr">
        <is>
          <t>10-12mm Stone</t>
        </is>
      </c>
      <c r="B248" s="422" t="inlineStr">
        <is>
          <t>Ton</t>
        </is>
      </c>
      <c r="C248" s="662" t="n">
        <v>1</v>
      </c>
      <c r="D248" s="612">
        <f>C248*I248</f>
        <v/>
      </c>
      <c r="E248" s="662" t="n">
        <v>1</v>
      </c>
      <c r="H248" s="120" t="n">
        <v>40</v>
      </c>
      <c r="I248" s="120" t="n">
        <v>0.45</v>
      </c>
      <c r="K248" s="622">
        <f>H248*C248</f>
        <v/>
      </c>
      <c r="L248" s="622">
        <f>K248*$M$245</f>
        <v/>
      </c>
    </row>
    <row r="249">
      <c r="A249" s="426" t="inlineStr">
        <is>
          <t>Medium River / Bed Sand</t>
        </is>
      </c>
      <c r="B249" s="422" t="inlineStr">
        <is>
          <t>Ton</t>
        </is>
      </c>
      <c r="C249" s="662" t="n">
        <v>1</v>
      </c>
      <c r="D249" s="612">
        <f>C249*I249</f>
        <v/>
      </c>
      <c r="E249" s="662" t="n">
        <v>1</v>
      </c>
      <c r="H249" s="120">
        <f>I249*I221</f>
        <v/>
      </c>
      <c r="I249" s="120" t="n">
        <v>0.225</v>
      </c>
      <c r="K249" s="622">
        <f>H249*C249</f>
        <v/>
      </c>
      <c r="L249" s="622">
        <f>K249*$M$245</f>
        <v/>
      </c>
    </row>
    <row r="250">
      <c r="A250" s="426" t="inlineStr">
        <is>
          <t>Medium River / Bed Sand</t>
        </is>
      </c>
      <c r="B250" s="422" t="inlineStr">
        <is>
          <t>m3</t>
        </is>
      </c>
      <c r="C250" s="662" t="n">
        <v>1</v>
      </c>
      <c r="D250" s="612">
        <f>C250*I250</f>
        <v/>
      </c>
      <c r="E250" s="662" t="n">
        <v>1</v>
      </c>
      <c r="I250" s="120" t="n">
        <v>0.14</v>
      </c>
      <c r="K250" s="622" t="n"/>
    </row>
    <row r="251">
      <c r="A251" s="426" t="inlineStr">
        <is>
          <t>CBR15 Road Base</t>
        </is>
      </c>
      <c r="B251" s="422" t="inlineStr">
        <is>
          <t>Ton</t>
        </is>
      </c>
      <c r="C251" s="662" t="n">
        <v>1</v>
      </c>
      <c r="D251" s="612">
        <f>C251*I251</f>
        <v/>
      </c>
      <c r="E251" s="662" t="n">
        <v>1</v>
      </c>
      <c r="H251" s="120">
        <f>I220*I251</f>
        <v/>
      </c>
      <c r="I251" s="120" t="n">
        <v>0.36</v>
      </c>
      <c r="K251" s="622">
        <f>H251*C251</f>
        <v/>
      </c>
      <c r="L251" s="622">
        <f>K251*$M$245</f>
        <v/>
      </c>
    </row>
    <row r="252">
      <c r="A252" s="426" t="inlineStr">
        <is>
          <t>CBR45</t>
        </is>
      </c>
      <c r="B252" s="422" t="inlineStr">
        <is>
          <t>Ton</t>
        </is>
      </c>
      <c r="C252" s="662" t="n">
        <v>1</v>
      </c>
      <c r="D252" s="612">
        <f>C252*I252</f>
        <v/>
      </c>
      <c r="E252" s="662" t="n">
        <v>1</v>
      </c>
      <c r="H252" s="120">
        <f>I252*I220</f>
        <v/>
      </c>
      <c r="I252" s="120" t="n">
        <v>0.36</v>
      </c>
      <c r="K252" s="622">
        <f>H252*C252</f>
        <v/>
      </c>
      <c r="L252" s="622">
        <f>K252*$M$245</f>
        <v/>
      </c>
    </row>
    <row r="253">
      <c r="A253" s="426" t="inlineStr">
        <is>
          <t>LEANMIX</t>
        </is>
      </c>
      <c r="B253" s="422" t="inlineStr">
        <is>
          <t>m3</t>
        </is>
      </c>
      <c r="C253" s="662" t="n">
        <v>1</v>
      </c>
      <c r="D253" s="612">
        <f>C253*I253</f>
        <v/>
      </c>
      <c r="E253" s="662" t="n">
        <v>1</v>
      </c>
      <c r="H253" s="120">
        <f>I253*I218</f>
        <v/>
      </c>
      <c r="I253" s="120" t="n">
        <v>0.3</v>
      </c>
      <c r="K253" s="622">
        <f>C253*H253</f>
        <v/>
      </c>
      <c r="L253" s="622">
        <f>K253*$M$245</f>
        <v/>
      </c>
    </row>
    <row r="254" ht="15" customHeight="1" thickBot="1">
      <c r="A254" s="426" t="n"/>
      <c r="B254" s="422" t="n"/>
    </row>
    <row r="255">
      <c r="H255" s="225" t="n"/>
    </row>
    <row r="256"/>
    <row r="257">
      <c r="L257" s="224" t="n"/>
    </row>
  </sheetData>
  <mergeCells count="34">
    <mergeCell ref="G5:G9"/>
    <mergeCell ref="G127:G131"/>
    <mergeCell ref="G65:G69"/>
    <mergeCell ref="G184:G188"/>
    <mergeCell ref="G30:G34"/>
    <mergeCell ref="G152:G156"/>
    <mergeCell ref="G192:G196"/>
    <mergeCell ref="G142:G146"/>
    <mergeCell ref="G55:G59"/>
    <mergeCell ref="G80:G84"/>
    <mergeCell ref="G45:G49"/>
    <mergeCell ref="G35:G39"/>
    <mergeCell ref="G95:G99"/>
    <mergeCell ref="G75:G79"/>
    <mergeCell ref="G20:G24"/>
    <mergeCell ref="G60:G64"/>
    <mergeCell ref="G100:G104"/>
    <mergeCell ref="G25:G29"/>
    <mergeCell ref="G85:G89"/>
    <mergeCell ref="G50:G54"/>
    <mergeCell ref="G90:G94"/>
    <mergeCell ref="G40:G44"/>
    <mergeCell ref="G132:G136"/>
    <mergeCell ref="G117:G121"/>
    <mergeCell ref="G107:G111"/>
    <mergeCell ref="G70:G74"/>
    <mergeCell ref="G10:G14"/>
    <mergeCell ref="G157:G161"/>
    <mergeCell ref="G122:G126"/>
    <mergeCell ref="G147:G151"/>
    <mergeCell ref="G112:G116"/>
    <mergeCell ref="G137:G141"/>
    <mergeCell ref="G15:G19"/>
    <mergeCell ref="G162:G166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G71"/>
  <sheetViews>
    <sheetView topLeftCell="A19" zoomScaleNormal="100" workbookViewId="0">
      <selection activeCell="E63" sqref="E63"/>
    </sheetView>
  </sheetViews>
  <sheetFormatPr baseColWidth="8" defaultColWidth="8.77734375" defaultRowHeight="14.4"/>
  <cols>
    <col width="29.5546875" customWidth="1" style="174" min="1" max="1"/>
    <col width="13.21875" customWidth="1" style="174" min="2" max="2"/>
    <col width="5.77734375" customWidth="1" style="174" min="3" max="3"/>
    <col width="26.5546875" customWidth="1" style="174" min="4" max="4"/>
    <col width="1.5546875" customWidth="1" style="174" min="5" max="5"/>
    <col width="8.77734375" customWidth="1" style="174" min="6" max="16384"/>
  </cols>
  <sheetData>
    <row r="1"/>
    <row r="2" ht="15" customHeight="1">
      <c r="A2" s="175" t="n"/>
      <c r="B2" s="664" t="inlineStr">
        <is>
          <t>TCS PROJECT USE</t>
        </is>
      </c>
      <c r="C2" s="665" t="n"/>
      <c r="D2" s="666" t="n"/>
      <c r="E2" s="667" t="n"/>
      <c r="F2" s="497" t="inlineStr">
        <is>
          <t>COMPLETED don’t edit</t>
        </is>
      </c>
    </row>
    <row r="3">
      <c r="A3" s="177" t="inlineStr">
        <is>
          <t>DESCRIPTION</t>
        </is>
      </c>
      <c r="B3" s="668" t="inlineStr">
        <is>
          <t>Unit</t>
        </is>
      </c>
      <c r="C3" s="669" t="inlineStr">
        <is>
          <t>Qty</t>
        </is>
      </c>
      <c r="D3" s="668" t="inlineStr">
        <is>
          <t>WEEKLY (5 day)</t>
        </is>
      </c>
      <c r="E3" s="669" t="n"/>
      <c r="F3" s="660" t="n"/>
    </row>
    <row r="4" ht="13.2" customHeight="1">
      <c r="A4" s="179" t="inlineStr">
        <is>
          <t>Skid Steer Loader_Tracked (CAT249+)</t>
        </is>
      </c>
      <c r="B4" s="291" t="inlineStr">
        <is>
          <t>Day</t>
        </is>
      </c>
      <c r="C4" s="670" t="n"/>
      <c r="D4" s="671" t="n">
        <v>225.4333333333333</v>
      </c>
      <c r="E4" s="292" t="n"/>
      <c r="F4" s="660" t="n"/>
      <c r="G4" s="584" t="inlineStr">
        <is>
          <t>Source</t>
        </is>
      </c>
    </row>
    <row r="5" ht="13.2" customHeight="1">
      <c r="A5" s="179" t="inlineStr">
        <is>
          <t>Skid Steer Loader_Wheeled (CAT226+)</t>
        </is>
      </c>
      <c r="B5" s="291" t="inlineStr">
        <is>
          <t>Day</t>
        </is>
      </c>
      <c r="C5" s="672" t="n"/>
      <c r="D5" s="671" t="n">
        <v>163.9666666666667</v>
      </c>
      <c r="E5" s="292" t="n"/>
      <c r="F5" s="660" t="n"/>
      <c r="G5" s="540" t="inlineStr">
        <is>
          <t>frozen from [4] 240614 Suppliers Subbies Price Comparison (Jun-2024 cache) - link severed 26/07/26; Phase 5 re-source pending</t>
        </is>
      </c>
    </row>
    <row r="6" ht="13.2" customHeight="1">
      <c r="A6" s="179" t="inlineStr">
        <is>
          <t>Mini Loader, Stand-on Type</t>
        </is>
      </c>
      <c r="B6" s="291" t="inlineStr">
        <is>
          <t>Day</t>
        </is>
      </c>
      <c r="C6" s="672" t="n"/>
      <c r="D6" s="671" t="n">
        <v>180</v>
      </c>
      <c r="E6" s="292" t="n"/>
      <c r="F6" s="660" t="n"/>
      <c r="G6" s="540" t="inlineStr">
        <is>
          <t>frozen from [4] 240614 Suppliers Subbies Price Comparison (Jun-2024 cache) - link severed 26/07/26; Phase 5 re-source pending</t>
        </is>
      </c>
    </row>
    <row r="7" ht="7.2" customHeight="1">
      <c r="A7" s="179" t="n"/>
      <c r="B7" s="291" t="n"/>
      <c r="C7" s="672" t="n"/>
      <c r="D7" s="671" t="n"/>
      <c r="E7" s="292" t="n"/>
      <c r="F7" s="497" t="inlineStr">
        <is>
          <t>COMPLETED don’t edit</t>
        </is>
      </c>
    </row>
    <row r="8" ht="13.2" customHeight="1">
      <c r="A8" s="179" t="inlineStr">
        <is>
          <t>1.5-1.8 Ton_Excavator</t>
        </is>
      </c>
      <c r="B8" s="291" t="inlineStr">
        <is>
          <t>Day</t>
        </is>
      </c>
      <c r="C8" s="672" t="n"/>
      <c r="D8" s="671" t="n">
        <v>137.1428571428571</v>
      </c>
      <c r="E8" s="292" t="n"/>
      <c r="F8" s="660" t="n"/>
      <c r="G8" s="540" t="inlineStr">
        <is>
          <t>frozen from [4] 240614 Suppliers Subbies Price Comparison (Jun-2024 cache) - link severed 26/07/26; Phase 5 re-source pending</t>
        </is>
      </c>
    </row>
    <row r="9" ht="13.2" customHeight="1">
      <c r="A9" s="179" t="inlineStr">
        <is>
          <t>1.7-2Ton_Excavator</t>
        </is>
      </c>
      <c r="B9" s="291" t="inlineStr">
        <is>
          <t>Day</t>
        </is>
      </c>
      <c r="C9" s="672" t="n"/>
      <c r="D9" s="671" t="n"/>
      <c r="E9" s="292" t="n"/>
      <c r="F9" s="660" t="n"/>
    </row>
    <row r="10" ht="13.2" customHeight="1">
      <c r="A10" s="179" t="inlineStr">
        <is>
          <t>3-5Ton_Excavator</t>
        </is>
      </c>
      <c r="B10" s="291" t="inlineStr">
        <is>
          <t>Day</t>
        </is>
      </c>
      <c r="C10" s="672" t="n"/>
      <c r="D10" s="671" t="n">
        <v>238.6666666666667</v>
      </c>
      <c r="E10" s="292" t="n"/>
      <c r="F10" s="660" t="n"/>
      <c r="G10" s="540" t="inlineStr">
        <is>
          <t>frozen from [4] 240614 Suppliers Subbies Price Comparison (Jun-2024 cache) - link severed 26/07/26; Phase 5 re-source pending</t>
        </is>
      </c>
    </row>
    <row r="11" ht="13.2" customHeight="1">
      <c r="A11" s="179" t="inlineStr">
        <is>
          <t>8Ton_Excavator</t>
        </is>
      </c>
      <c r="B11" s="291" t="inlineStr">
        <is>
          <t>Day</t>
        </is>
      </c>
      <c r="C11" s="672" t="n"/>
      <c r="D11" s="671" t="n">
        <v>261.1666666666667</v>
      </c>
      <c r="E11" s="292" t="n"/>
      <c r="F11" s="660" t="n"/>
      <c r="G11" s="540" t="inlineStr">
        <is>
          <t>frozen from [4] 240614 Suppliers Subbies Price Comparison (Jun-2024 cache) - link severed 26/07/26; Phase 5 re-source pending</t>
        </is>
      </c>
    </row>
    <row r="12" ht="13.2" customHeight="1">
      <c r="A12" s="179" t="inlineStr">
        <is>
          <t>10-12Ton_Excavator</t>
        </is>
      </c>
      <c r="B12" s="291" t="inlineStr">
        <is>
          <t>Day</t>
        </is>
      </c>
      <c r="C12" s="672" t="n"/>
      <c r="D12" s="671" t="n"/>
      <c r="E12" s="292" t="n"/>
      <c r="F12" s="497" t="inlineStr">
        <is>
          <t>COMPLETED don’t edit</t>
        </is>
      </c>
    </row>
    <row r="13" ht="13.2" customHeight="1">
      <c r="A13" s="179" t="inlineStr">
        <is>
          <t>13-16Ton_Excavator</t>
        </is>
      </c>
      <c r="B13" s="291" t="inlineStr">
        <is>
          <t>Day</t>
        </is>
      </c>
      <c r="C13" s="672" t="n"/>
      <c r="D13" s="671" t="n">
        <v>317.2</v>
      </c>
      <c r="E13" s="292" t="n"/>
      <c r="F13" s="660" t="n"/>
      <c r="G13" s="540" t="inlineStr">
        <is>
          <t>frozen from [4] 240614 Suppliers Subbies Price Comparison (Jun-2024 cache) - link severed 26/07/26; Phase 5 re-source pending</t>
        </is>
      </c>
    </row>
    <row r="14" ht="13.2" customHeight="1">
      <c r="A14" s="179" t="inlineStr">
        <is>
          <t>20-24Ton_Excavator</t>
        </is>
      </c>
      <c r="B14" s="291" t="inlineStr">
        <is>
          <t>Day</t>
        </is>
      </c>
      <c r="C14" s="672" t="n"/>
      <c r="D14" s="671" t="n">
        <v>314.2857142857143</v>
      </c>
      <c r="E14" s="292" t="n"/>
      <c r="F14" s="660" t="n"/>
      <c r="G14" s="540" t="inlineStr">
        <is>
          <t>frozen from [4] 240614 Suppliers Subbies Price Comparison (Jun-2024 cache) - link severed 26/07/26; Phase 5 re-source pending</t>
        </is>
      </c>
    </row>
    <row r="15" ht="6" customHeight="1">
      <c r="A15" s="179" t="n"/>
      <c r="B15" s="291" t="n"/>
      <c r="C15" s="672" t="n"/>
      <c r="D15" s="671" t="n"/>
      <c r="E15" s="292" t="n"/>
      <c r="F15" s="660" t="n"/>
    </row>
    <row r="16" ht="13.2" customHeight="1">
      <c r="A16" s="179" t="inlineStr">
        <is>
          <t>Ripper_1.7-2T</t>
        </is>
      </c>
      <c r="B16" s="291" t="inlineStr">
        <is>
          <t>Day</t>
        </is>
      </c>
      <c r="C16" s="672" t="n"/>
      <c r="D16" s="671" t="n"/>
      <c r="E16" s="292" t="n"/>
      <c r="F16" s="660" t="n"/>
    </row>
    <row r="17" ht="13.2" customHeight="1">
      <c r="A17" s="179" t="inlineStr">
        <is>
          <t>Ripper_1.5-4T</t>
        </is>
      </c>
      <c r="B17" s="291" t="inlineStr">
        <is>
          <t>Day</t>
        </is>
      </c>
      <c r="C17" s="672" t="n"/>
      <c r="D17" s="671" t="n">
        <v>32.74</v>
      </c>
      <c r="E17" s="292" t="n"/>
      <c r="F17" s="497" t="inlineStr">
        <is>
          <t>COMPLETED don’t edit</t>
        </is>
      </c>
      <c r="G17" s="540" t="inlineStr">
        <is>
          <t>frozen from [4] 240614 Suppliers Subbies Price Comparison (Jun-2024 cache) - link severed 26/07/26; Phase 5 re-source pending</t>
        </is>
      </c>
    </row>
    <row r="18" ht="13.2" customHeight="1">
      <c r="A18" s="179" t="inlineStr">
        <is>
          <t>Ripper_3-5T</t>
        </is>
      </c>
      <c r="B18" s="291" t="inlineStr">
        <is>
          <t>Day</t>
        </is>
      </c>
      <c r="C18" s="672" t="n"/>
      <c r="D18" s="671" t="n"/>
      <c r="E18" s="292" t="n"/>
      <c r="F18" s="660" t="n"/>
    </row>
    <row r="19" ht="13.2" customHeight="1">
      <c r="A19" s="179" t="inlineStr">
        <is>
          <t>Ripper_8T</t>
        </is>
      </c>
      <c r="B19" s="291" t="inlineStr">
        <is>
          <t>Day</t>
        </is>
      </c>
      <c r="C19" s="672" t="n"/>
      <c r="D19" s="671" t="n">
        <v>40.38</v>
      </c>
      <c r="E19" s="292" t="n"/>
      <c r="F19" s="660" t="n"/>
      <c r="G19" s="540" t="inlineStr">
        <is>
          <t>frozen from [4] 240614 Suppliers Subbies Price Comparison (Jun-2024 cache) - link severed 26/07/26; Phase 5 re-source pending</t>
        </is>
      </c>
    </row>
    <row r="20" ht="13.2" customHeight="1">
      <c r="A20" s="179" t="inlineStr">
        <is>
          <t>Breaker_1.7-2T</t>
        </is>
      </c>
      <c r="B20" s="291" t="inlineStr">
        <is>
          <t>Day</t>
        </is>
      </c>
      <c r="C20" s="672" t="n"/>
      <c r="D20" s="671" t="n">
        <v>123.33</v>
      </c>
      <c r="E20" s="292" t="n"/>
      <c r="F20" s="660" t="n"/>
      <c r="G20" s="540" t="inlineStr">
        <is>
          <t>frozen from [4] 240614 Suppliers Subbies Price Comparison (Jun-2024 cache) - link severed 26/07/26; Phase 5 re-source pending</t>
        </is>
      </c>
    </row>
    <row r="21" ht="13.2" customHeight="1">
      <c r="A21" s="179" t="inlineStr">
        <is>
          <t>Breaker_3-5T</t>
        </is>
      </c>
      <c r="B21" s="291" t="inlineStr">
        <is>
          <t>Day</t>
        </is>
      </c>
      <c r="C21" s="672" t="n"/>
      <c r="D21" s="671" t="n">
        <v>165.89</v>
      </c>
      <c r="E21" s="292" t="n"/>
      <c r="F21" s="660" t="n"/>
      <c r="G21" s="540" t="inlineStr">
        <is>
          <t>frozen from [4] 240614 Suppliers Subbies Price Comparison (Jun-2024 cache) - link severed 26/07/26; Phase 5 re-source pending</t>
        </is>
      </c>
    </row>
    <row r="22" ht="13.2" customHeight="1">
      <c r="A22" s="179" t="inlineStr">
        <is>
          <t>Breaker_8T</t>
        </is>
      </c>
      <c r="B22" s="291" t="inlineStr">
        <is>
          <t>Day</t>
        </is>
      </c>
      <c r="C22" s="672" t="n"/>
      <c r="D22" s="671" t="n">
        <v>165.89</v>
      </c>
      <c r="E22" s="292" t="n"/>
      <c r="F22" s="497" t="inlineStr">
        <is>
          <t>COMPLETED don’t edit</t>
        </is>
      </c>
      <c r="G22" s="540" t="inlineStr">
        <is>
          <t>frozen from [4] 240614 Suppliers Subbies Price Comparison (Jun-2024 cache) - link severed 26/07/26; Phase 5 re-source pending</t>
        </is>
      </c>
    </row>
    <row r="23" ht="13.2" customHeight="1">
      <c r="A23" s="179" t="inlineStr">
        <is>
          <t>Breaker_10-12T</t>
        </is>
      </c>
      <c r="B23" s="291" t="inlineStr">
        <is>
          <t>Day</t>
        </is>
      </c>
      <c r="C23" s="672" t="n"/>
      <c r="D23" s="671" t="n"/>
      <c r="E23" s="292" t="n"/>
      <c r="F23" s="660" t="n"/>
    </row>
    <row r="24" ht="13.2" customHeight="1">
      <c r="A24" s="179" t="inlineStr">
        <is>
          <t>Breaker_13-15T</t>
        </is>
      </c>
      <c r="B24" s="291" t="inlineStr">
        <is>
          <t>Day</t>
        </is>
      </c>
      <c r="C24" s="672" t="n"/>
      <c r="D24" s="671" t="n">
        <v>203</v>
      </c>
      <c r="E24" s="292" t="n"/>
      <c r="F24" s="660" t="n"/>
      <c r="G24" s="540" t="inlineStr">
        <is>
          <t>frozen from [4] 240614 Suppliers Subbies Price Comparison (Jun-2024 cache) - link severed 26/07/26; Phase 5 re-source pending</t>
        </is>
      </c>
    </row>
    <row r="25" ht="13.2" customHeight="1">
      <c r="A25" s="179" t="inlineStr">
        <is>
          <t>Auger Drive_10-12T</t>
        </is>
      </c>
      <c r="B25" s="291" t="n"/>
      <c r="C25" s="672" t="n"/>
      <c r="D25" s="671" t="n"/>
      <c r="E25" s="292" t="n"/>
      <c r="F25" s="660" t="n"/>
    </row>
    <row r="26" ht="13.2" customHeight="1">
      <c r="A26" s="179" t="inlineStr">
        <is>
          <t>300Dia Auger Drill</t>
        </is>
      </c>
      <c r="B26" s="291" t="n"/>
      <c r="C26" s="672" t="n"/>
      <c r="D26" s="671" t="n"/>
      <c r="E26" s="292" t="n"/>
      <c r="F26" s="660" t="n"/>
    </row>
    <row r="27" ht="5.55" customHeight="1">
      <c r="A27" s="179" t="n"/>
      <c r="B27" s="291" t="n"/>
      <c r="C27" s="672" t="n"/>
      <c r="D27" s="671" t="n"/>
      <c r="E27" s="292" t="n"/>
      <c r="F27" s="497" t="inlineStr">
        <is>
          <t>COMPLETED don’t edit</t>
        </is>
      </c>
    </row>
    <row r="28" ht="12.75" customHeight="1">
      <c r="A28" s="179" t="inlineStr">
        <is>
          <t xml:space="preserve">1.25T_Tipper Truck </t>
        </is>
      </c>
      <c r="B28" s="291" t="inlineStr">
        <is>
          <t>Day</t>
        </is>
      </c>
      <c r="C28" s="672" t="n"/>
      <c r="D28" s="671" t="n">
        <v>205</v>
      </c>
      <c r="E28" s="292" t="n"/>
      <c r="F28" s="660" t="n"/>
      <c r="G28" s="540" t="inlineStr">
        <is>
          <t>frozen from [4] 240614 Suppliers Subbies Price Comparison (Jun-2024 cache) - link severed 26/07/26; Phase 5 re-source pending</t>
        </is>
      </c>
    </row>
    <row r="29" ht="13.2" customHeight="1">
      <c r="A29" s="179" t="inlineStr">
        <is>
          <t>2-4T_Tipper Truck</t>
        </is>
      </c>
      <c r="B29" s="291" t="inlineStr">
        <is>
          <t>Day</t>
        </is>
      </c>
      <c r="C29" s="672" t="n"/>
      <c r="D29" s="671" t="n">
        <v>166.98</v>
      </c>
      <c r="E29" s="292" t="n"/>
      <c r="F29" s="660" t="n"/>
      <c r="G29" s="540" t="inlineStr">
        <is>
          <t>frozen from [4] 240614 Suppliers Subbies Price Comparison (Jun-2024 cache) - link severed 26/07/26; Phase 5 re-source pending</t>
        </is>
      </c>
    </row>
    <row r="30" ht="13.2" customHeight="1">
      <c r="A30" s="179" t="inlineStr">
        <is>
          <t>&lt;6T_Tipper Truck</t>
        </is>
      </c>
      <c r="B30" s="291" t="inlineStr">
        <is>
          <t>Day</t>
        </is>
      </c>
      <c r="C30" s="672" t="n"/>
      <c r="D30" s="671" t="n">
        <v>171.4285714285714</v>
      </c>
      <c r="E30" s="292" t="n"/>
      <c r="F30" s="660" t="n"/>
      <c r="G30" s="540" t="inlineStr">
        <is>
          <t>frozen from [4] 240614 Suppliers Subbies Price Comparison (Jun-2024 cache) - link severed 26/07/26; Phase 5 re-source pending</t>
        </is>
      </c>
    </row>
    <row r="31" ht="8.550000000000001" customHeight="1">
      <c r="A31" s="179" t="n"/>
      <c r="B31" s="291" t="n"/>
      <c r="C31" s="672" t="n"/>
      <c r="D31" s="671" t="n"/>
      <c r="E31" s="292" t="n"/>
      <c r="F31" s="660" t="n"/>
    </row>
    <row r="32" ht="13.2" customHeight="1">
      <c r="A32" s="179" t="inlineStr">
        <is>
          <t>&lt;10T_Articulated Site Tipper</t>
        </is>
      </c>
      <c r="B32" s="291" t="inlineStr">
        <is>
          <t>Day</t>
        </is>
      </c>
      <c r="C32" s="672" t="n"/>
      <c r="D32" s="671" t="n"/>
      <c r="E32" s="292" t="n"/>
      <c r="F32" s="497" t="inlineStr">
        <is>
          <t>COMPLETED don’t edit</t>
        </is>
      </c>
    </row>
    <row r="33" ht="13.2" customHeight="1">
      <c r="A33" s="179" t="inlineStr">
        <is>
          <t>Upright Rammer_Wacker</t>
        </is>
      </c>
      <c r="B33" s="291" t="inlineStr">
        <is>
          <t>Day</t>
        </is>
      </c>
      <c r="C33" s="672" t="n"/>
      <c r="D33" s="671" t="n">
        <v>34.28571428571428</v>
      </c>
      <c r="E33" s="292" t="n"/>
      <c r="F33" s="660" t="n"/>
      <c r="G33" s="540" t="inlineStr">
        <is>
          <t>frozen from [4] 240614 Suppliers Subbies Price Comparison (Jun-2024 cache) - link severed 26/07/26; Phase 5 re-source pending</t>
        </is>
      </c>
    </row>
    <row r="34" ht="13.2" customHeight="1">
      <c r="A34" s="179" t="inlineStr">
        <is>
          <t>Trench Roller_Dbl Drum_Remote</t>
        </is>
      </c>
      <c r="B34" s="291" t="inlineStr">
        <is>
          <t>Day</t>
        </is>
      </c>
      <c r="C34" s="672" t="n"/>
      <c r="D34" s="671" t="n">
        <v>165</v>
      </c>
      <c r="E34" s="292" t="n"/>
      <c r="F34" s="660" t="n"/>
      <c r="G34" s="540" t="inlineStr">
        <is>
          <t>frozen from [4] 240614 Suppliers Subbies Price Comparison (Jun-2024 cache) - link severed 26/07/26; Phase 5 re-source pending</t>
        </is>
      </c>
    </row>
    <row r="35" hidden="1" ht="13.2" customHeight="1">
      <c r="A35" s="179" t="inlineStr">
        <is>
          <t>&lt;26Ft_Scissor Lift - Diesel</t>
        </is>
      </c>
      <c r="B35" s="291" t="inlineStr">
        <is>
          <t>Day</t>
        </is>
      </c>
      <c r="C35" s="672" t="n"/>
      <c r="D35" s="671" t="n"/>
      <c r="E35" s="292" t="n"/>
      <c r="F35" s="660" t="n"/>
    </row>
    <row r="36" hidden="1" ht="13.2" customHeight="1">
      <c r="A36" s="179" t="inlineStr">
        <is>
          <t>&lt;26Ft_Scissor Lift - Elec</t>
        </is>
      </c>
      <c r="B36" s="291" t="inlineStr">
        <is>
          <t>Day</t>
        </is>
      </c>
      <c r="C36" s="672" t="n"/>
      <c r="D36" s="671" t="n"/>
      <c r="E36" s="292" t="n"/>
      <c r="F36" s="660" t="n"/>
    </row>
    <row r="37" hidden="1" ht="13.2" customHeight="1">
      <c r="A37" s="179" t="inlineStr">
        <is>
          <t>&lt;34Ft_Boom Lift - Diesel</t>
        </is>
      </c>
      <c r="B37" s="291" t="inlineStr">
        <is>
          <t>Day</t>
        </is>
      </c>
      <c r="C37" s="672" t="n"/>
      <c r="D37" s="671" t="n"/>
      <c r="E37" s="292" t="n"/>
      <c r="F37" s="497" t="inlineStr">
        <is>
          <t>COMPLETED don’t edit</t>
        </is>
      </c>
    </row>
    <row r="38" hidden="1" ht="13.2" customHeight="1">
      <c r="A38" s="179" t="inlineStr">
        <is>
          <t>&lt;34Ft_Boom Lift - Elec</t>
        </is>
      </c>
      <c r="B38" s="291" t="inlineStr">
        <is>
          <t>Day</t>
        </is>
      </c>
      <c r="C38" s="672" t="n"/>
      <c r="D38" s="671" t="n"/>
      <c r="E38" s="292" t="n"/>
      <c r="F38" s="660" t="n"/>
    </row>
    <row r="39" ht="8.550000000000001" customHeight="1">
      <c r="A39" s="179" t="n"/>
      <c r="B39" s="291" t="n"/>
      <c r="C39" s="672" t="n"/>
      <c r="D39" s="671" t="n"/>
      <c r="E39" s="292" t="n"/>
      <c r="F39" s="660" t="n"/>
    </row>
    <row r="40" ht="13.2" customHeight="1">
      <c r="A40" s="179" t="inlineStr">
        <is>
          <t>Porta Loo_No Tank</t>
        </is>
      </c>
      <c r="B40" s="291" t="inlineStr">
        <is>
          <t>Day</t>
        </is>
      </c>
      <c r="C40" s="672" t="n"/>
      <c r="D40" s="671" t="n">
        <v>5.46</v>
      </c>
      <c r="E40" s="292" t="n"/>
      <c r="F40" s="660" t="n"/>
      <c r="G40" s="540" t="inlineStr">
        <is>
          <t>frozen from [4] 240614 Suppliers Subbies Price Comparison (Jun-2024 cache) - link severed 26/07/26; Phase 5 re-source pending</t>
        </is>
      </c>
    </row>
    <row r="41" ht="13.2" customHeight="1">
      <c r="A41" s="179" t="inlineStr">
        <is>
          <t>6*3m Demantable Lunchroom - COMPLETE</t>
        </is>
      </c>
      <c r="B41" s="291" t="inlineStr">
        <is>
          <t>Day</t>
        </is>
      </c>
      <c r="C41" s="672" t="n"/>
      <c r="D41" s="671" t="n">
        <v>23</v>
      </c>
      <c r="E41" s="292" t="n"/>
      <c r="F41" s="660" t="n"/>
      <c r="G41" s="540" t="inlineStr">
        <is>
          <t>frozen from [4] 240614 Suppliers Subbies Price Comparison (Jun-2024 cache) - link severed 26/07/26; Phase 5 re-source pending</t>
        </is>
      </c>
    </row>
    <row r="42" ht="13.2" customHeight="1">
      <c r="A42" s="179" t="inlineStr">
        <is>
          <t>6*3m Demantable Office - COMPLETE</t>
        </is>
      </c>
      <c r="B42" s="291" t="inlineStr">
        <is>
          <t>Day</t>
        </is>
      </c>
      <c r="C42" s="672" t="n"/>
      <c r="D42" s="671" t="n">
        <v>23</v>
      </c>
      <c r="E42" s="292" t="n"/>
      <c r="F42" s="497" t="inlineStr">
        <is>
          <t>COMPLETED don’t edit</t>
        </is>
      </c>
      <c r="G42" s="540" t="inlineStr">
        <is>
          <t>frozen from [4] 240614 Suppliers Subbies Price Comparison (Jun-2024 cache) - link severed 26/07/26; Phase 5 re-source pending</t>
        </is>
      </c>
    </row>
    <row r="43" ht="13.2" customHeight="1">
      <c r="A43" s="179" t="inlineStr">
        <is>
          <t>20Ft Shipping Container</t>
        </is>
      </c>
      <c r="B43" s="291" t="inlineStr">
        <is>
          <t>Day</t>
        </is>
      </c>
      <c r="C43" s="672" t="n"/>
      <c r="D43" s="671" t="n"/>
      <c r="E43" s="292" t="n"/>
      <c r="F43" s="660" t="n"/>
    </row>
    <row r="44" ht="13.2" customHeight="1">
      <c r="A44" s="179" t="inlineStr">
        <is>
          <t>Quick Cut Demo Saw</t>
        </is>
      </c>
      <c r="B44" s="291" t="inlineStr">
        <is>
          <t>Day</t>
        </is>
      </c>
      <c r="C44" s="672" t="n"/>
      <c r="D44" s="671" t="n"/>
      <c r="E44" s="292" t="n"/>
      <c r="F44" s="660" t="n"/>
    </row>
    <row r="45" ht="13.2" customHeight="1">
      <c r="A45" s="179" t="inlineStr">
        <is>
          <t>Sngl Ph_6KVA Genset</t>
        </is>
      </c>
      <c r="B45" s="291" t="inlineStr">
        <is>
          <t>Day</t>
        </is>
      </c>
      <c r="C45" s="672" t="n"/>
      <c r="D45" s="671" t="n"/>
      <c r="E45" s="292" t="n"/>
      <c r="F45" s="660" t="n"/>
    </row>
    <row r="46" ht="13.2" customHeight="1">
      <c r="A46" s="179" t="inlineStr">
        <is>
          <t>Diesel Air Compressor_Trailer</t>
        </is>
      </c>
      <c r="B46" s="291" t="inlineStr">
        <is>
          <t>Day</t>
        </is>
      </c>
      <c r="C46" s="672" t="n"/>
      <c r="D46" s="671" t="n"/>
      <c r="E46" s="292" t="n"/>
      <c r="F46" s="660" t="n"/>
    </row>
    <row r="47" ht="13.2" customHeight="1">
      <c r="A47" s="179" t="inlineStr">
        <is>
          <t>Air Breaker - Heavy</t>
        </is>
      </c>
      <c r="B47" s="291" t="inlineStr">
        <is>
          <t>Day</t>
        </is>
      </c>
      <c r="C47" s="672" t="n"/>
      <c r="D47" s="671" t="n"/>
      <c r="E47" s="292" t="n"/>
      <c r="F47" s="497" t="inlineStr">
        <is>
          <t>COMPLETED don’t edit</t>
        </is>
      </c>
    </row>
    <row r="48" ht="13.2" customHeight="1">
      <c r="A48" s="179" t="inlineStr">
        <is>
          <t>Air Hose &lt;10m</t>
        </is>
      </c>
      <c r="B48" s="291" t="inlineStr">
        <is>
          <t>Day</t>
        </is>
      </c>
      <c r="C48" s="672" t="n"/>
      <c r="D48" s="671" t="n"/>
      <c r="E48" s="292" t="n"/>
      <c r="F48" s="660" t="n"/>
    </row>
    <row r="49" ht="13.2" customHeight="1">
      <c r="A49" s="179" t="inlineStr">
        <is>
          <t>Elec Breaker/Jachammer</t>
        </is>
      </c>
      <c r="B49" s="291" t="inlineStr">
        <is>
          <t>Day</t>
        </is>
      </c>
      <c r="C49" s="672" t="n"/>
      <c r="D49" s="671" t="n"/>
      <c r="E49" s="292" t="n"/>
      <c r="F49" s="660" t="n"/>
    </row>
    <row r="50" ht="13.2" customHeight="1">
      <c r="A50" s="179" t="inlineStr">
        <is>
          <t>Flexdrive Motor Unit</t>
        </is>
      </c>
      <c r="B50" s="291" t="inlineStr">
        <is>
          <t>Day</t>
        </is>
      </c>
      <c r="C50" s="672" t="n"/>
      <c r="D50" s="671" t="n"/>
      <c r="E50" s="292" t="n"/>
      <c r="F50" s="660" t="n"/>
    </row>
    <row r="51" ht="13.2" customHeight="1">
      <c r="A51" s="179" t="inlineStr">
        <is>
          <t>Flexdrive_Pump Shaft</t>
        </is>
      </c>
      <c r="B51" s="291" t="inlineStr">
        <is>
          <t>Day</t>
        </is>
      </c>
      <c r="C51" s="672" t="n"/>
      <c r="D51" s="671" t="n"/>
      <c r="E51" s="292" t="n"/>
      <c r="F51" s="660" t="n"/>
    </row>
    <row r="52" ht="13.2" customHeight="1">
      <c r="A52" s="179" t="inlineStr">
        <is>
          <t>Temporary Power Board</t>
        </is>
      </c>
      <c r="B52" s="291" t="inlineStr">
        <is>
          <t>Day</t>
        </is>
      </c>
      <c r="C52" s="672" t="n"/>
      <c r="D52" s="671" t="n"/>
      <c r="E52" s="292" t="n"/>
      <c r="F52" s="497" t="inlineStr">
        <is>
          <t>COMPLETED don’t edit</t>
        </is>
      </c>
    </row>
    <row r="53" ht="6.6" customHeight="1">
      <c r="A53" s="179" t="n"/>
      <c r="B53" s="291" t="n"/>
      <c r="C53" s="672" t="n"/>
      <c r="D53" s="671" t="n"/>
      <c r="E53" s="292" t="n"/>
      <c r="F53" s="660" t="n"/>
    </row>
    <row r="54" ht="13.2" customHeight="1">
      <c r="A54" s="179" t="inlineStr">
        <is>
          <t>Dual CabUte</t>
        </is>
      </c>
      <c r="B54" s="291" t="inlineStr">
        <is>
          <t>Day</t>
        </is>
      </c>
      <c r="C54" s="672" t="n"/>
      <c r="D54" s="671" t="n"/>
      <c r="E54" s="292" t="n"/>
      <c r="F54" s="660" t="n"/>
    </row>
    <row r="55" ht="13.2" customHeight="1">
      <c r="A55" s="179" t="inlineStr">
        <is>
          <t xml:space="preserve">3m3 Skip Bbin </t>
        </is>
      </c>
      <c r="B55" s="291" t="inlineStr">
        <is>
          <t>per serive</t>
        </is>
      </c>
      <c r="C55" s="672" t="n"/>
      <c r="D55" s="671" t="n">
        <v>230</v>
      </c>
      <c r="E55" s="292" t="n"/>
      <c r="F55" s="660" t="n"/>
      <c r="G55" s="540" t="inlineStr">
        <is>
          <t>frozen from [4] 240614 Suppliers Subbies Price Comparison (Jun-2024 cache) - link severed 26/07/26; Phase 5 re-source pending</t>
        </is>
      </c>
    </row>
    <row r="56" ht="13.2" customHeight="1">
      <c r="A56" s="179" t="inlineStr">
        <is>
          <t xml:space="preserve">plus disposal </t>
        </is>
      </c>
      <c r="B56" s="291" t="inlineStr">
        <is>
          <t xml:space="preserve">Tonne </t>
        </is>
      </c>
      <c r="C56" s="672" t="n"/>
      <c r="D56" s="671" t="n">
        <v>309</v>
      </c>
      <c r="E56" s="292" t="n"/>
      <c r="F56" s="660" t="n"/>
      <c r="G56" s="540" t="inlineStr">
        <is>
          <t>frozen from [4] 240614 Suppliers Subbies Price Comparison (Jun-2024 cache) - link severed 26/07/26; Phase 5 re-source pending</t>
        </is>
      </c>
    </row>
    <row r="57" ht="13.2" customHeight="1">
      <c r="A57" s="179" t="inlineStr">
        <is>
          <t xml:space="preserve">site fee </t>
        </is>
      </c>
      <c r="B57" s="291" t="inlineStr">
        <is>
          <t>Week</t>
        </is>
      </c>
      <c r="C57" s="672" t="n"/>
      <c r="D57" s="671" t="n">
        <v>35</v>
      </c>
      <c r="E57" s="292" t="n"/>
      <c r="F57" s="497" t="inlineStr">
        <is>
          <t>COMPLETED don’t edit</t>
        </is>
      </c>
      <c r="G57" s="540" t="inlineStr">
        <is>
          <t>frozen from [4] 240614 Suppliers Subbies Price Comparison (Jun-2024 cache) - link severed 26/07/26; Phase 5 re-source pending</t>
        </is>
      </c>
    </row>
    <row r="58" ht="13.2" customHeight="1">
      <c r="A58" s="179" t="inlineStr">
        <is>
          <t>~4m3_Skip Bin</t>
        </is>
      </c>
      <c r="B58" s="291" t="inlineStr">
        <is>
          <t xml:space="preserve">per change over </t>
        </is>
      </c>
      <c r="C58" s="672" t="n"/>
      <c r="D58" s="671" t="n">
        <v>229.9</v>
      </c>
      <c r="E58" s="292" t="n"/>
      <c r="F58" s="660" t="n"/>
      <c r="G58" s="540" t="inlineStr">
        <is>
          <t>frozen from [4] 240614 Suppliers Subbies Price Comparison (Jun-2024 cache) - link severed 26/07/26; Phase 5 re-source pending</t>
        </is>
      </c>
    </row>
    <row r="59" ht="13.2" customHeight="1">
      <c r="A59" s="179" t="inlineStr">
        <is>
          <t>~6m3_Skip Bin</t>
        </is>
      </c>
      <c r="B59" s="291" t="inlineStr">
        <is>
          <t xml:space="preserve">per change over </t>
        </is>
      </c>
      <c r="C59" s="672" t="n"/>
      <c r="D59" s="671" t="n">
        <v>239.8</v>
      </c>
      <c r="E59" s="292" t="n"/>
      <c r="F59" s="660" t="n"/>
      <c r="G59" s="540" t="inlineStr">
        <is>
          <t>frozen from [4] 240614 Suppliers Subbies Price Comparison (Jun-2024 cache) - link severed 26/07/26; Phase 5 re-source pending</t>
        </is>
      </c>
    </row>
    <row r="60" ht="13.2" customHeight="1">
      <c r="A60" s="179" t="inlineStr">
        <is>
          <t xml:space="preserve">Plus disposal </t>
        </is>
      </c>
      <c r="B60" s="291" t="inlineStr">
        <is>
          <t xml:space="preserve">Tonne </t>
        </is>
      </c>
      <c r="C60" s="672" t="n"/>
      <c r="D60" s="671" t="n">
        <v>309</v>
      </c>
      <c r="E60" s="292" t="n"/>
      <c r="F60" s="660" t="n"/>
      <c r="G60" s="540" t="inlineStr">
        <is>
          <t>frozen from [4] 240614 Suppliers Subbies Price Comparison (Jun-2024 cache) - link severed 26/07/26; Phase 5 re-source pending</t>
        </is>
      </c>
    </row>
    <row r="61" ht="13.2" customHeight="1">
      <c r="A61" s="179" t="inlineStr">
        <is>
          <t xml:space="preserve">Site fee </t>
        </is>
      </c>
      <c r="B61" s="291" t="inlineStr">
        <is>
          <t>Week</t>
        </is>
      </c>
      <c r="C61" s="672" t="n"/>
      <c r="D61" s="671" t="n">
        <v>35</v>
      </c>
      <c r="E61" s="292" t="n"/>
      <c r="F61" s="660" t="n"/>
      <c r="G61" s="540" t="inlineStr">
        <is>
          <t>frozen from [4] 240614 Suppliers Subbies Price Comparison (Jun-2024 cache) - link severed 26/07/26; Phase 5 re-source pending</t>
        </is>
      </c>
    </row>
    <row r="62" ht="13.2" customHeight="1">
      <c r="A62" s="179" t="inlineStr">
        <is>
          <t>Vacuum Excavator - Vermeer VT250D</t>
        </is>
      </c>
      <c r="B62" s="291" t="inlineStr">
        <is>
          <t>Day</t>
        </is>
      </c>
      <c r="C62" s="672" t="n"/>
      <c r="D62" s="671" t="n">
        <v>295.77</v>
      </c>
      <c r="E62" s="292" t="n"/>
      <c r="F62" s="497" t="inlineStr">
        <is>
          <t>COMPLETED don’t edit</t>
        </is>
      </c>
      <c r="G62" s="540" t="inlineStr">
        <is>
          <t>frozen from [4] 240614 Suppliers Subbies Price Comparison (Jun-2024 cache) - link severed 26/07/26; Phase 5 re-source pending</t>
        </is>
      </c>
    </row>
    <row r="63" ht="13.2" customHeight="1">
      <c r="A63" s="179" t="inlineStr">
        <is>
          <t>Vac Trailer – Dry Hire</t>
        </is>
      </c>
      <c r="B63" s="291" t="inlineStr">
        <is>
          <t>Day</t>
        </is>
      </c>
      <c r="C63" s="672" t="n"/>
      <c r="D63" s="671" t="n">
        <v>355</v>
      </c>
      <c r="E63" s="292" t="n"/>
      <c r="F63" s="660" t="n"/>
      <c r="G63" s="540" t="inlineStr">
        <is>
          <t>frozen from [4] 240614 Suppliers Subbies Price Comparison (Jun-2024 cache) - link severed 26/07/26; Phase 5 re-source pending</t>
        </is>
      </c>
    </row>
    <row r="64" ht="9.6" customHeight="1">
      <c r="A64" s="179" t="n"/>
      <c r="B64" s="291" t="n"/>
      <c r="C64" s="672" t="n"/>
      <c r="D64" s="671" t="n"/>
      <c r="E64" s="292" t="n"/>
      <c r="F64" s="660" t="n"/>
    </row>
    <row r="65" ht="13.2" customHeight="1">
      <c r="A65" s="179" t="inlineStr">
        <is>
          <t>TRANSPORT_Ex BRIS - Return</t>
        </is>
      </c>
      <c r="B65" s="291" t="inlineStr">
        <is>
          <t>Day</t>
        </is>
      </c>
      <c r="C65" s="672" t="n"/>
      <c r="D65" s="671" t="n"/>
      <c r="E65" s="292" t="n"/>
      <c r="F65" s="660" t="n"/>
    </row>
    <row r="66" ht="13.2" customHeight="1">
      <c r="A66" s="179" t="inlineStr">
        <is>
          <t>TRANSPORT_Ex ROK - Return</t>
        </is>
      </c>
      <c r="B66" s="291" t="inlineStr">
        <is>
          <t>Hour</t>
        </is>
      </c>
      <c r="C66" s="672" t="n"/>
      <c r="D66" s="671" t="n">
        <v>180</v>
      </c>
      <c r="E66" s="292" t="n"/>
      <c r="F66" s="660" t="n"/>
      <c r="G66" s="540" t="inlineStr">
        <is>
          <t>frozen from [4] 240614 Suppliers Subbies Price Comparison (Jun-2024 cache) - link severed 26/07/26; Phase 5 re-source pending</t>
        </is>
      </c>
    </row>
    <row r="67" ht="13.2" customHeight="1">
      <c r="A67" s="277" t="inlineStr">
        <is>
          <t>0-4T Per Hour Delivery Rate</t>
        </is>
      </c>
      <c r="B67" s="291" t="inlineStr">
        <is>
          <t>Hour</t>
        </is>
      </c>
      <c r="C67" s="672" t="n"/>
      <c r="D67" s="671" t="n">
        <v>125</v>
      </c>
      <c r="E67" s="292" t="n"/>
      <c r="F67" s="497" t="inlineStr">
        <is>
          <t>COMPLETED don’t edit</t>
        </is>
      </c>
      <c r="G67" s="540" t="inlineStr">
        <is>
          <t>frozen from [4] 240614 Suppliers Subbies Price Comparison (Jun-2024 cache) - link severed 26/07/26; Phase 5 re-source pending</t>
        </is>
      </c>
    </row>
    <row r="68" ht="13.2" customHeight="1">
      <c r="A68" s="277" t="inlineStr">
        <is>
          <t xml:space="preserve">5 - 9t Transport Hourly Rate </t>
        </is>
      </c>
      <c r="B68" s="291" t="inlineStr">
        <is>
          <t>Hour</t>
        </is>
      </c>
      <c r="C68" s="672" t="n"/>
      <c r="D68" s="671" t="n">
        <v>160</v>
      </c>
      <c r="E68" s="292" t="n"/>
      <c r="F68" s="660" t="n"/>
      <c r="G68" s="540" t="inlineStr">
        <is>
          <t>frozen from [4] 240614 Suppliers Subbies Price Comparison (Jun-2024 cache) - link severed 26/07/26; Phase 5 re-source pending</t>
        </is>
      </c>
    </row>
    <row r="69" ht="13.2" customHeight="1">
      <c r="A69" s="277" t="inlineStr">
        <is>
          <t>10 - 19t Low Loader Hourly rate - Minimum 2 Hour Charge</t>
        </is>
      </c>
      <c r="B69" s="291" t="inlineStr">
        <is>
          <t>Hour</t>
        </is>
      </c>
      <c r="C69" s="672" t="n"/>
      <c r="D69" s="671" t="n">
        <v>200</v>
      </c>
      <c r="E69" s="292" t="n"/>
      <c r="F69" s="660" t="n"/>
      <c r="G69" s="540" t="inlineStr">
        <is>
          <t>frozen from [4] 240614 Suppliers Subbies Price Comparison (Jun-2024 cache) - link severed 26/07/26; Phase 5 re-source pending</t>
        </is>
      </c>
    </row>
    <row r="70">
      <c r="D70" s="673" t="n"/>
      <c r="F70" s="660" t="n"/>
    </row>
    <row r="71">
      <c r="F71" s="660" t="n"/>
    </row>
  </sheetData>
  <mergeCells count="15">
    <mergeCell ref="F32:F36"/>
    <mergeCell ref="F67:F71"/>
    <mergeCell ref="F2:F6"/>
    <mergeCell ref="F17:F21"/>
    <mergeCell ref="F52:F56"/>
    <mergeCell ref="F12:F16"/>
    <mergeCell ref="F62:F66"/>
    <mergeCell ref="F57:F61"/>
    <mergeCell ref="F47:F51"/>
    <mergeCell ref="F7:F11"/>
    <mergeCell ref="F37:F41"/>
    <mergeCell ref="F27:F31"/>
    <mergeCell ref="F22:F26"/>
    <mergeCell ref="F42:F46"/>
    <mergeCell ref="B2:D2"/>
  </mergeCells>
  <pageMargins left="0.7" right="0.7" top="0.75" bottom="0.75" header="0.3" footer="0.3"/>
  <pageSetup orientation="portrait" paperSize="9" horizontalDpi="0" verticalDpi="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H121"/>
  <sheetViews>
    <sheetView topLeftCell="A58" zoomScale="85" zoomScaleNormal="85" workbookViewId="0">
      <selection activeCell="D49" sqref="D49"/>
    </sheetView>
  </sheetViews>
  <sheetFormatPr baseColWidth="8" defaultColWidth="9.21875" defaultRowHeight="10.2"/>
  <cols>
    <col width="59.21875" customWidth="1" style="38" min="1" max="1"/>
    <col width="11.44140625" customWidth="1" style="40" min="2" max="2"/>
    <col width="3.77734375" bestFit="1" customWidth="1" style="40" min="3" max="3"/>
    <col width="13.21875" customWidth="1" style="583" min="4" max="4"/>
    <col width="14.21875" customWidth="1" style="583" min="5" max="5"/>
    <col width="3.21875" customWidth="1" style="38" min="6" max="6"/>
    <col width="11.77734375" customWidth="1" style="38" min="7" max="7"/>
    <col width="9.21875" customWidth="1" style="38" min="8" max="255"/>
    <col width="8.21875" customWidth="1" style="38" min="256" max="256"/>
    <col width="70.44140625" bestFit="1" customWidth="1" style="38" min="257" max="257"/>
    <col width="11.44140625" customWidth="1" style="38" min="258" max="258"/>
    <col width="10.44140625" customWidth="1" style="38" min="259" max="259"/>
    <col width="13.21875" customWidth="1" style="38" min="260" max="260"/>
    <col width="14.21875" customWidth="1" style="38" min="261" max="261"/>
    <col width="12.21875" customWidth="1" style="38" min="262" max="262"/>
    <col width="9.21875" customWidth="1" style="38" min="263" max="511"/>
    <col width="8.21875" customWidth="1" style="38" min="512" max="512"/>
    <col width="70.44140625" bestFit="1" customWidth="1" style="38" min="513" max="513"/>
    <col width="11.44140625" customWidth="1" style="38" min="514" max="514"/>
    <col width="10.44140625" customWidth="1" style="38" min="515" max="515"/>
    <col width="13.21875" customWidth="1" style="38" min="516" max="516"/>
    <col width="14.21875" customWidth="1" style="38" min="517" max="517"/>
    <col width="12.21875" customWidth="1" style="38" min="518" max="518"/>
    <col width="9.21875" customWidth="1" style="38" min="519" max="767"/>
    <col width="8.21875" customWidth="1" style="38" min="768" max="768"/>
    <col width="70.44140625" bestFit="1" customWidth="1" style="38" min="769" max="769"/>
    <col width="11.44140625" customWidth="1" style="38" min="770" max="770"/>
    <col width="10.44140625" customWidth="1" style="38" min="771" max="771"/>
    <col width="13.21875" customWidth="1" style="38" min="772" max="772"/>
    <col width="14.21875" customWidth="1" style="38" min="773" max="773"/>
    <col width="12.21875" customWidth="1" style="38" min="774" max="774"/>
    <col width="9.21875" customWidth="1" style="38" min="775" max="1023"/>
    <col width="8.21875" customWidth="1" style="38" min="1024" max="1024"/>
    <col width="70.44140625" bestFit="1" customWidth="1" style="38" min="1025" max="1025"/>
    <col width="11.44140625" customWidth="1" style="38" min="1026" max="1026"/>
    <col width="10.44140625" customWidth="1" style="38" min="1027" max="1027"/>
    <col width="13.21875" customWidth="1" style="38" min="1028" max="1028"/>
    <col width="14.21875" customWidth="1" style="38" min="1029" max="1029"/>
    <col width="12.21875" customWidth="1" style="38" min="1030" max="1030"/>
    <col width="9.21875" customWidth="1" style="38" min="1031" max="1279"/>
    <col width="8.21875" customWidth="1" style="38" min="1280" max="1280"/>
    <col width="70.44140625" bestFit="1" customWidth="1" style="38" min="1281" max="1281"/>
    <col width="11.44140625" customWidth="1" style="38" min="1282" max="1282"/>
    <col width="10.44140625" customWidth="1" style="38" min="1283" max="1283"/>
    <col width="13.21875" customWidth="1" style="38" min="1284" max="1284"/>
    <col width="14.21875" customWidth="1" style="38" min="1285" max="1285"/>
    <col width="12.21875" customWidth="1" style="38" min="1286" max="1286"/>
    <col width="9.21875" customWidth="1" style="38" min="1287" max="1535"/>
    <col width="8.21875" customWidth="1" style="38" min="1536" max="1536"/>
    <col width="70.44140625" bestFit="1" customWidth="1" style="38" min="1537" max="1537"/>
    <col width="11.44140625" customWidth="1" style="38" min="1538" max="1538"/>
    <col width="10.44140625" customWidth="1" style="38" min="1539" max="1539"/>
    <col width="13.21875" customWidth="1" style="38" min="1540" max="1540"/>
    <col width="14.21875" customWidth="1" style="38" min="1541" max="1541"/>
    <col width="12.21875" customWidth="1" style="38" min="1542" max="1542"/>
    <col width="9.21875" customWidth="1" style="38" min="1543" max="1791"/>
    <col width="8.21875" customWidth="1" style="38" min="1792" max="1792"/>
    <col width="70.44140625" bestFit="1" customWidth="1" style="38" min="1793" max="1793"/>
    <col width="11.44140625" customWidth="1" style="38" min="1794" max="1794"/>
    <col width="10.44140625" customWidth="1" style="38" min="1795" max="1795"/>
    <col width="13.21875" customWidth="1" style="38" min="1796" max="1796"/>
    <col width="14.21875" customWidth="1" style="38" min="1797" max="1797"/>
    <col width="12.21875" customWidth="1" style="38" min="1798" max="1798"/>
    <col width="9.21875" customWidth="1" style="38" min="1799" max="2047"/>
    <col width="8.21875" customWidth="1" style="38" min="2048" max="2048"/>
    <col width="70.44140625" bestFit="1" customWidth="1" style="38" min="2049" max="2049"/>
    <col width="11.44140625" customWidth="1" style="38" min="2050" max="2050"/>
    <col width="10.44140625" customWidth="1" style="38" min="2051" max="2051"/>
    <col width="13.21875" customWidth="1" style="38" min="2052" max="2052"/>
    <col width="14.21875" customWidth="1" style="38" min="2053" max="2053"/>
    <col width="12.21875" customWidth="1" style="38" min="2054" max="2054"/>
    <col width="9.21875" customWidth="1" style="38" min="2055" max="2303"/>
    <col width="8.21875" customWidth="1" style="38" min="2304" max="2304"/>
    <col width="70.44140625" bestFit="1" customWidth="1" style="38" min="2305" max="2305"/>
    <col width="11.44140625" customWidth="1" style="38" min="2306" max="2306"/>
    <col width="10.44140625" customWidth="1" style="38" min="2307" max="2307"/>
    <col width="13.21875" customWidth="1" style="38" min="2308" max="2308"/>
    <col width="14.21875" customWidth="1" style="38" min="2309" max="2309"/>
    <col width="12.21875" customWidth="1" style="38" min="2310" max="2310"/>
    <col width="9.21875" customWidth="1" style="38" min="2311" max="2559"/>
    <col width="8.21875" customWidth="1" style="38" min="2560" max="2560"/>
    <col width="70.44140625" bestFit="1" customWidth="1" style="38" min="2561" max="2561"/>
    <col width="11.44140625" customWidth="1" style="38" min="2562" max="2562"/>
    <col width="10.44140625" customWidth="1" style="38" min="2563" max="2563"/>
    <col width="13.21875" customWidth="1" style="38" min="2564" max="2564"/>
    <col width="14.21875" customWidth="1" style="38" min="2565" max="2565"/>
    <col width="12.21875" customWidth="1" style="38" min="2566" max="2566"/>
    <col width="9.21875" customWidth="1" style="38" min="2567" max="2815"/>
    <col width="8.21875" customWidth="1" style="38" min="2816" max="2816"/>
    <col width="70.44140625" bestFit="1" customWidth="1" style="38" min="2817" max="2817"/>
    <col width="11.44140625" customWidth="1" style="38" min="2818" max="2818"/>
    <col width="10.44140625" customWidth="1" style="38" min="2819" max="2819"/>
    <col width="13.21875" customWidth="1" style="38" min="2820" max="2820"/>
    <col width="14.21875" customWidth="1" style="38" min="2821" max="2821"/>
    <col width="12.21875" customWidth="1" style="38" min="2822" max="2822"/>
    <col width="9.21875" customWidth="1" style="38" min="2823" max="3071"/>
    <col width="8.21875" customWidth="1" style="38" min="3072" max="3072"/>
    <col width="70.44140625" bestFit="1" customWidth="1" style="38" min="3073" max="3073"/>
    <col width="11.44140625" customWidth="1" style="38" min="3074" max="3074"/>
    <col width="10.44140625" customWidth="1" style="38" min="3075" max="3075"/>
    <col width="13.21875" customWidth="1" style="38" min="3076" max="3076"/>
    <col width="14.21875" customWidth="1" style="38" min="3077" max="3077"/>
    <col width="12.21875" customWidth="1" style="38" min="3078" max="3078"/>
    <col width="9.21875" customWidth="1" style="38" min="3079" max="3327"/>
    <col width="8.21875" customWidth="1" style="38" min="3328" max="3328"/>
    <col width="70.44140625" bestFit="1" customWidth="1" style="38" min="3329" max="3329"/>
    <col width="11.44140625" customWidth="1" style="38" min="3330" max="3330"/>
    <col width="10.44140625" customWidth="1" style="38" min="3331" max="3331"/>
    <col width="13.21875" customWidth="1" style="38" min="3332" max="3332"/>
    <col width="14.21875" customWidth="1" style="38" min="3333" max="3333"/>
    <col width="12.21875" customWidth="1" style="38" min="3334" max="3334"/>
    <col width="9.21875" customWidth="1" style="38" min="3335" max="3583"/>
    <col width="8.21875" customWidth="1" style="38" min="3584" max="3584"/>
    <col width="70.44140625" bestFit="1" customWidth="1" style="38" min="3585" max="3585"/>
    <col width="11.44140625" customWidth="1" style="38" min="3586" max="3586"/>
    <col width="10.44140625" customWidth="1" style="38" min="3587" max="3587"/>
    <col width="13.21875" customWidth="1" style="38" min="3588" max="3588"/>
    <col width="14.21875" customWidth="1" style="38" min="3589" max="3589"/>
    <col width="12.21875" customWidth="1" style="38" min="3590" max="3590"/>
    <col width="9.21875" customWidth="1" style="38" min="3591" max="3839"/>
    <col width="8.21875" customWidth="1" style="38" min="3840" max="3840"/>
    <col width="70.44140625" bestFit="1" customWidth="1" style="38" min="3841" max="3841"/>
    <col width="11.44140625" customWidth="1" style="38" min="3842" max="3842"/>
    <col width="10.44140625" customWidth="1" style="38" min="3843" max="3843"/>
    <col width="13.21875" customWidth="1" style="38" min="3844" max="3844"/>
    <col width="14.21875" customWidth="1" style="38" min="3845" max="3845"/>
    <col width="12.21875" customWidth="1" style="38" min="3846" max="3846"/>
    <col width="9.21875" customWidth="1" style="38" min="3847" max="4095"/>
    <col width="8.21875" customWidth="1" style="38" min="4096" max="4096"/>
    <col width="70.44140625" bestFit="1" customWidth="1" style="38" min="4097" max="4097"/>
    <col width="11.44140625" customWidth="1" style="38" min="4098" max="4098"/>
    <col width="10.44140625" customWidth="1" style="38" min="4099" max="4099"/>
    <col width="13.21875" customWidth="1" style="38" min="4100" max="4100"/>
    <col width="14.21875" customWidth="1" style="38" min="4101" max="4101"/>
    <col width="12.21875" customWidth="1" style="38" min="4102" max="4102"/>
    <col width="9.21875" customWidth="1" style="38" min="4103" max="4351"/>
    <col width="8.21875" customWidth="1" style="38" min="4352" max="4352"/>
    <col width="70.44140625" bestFit="1" customWidth="1" style="38" min="4353" max="4353"/>
    <col width="11.44140625" customWidth="1" style="38" min="4354" max="4354"/>
    <col width="10.44140625" customWidth="1" style="38" min="4355" max="4355"/>
    <col width="13.21875" customWidth="1" style="38" min="4356" max="4356"/>
    <col width="14.21875" customWidth="1" style="38" min="4357" max="4357"/>
    <col width="12.21875" customWidth="1" style="38" min="4358" max="4358"/>
    <col width="9.21875" customWidth="1" style="38" min="4359" max="4607"/>
    <col width="8.21875" customWidth="1" style="38" min="4608" max="4608"/>
    <col width="70.44140625" bestFit="1" customWidth="1" style="38" min="4609" max="4609"/>
    <col width="11.44140625" customWidth="1" style="38" min="4610" max="4610"/>
    <col width="10.44140625" customWidth="1" style="38" min="4611" max="4611"/>
    <col width="13.21875" customWidth="1" style="38" min="4612" max="4612"/>
    <col width="14.21875" customWidth="1" style="38" min="4613" max="4613"/>
    <col width="12.21875" customWidth="1" style="38" min="4614" max="4614"/>
    <col width="9.21875" customWidth="1" style="38" min="4615" max="4863"/>
    <col width="8.21875" customWidth="1" style="38" min="4864" max="4864"/>
    <col width="70.44140625" bestFit="1" customWidth="1" style="38" min="4865" max="4865"/>
    <col width="11.44140625" customWidth="1" style="38" min="4866" max="4866"/>
    <col width="10.44140625" customWidth="1" style="38" min="4867" max="4867"/>
    <col width="13.21875" customWidth="1" style="38" min="4868" max="4868"/>
    <col width="14.21875" customWidth="1" style="38" min="4869" max="4869"/>
    <col width="12.21875" customWidth="1" style="38" min="4870" max="4870"/>
    <col width="9.21875" customWidth="1" style="38" min="4871" max="5119"/>
    <col width="8.21875" customWidth="1" style="38" min="5120" max="5120"/>
    <col width="70.44140625" bestFit="1" customWidth="1" style="38" min="5121" max="5121"/>
    <col width="11.44140625" customWidth="1" style="38" min="5122" max="5122"/>
    <col width="10.44140625" customWidth="1" style="38" min="5123" max="5123"/>
    <col width="13.21875" customWidth="1" style="38" min="5124" max="5124"/>
    <col width="14.21875" customWidth="1" style="38" min="5125" max="5125"/>
    <col width="12.21875" customWidth="1" style="38" min="5126" max="5126"/>
    <col width="9.21875" customWidth="1" style="38" min="5127" max="5375"/>
    <col width="8.21875" customWidth="1" style="38" min="5376" max="5376"/>
    <col width="70.44140625" bestFit="1" customWidth="1" style="38" min="5377" max="5377"/>
    <col width="11.44140625" customWidth="1" style="38" min="5378" max="5378"/>
    <col width="10.44140625" customWidth="1" style="38" min="5379" max="5379"/>
    <col width="13.21875" customWidth="1" style="38" min="5380" max="5380"/>
    <col width="14.21875" customWidth="1" style="38" min="5381" max="5381"/>
    <col width="12.21875" customWidth="1" style="38" min="5382" max="5382"/>
    <col width="9.21875" customWidth="1" style="38" min="5383" max="5631"/>
    <col width="8.21875" customWidth="1" style="38" min="5632" max="5632"/>
    <col width="70.44140625" bestFit="1" customWidth="1" style="38" min="5633" max="5633"/>
    <col width="11.44140625" customWidth="1" style="38" min="5634" max="5634"/>
    <col width="10.44140625" customWidth="1" style="38" min="5635" max="5635"/>
    <col width="13.21875" customWidth="1" style="38" min="5636" max="5636"/>
    <col width="14.21875" customWidth="1" style="38" min="5637" max="5637"/>
    <col width="12.21875" customWidth="1" style="38" min="5638" max="5638"/>
    <col width="9.21875" customWidth="1" style="38" min="5639" max="5887"/>
    <col width="8.21875" customWidth="1" style="38" min="5888" max="5888"/>
    <col width="70.44140625" bestFit="1" customWidth="1" style="38" min="5889" max="5889"/>
    <col width="11.44140625" customWidth="1" style="38" min="5890" max="5890"/>
    <col width="10.44140625" customWidth="1" style="38" min="5891" max="5891"/>
    <col width="13.21875" customWidth="1" style="38" min="5892" max="5892"/>
    <col width="14.21875" customWidth="1" style="38" min="5893" max="5893"/>
    <col width="12.21875" customWidth="1" style="38" min="5894" max="5894"/>
    <col width="9.21875" customWidth="1" style="38" min="5895" max="6143"/>
    <col width="8.21875" customWidth="1" style="38" min="6144" max="6144"/>
    <col width="70.44140625" bestFit="1" customWidth="1" style="38" min="6145" max="6145"/>
    <col width="11.44140625" customWidth="1" style="38" min="6146" max="6146"/>
    <col width="10.44140625" customWidth="1" style="38" min="6147" max="6147"/>
    <col width="13.21875" customWidth="1" style="38" min="6148" max="6148"/>
    <col width="14.21875" customWidth="1" style="38" min="6149" max="6149"/>
    <col width="12.21875" customWidth="1" style="38" min="6150" max="6150"/>
    <col width="9.21875" customWidth="1" style="38" min="6151" max="6399"/>
    <col width="8.21875" customWidth="1" style="38" min="6400" max="6400"/>
    <col width="70.44140625" bestFit="1" customWidth="1" style="38" min="6401" max="6401"/>
    <col width="11.44140625" customWidth="1" style="38" min="6402" max="6402"/>
    <col width="10.44140625" customWidth="1" style="38" min="6403" max="6403"/>
    <col width="13.21875" customWidth="1" style="38" min="6404" max="6404"/>
    <col width="14.21875" customWidth="1" style="38" min="6405" max="6405"/>
    <col width="12.21875" customWidth="1" style="38" min="6406" max="6406"/>
    <col width="9.21875" customWidth="1" style="38" min="6407" max="6655"/>
    <col width="8.21875" customWidth="1" style="38" min="6656" max="6656"/>
    <col width="70.44140625" bestFit="1" customWidth="1" style="38" min="6657" max="6657"/>
    <col width="11.44140625" customWidth="1" style="38" min="6658" max="6658"/>
    <col width="10.44140625" customWidth="1" style="38" min="6659" max="6659"/>
    <col width="13.21875" customWidth="1" style="38" min="6660" max="6660"/>
    <col width="14.21875" customWidth="1" style="38" min="6661" max="6661"/>
    <col width="12.21875" customWidth="1" style="38" min="6662" max="6662"/>
    <col width="9.21875" customWidth="1" style="38" min="6663" max="6911"/>
    <col width="8.21875" customWidth="1" style="38" min="6912" max="6912"/>
    <col width="70.44140625" bestFit="1" customWidth="1" style="38" min="6913" max="6913"/>
    <col width="11.44140625" customWidth="1" style="38" min="6914" max="6914"/>
    <col width="10.44140625" customWidth="1" style="38" min="6915" max="6915"/>
    <col width="13.21875" customWidth="1" style="38" min="6916" max="6916"/>
    <col width="14.21875" customWidth="1" style="38" min="6917" max="6917"/>
    <col width="12.21875" customWidth="1" style="38" min="6918" max="6918"/>
    <col width="9.21875" customWidth="1" style="38" min="6919" max="7167"/>
    <col width="8.21875" customWidth="1" style="38" min="7168" max="7168"/>
    <col width="70.44140625" bestFit="1" customWidth="1" style="38" min="7169" max="7169"/>
    <col width="11.44140625" customWidth="1" style="38" min="7170" max="7170"/>
    <col width="10.44140625" customWidth="1" style="38" min="7171" max="7171"/>
    <col width="13.21875" customWidth="1" style="38" min="7172" max="7172"/>
    <col width="14.21875" customWidth="1" style="38" min="7173" max="7173"/>
    <col width="12.21875" customWidth="1" style="38" min="7174" max="7174"/>
    <col width="9.21875" customWidth="1" style="38" min="7175" max="7423"/>
    <col width="8.21875" customWidth="1" style="38" min="7424" max="7424"/>
    <col width="70.44140625" bestFit="1" customWidth="1" style="38" min="7425" max="7425"/>
    <col width="11.44140625" customWidth="1" style="38" min="7426" max="7426"/>
    <col width="10.44140625" customWidth="1" style="38" min="7427" max="7427"/>
    <col width="13.21875" customWidth="1" style="38" min="7428" max="7428"/>
    <col width="14.21875" customWidth="1" style="38" min="7429" max="7429"/>
    <col width="12.21875" customWidth="1" style="38" min="7430" max="7430"/>
    <col width="9.21875" customWidth="1" style="38" min="7431" max="7679"/>
    <col width="8.21875" customWidth="1" style="38" min="7680" max="7680"/>
    <col width="70.44140625" bestFit="1" customWidth="1" style="38" min="7681" max="7681"/>
    <col width="11.44140625" customWidth="1" style="38" min="7682" max="7682"/>
    <col width="10.44140625" customWidth="1" style="38" min="7683" max="7683"/>
    <col width="13.21875" customWidth="1" style="38" min="7684" max="7684"/>
    <col width="14.21875" customWidth="1" style="38" min="7685" max="7685"/>
    <col width="12.21875" customWidth="1" style="38" min="7686" max="7686"/>
    <col width="9.21875" customWidth="1" style="38" min="7687" max="7935"/>
    <col width="8.21875" customWidth="1" style="38" min="7936" max="7936"/>
    <col width="70.44140625" bestFit="1" customWidth="1" style="38" min="7937" max="7937"/>
    <col width="11.44140625" customWidth="1" style="38" min="7938" max="7938"/>
    <col width="10.44140625" customWidth="1" style="38" min="7939" max="7939"/>
    <col width="13.21875" customWidth="1" style="38" min="7940" max="7940"/>
    <col width="14.21875" customWidth="1" style="38" min="7941" max="7941"/>
    <col width="12.21875" customWidth="1" style="38" min="7942" max="7942"/>
    <col width="9.21875" customWidth="1" style="38" min="7943" max="8191"/>
    <col width="8.21875" customWidth="1" style="38" min="8192" max="8192"/>
    <col width="70.44140625" bestFit="1" customWidth="1" style="38" min="8193" max="8193"/>
    <col width="11.44140625" customWidth="1" style="38" min="8194" max="8194"/>
    <col width="10.44140625" customWidth="1" style="38" min="8195" max="8195"/>
    <col width="13.21875" customWidth="1" style="38" min="8196" max="8196"/>
    <col width="14.21875" customWidth="1" style="38" min="8197" max="8197"/>
    <col width="12.21875" customWidth="1" style="38" min="8198" max="8198"/>
    <col width="9.21875" customWidth="1" style="38" min="8199" max="8447"/>
    <col width="8.21875" customWidth="1" style="38" min="8448" max="8448"/>
    <col width="70.44140625" bestFit="1" customWidth="1" style="38" min="8449" max="8449"/>
    <col width="11.44140625" customWidth="1" style="38" min="8450" max="8450"/>
    <col width="10.44140625" customWidth="1" style="38" min="8451" max="8451"/>
    <col width="13.21875" customWidth="1" style="38" min="8452" max="8452"/>
    <col width="14.21875" customWidth="1" style="38" min="8453" max="8453"/>
    <col width="12.21875" customWidth="1" style="38" min="8454" max="8454"/>
    <col width="9.21875" customWidth="1" style="38" min="8455" max="8703"/>
    <col width="8.21875" customWidth="1" style="38" min="8704" max="8704"/>
    <col width="70.44140625" bestFit="1" customWidth="1" style="38" min="8705" max="8705"/>
    <col width="11.44140625" customWidth="1" style="38" min="8706" max="8706"/>
    <col width="10.44140625" customWidth="1" style="38" min="8707" max="8707"/>
    <col width="13.21875" customWidth="1" style="38" min="8708" max="8708"/>
    <col width="14.21875" customWidth="1" style="38" min="8709" max="8709"/>
    <col width="12.21875" customWidth="1" style="38" min="8710" max="8710"/>
    <col width="9.21875" customWidth="1" style="38" min="8711" max="8959"/>
    <col width="8.21875" customWidth="1" style="38" min="8960" max="8960"/>
    <col width="70.44140625" bestFit="1" customWidth="1" style="38" min="8961" max="8961"/>
    <col width="11.44140625" customWidth="1" style="38" min="8962" max="8962"/>
    <col width="10.44140625" customWidth="1" style="38" min="8963" max="8963"/>
    <col width="13.21875" customWidth="1" style="38" min="8964" max="8964"/>
    <col width="14.21875" customWidth="1" style="38" min="8965" max="8965"/>
    <col width="12.21875" customWidth="1" style="38" min="8966" max="8966"/>
    <col width="9.21875" customWidth="1" style="38" min="8967" max="9215"/>
    <col width="8.21875" customWidth="1" style="38" min="9216" max="9216"/>
    <col width="70.44140625" bestFit="1" customWidth="1" style="38" min="9217" max="9217"/>
    <col width="11.44140625" customWidth="1" style="38" min="9218" max="9218"/>
    <col width="10.44140625" customWidth="1" style="38" min="9219" max="9219"/>
    <col width="13.21875" customWidth="1" style="38" min="9220" max="9220"/>
    <col width="14.21875" customWidth="1" style="38" min="9221" max="9221"/>
    <col width="12.21875" customWidth="1" style="38" min="9222" max="9222"/>
    <col width="9.21875" customWidth="1" style="38" min="9223" max="9471"/>
    <col width="8.21875" customWidth="1" style="38" min="9472" max="9472"/>
    <col width="70.44140625" bestFit="1" customWidth="1" style="38" min="9473" max="9473"/>
    <col width="11.44140625" customWidth="1" style="38" min="9474" max="9474"/>
    <col width="10.44140625" customWidth="1" style="38" min="9475" max="9475"/>
    <col width="13.21875" customWidth="1" style="38" min="9476" max="9476"/>
    <col width="14.21875" customWidth="1" style="38" min="9477" max="9477"/>
    <col width="12.21875" customWidth="1" style="38" min="9478" max="9478"/>
    <col width="9.21875" customWidth="1" style="38" min="9479" max="9727"/>
    <col width="8.21875" customWidth="1" style="38" min="9728" max="9728"/>
    <col width="70.44140625" bestFit="1" customWidth="1" style="38" min="9729" max="9729"/>
    <col width="11.44140625" customWidth="1" style="38" min="9730" max="9730"/>
    <col width="10.44140625" customWidth="1" style="38" min="9731" max="9731"/>
    <col width="13.21875" customWidth="1" style="38" min="9732" max="9732"/>
    <col width="14.21875" customWidth="1" style="38" min="9733" max="9733"/>
    <col width="12.21875" customWidth="1" style="38" min="9734" max="9734"/>
    <col width="9.21875" customWidth="1" style="38" min="9735" max="9983"/>
    <col width="8.21875" customWidth="1" style="38" min="9984" max="9984"/>
    <col width="70.44140625" bestFit="1" customWidth="1" style="38" min="9985" max="9985"/>
    <col width="11.44140625" customWidth="1" style="38" min="9986" max="9986"/>
    <col width="10.44140625" customWidth="1" style="38" min="9987" max="9987"/>
    <col width="13.21875" customWidth="1" style="38" min="9988" max="9988"/>
    <col width="14.21875" customWidth="1" style="38" min="9989" max="9989"/>
    <col width="12.21875" customWidth="1" style="38" min="9990" max="9990"/>
    <col width="9.21875" customWidth="1" style="38" min="9991" max="10239"/>
    <col width="8.21875" customWidth="1" style="38" min="10240" max="10240"/>
    <col width="70.44140625" bestFit="1" customWidth="1" style="38" min="10241" max="10241"/>
    <col width="11.44140625" customWidth="1" style="38" min="10242" max="10242"/>
    <col width="10.44140625" customWidth="1" style="38" min="10243" max="10243"/>
    <col width="13.21875" customWidth="1" style="38" min="10244" max="10244"/>
    <col width="14.21875" customWidth="1" style="38" min="10245" max="10245"/>
    <col width="12.21875" customWidth="1" style="38" min="10246" max="10246"/>
    <col width="9.21875" customWidth="1" style="38" min="10247" max="10495"/>
    <col width="8.21875" customWidth="1" style="38" min="10496" max="10496"/>
    <col width="70.44140625" bestFit="1" customWidth="1" style="38" min="10497" max="10497"/>
    <col width="11.44140625" customWidth="1" style="38" min="10498" max="10498"/>
    <col width="10.44140625" customWidth="1" style="38" min="10499" max="10499"/>
    <col width="13.21875" customWidth="1" style="38" min="10500" max="10500"/>
    <col width="14.21875" customWidth="1" style="38" min="10501" max="10501"/>
    <col width="12.21875" customWidth="1" style="38" min="10502" max="10502"/>
    <col width="9.21875" customWidth="1" style="38" min="10503" max="10751"/>
    <col width="8.21875" customWidth="1" style="38" min="10752" max="10752"/>
    <col width="70.44140625" bestFit="1" customWidth="1" style="38" min="10753" max="10753"/>
    <col width="11.44140625" customWidth="1" style="38" min="10754" max="10754"/>
    <col width="10.44140625" customWidth="1" style="38" min="10755" max="10755"/>
    <col width="13.21875" customWidth="1" style="38" min="10756" max="10756"/>
    <col width="14.21875" customWidth="1" style="38" min="10757" max="10757"/>
    <col width="12.21875" customWidth="1" style="38" min="10758" max="10758"/>
    <col width="9.21875" customWidth="1" style="38" min="10759" max="11007"/>
    <col width="8.21875" customWidth="1" style="38" min="11008" max="11008"/>
    <col width="70.44140625" bestFit="1" customWidth="1" style="38" min="11009" max="11009"/>
    <col width="11.44140625" customWidth="1" style="38" min="11010" max="11010"/>
    <col width="10.44140625" customWidth="1" style="38" min="11011" max="11011"/>
    <col width="13.21875" customWidth="1" style="38" min="11012" max="11012"/>
    <col width="14.21875" customWidth="1" style="38" min="11013" max="11013"/>
    <col width="12.21875" customWidth="1" style="38" min="11014" max="11014"/>
    <col width="9.21875" customWidth="1" style="38" min="11015" max="11263"/>
    <col width="8.21875" customWidth="1" style="38" min="11264" max="11264"/>
    <col width="70.44140625" bestFit="1" customWidth="1" style="38" min="11265" max="11265"/>
    <col width="11.44140625" customWidth="1" style="38" min="11266" max="11266"/>
    <col width="10.44140625" customWidth="1" style="38" min="11267" max="11267"/>
    <col width="13.21875" customWidth="1" style="38" min="11268" max="11268"/>
    <col width="14.21875" customWidth="1" style="38" min="11269" max="11269"/>
    <col width="12.21875" customWidth="1" style="38" min="11270" max="11270"/>
    <col width="9.21875" customWidth="1" style="38" min="11271" max="11519"/>
    <col width="8.21875" customWidth="1" style="38" min="11520" max="11520"/>
    <col width="70.44140625" bestFit="1" customWidth="1" style="38" min="11521" max="11521"/>
    <col width="11.44140625" customWidth="1" style="38" min="11522" max="11522"/>
    <col width="10.44140625" customWidth="1" style="38" min="11523" max="11523"/>
    <col width="13.21875" customWidth="1" style="38" min="11524" max="11524"/>
    <col width="14.21875" customWidth="1" style="38" min="11525" max="11525"/>
    <col width="12.21875" customWidth="1" style="38" min="11526" max="11526"/>
    <col width="9.21875" customWidth="1" style="38" min="11527" max="11775"/>
    <col width="8.21875" customWidth="1" style="38" min="11776" max="11776"/>
    <col width="70.44140625" bestFit="1" customWidth="1" style="38" min="11777" max="11777"/>
    <col width="11.44140625" customWidth="1" style="38" min="11778" max="11778"/>
    <col width="10.44140625" customWidth="1" style="38" min="11779" max="11779"/>
    <col width="13.21875" customWidth="1" style="38" min="11780" max="11780"/>
    <col width="14.21875" customWidth="1" style="38" min="11781" max="11781"/>
    <col width="12.21875" customWidth="1" style="38" min="11782" max="11782"/>
    <col width="9.21875" customWidth="1" style="38" min="11783" max="12031"/>
    <col width="8.21875" customWidth="1" style="38" min="12032" max="12032"/>
    <col width="70.44140625" bestFit="1" customWidth="1" style="38" min="12033" max="12033"/>
    <col width="11.44140625" customWidth="1" style="38" min="12034" max="12034"/>
    <col width="10.44140625" customWidth="1" style="38" min="12035" max="12035"/>
    <col width="13.21875" customWidth="1" style="38" min="12036" max="12036"/>
    <col width="14.21875" customWidth="1" style="38" min="12037" max="12037"/>
    <col width="12.21875" customWidth="1" style="38" min="12038" max="12038"/>
    <col width="9.21875" customWidth="1" style="38" min="12039" max="12287"/>
    <col width="8.21875" customWidth="1" style="38" min="12288" max="12288"/>
    <col width="70.44140625" bestFit="1" customWidth="1" style="38" min="12289" max="12289"/>
    <col width="11.44140625" customWidth="1" style="38" min="12290" max="12290"/>
    <col width="10.44140625" customWidth="1" style="38" min="12291" max="12291"/>
    <col width="13.21875" customWidth="1" style="38" min="12292" max="12292"/>
    <col width="14.21875" customWidth="1" style="38" min="12293" max="12293"/>
    <col width="12.21875" customWidth="1" style="38" min="12294" max="12294"/>
    <col width="9.21875" customWidth="1" style="38" min="12295" max="12543"/>
    <col width="8.21875" customWidth="1" style="38" min="12544" max="12544"/>
    <col width="70.44140625" bestFit="1" customWidth="1" style="38" min="12545" max="12545"/>
    <col width="11.44140625" customWidth="1" style="38" min="12546" max="12546"/>
    <col width="10.44140625" customWidth="1" style="38" min="12547" max="12547"/>
    <col width="13.21875" customWidth="1" style="38" min="12548" max="12548"/>
    <col width="14.21875" customWidth="1" style="38" min="12549" max="12549"/>
    <col width="12.21875" customWidth="1" style="38" min="12550" max="12550"/>
    <col width="9.21875" customWidth="1" style="38" min="12551" max="12799"/>
    <col width="8.21875" customWidth="1" style="38" min="12800" max="12800"/>
    <col width="70.44140625" bestFit="1" customWidth="1" style="38" min="12801" max="12801"/>
    <col width="11.44140625" customWidth="1" style="38" min="12802" max="12802"/>
    <col width="10.44140625" customWidth="1" style="38" min="12803" max="12803"/>
    <col width="13.21875" customWidth="1" style="38" min="12804" max="12804"/>
    <col width="14.21875" customWidth="1" style="38" min="12805" max="12805"/>
    <col width="12.21875" customWidth="1" style="38" min="12806" max="12806"/>
    <col width="9.21875" customWidth="1" style="38" min="12807" max="13055"/>
    <col width="8.21875" customWidth="1" style="38" min="13056" max="13056"/>
    <col width="70.44140625" bestFit="1" customWidth="1" style="38" min="13057" max="13057"/>
    <col width="11.44140625" customWidth="1" style="38" min="13058" max="13058"/>
    <col width="10.44140625" customWidth="1" style="38" min="13059" max="13059"/>
    <col width="13.21875" customWidth="1" style="38" min="13060" max="13060"/>
    <col width="14.21875" customWidth="1" style="38" min="13061" max="13061"/>
    <col width="12.21875" customWidth="1" style="38" min="13062" max="13062"/>
    <col width="9.21875" customWidth="1" style="38" min="13063" max="13311"/>
    <col width="8.21875" customWidth="1" style="38" min="13312" max="13312"/>
    <col width="70.44140625" bestFit="1" customWidth="1" style="38" min="13313" max="13313"/>
    <col width="11.44140625" customWidth="1" style="38" min="13314" max="13314"/>
    <col width="10.44140625" customWidth="1" style="38" min="13315" max="13315"/>
    <col width="13.21875" customWidth="1" style="38" min="13316" max="13316"/>
    <col width="14.21875" customWidth="1" style="38" min="13317" max="13317"/>
    <col width="12.21875" customWidth="1" style="38" min="13318" max="13318"/>
    <col width="9.21875" customWidth="1" style="38" min="13319" max="13567"/>
    <col width="8.21875" customWidth="1" style="38" min="13568" max="13568"/>
    <col width="70.44140625" bestFit="1" customWidth="1" style="38" min="13569" max="13569"/>
    <col width="11.44140625" customWidth="1" style="38" min="13570" max="13570"/>
    <col width="10.44140625" customWidth="1" style="38" min="13571" max="13571"/>
    <col width="13.21875" customWidth="1" style="38" min="13572" max="13572"/>
    <col width="14.21875" customWidth="1" style="38" min="13573" max="13573"/>
    <col width="12.21875" customWidth="1" style="38" min="13574" max="13574"/>
    <col width="9.21875" customWidth="1" style="38" min="13575" max="13823"/>
    <col width="8.21875" customWidth="1" style="38" min="13824" max="13824"/>
    <col width="70.44140625" bestFit="1" customWidth="1" style="38" min="13825" max="13825"/>
    <col width="11.44140625" customWidth="1" style="38" min="13826" max="13826"/>
    <col width="10.44140625" customWidth="1" style="38" min="13827" max="13827"/>
    <col width="13.21875" customWidth="1" style="38" min="13828" max="13828"/>
    <col width="14.21875" customWidth="1" style="38" min="13829" max="13829"/>
    <col width="12.21875" customWidth="1" style="38" min="13830" max="13830"/>
    <col width="9.21875" customWidth="1" style="38" min="13831" max="14079"/>
    <col width="8.21875" customWidth="1" style="38" min="14080" max="14080"/>
    <col width="70.44140625" bestFit="1" customWidth="1" style="38" min="14081" max="14081"/>
    <col width="11.44140625" customWidth="1" style="38" min="14082" max="14082"/>
    <col width="10.44140625" customWidth="1" style="38" min="14083" max="14083"/>
    <col width="13.21875" customWidth="1" style="38" min="14084" max="14084"/>
    <col width="14.21875" customWidth="1" style="38" min="14085" max="14085"/>
    <col width="12.21875" customWidth="1" style="38" min="14086" max="14086"/>
    <col width="9.21875" customWidth="1" style="38" min="14087" max="14335"/>
    <col width="8.21875" customWidth="1" style="38" min="14336" max="14336"/>
    <col width="70.44140625" bestFit="1" customWidth="1" style="38" min="14337" max="14337"/>
    <col width="11.44140625" customWidth="1" style="38" min="14338" max="14338"/>
    <col width="10.44140625" customWidth="1" style="38" min="14339" max="14339"/>
    <col width="13.21875" customWidth="1" style="38" min="14340" max="14340"/>
    <col width="14.21875" customWidth="1" style="38" min="14341" max="14341"/>
    <col width="12.21875" customWidth="1" style="38" min="14342" max="14342"/>
    <col width="9.21875" customWidth="1" style="38" min="14343" max="14591"/>
    <col width="8.21875" customWidth="1" style="38" min="14592" max="14592"/>
    <col width="70.44140625" bestFit="1" customWidth="1" style="38" min="14593" max="14593"/>
    <col width="11.44140625" customWidth="1" style="38" min="14594" max="14594"/>
    <col width="10.44140625" customWidth="1" style="38" min="14595" max="14595"/>
    <col width="13.21875" customWidth="1" style="38" min="14596" max="14596"/>
    <col width="14.21875" customWidth="1" style="38" min="14597" max="14597"/>
    <col width="12.21875" customWidth="1" style="38" min="14598" max="14598"/>
    <col width="9.21875" customWidth="1" style="38" min="14599" max="14847"/>
    <col width="8.21875" customWidth="1" style="38" min="14848" max="14848"/>
    <col width="70.44140625" bestFit="1" customWidth="1" style="38" min="14849" max="14849"/>
    <col width="11.44140625" customWidth="1" style="38" min="14850" max="14850"/>
    <col width="10.44140625" customWidth="1" style="38" min="14851" max="14851"/>
    <col width="13.21875" customWidth="1" style="38" min="14852" max="14852"/>
    <col width="14.21875" customWidth="1" style="38" min="14853" max="14853"/>
    <col width="12.21875" customWidth="1" style="38" min="14854" max="14854"/>
    <col width="9.21875" customWidth="1" style="38" min="14855" max="15103"/>
    <col width="8.21875" customWidth="1" style="38" min="15104" max="15104"/>
    <col width="70.44140625" bestFit="1" customWidth="1" style="38" min="15105" max="15105"/>
    <col width="11.44140625" customWidth="1" style="38" min="15106" max="15106"/>
    <col width="10.44140625" customWidth="1" style="38" min="15107" max="15107"/>
    <col width="13.21875" customWidth="1" style="38" min="15108" max="15108"/>
    <col width="14.21875" customWidth="1" style="38" min="15109" max="15109"/>
    <col width="12.21875" customWidth="1" style="38" min="15110" max="15110"/>
    <col width="9.21875" customWidth="1" style="38" min="15111" max="15359"/>
    <col width="8.21875" customWidth="1" style="38" min="15360" max="15360"/>
    <col width="70.44140625" bestFit="1" customWidth="1" style="38" min="15361" max="15361"/>
    <col width="11.44140625" customWidth="1" style="38" min="15362" max="15362"/>
    <col width="10.44140625" customWidth="1" style="38" min="15363" max="15363"/>
    <col width="13.21875" customWidth="1" style="38" min="15364" max="15364"/>
    <col width="14.21875" customWidth="1" style="38" min="15365" max="15365"/>
    <col width="12.21875" customWidth="1" style="38" min="15366" max="15366"/>
    <col width="9.21875" customWidth="1" style="38" min="15367" max="15615"/>
    <col width="8.21875" customWidth="1" style="38" min="15616" max="15616"/>
    <col width="70.44140625" bestFit="1" customWidth="1" style="38" min="15617" max="15617"/>
    <col width="11.44140625" customWidth="1" style="38" min="15618" max="15618"/>
    <col width="10.44140625" customWidth="1" style="38" min="15619" max="15619"/>
    <col width="13.21875" customWidth="1" style="38" min="15620" max="15620"/>
    <col width="14.21875" customWidth="1" style="38" min="15621" max="15621"/>
    <col width="12.21875" customWidth="1" style="38" min="15622" max="15622"/>
    <col width="9.21875" customWidth="1" style="38" min="15623" max="15871"/>
    <col width="8.21875" customWidth="1" style="38" min="15872" max="15872"/>
    <col width="70.44140625" bestFit="1" customWidth="1" style="38" min="15873" max="15873"/>
    <col width="11.44140625" customWidth="1" style="38" min="15874" max="15874"/>
    <col width="10.44140625" customWidth="1" style="38" min="15875" max="15875"/>
    <col width="13.21875" customWidth="1" style="38" min="15876" max="15876"/>
    <col width="14.21875" customWidth="1" style="38" min="15877" max="15877"/>
    <col width="12.21875" customWidth="1" style="38" min="15878" max="15878"/>
    <col width="9.21875" customWidth="1" style="38" min="15879" max="16127"/>
    <col width="8.21875" customWidth="1" style="38" min="16128" max="16128"/>
    <col width="70.44140625" bestFit="1" customWidth="1" style="38" min="16129" max="16129"/>
    <col width="11.44140625" customWidth="1" style="38" min="16130" max="16130"/>
    <col width="10.44140625" customWidth="1" style="38" min="16131" max="16131"/>
    <col width="13.21875" customWidth="1" style="38" min="16132" max="16132"/>
    <col width="14.21875" customWidth="1" style="38" min="16133" max="16133"/>
    <col width="12.21875" customWidth="1" style="38" min="16134" max="16134"/>
    <col width="9.21875" customWidth="1" style="38" min="16135" max="16384"/>
  </cols>
  <sheetData>
    <row r="1">
      <c r="B1" s="42" t="n"/>
      <c r="C1" s="42" t="n"/>
      <c r="D1" s="588" t="n"/>
      <c r="E1" s="588" t="n"/>
    </row>
    <row r="2">
      <c r="B2" s="42" t="n"/>
      <c r="C2" s="42" t="n"/>
      <c r="D2" s="588" t="n"/>
      <c r="E2" s="588" t="n"/>
    </row>
    <row r="3">
      <c r="B3" s="42" t="n"/>
      <c r="C3" s="42" t="n"/>
      <c r="D3" s="588" t="n"/>
      <c r="E3" s="588" t="n"/>
    </row>
    <row r="4">
      <c r="A4" s="502" t="inlineStr">
        <is>
          <t>DENIS - Cells highlighted GREEN are complete (By Me).</t>
        </is>
      </c>
      <c r="H4" s="584" t="inlineStr">
        <is>
          <t>Source</t>
        </is>
      </c>
    </row>
    <row r="5"/>
    <row r="6"/>
    <row r="7">
      <c r="B7" s="42" t="n"/>
      <c r="C7" s="42" t="n"/>
      <c r="D7" s="588" t="n"/>
      <c r="E7" s="588" t="n"/>
    </row>
    <row r="8" ht="15" customFormat="1" customHeight="1" s="174">
      <c r="A8" s="262" t="inlineStr">
        <is>
          <t>PLANT HIRE - WET</t>
        </is>
      </c>
      <c r="B8" s="674" t="n"/>
      <c r="C8" s="674" t="n"/>
      <c r="D8" s="664" t="inlineStr">
        <is>
          <t>TCS PROJECT USE</t>
        </is>
      </c>
      <c r="E8" s="666" t="n"/>
      <c r="F8" s="667" t="n"/>
      <c r="G8" s="497" t="inlineStr">
        <is>
          <t>COMPLETED don’t edit</t>
        </is>
      </c>
    </row>
    <row r="9" ht="14.4" customFormat="1" customHeight="1" s="174">
      <c r="A9" s="177" t="inlineStr">
        <is>
          <t>DESCRIPTION</t>
        </is>
      </c>
      <c r="B9" s="187" t="inlineStr">
        <is>
          <t>Unit</t>
        </is>
      </c>
      <c r="C9" s="669" t="n"/>
      <c r="D9" s="668" t="inlineStr">
        <is>
          <t>Hr Rate</t>
        </is>
      </c>
      <c r="E9" s="186" t="inlineStr">
        <is>
          <t>Total</t>
        </is>
      </c>
      <c r="F9" s="669" t="n"/>
      <c r="G9" s="660" t="n"/>
    </row>
    <row r="10" ht="14.4" customFormat="1" customHeight="1" s="174">
      <c r="A10" s="287" t="inlineStr">
        <is>
          <t>1.8T Excavator</t>
        </is>
      </c>
      <c r="B10" s="429" t="inlineStr">
        <is>
          <t>Hr</t>
        </is>
      </c>
      <c r="C10" s="182" t="n"/>
      <c r="D10" s="675" t="n">
        <v>100</v>
      </c>
      <c r="E10" s="676" t="n"/>
      <c r="F10" s="182" t="n"/>
      <c r="G10" s="660" t="n"/>
      <c r="H10" s="540" t="inlineStr">
        <is>
          <t>frozen from [4] 240614 Suppliers Subbies Price Comparison (Jun-2024 cache) - link severed 26/07/26; Phase 5 re-source pending</t>
        </is>
      </c>
    </row>
    <row r="11" ht="14.4" customFormat="1" customHeight="1" s="174">
      <c r="A11" s="288" t="inlineStr">
        <is>
          <t xml:space="preserve"> 3-5 ton Excavator</t>
        </is>
      </c>
      <c r="B11" s="429" t="inlineStr">
        <is>
          <t>Hr</t>
        </is>
      </c>
      <c r="C11" s="182" t="n"/>
      <c r="D11" s="675" t="n">
        <v>115</v>
      </c>
      <c r="E11" s="676" t="n"/>
      <c r="F11" s="182" t="n"/>
      <c r="G11" s="660" t="n"/>
      <c r="H11" s="540" t="inlineStr">
        <is>
          <t>frozen from [4] 240614 Suppliers Subbies Price Comparison (Jun-2024 cache) - link severed 26/07/26; Phase 5 re-source pending</t>
        </is>
      </c>
    </row>
    <row r="12" ht="14.4" customFormat="1" customHeight="1" s="174">
      <c r="A12" s="179" t="inlineStr">
        <is>
          <t>3-5T Combo</t>
        </is>
      </c>
      <c r="B12" s="429" t="inlineStr">
        <is>
          <t>Hr</t>
        </is>
      </c>
      <c r="C12" s="182" t="n"/>
      <c r="D12" s="675" t="n">
        <v>154</v>
      </c>
      <c r="E12" s="676" t="n"/>
      <c r="F12" s="182" t="n"/>
      <c r="G12" s="660" t="n"/>
      <c r="H12" s="540" t="inlineStr">
        <is>
          <t>frozen from [4] 240614 Suppliers Subbies Price Comparison (Jun-2024 cache) - link severed 26/07/26; Phase 5 re-source pending</t>
        </is>
      </c>
    </row>
    <row r="13" ht="14.4" customFormat="1" customHeight="1" s="174">
      <c r="A13" s="179" t="inlineStr">
        <is>
          <t>Hammer attachment 3.5-4T</t>
        </is>
      </c>
      <c r="B13" s="429" t="inlineStr">
        <is>
          <t>Hr</t>
        </is>
      </c>
      <c r="C13" s="182" t="n"/>
      <c r="D13" s="675" t="n">
        <v>21</v>
      </c>
      <c r="E13" s="676" t="n"/>
      <c r="F13" s="182" t="n"/>
      <c r="G13" s="497" t="inlineStr">
        <is>
          <t>COMPLETED don’t edit</t>
        </is>
      </c>
      <c r="H13" s="540" t="inlineStr">
        <is>
          <t>frozen from [4] 240614 Suppliers Subbies Price Comparison (Jun-2024 cache) - link severed 26/07/26; Phase 5 re-source pending</t>
        </is>
      </c>
    </row>
    <row r="14" ht="13.95" customFormat="1" customHeight="1" s="174">
      <c r="A14" s="179" t="inlineStr">
        <is>
          <t xml:space="preserve"> Ripper 3.5-4T</t>
        </is>
      </c>
      <c r="B14" s="429" t="inlineStr">
        <is>
          <t>Hr</t>
        </is>
      </c>
      <c r="C14" s="677" t="n"/>
      <c r="D14" s="675" t="n">
        <v>10</v>
      </c>
      <c r="E14" s="676" t="n"/>
      <c r="F14" s="677" t="n"/>
      <c r="G14" s="660" t="n"/>
      <c r="H14" s="540" t="inlineStr">
        <is>
          <t>frozen from [4] 240614 Suppliers Subbies Price Comparison (Jun-2024 cache) - link severed 26/07/26; Phase 5 re-source pending</t>
        </is>
      </c>
    </row>
    <row r="15" ht="13.95" customFormat="1" customHeight="1" s="174">
      <c r="A15" s="179" t="inlineStr">
        <is>
          <t xml:space="preserve">     5t Excavator</t>
        </is>
      </c>
      <c r="B15" s="429" t="inlineStr">
        <is>
          <t>Hr</t>
        </is>
      </c>
      <c r="C15" s="677" t="n"/>
      <c r="D15" s="675" t="n">
        <v>150</v>
      </c>
      <c r="E15" s="676" t="n"/>
      <c r="F15" s="677" t="n"/>
      <c r="G15" s="660" t="n"/>
      <c r="H15" s="540" t="inlineStr">
        <is>
          <t>frozen from [4] 240614 Suppliers Subbies Price Comparison (Jun-2024 cache) - link severed 26/07/26; Phase 5 re-source pending</t>
        </is>
      </c>
    </row>
    <row r="16" ht="14.4" customFormat="1" customHeight="1" s="174">
      <c r="A16" s="179" t="inlineStr">
        <is>
          <t>Hammer attachment 5T</t>
        </is>
      </c>
      <c r="B16" s="429" t="inlineStr">
        <is>
          <t>Hr</t>
        </is>
      </c>
      <c r="C16" s="678" t="n"/>
      <c r="D16" s="675" t="n">
        <v>50</v>
      </c>
      <c r="E16" s="676" t="n"/>
      <c r="F16" s="678" t="n"/>
      <c r="G16" s="660" t="n"/>
      <c r="H16" s="540" t="inlineStr">
        <is>
          <t>frozen from [4] 240614 Suppliers Subbies Price Comparison (Jun-2024 cache) - link severed 26/07/26; Phase 5 re-source pending</t>
        </is>
      </c>
    </row>
    <row r="17" ht="14.4" customFormat="1" customHeight="1" s="174">
      <c r="A17" s="179" t="inlineStr">
        <is>
          <t>Skid steer</t>
        </is>
      </c>
      <c r="B17" s="429" t="inlineStr">
        <is>
          <t>Hr</t>
        </is>
      </c>
      <c r="C17" s="678" t="n"/>
      <c r="D17" s="675" t="n">
        <v>140</v>
      </c>
      <c r="E17" s="676" t="n"/>
      <c r="F17" s="678" t="n"/>
      <c r="G17" s="660" t="n"/>
      <c r="H17" s="540" t="inlineStr">
        <is>
          <t>frozen from [4] 240614 Suppliers Subbies Price Comparison (Jun-2024 cache) - link severed 26/07/26; Phase 5 re-source pending</t>
        </is>
      </c>
    </row>
    <row r="18" ht="14.4" customFormat="1" customHeight="1" s="174">
      <c r="A18" s="179" t="inlineStr">
        <is>
          <t>8T Excavator</t>
        </is>
      </c>
      <c r="B18" s="429" t="inlineStr">
        <is>
          <t>Hr</t>
        </is>
      </c>
      <c r="C18" s="678" t="n"/>
      <c r="D18" s="675" t="n">
        <v>128</v>
      </c>
      <c r="E18" s="676" t="n"/>
      <c r="F18" s="678" t="n"/>
      <c r="G18" s="497" t="inlineStr">
        <is>
          <t>COMPLETED don’t edit</t>
        </is>
      </c>
      <c r="H18" s="540" t="inlineStr">
        <is>
          <t>frozen from [4] 240614 Suppliers Subbies Price Comparison (Jun-2024 cache) - link severed 26/07/26; Phase 5 re-source pending</t>
        </is>
      </c>
    </row>
    <row r="19" ht="14.4" customFormat="1" customHeight="1" s="174">
      <c r="A19" s="179" t="inlineStr">
        <is>
          <t>Hammer attachment 8T</t>
        </is>
      </c>
      <c r="B19" s="429" t="inlineStr">
        <is>
          <t>Hr</t>
        </is>
      </c>
      <c r="C19" s="678" t="n"/>
      <c r="D19" s="675" t="n">
        <v>26</v>
      </c>
      <c r="E19" s="676" t="n"/>
      <c r="F19" s="678" t="n"/>
      <c r="G19" s="660" t="n"/>
      <c r="H19" s="540" t="inlineStr">
        <is>
          <t>frozen from [4] 240614 Suppliers Subbies Price Comparison (Jun-2024 cache) - link severed 26/07/26; Phase 5 re-source pending</t>
        </is>
      </c>
    </row>
    <row r="20" ht="14.4" customFormat="1" customHeight="1" s="174">
      <c r="A20" s="179" t="inlineStr">
        <is>
          <t>Ripper 8T</t>
        </is>
      </c>
      <c r="B20" s="429" t="inlineStr">
        <is>
          <t>Hr</t>
        </is>
      </c>
      <c r="C20" s="678" t="n"/>
      <c r="D20" s="675" t="n">
        <v>10</v>
      </c>
      <c r="E20" s="676" t="n"/>
      <c r="F20" s="678" t="n"/>
      <c r="G20" s="660" t="n"/>
      <c r="H20" s="540" t="inlineStr">
        <is>
          <t>frozen from [4] 240614 Suppliers Subbies Price Comparison (Jun-2024 cache) - link severed 26/07/26; Phase 5 re-source pending</t>
        </is>
      </c>
    </row>
    <row r="21" ht="14.4" customFormat="1" customHeight="1" s="174">
      <c r="A21" s="179" t="inlineStr">
        <is>
          <t>13-15T Excavator</t>
        </is>
      </c>
      <c r="B21" s="429" t="inlineStr">
        <is>
          <t>Hr</t>
        </is>
      </c>
      <c r="C21" s="678" t="n"/>
      <c r="D21" s="675" t="n">
        <v>153</v>
      </c>
      <c r="E21" s="676" t="n"/>
      <c r="F21" s="678" t="n"/>
      <c r="G21" s="660" t="n"/>
      <c r="H21" s="540" t="inlineStr">
        <is>
          <t>frozen from [4] 240614 Suppliers Subbies Price Comparison (Jun-2024 cache) - link severed 26/07/26; Phase 5 re-source pending</t>
        </is>
      </c>
    </row>
    <row r="22" ht="14.4" customFormat="1" customHeight="1" s="174">
      <c r="A22" s="179" t="inlineStr">
        <is>
          <t>Hammer attachment 14T</t>
        </is>
      </c>
      <c r="B22" s="429" t="inlineStr">
        <is>
          <t>Hr</t>
        </is>
      </c>
      <c r="C22" s="678" t="n"/>
      <c r="D22" s="675" t="n">
        <v>36</v>
      </c>
      <c r="E22" s="676" t="n"/>
      <c r="F22" s="678" t="n"/>
      <c r="G22" s="660" t="n"/>
      <c r="H22" s="540" t="inlineStr">
        <is>
          <t>frozen from [4] 240614 Suppliers Subbies Price Comparison (Jun-2024 cache) - link severed 26/07/26; Phase 5 re-source pending</t>
        </is>
      </c>
    </row>
    <row r="23" ht="14.4" customFormat="1" customHeight="1" s="174">
      <c r="A23" s="179" t="inlineStr">
        <is>
          <t>Ripper 14T</t>
        </is>
      </c>
      <c r="B23" s="429" t="inlineStr">
        <is>
          <t>Hr</t>
        </is>
      </c>
      <c r="C23" s="678" t="n"/>
      <c r="D23" s="675" t="n">
        <v>10</v>
      </c>
      <c r="E23" s="676" t="n"/>
      <c r="F23" s="678" t="n"/>
      <c r="G23" s="497" t="inlineStr">
        <is>
          <t>COMPLETED don’t edit</t>
        </is>
      </c>
      <c r="H23" s="540" t="inlineStr">
        <is>
          <t>frozen from [4] 240614 Suppliers Subbies Price Comparison (Jun-2024 cache) - link severed 26/07/26; Phase 5 re-source pending</t>
        </is>
      </c>
    </row>
    <row r="24" ht="14.4" customFormat="1" customHeight="1" s="174">
      <c r="A24" s="179" t="inlineStr">
        <is>
          <t>3000L Hydro Excavation Truck</t>
        </is>
      </c>
      <c r="B24" s="429" t="inlineStr">
        <is>
          <t>Hr</t>
        </is>
      </c>
      <c r="C24" s="678" t="n"/>
      <c r="D24" s="675" t="n">
        <v>190</v>
      </c>
      <c r="E24" s="676" t="n"/>
      <c r="F24" s="678" t="n"/>
      <c r="G24" s="660" t="n"/>
      <c r="H24" s="540" t="inlineStr">
        <is>
          <t>frozen from [4] 240614 Suppliers Subbies Price Comparison (Jun-2024 cache) - link severed 26/07/26; Phase 5 re-source pending</t>
        </is>
      </c>
    </row>
    <row r="25" ht="14.4" customFormat="1" customHeight="1" s="174">
      <c r="A25" s="179" t="inlineStr">
        <is>
          <t xml:space="preserve">4500L Hydro Excavation Truck </t>
        </is>
      </c>
      <c r="B25" s="429" t="inlineStr">
        <is>
          <t>Hr</t>
        </is>
      </c>
      <c r="C25" s="678" t="n"/>
      <c r="D25" s="675" t="n">
        <v>220</v>
      </c>
      <c r="E25" s="676" t="n"/>
      <c r="F25" s="678" t="n"/>
      <c r="G25" s="660" t="n"/>
      <c r="H25" s="540" t="inlineStr">
        <is>
          <t>frozen from [4] 240614 Suppliers Subbies Price Comparison (Jun-2024 cache) - link severed 26/07/26; Phase 5 re-source pending</t>
        </is>
      </c>
    </row>
    <row r="26" ht="14.4" customFormat="1" customHeight="1" s="174">
      <c r="A26" s="179" t="inlineStr">
        <is>
          <t>6300L Hydro Excavation Truck</t>
        </is>
      </c>
      <c r="B26" s="429" t="inlineStr">
        <is>
          <t>Hr</t>
        </is>
      </c>
      <c r="C26" s="678" t="n"/>
      <c r="D26" s="675" t="n">
        <v>250</v>
      </c>
      <c r="E26" s="676" t="n"/>
      <c r="F26" s="678" t="n"/>
      <c r="G26" s="660" t="n"/>
      <c r="H26" s="540" t="inlineStr">
        <is>
          <t>frozen from [4] 240614 Suppliers Subbies Price Comparison (Jun-2024 cache) - link severed 26/07/26; Phase 5 re-source pending</t>
        </is>
      </c>
    </row>
    <row r="27" ht="14.4" customFormat="1" customHeight="1" s="174">
      <c r="A27" s="277" t="inlineStr">
        <is>
          <t xml:space="preserve">Water Truck allow for water at cost </t>
        </is>
      </c>
      <c r="B27" s="429" t="inlineStr">
        <is>
          <t>Hr</t>
        </is>
      </c>
      <c r="C27" s="678" t="n"/>
      <c r="D27" s="675" t="n">
        <v>110</v>
      </c>
      <c r="E27" s="676" t="n"/>
      <c r="F27" s="678" t="n"/>
      <c r="G27" s="660" t="n"/>
      <c r="H27" s="540" t="inlineStr">
        <is>
          <t>frozen from [4] 240614 Suppliers Subbies Price Comparison (Jun-2024 cache) - link severed 26/07/26; Phase 5 re-source pending</t>
        </is>
      </c>
    </row>
    <row r="28" ht="14.4" customFormat="1" customHeight="1" s="174">
      <c r="A28" s="289" t="inlineStr">
        <is>
          <t>12t Body Truck Tipper</t>
        </is>
      </c>
      <c r="B28" s="429" t="inlineStr">
        <is>
          <t>Hr</t>
        </is>
      </c>
      <c r="C28" s="678" t="n"/>
      <c r="D28" s="675" t="n">
        <v>110</v>
      </c>
      <c r="E28" s="676" t="n"/>
      <c r="F28" s="678" t="n"/>
      <c r="G28" s="497" t="inlineStr">
        <is>
          <t>COMPLETED don’t edit</t>
        </is>
      </c>
      <c r="H28" s="540" t="inlineStr">
        <is>
          <t>frozen from [4] 240614 Suppliers Subbies Price Comparison (Jun-2024 cache) - link severed 26/07/26; Phase 5 re-source pending</t>
        </is>
      </c>
    </row>
    <row r="29" ht="14.4" customFormat="1" customHeight="1" s="174">
      <c r="A29" s="179" t="n"/>
      <c r="B29" s="260" t="n"/>
      <c r="C29" s="678" t="n"/>
      <c r="D29" s="679" t="n"/>
      <c r="E29" s="676" t="n"/>
      <c r="F29" s="678" t="n"/>
      <c r="G29" s="660" t="n"/>
    </row>
    <row r="30" ht="14.4" customFormat="1" customHeight="1" s="174">
      <c r="A30" s="179" t="n"/>
      <c r="B30" s="260" t="n"/>
      <c r="C30" s="678" t="n"/>
      <c r="D30" s="679" t="n"/>
      <c r="E30" s="676" t="n"/>
      <c r="F30" s="678" t="n"/>
      <c r="G30" s="660" t="n"/>
    </row>
    <row r="31" ht="6" customFormat="1" customHeight="1" s="174">
      <c r="A31" s="183" t="n"/>
      <c r="B31" s="184" t="n"/>
      <c r="C31" s="185" t="n"/>
      <c r="D31" s="680" t="n"/>
      <c r="E31" s="205" t="n"/>
      <c r="F31" s="185" t="n"/>
      <c r="G31" s="660" t="n"/>
    </row>
    <row r="32">
      <c r="B32" s="42" t="n"/>
      <c r="C32" s="42" t="n"/>
      <c r="D32" s="588" t="n"/>
      <c r="E32" s="588" t="n"/>
      <c r="G32" s="660" t="n"/>
    </row>
    <row r="33" ht="15" customFormat="1" customHeight="1" s="174">
      <c r="A33" s="262" t="inlineStr">
        <is>
          <t>SURVEYOR</t>
        </is>
      </c>
      <c r="B33" s="674" t="n"/>
      <c r="C33" s="674" t="n"/>
      <c r="D33" s="664" t="inlineStr">
        <is>
          <t>TCS PROJECT USE</t>
        </is>
      </c>
      <c r="E33" s="666" t="n"/>
      <c r="F33" s="667" t="n"/>
      <c r="G33" s="497" t="inlineStr">
        <is>
          <t>COMPLETED don’t edit</t>
        </is>
      </c>
    </row>
    <row r="34" ht="14.4" customFormat="1" customHeight="1" s="174">
      <c r="A34" s="177" t="inlineStr">
        <is>
          <t>DESCRIPTION</t>
        </is>
      </c>
      <c r="B34" s="187" t="inlineStr">
        <is>
          <t>QTY</t>
        </is>
      </c>
      <c r="C34" s="669" t="n"/>
      <c r="D34" s="668" t="inlineStr">
        <is>
          <t>Hr Rate?</t>
        </is>
      </c>
      <c r="E34" s="186" t="inlineStr">
        <is>
          <t>Total</t>
        </is>
      </c>
      <c r="F34" s="669" t="n"/>
      <c r="G34" s="660" t="n"/>
    </row>
    <row r="35" ht="14.4" customFormat="1" customHeight="1" s="174">
      <c r="A35" t="inlineStr">
        <is>
          <t>Site Field Surveyor for all works preformed</t>
        </is>
      </c>
      <c r="B35" s="260" t="n">
        <v>0</v>
      </c>
      <c r="C35" s="182" t="n"/>
      <c r="D35" s="675" t="n">
        <v>180</v>
      </c>
      <c r="E35" s="676">
        <f>B35*D35</f>
        <v/>
      </c>
      <c r="F35" s="182" t="n"/>
      <c r="G35" s="660" t="n"/>
      <c r="H35" s="540" t="inlineStr">
        <is>
          <t>frozen from [4] 240614 Suppliers Subbies Price Comparison (Jun-2024 cache) - link severed 26/07/26; Phase 5 re-source pending</t>
        </is>
      </c>
    </row>
    <row r="36" ht="14.4" customFormat="1" customHeight="1" s="174">
      <c r="A36" s="179" t="n"/>
      <c r="B36" s="260" t="n">
        <v>0</v>
      </c>
      <c r="C36" s="182" t="n"/>
      <c r="D36" s="679" t="n">
        <v>0</v>
      </c>
      <c r="E36" s="676">
        <f>B36*D36</f>
        <v/>
      </c>
      <c r="F36" s="182" t="n"/>
      <c r="G36" s="660" t="n"/>
    </row>
    <row r="37" ht="14.4" customFormat="1" customHeight="1" s="174">
      <c r="A37" s="179" t="n"/>
      <c r="B37" s="260" t="n">
        <v>0</v>
      </c>
      <c r="C37" s="182" t="n"/>
      <c r="D37" s="679" t="n">
        <v>0</v>
      </c>
      <c r="E37" s="676">
        <f>B37*D37</f>
        <v/>
      </c>
      <c r="F37" s="182" t="n"/>
      <c r="G37" s="660" t="n"/>
    </row>
    <row r="38" ht="6" customFormat="1" customHeight="1" s="174">
      <c r="A38" s="183" t="n"/>
      <c r="B38" s="261" t="n"/>
      <c r="C38" s="185" t="n"/>
      <c r="D38" s="680" t="n"/>
      <c r="E38" s="205" t="n"/>
      <c r="F38" s="185" t="n"/>
    </row>
    <row r="39">
      <c r="B39" s="42" t="n"/>
      <c r="C39" s="42" t="n"/>
      <c r="D39" s="588" t="n"/>
      <c r="E39" s="588" t="n"/>
    </row>
    <row r="40" ht="15" customFormat="1" customHeight="1" s="174">
      <c r="A40" s="262" t="inlineStr">
        <is>
          <t>SERVICES LOCATOR</t>
        </is>
      </c>
      <c r="B40" s="674" t="n"/>
      <c r="C40" s="674" t="n"/>
      <c r="D40" s="664" t="inlineStr">
        <is>
          <t>TCS PROJECT USE</t>
        </is>
      </c>
      <c r="E40" s="666" t="n"/>
      <c r="F40" s="667" t="n"/>
      <c r="G40" s="497" t="inlineStr">
        <is>
          <t>COMPLETED don’t edit</t>
        </is>
      </c>
    </row>
    <row r="41" ht="14.4" customFormat="1" customHeight="1" s="174">
      <c r="A41" s="177" t="inlineStr">
        <is>
          <t>DESCRIPTION</t>
        </is>
      </c>
      <c r="B41" s="187" t="inlineStr">
        <is>
          <t>QTY</t>
        </is>
      </c>
      <c r="C41" s="669" t="n"/>
      <c r="D41" s="668" t="inlineStr">
        <is>
          <t>Hr Rate?</t>
        </is>
      </c>
      <c r="E41" s="186" t="inlineStr">
        <is>
          <t>Total</t>
        </is>
      </c>
      <c r="F41" s="669" t="n"/>
      <c r="G41" s="660" t="n"/>
    </row>
    <row r="42" ht="14.4" customFormat="1" customHeight="1" s="174">
      <c r="A42" t="inlineStr">
        <is>
          <t xml:space="preserve">Standard Rate (includes wand, GPR) </t>
        </is>
      </c>
      <c r="B42" s="260" t="n">
        <v>0</v>
      </c>
      <c r="C42" s="182" t="n"/>
      <c r="D42" s="675" t="n">
        <v>130</v>
      </c>
      <c r="E42" s="676">
        <f>B42*D42</f>
        <v/>
      </c>
      <c r="F42" s="182" t="n"/>
      <c r="G42" s="660" t="n"/>
      <c r="H42" s="540" t="inlineStr">
        <is>
          <t>frozen from [4] 240614 Suppliers Subbies Price Comparison (Jun-2024 cache) - link severed 26/07/26; Phase 5 re-source pending</t>
        </is>
      </c>
    </row>
    <row r="43" ht="14.4" customFormat="1" customHeight="1" s="174">
      <c r="A43" s="179" t="n"/>
      <c r="B43" s="260" t="n">
        <v>0</v>
      </c>
      <c r="C43" s="182" t="n"/>
      <c r="D43" s="679" t="n">
        <v>0</v>
      </c>
      <c r="E43" s="676">
        <f>B43*D43</f>
        <v/>
      </c>
      <c r="F43" s="182" t="n"/>
      <c r="G43" s="660" t="n"/>
    </row>
    <row r="44" ht="14.4" customFormat="1" customHeight="1" s="174">
      <c r="A44" s="179" t="n"/>
      <c r="B44" s="260" t="n">
        <v>0</v>
      </c>
      <c r="C44" s="182" t="n"/>
      <c r="D44" s="679" t="n">
        <v>0</v>
      </c>
      <c r="E44" s="676">
        <f>B44*D44</f>
        <v/>
      </c>
      <c r="F44" s="182" t="n"/>
      <c r="G44" s="660" t="n"/>
    </row>
    <row r="45" ht="6" customFormat="1" customHeight="1" s="174">
      <c r="A45" s="183" t="n"/>
      <c r="B45" s="184" t="n"/>
      <c r="C45" s="185" t="n"/>
      <c r="D45" s="680" t="n"/>
      <c r="E45" s="205" t="n"/>
      <c r="F45" s="185" t="n"/>
    </row>
    <row r="46">
      <c r="B46" s="42" t="n"/>
      <c r="C46" s="42" t="n"/>
      <c r="D46" s="588" t="n"/>
      <c r="E46" s="588" t="n"/>
    </row>
    <row r="47" ht="15" customFormat="1" customHeight="1" s="174">
      <c r="A47" s="262" t="inlineStr">
        <is>
          <t>CONCRETE CUTTER</t>
        </is>
      </c>
      <c r="B47" s="674" t="n"/>
      <c r="C47" s="674" t="n"/>
      <c r="D47" s="664" t="inlineStr">
        <is>
          <t>TCS PROJECT USE</t>
        </is>
      </c>
      <c r="E47" s="666" t="n"/>
      <c r="F47" s="667" t="n"/>
      <c r="G47" s="497" t="inlineStr">
        <is>
          <t>COMPLETED don’t edit</t>
        </is>
      </c>
    </row>
    <row r="48" ht="14.4" customFormat="1" customHeight="1" s="174">
      <c r="A48" s="177" t="inlineStr">
        <is>
          <t>DESCRIPTION</t>
        </is>
      </c>
      <c r="B48" s="187" t="inlineStr">
        <is>
          <t>QTY</t>
        </is>
      </c>
      <c r="C48" s="669" t="n"/>
      <c r="D48" s="668" t="inlineStr">
        <is>
          <t>Lm Rate</t>
        </is>
      </c>
      <c r="E48" s="186" t="inlineStr">
        <is>
          <t>Total</t>
        </is>
      </c>
      <c r="F48" s="669" t="n"/>
      <c r="G48" s="660" t="n"/>
    </row>
    <row r="49" ht="14.4" customFormat="1" customHeight="1" s="174">
      <c r="A49" s="279" t="inlineStr">
        <is>
          <t>Asphalt Cutting</t>
        </is>
      </c>
      <c r="B49" s="260" t="n">
        <v>0</v>
      </c>
      <c r="C49" s="182" t="n"/>
      <c r="D49" s="675" t="n">
        <v>13.5</v>
      </c>
      <c r="E49" s="676">
        <f>B49*D49</f>
        <v/>
      </c>
      <c r="F49" s="182" t="n"/>
      <c r="G49" s="660" t="n"/>
      <c r="H49" s="540" t="inlineStr">
        <is>
          <t>frozen from [4] 240614 Suppliers Subbies Price Comparison (Jun-2024 cache) - link severed 26/07/26; Phase 5 re-source pending</t>
        </is>
      </c>
    </row>
    <row r="50" ht="14.4" customFormat="1" customHeight="1" s="174">
      <c r="A50" s="279" t="inlineStr">
        <is>
          <t>Concrete Cutting</t>
        </is>
      </c>
      <c r="B50" s="260" t="n">
        <v>0</v>
      </c>
      <c r="C50" s="182" t="n"/>
      <c r="D50" s="675" t="n">
        <v>16</v>
      </c>
      <c r="E50" s="676">
        <f>B50*D50</f>
        <v/>
      </c>
      <c r="F50" s="182" t="n"/>
      <c r="G50" s="660" t="n"/>
      <c r="H50" s="540" t="inlineStr">
        <is>
          <t>frozen from [4] 240614 Suppliers Subbies Price Comparison (Jun-2024 cache) - link severed 26/07/26; Phase 5 re-source pending</t>
        </is>
      </c>
    </row>
    <row r="51" ht="14.4" customFormat="1" customHeight="1" s="174">
      <c r="A51" s="279" t="inlineStr">
        <is>
          <t>Site Establishment Fee (2 per stage)</t>
        </is>
      </c>
      <c r="B51" s="260" t="n">
        <v>0</v>
      </c>
      <c r="C51" s="182" t="n"/>
      <c r="D51" s="675" t="n">
        <v>80</v>
      </c>
      <c r="E51" s="676">
        <f>B51*D51</f>
        <v/>
      </c>
      <c r="F51" s="182" t="n"/>
      <c r="G51" s="660" t="n"/>
      <c r="H51" s="540" t="inlineStr">
        <is>
          <t>frozen from [4] 240614 Suppliers Subbies Price Comparison (Jun-2024 cache) - link severed 26/07/26; Phase 5 re-source pending</t>
        </is>
      </c>
    </row>
    <row r="52" ht="6" customFormat="1" customHeight="1" s="174">
      <c r="A52" s="183" t="n"/>
      <c r="B52" s="184" t="n"/>
      <c r="C52" s="185" t="n"/>
      <c r="D52" s="680" t="n"/>
      <c r="E52" s="205" t="n"/>
      <c r="F52" s="185" t="n"/>
    </row>
    <row r="53">
      <c r="B53" s="42" t="n"/>
      <c r="C53" s="42" t="n"/>
      <c r="D53" s="588" t="n"/>
      <c r="E53" s="588" t="n"/>
    </row>
    <row r="54" ht="15" customFormat="1" customHeight="1" s="174">
      <c r="A54" s="262" t="inlineStr">
        <is>
          <t>CONCRETING SERVICES</t>
        </is>
      </c>
      <c r="B54" s="674" t="n"/>
      <c r="C54" s="674" t="n"/>
      <c r="D54" s="664" t="inlineStr">
        <is>
          <t>TCS PROJECT USE</t>
        </is>
      </c>
      <c r="E54" s="666" t="n"/>
      <c r="F54" s="667" t="n"/>
      <c r="G54" s="497" t="inlineStr">
        <is>
          <t>COMPLETED don’t edit</t>
        </is>
      </c>
    </row>
    <row r="55" ht="14.4" customFormat="1" customHeight="1" s="174">
      <c r="A55" s="177" t="inlineStr">
        <is>
          <t>DESCRIPTION</t>
        </is>
      </c>
      <c r="B55" s="187" t="inlineStr">
        <is>
          <t>QTY</t>
        </is>
      </c>
      <c r="C55" s="669" t="n"/>
      <c r="D55" s="668" t="inlineStr">
        <is>
          <t>Rate</t>
        </is>
      </c>
      <c r="E55" s="186" t="inlineStr">
        <is>
          <t>Total</t>
        </is>
      </c>
      <c r="F55" s="669" t="n"/>
      <c r="G55" s="660" t="n"/>
    </row>
    <row r="56" ht="14.4" customFormat="1" customHeight="1" s="174">
      <c r="A56" s="280" t="inlineStr">
        <is>
          <t>Road/Drveway Reinstate; 1mW x 150 Thck, N25/20/80, Incl Reinforcement</t>
        </is>
      </c>
      <c r="B56" s="260" t="n">
        <v>0</v>
      </c>
      <c r="C56" s="182" t="n"/>
      <c r="D56" s="675" t="n">
        <v>145</v>
      </c>
      <c r="E56" s="676">
        <f>B56*D56</f>
        <v/>
      </c>
      <c r="F56" s="182" t="n"/>
      <c r="G56" s="660" t="n"/>
      <c r="H56" s="540" t="inlineStr">
        <is>
          <t>frozen from [4] 240614 Suppliers Subbies Price Comparison (Jun-2024 cache) - link severed 26/07/26; Phase 5 re-source pending</t>
        </is>
      </c>
    </row>
    <row r="57" ht="14.4" customFormat="1" customHeight="1" s="174">
      <c r="A57" s="281" t="inlineStr">
        <is>
          <t>Kerb &amp; Channel - 1m Wide</t>
        </is>
      </c>
      <c r="B57" s="260" t="n">
        <v>0</v>
      </c>
      <c r="C57" s="182" t="n"/>
      <c r="D57" s="675" t="n">
        <v>155</v>
      </c>
      <c r="E57" s="676">
        <f>B57*D57</f>
        <v/>
      </c>
      <c r="F57" s="182" t="n"/>
      <c r="G57" s="660" t="n"/>
      <c r="H57" s="540" t="inlineStr">
        <is>
          <t>frozen from [4] 240614 Suppliers Subbies Price Comparison (Jun-2024 cache) - link severed 26/07/26; Phase 5 re-source pending</t>
        </is>
      </c>
    </row>
    <row r="58" ht="14.4" customFormat="1" customHeight="1" s="174">
      <c r="A58" s="280" t="inlineStr">
        <is>
          <t>Footpath - 1.5mW, N25/20/80, Incl Reinforcement</t>
        </is>
      </c>
      <c r="B58" s="260" t="n">
        <v>0</v>
      </c>
      <c r="C58" s="182" t="n"/>
      <c r="D58" s="675" t="n">
        <v>180</v>
      </c>
      <c r="E58" s="676">
        <f>B58*D58</f>
        <v/>
      </c>
      <c r="F58" s="182" t="n"/>
      <c r="G58" s="660" t="n"/>
      <c r="H58" s="540" t="inlineStr">
        <is>
          <t>frozen from [4] 240614 Suppliers Subbies Price Comparison (Jun-2024 cache) - link severed 26/07/26; Phase 5 re-source pending</t>
        </is>
      </c>
    </row>
    <row r="59" ht="14.4" customFormat="1" customHeight="1" s="174">
      <c r="A59" s="280" t="inlineStr">
        <is>
          <t>Footpath - 1.5mW, EXPOSED AGG, N25/20/80, Incl Reinforcement</t>
        </is>
      </c>
      <c r="B59" s="260" t="n">
        <v>0</v>
      </c>
      <c r="C59" s="182" t="n"/>
      <c r="D59" s="675" t="n">
        <v>185</v>
      </c>
      <c r="E59" s="676">
        <f>B59*D59</f>
        <v/>
      </c>
      <c r="F59" s="182" t="n"/>
      <c r="H59" s="540" t="inlineStr">
        <is>
          <t>frozen from [4] 240614 Suppliers Subbies Price Comparison (Jun-2024 cache) - link severed 26/07/26; Phase 5 re-source pending</t>
        </is>
      </c>
    </row>
    <row r="60" ht="6" customFormat="1" customHeight="1" s="174">
      <c r="A60" s="183" t="n"/>
      <c r="B60" s="184" t="n"/>
      <c r="C60" s="185" t="n"/>
      <c r="D60" s="680" t="n"/>
      <c r="E60" s="205" t="n"/>
      <c r="F60" s="185" t="n"/>
    </row>
    <row r="61">
      <c r="B61" s="42" t="n"/>
      <c r="C61" s="42" t="n"/>
      <c r="D61" s="588" t="n"/>
      <c r="E61" s="588" t="n"/>
    </row>
    <row r="62" ht="15" customFormat="1" customHeight="1" s="174">
      <c r="A62" s="262" t="inlineStr">
        <is>
          <t>ASPHALT SERVICES</t>
        </is>
      </c>
      <c r="B62" s="674" t="n"/>
      <c r="C62" s="674" t="n"/>
      <c r="D62" s="664" t="inlineStr">
        <is>
          <t>TCS PROJECT USE</t>
        </is>
      </c>
      <c r="E62" s="666" t="n"/>
      <c r="F62" s="667" t="n"/>
      <c r="G62" s="497" t="inlineStr">
        <is>
          <t>COMPLETED don’t edit</t>
        </is>
      </c>
    </row>
    <row r="63" ht="14.4" customFormat="1" customHeight="1" s="174">
      <c r="A63" s="177" t="inlineStr">
        <is>
          <t>DESCRIPTION</t>
        </is>
      </c>
      <c r="B63" s="187" t="inlineStr">
        <is>
          <t>QTY</t>
        </is>
      </c>
      <c r="C63" s="669" t="n"/>
      <c r="D63" s="668" t="inlineStr">
        <is>
          <t>m2</t>
        </is>
      </c>
      <c r="E63" s="186" t="inlineStr">
        <is>
          <t>Total</t>
        </is>
      </c>
      <c r="F63" s="669" t="n"/>
      <c r="G63" s="660" t="n"/>
    </row>
    <row r="64" ht="14.4" customFormat="1" customHeight="1" s="174">
      <c r="A64" s="179" t="inlineStr">
        <is>
          <t xml:space="preserve">50mm Thck - Trench Reinstatement Through Road/Driveway </t>
        </is>
      </c>
      <c r="B64" s="260" t="n">
        <v>0</v>
      </c>
      <c r="C64" s="182" t="n"/>
      <c r="D64" s="675" t="n">
        <v>97</v>
      </c>
      <c r="E64" s="676">
        <f>B64*D64</f>
        <v/>
      </c>
      <c r="F64" s="182" t="n"/>
      <c r="G64" s="660" t="n"/>
      <c r="H64" s="540" t="inlineStr">
        <is>
          <t>frozen from [4] 240614 Suppliers Subbies Price Comparison (Jun-2024 cache) - link severed 26/07/26; Phase 5 re-source pending</t>
        </is>
      </c>
    </row>
    <row r="65" ht="14.4" customFormat="1" customHeight="1" s="174">
      <c r="A65" s="277" t="inlineStr">
        <is>
          <t xml:space="preserve">50mm Thck - 1.5-2m Wide Footpath reinstatements </t>
        </is>
      </c>
      <c r="B65" s="260" t="n">
        <v>0</v>
      </c>
      <c r="C65" s="182" t="n"/>
      <c r="D65" s="675" t="n">
        <v>97</v>
      </c>
      <c r="E65" s="676">
        <f>B65*D65</f>
        <v/>
      </c>
      <c r="F65" s="182" t="n"/>
      <c r="G65" s="660" t="n"/>
      <c r="H65" s="540" t="inlineStr">
        <is>
          <t>frozen from [4] 240614 Suppliers Subbies Price Comparison (Jun-2024 cache) - link severed 26/07/26; Phase 5 re-source pending</t>
        </is>
      </c>
    </row>
    <row r="66" ht="14.4" customFormat="1" customHeight="1" s="174">
      <c r="A66" s="277" t="inlineStr">
        <is>
          <t>Establishment Fee (1 per stage)</t>
        </is>
      </c>
      <c r="B66" s="260" t="n">
        <v>0</v>
      </c>
      <c r="C66" s="182" t="n"/>
      <c r="D66" s="675" t="n">
        <v>5500</v>
      </c>
      <c r="E66" s="676">
        <f>B66*D66</f>
        <v/>
      </c>
      <c r="F66" s="182" t="n"/>
      <c r="G66" s="660" t="n"/>
    </row>
    <row r="67" ht="14.4" customFormat="1" customHeight="1" s="174">
      <c r="A67" s="179" t="n"/>
      <c r="B67" s="260" t="n"/>
      <c r="C67" s="182" t="n"/>
      <c r="D67" s="679" t="n"/>
      <c r="E67" s="676" t="n"/>
      <c r="F67" s="182" t="n"/>
      <c r="G67" s="290" t="n"/>
    </row>
    <row r="68" ht="6" customFormat="1" customHeight="1" s="174">
      <c r="A68" s="183" t="n"/>
      <c r="B68" s="184" t="n"/>
      <c r="C68" s="185" t="n"/>
      <c r="D68" s="680" t="n"/>
      <c r="E68" s="205" t="n"/>
      <c r="F68" s="185" t="n"/>
    </row>
    <row r="69">
      <c r="B69" s="42" t="n"/>
      <c r="C69" s="42" t="n"/>
      <c r="D69" s="588" t="n"/>
      <c r="E69" s="588" t="n"/>
    </row>
    <row r="70" ht="15" customFormat="1" customHeight="1" s="174">
      <c r="A70" s="262" t="inlineStr">
        <is>
          <t>SOIL TESTING &amp; GEO</t>
        </is>
      </c>
      <c r="B70" s="674" t="n"/>
      <c r="C70" s="674" t="n"/>
      <c r="D70" s="664" t="inlineStr">
        <is>
          <t>TCS PROJECT USE</t>
        </is>
      </c>
      <c r="E70" s="666" t="n"/>
      <c r="F70" s="667" t="n"/>
      <c r="G70" s="497" t="inlineStr">
        <is>
          <t>COMPLETED don’t edit</t>
        </is>
      </c>
    </row>
    <row r="71" ht="14.4" customFormat="1" customHeight="1" s="174">
      <c r="A71" s="177" t="inlineStr">
        <is>
          <t>DESCRIPTION</t>
        </is>
      </c>
      <c r="B71" s="187" t="inlineStr">
        <is>
          <t>QTY</t>
        </is>
      </c>
      <c r="C71" s="669" t="n"/>
      <c r="D71" s="668" t="inlineStr">
        <is>
          <t>Rate</t>
        </is>
      </c>
      <c r="E71" s="186" t="inlineStr">
        <is>
          <t>Total</t>
        </is>
      </c>
      <c r="F71" s="669" t="n"/>
      <c r="G71" s="660" t="n"/>
    </row>
    <row r="72" ht="14.4" customFormat="1" customHeight="1" s="174">
      <c r="A72" s="179" t="inlineStr">
        <is>
          <t>Compaction Testing</t>
        </is>
      </c>
      <c r="B72" s="260" t="n">
        <v>0</v>
      </c>
      <c r="C72" s="182" t="n"/>
      <c r="D72" s="675" t="n">
        <v>115</v>
      </c>
      <c r="E72" s="676">
        <f>B72*D72</f>
        <v/>
      </c>
      <c r="F72" s="182" t="n"/>
      <c r="G72" s="660" t="n"/>
      <c r="H72" s="540" t="inlineStr">
        <is>
          <t>frozen from [4] 240614 Suppliers Subbies Price Comparison (Jun-2024 cache) - link severed 26/07/26; Phase 5 re-source pending</t>
        </is>
      </c>
    </row>
    <row r="73" ht="14.4" customFormat="1" customHeight="1" s="174">
      <c r="A73" s="179" t="inlineStr">
        <is>
          <t>Site Establishment (3 per stage)</t>
        </is>
      </c>
      <c r="B73" s="260" t="n">
        <v>0</v>
      </c>
      <c r="C73" s="182" t="n"/>
      <c r="D73" s="675" t="n">
        <v>90</v>
      </c>
      <c r="E73" s="676">
        <f>B73*D73</f>
        <v/>
      </c>
      <c r="F73" s="182" t="n"/>
      <c r="G73" s="660" t="n"/>
    </row>
    <row r="74" ht="14.4" customFormat="1" customHeight="1" s="174">
      <c r="A74" s="179" t="n"/>
      <c r="B74" s="260" t="n">
        <v>0</v>
      </c>
      <c r="C74" s="182" t="n"/>
      <c r="D74" s="679" t="n">
        <v>0</v>
      </c>
      <c r="E74" s="676">
        <f>B74*D74</f>
        <v/>
      </c>
      <c r="F74" s="182" t="n"/>
      <c r="G74" s="660" t="n"/>
      <c r="H74" s="540" t="inlineStr">
        <is>
          <t>frozen from [4] 240614 Suppliers Subbies Price Comparison (Jun-2024 cache) - link severed 26/07/26; Phase 5 re-source pending</t>
        </is>
      </c>
    </row>
    <row r="75" ht="6" customFormat="1" customHeight="1" s="174">
      <c r="A75" s="183" t="n"/>
      <c r="B75" s="184" t="n"/>
      <c r="C75" s="185" t="n"/>
      <c r="D75" s="680" t="n"/>
      <c r="E75" s="205" t="n"/>
      <c r="F75" s="185" t="n"/>
    </row>
    <row r="76">
      <c r="B76" s="42" t="n"/>
      <c r="C76" s="42" t="n"/>
      <c r="D76" s="588" t="n"/>
      <c r="E76" s="588" t="n"/>
    </row>
    <row r="77">
      <c r="B77" s="42" t="n"/>
      <c r="C77" s="42" t="n"/>
      <c r="D77" s="588" t="n"/>
      <c r="E77" s="588" t="n"/>
    </row>
    <row r="78" ht="15" customFormat="1" customHeight="1" s="174">
      <c r="A78" s="262" t="inlineStr">
        <is>
          <t>FIRE TESTING / CERTIFICATION</t>
        </is>
      </c>
      <c r="B78" s="674" t="n"/>
      <c r="C78" s="674" t="n"/>
      <c r="D78" s="664" t="inlineStr">
        <is>
          <t>TCS PROJECT USE</t>
        </is>
      </c>
      <c r="E78" s="666" t="n"/>
      <c r="F78" s="667" t="n"/>
      <c r="G78" s="497" t="inlineStr">
        <is>
          <t>COMPLETED don’t edit</t>
        </is>
      </c>
    </row>
    <row r="79" ht="14.4" customFormat="1" customHeight="1" s="174">
      <c r="A79" s="177" t="inlineStr">
        <is>
          <t>DESCRIPTION</t>
        </is>
      </c>
      <c r="B79" s="187" t="inlineStr">
        <is>
          <t>QTY</t>
        </is>
      </c>
      <c r="C79" s="669" t="n"/>
      <c r="D79" s="668" t="inlineStr">
        <is>
          <t>Rate</t>
        </is>
      </c>
      <c r="E79" s="186" t="inlineStr">
        <is>
          <t>Total</t>
        </is>
      </c>
      <c r="F79" s="669" t="n"/>
      <c r="G79" s="660" t="n"/>
    </row>
    <row r="80" ht="14.4" customFormat="1" customHeight="1" s="174">
      <c r="A80" s="285" t="inlineStr">
        <is>
          <t>Sprinkler Fitter</t>
        </is>
      </c>
      <c r="B80" s="260" t="n">
        <v>0</v>
      </c>
      <c r="C80" s="182" t="n"/>
      <c r="D80" s="675" t="n">
        <v>130</v>
      </c>
      <c r="E80" s="681">
        <f>B80*D80</f>
        <v/>
      </c>
      <c r="F80" s="182" t="n"/>
      <c r="G80" s="660" t="n"/>
      <c r="H80" s="540" t="inlineStr">
        <is>
          <t>frozen from [4] 240614 Suppliers Subbies Price Comparison (Jun-2024 cache) - link severed 26/07/26; Phase 5 re-source pending</t>
        </is>
      </c>
    </row>
    <row r="81" ht="14.4" customFormat="1" customHeight="1" s="174">
      <c r="A81" s="285" t="inlineStr">
        <is>
          <t>Sprinkler Apprentice</t>
        </is>
      </c>
      <c r="B81" s="260" t="n">
        <v>0</v>
      </c>
      <c r="C81" s="182" t="n"/>
      <c r="D81" s="675" t="n">
        <v>100</v>
      </c>
      <c r="E81" s="681">
        <f>B81*D81</f>
        <v/>
      </c>
      <c r="F81" s="182" t="n"/>
      <c r="G81" s="660" t="n"/>
      <c r="H81" s="540" t="inlineStr">
        <is>
          <t>frozen from [4] 240614 Suppliers Subbies Price Comparison (Jun-2024 cache) - link severed 26/07/26; Phase 5 re-source pending</t>
        </is>
      </c>
    </row>
    <row r="82" ht="14.4" customFormat="1" customHeight="1" s="174">
      <c r="A82" s="285" t="inlineStr">
        <is>
          <t>Hydrostatic Test Equip</t>
        </is>
      </c>
      <c r="B82" s="260" t="n">
        <v>0</v>
      </c>
      <c r="C82" s="182" t="n"/>
      <c r="D82" s="675" t="n">
        <v>450</v>
      </c>
      <c r="E82" s="681">
        <f>B82*D82</f>
        <v/>
      </c>
      <c r="F82" s="182" t="n"/>
      <c r="G82" s="660" t="n"/>
      <c r="H82" s="540" t="inlineStr">
        <is>
          <t>frozen from [4] 240614 Suppliers Subbies Price Comparison (Jun-2024 cache) - link severed 26/07/26; Phase 5 re-source pending</t>
        </is>
      </c>
    </row>
    <row r="83" ht="14.4" customFormat="1" customHeight="1" s="174">
      <c r="A83" s="285" t="inlineStr">
        <is>
          <t>Booster Pump Appliance</t>
        </is>
      </c>
      <c r="B83" s="260" t="n">
        <v>0</v>
      </c>
      <c r="C83" s="182" t="n"/>
      <c r="D83" s="675" t="n">
        <v>800</v>
      </c>
      <c r="E83" s="681">
        <f>B83*D83</f>
        <v/>
      </c>
      <c r="F83" s="182" t="n"/>
      <c r="G83" s="497" t="inlineStr">
        <is>
          <t>COMPLETED don’t edit</t>
        </is>
      </c>
      <c r="H83" s="540" t="inlineStr">
        <is>
          <t>frozen from [4] 240614 Suppliers Subbies Price Comparison (Jun-2024 cache) - link severed 26/07/26; Phase 5 re-source pending</t>
        </is>
      </c>
    </row>
    <row r="84" ht="14.4" customFormat="1" customHeight="1" s="174">
      <c r="A84" s="286" t="inlineStr">
        <is>
          <t>FULL Hydro Test - Per Test (6.5Hr 1 x fitter, 1 x apprentice, 1 day Test gear)</t>
        </is>
      </c>
      <c r="B84" s="260" t="n">
        <v>0</v>
      </c>
      <c r="C84" s="182" t="n"/>
      <c r="D84" s="675" t="n">
        <v>1945</v>
      </c>
      <c r="E84" s="681">
        <f>B84*D84</f>
        <v/>
      </c>
      <c r="F84" s="182" t="n"/>
      <c r="G84" s="660" t="n"/>
      <c r="H84" s="540" t="inlineStr">
        <is>
          <t>frozen from [4] 240614 Suppliers Subbies Price Comparison (Jun-2024 cache) - link severed 26/07/26; Phase 5 re-source pending</t>
        </is>
      </c>
    </row>
    <row r="85" ht="14.4" customFormat="1" customHeight="1" s="174">
      <c r="A85" s="286" t="inlineStr">
        <is>
          <t>FULL Boost Test - Per Test (8.5Hr - 2 x fitter, 1 x apprentice, 1 day Pump)</t>
        </is>
      </c>
      <c r="B85" s="260" t="n">
        <v>0</v>
      </c>
      <c r="C85" s="182" t="n"/>
      <c r="D85" s="675" t="n">
        <v>3560</v>
      </c>
      <c r="E85" s="681">
        <f>B85*D85</f>
        <v/>
      </c>
      <c r="F85" s="182" t="n"/>
      <c r="G85" s="660" t="n"/>
      <c r="H85" s="540" t="inlineStr">
        <is>
          <t>frozen from [4] 240614 Suppliers Subbies Price Comparison (Jun-2024 cache) - link severed 26/07/26; Phase 5 re-source pending</t>
        </is>
      </c>
    </row>
    <row r="86" ht="14.4" customFormat="1" customHeight="1" s="174">
      <c r="A86" s="285" t="inlineStr">
        <is>
          <t>Provision of Form 72</t>
        </is>
      </c>
      <c r="B86" s="260" t="n">
        <v>0</v>
      </c>
      <c r="C86" s="182" t="n"/>
      <c r="D86" s="675" t="n">
        <v>350</v>
      </c>
      <c r="E86" s="681">
        <f>B86*D86</f>
        <v/>
      </c>
      <c r="F86" s="182" t="n"/>
      <c r="G86" s="660" t="n"/>
      <c r="H86" s="540" t="inlineStr">
        <is>
          <t>frozen from [4] 240614 Suppliers Subbies Price Comparison (Jun-2024 cache) - link severed 26/07/26; Phase 5 re-source pending</t>
        </is>
      </c>
    </row>
    <row r="87" ht="14.4" customFormat="1" customHeight="1" s="174">
      <c r="A87" s="179" t="n"/>
      <c r="B87" s="260" t="n"/>
      <c r="C87" s="182" t="n"/>
      <c r="D87" s="679" t="n"/>
      <c r="E87" s="676" t="n"/>
      <c r="F87" s="182" t="n"/>
      <c r="G87" s="660" t="n"/>
    </row>
    <row r="88" ht="6" customFormat="1" customHeight="1" s="174">
      <c r="A88" s="183" t="n"/>
      <c r="B88" s="184" t="n"/>
      <c r="C88" s="185" t="n"/>
      <c r="D88" s="680" t="n"/>
      <c r="E88" s="205" t="n"/>
      <c r="F88" s="185" t="n"/>
    </row>
    <row r="89">
      <c r="B89" s="42" t="n"/>
      <c r="C89" s="42" t="n"/>
      <c r="D89" s="588" t="n"/>
      <c r="E89" s="588" t="n"/>
    </row>
    <row r="90">
      <c r="B90" s="42" t="n"/>
      <c r="C90" s="42" t="n"/>
      <c r="D90" s="588" t="n"/>
      <c r="E90" s="588" t="n"/>
    </row>
    <row r="91">
      <c r="B91" s="42" t="n"/>
      <c r="C91" s="42" t="n"/>
      <c r="D91" s="588" t="n"/>
      <c r="E91" s="588" t="n"/>
    </row>
    <row r="92">
      <c r="B92" s="42" t="n"/>
      <c r="C92" s="42" t="n"/>
      <c r="D92" s="588" t="n"/>
      <c r="E92" s="588" t="n"/>
    </row>
    <row r="93">
      <c r="B93" s="42" t="n"/>
      <c r="C93" s="42" t="n"/>
      <c r="D93" s="588" t="n"/>
      <c r="E93" s="588" t="n"/>
    </row>
    <row r="94" ht="10.8" customHeight="1" thickBot="1">
      <c r="B94" s="42" t="n"/>
      <c r="C94" s="42" t="n"/>
      <c r="D94" s="588" t="n"/>
      <c r="E94" s="588" t="n"/>
    </row>
    <row r="95" ht="13.95" customHeight="1" thickBot="1">
      <c r="A95" s="486" t="inlineStr">
        <is>
          <t>Misc. Project Rates (ROCHAMPTON) - Master</t>
        </is>
      </c>
      <c r="B95" s="586" t="n"/>
      <c r="C95" s="586" t="n"/>
      <c r="D95" s="586" t="n"/>
      <c r="E95" s="586" t="n"/>
      <c r="F95" s="100" t="n"/>
    </row>
    <row r="96" ht="10.8" customHeight="1" thickBot="1">
      <c r="A96" s="87" t="n"/>
      <c r="B96" s="42" t="inlineStr">
        <is>
          <t>Unit</t>
        </is>
      </c>
      <c r="C96" s="42" t="inlineStr">
        <is>
          <t>REQ</t>
        </is>
      </c>
      <c r="D96" s="588" t="inlineStr">
        <is>
          <t>All EX GST</t>
        </is>
      </c>
      <c r="E96" s="588" t="inlineStr">
        <is>
          <t>Total EX GST</t>
        </is>
      </c>
      <c r="F96" s="90" t="n"/>
    </row>
    <row r="97">
      <c r="A97" s="90" t="inlineStr">
        <is>
          <t>Flight Costs; Qantas, 1-Way, No Check in Luggage</t>
        </is>
      </c>
      <c r="B97" s="682" t="inlineStr">
        <is>
          <t>Ea.</t>
        </is>
      </c>
      <c r="C97" s="101" t="n">
        <v>1</v>
      </c>
      <c r="D97" s="682" t="n">
        <v>220</v>
      </c>
      <c r="E97" s="683">
        <f>C97*D97</f>
        <v/>
      </c>
      <c r="F97" s="684" t="inlineStr">
        <is>
          <t>Average $220 Incl GST per flight</t>
        </is>
      </c>
    </row>
    <row r="98">
      <c r="A98" s="100" t="inlineStr">
        <is>
          <t>Hire Car; Budget, Airport Pick/Drop, NOT UTE, No Fuel</t>
        </is>
      </c>
      <c r="B98" s="682" t="inlineStr">
        <is>
          <t>Day</t>
        </is>
      </c>
      <c r="C98" s="101" t="n">
        <v>1</v>
      </c>
      <c r="D98" s="682" t="n">
        <v>190</v>
      </c>
      <c r="E98" s="683">
        <f>C98*D98</f>
        <v/>
      </c>
      <c r="F98" s="685" t="n"/>
    </row>
    <row r="99">
      <c r="A99" s="90" t="inlineStr">
        <is>
          <t>Transport (TCS Cost); Airport-Site/Accom, Cab/Staff Pickup</t>
        </is>
      </c>
      <c r="B99" s="682" t="inlineStr">
        <is>
          <t>Ea.</t>
        </is>
      </c>
      <c r="C99" s="101" t="n">
        <v>1</v>
      </c>
      <c r="D99" s="682" t="n">
        <v>65</v>
      </c>
      <c r="E99" s="683">
        <f>C99*D99</f>
        <v/>
      </c>
      <c r="F99" s="685" t="inlineStr">
        <is>
          <t>Avg</t>
        </is>
      </c>
      <c r="G99" s="38" t="inlineStr">
        <is>
          <t>HD</t>
        </is>
      </c>
    </row>
    <row r="100">
      <c r="A100" s="90" t="inlineStr">
        <is>
          <t>TCS Fuel; $/Km</t>
        </is>
      </c>
      <c r="B100" s="682" t="inlineStr">
        <is>
          <t>Km</t>
        </is>
      </c>
      <c r="C100" s="101" t="n">
        <v>1</v>
      </c>
      <c r="D100" s="682" t="n">
        <v>0.2</v>
      </c>
      <c r="E100" s="683">
        <f>C100*D100</f>
        <v/>
      </c>
      <c r="F100" s="685" t="n"/>
      <c r="G100" s="38" t="n">
        <v>0.16</v>
      </c>
    </row>
    <row r="101">
      <c r="A101" s="90" t="inlineStr">
        <is>
          <t>TCS Vehicle Running Costs; $/Km ($3,800/Yr, 35,000Kms/Yr)</t>
        </is>
      </c>
      <c r="B101" s="682" t="inlineStr">
        <is>
          <t>Km</t>
        </is>
      </c>
      <c r="C101" s="101" t="n">
        <v>1</v>
      </c>
      <c r="D101" s="682" t="n">
        <v>0.18</v>
      </c>
      <c r="E101" s="683">
        <f>C101*D101</f>
        <v/>
      </c>
      <c r="F101" s="685" t="n"/>
      <c r="G101" s="38" t="n">
        <v>0.11</v>
      </c>
    </row>
    <row r="102">
      <c r="A102" s="100" t="n"/>
      <c r="B102" s="682" t="n"/>
      <c r="C102" s="101" t="n"/>
      <c r="D102" s="682" t="n"/>
      <c r="E102" s="683" t="n"/>
      <c r="F102" s="685" t="n"/>
    </row>
    <row r="103">
      <c r="A103" s="90" t="n"/>
      <c r="B103" s="682" t="inlineStr">
        <is>
          <t>Ea.</t>
        </is>
      </c>
      <c r="C103" s="101" t="n">
        <v>1</v>
      </c>
      <c r="D103" s="682" t="n">
        <v>0</v>
      </c>
      <c r="E103" s="683">
        <f>C103*D103</f>
        <v/>
      </c>
      <c r="F103" s="685" t="n"/>
    </row>
    <row r="104">
      <c r="A104" s="90" t="inlineStr">
        <is>
          <t>Bris -&gt; Rok - Courier - UTE</t>
        </is>
      </c>
      <c r="B104" s="682" t="inlineStr">
        <is>
          <t>Ea.</t>
        </is>
      </c>
      <c r="C104" s="101" t="n">
        <v>1</v>
      </c>
      <c r="D104" s="682" t="n">
        <v>0</v>
      </c>
      <c r="E104" s="683">
        <f>C104*D104</f>
        <v/>
      </c>
      <c r="F104" s="685" t="n"/>
    </row>
    <row r="105">
      <c r="A105" s="90" t="inlineStr">
        <is>
          <t>Bris -&gt; Rok - Courier - Std Truck</t>
        </is>
      </c>
      <c r="B105" s="682" t="inlineStr">
        <is>
          <t>Ea.</t>
        </is>
      </c>
      <c r="C105" s="101" t="n">
        <v>1</v>
      </c>
      <c r="D105" s="682" t="n">
        <v>0</v>
      </c>
      <c r="E105" s="683">
        <f>C105*D105</f>
        <v/>
      </c>
      <c r="F105" s="685" t="n"/>
    </row>
    <row r="106">
      <c r="A106" s="90" t="inlineStr">
        <is>
          <t>Bris -&gt; Rok - Courier - Flat Bed (Container/Machine)</t>
        </is>
      </c>
      <c r="B106" s="682" t="inlineStr">
        <is>
          <t>Ea.</t>
        </is>
      </c>
      <c r="C106" s="101" t="n">
        <v>1</v>
      </c>
      <c r="D106" s="682" t="n">
        <v>2500</v>
      </c>
      <c r="E106" s="683">
        <f>C106*D106</f>
        <v/>
      </c>
      <c r="F106" s="685" t="n"/>
    </row>
    <row r="107">
      <c r="A107" s="90" t="n"/>
      <c r="B107" s="682" t="n"/>
      <c r="C107" s="101" t="n"/>
      <c r="D107" s="682" t="n"/>
      <c r="E107" s="683" t="n"/>
      <c r="F107" s="685" t="n"/>
    </row>
    <row r="108">
      <c r="A108" s="90" t="n"/>
      <c r="B108" s="682" t="n"/>
      <c r="C108" s="101" t="n"/>
      <c r="D108" s="682" t="n"/>
      <c r="E108" s="683" t="n"/>
      <c r="F108" s="685" t="n"/>
    </row>
    <row r="109">
      <c r="A109" s="90" t="n"/>
      <c r="B109" s="682" t="n"/>
      <c r="C109" s="101" t="n"/>
      <c r="D109" s="682" t="n"/>
      <c r="E109" s="683" t="n"/>
      <c r="F109" s="685" t="n"/>
    </row>
    <row r="110">
      <c r="A110" s="90" t="n"/>
      <c r="B110" s="682" t="n"/>
      <c r="C110" s="101" t="n"/>
      <c r="D110" s="682" t="n"/>
      <c r="E110" s="683" t="n"/>
      <c r="F110" s="685" t="n"/>
    </row>
    <row r="111">
      <c r="A111" s="90" t="n"/>
      <c r="B111" s="682" t="n"/>
      <c r="C111" s="101" t="n"/>
      <c r="D111" s="682" t="n"/>
      <c r="E111" s="683" t="n"/>
      <c r="F111" s="685" t="n"/>
    </row>
    <row r="112">
      <c r="A112" s="90" t="n"/>
      <c r="B112" s="682" t="n"/>
      <c r="C112" s="101" t="n"/>
      <c r="D112" s="682" t="n"/>
      <c r="E112" s="683" t="n"/>
      <c r="F112" s="685" t="n"/>
    </row>
    <row r="113">
      <c r="A113" s="90" t="n"/>
      <c r="B113" s="682" t="n"/>
      <c r="C113" s="101" t="n"/>
      <c r="D113" s="682" t="n"/>
      <c r="E113" s="683" t="n"/>
      <c r="F113" s="685" t="n"/>
    </row>
    <row r="114">
      <c r="A114" s="127" t="n"/>
      <c r="B114" s="129" t="n"/>
      <c r="C114" s="129" t="n"/>
      <c r="D114" s="128" t="n"/>
      <c r="E114" s="686" t="n"/>
      <c r="F114" s="685" t="n"/>
    </row>
    <row r="115">
      <c r="A115" s="39" t="n"/>
      <c r="B115" s="39" t="n"/>
      <c r="C115" s="39" t="n"/>
      <c r="D115" s="504" t="n"/>
      <c r="E115" s="687" t="n"/>
      <c r="F115" s="685" t="n"/>
    </row>
    <row r="116">
      <c r="E116" s="688" t="n"/>
      <c r="F116" s="685" t="n"/>
    </row>
    <row r="117">
      <c r="D117" s="583" t="n"/>
      <c r="E117" s="38" t="n"/>
      <c r="F117" s="589" t="n"/>
    </row>
    <row r="118">
      <c r="E118" s="54" t="n"/>
    </row>
    <row r="119">
      <c r="E119" s="55" t="n"/>
    </row>
    <row r="120">
      <c r="E120" s="589" t="n"/>
    </row>
    <row r="121">
      <c r="A121" s="56" t="n"/>
      <c r="B121" s="38" t="n"/>
      <c r="E121" s="38" t="n"/>
    </row>
  </sheetData>
  <mergeCells count="23">
    <mergeCell ref="G18:G22"/>
    <mergeCell ref="G83:G87"/>
    <mergeCell ref="G78:G82"/>
    <mergeCell ref="G33:G37"/>
    <mergeCell ref="D40:E40"/>
    <mergeCell ref="G54:G58"/>
    <mergeCell ref="G47:G51"/>
    <mergeCell ref="D70:E70"/>
    <mergeCell ref="G40:G44"/>
    <mergeCell ref="D47:E47"/>
    <mergeCell ref="A95:E95"/>
    <mergeCell ref="D78:E78"/>
    <mergeCell ref="A4:F6"/>
    <mergeCell ref="G8:G12"/>
    <mergeCell ref="D62:E62"/>
    <mergeCell ref="G70:G74"/>
    <mergeCell ref="G23:G27"/>
    <mergeCell ref="D8:E8"/>
    <mergeCell ref="G62:G66"/>
    <mergeCell ref="G13:G17"/>
    <mergeCell ref="D33:E33"/>
    <mergeCell ref="D54:E54"/>
    <mergeCell ref="G28:G32"/>
  </mergeCells>
  <printOptions gridLines="1"/>
  <pageMargins left="0.46" right="0.42" top="0.37" bottom="0.4" header="0.39" footer="0.38"/>
  <pageSetup orientation="portrait" paperSize="8" scale="80" horizontalDpi="1200" verticalDpi="1200"/>
</worksheet>
</file>

<file path=xl/worksheets/sheet10.xml><?xml version="1.0" encoding="utf-8"?>
<worksheet xmlns="http://schemas.openxmlformats.org/spreadsheetml/2006/main">
  <sheetPr>
    <tabColor theme="7"/>
    <outlinePr summaryBelow="1" summaryRight="1"/>
    <pageSetUpPr/>
  </sheetPr>
  <dimension ref="A1:K368"/>
  <sheetViews>
    <sheetView zoomScale="130" zoomScaleNormal="130" workbookViewId="0">
      <selection activeCell="I320" sqref="I320"/>
    </sheetView>
  </sheetViews>
  <sheetFormatPr baseColWidth="8" defaultColWidth="9.21875" defaultRowHeight="10.2"/>
  <cols>
    <col width="8.21875" customWidth="1" style="38" min="1" max="1"/>
    <col width="48.21875" customWidth="1" style="38" min="2" max="2"/>
    <col width="9.21875" customWidth="1" style="40" min="3" max="3"/>
    <col width="10.5546875" bestFit="1" customWidth="1" style="40" min="4" max="4"/>
    <col width="10.21875" customWidth="1" style="583" min="5" max="5"/>
    <col width="11" customWidth="1" style="583" min="6" max="6"/>
    <col width="12.21875" customWidth="1" style="38" min="7" max="7"/>
    <col width="7.77734375" customWidth="1" style="38" min="8" max="9"/>
    <col width="9.21875" customWidth="1" style="38" min="10" max="256"/>
    <col width="8.21875" customWidth="1" style="38" min="257" max="257"/>
    <col width="70.44140625" bestFit="1" customWidth="1" style="38" min="258" max="258"/>
    <col width="11.44140625" customWidth="1" style="38" min="259" max="259"/>
    <col width="10.44140625" customWidth="1" style="38" min="260" max="260"/>
    <col width="13.21875" customWidth="1" style="38" min="261" max="261"/>
    <col width="14.21875" customWidth="1" style="38" min="262" max="262"/>
    <col width="12.21875" customWidth="1" style="38" min="263" max="263"/>
    <col width="9.21875" customWidth="1" style="38" min="264" max="512"/>
    <col width="8.21875" customWidth="1" style="38" min="513" max="513"/>
    <col width="70.44140625" bestFit="1" customWidth="1" style="38" min="514" max="514"/>
    <col width="11.44140625" customWidth="1" style="38" min="515" max="515"/>
    <col width="10.44140625" customWidth="1" style="38" min="516" max="516"/>
    <col width="13.21875" customWidth="1" style="38" min="517" max="517"/>
    <col width="14.21875" customWidth="1" style="38" min="518" max="518"/>
    <col width="12.21875" customWidth="1" style="38" min="519" max="519"/>
    <col width="9.21875" customWidth="1" style="38" min="520" max="768"/>
    <col width="8.21875" customWidth="1" style="38" min="769" max="769"/>
    <col width="70.44140625" bestFit="1" customWidth="1" style="38" min="770" max="770"/>
    <col width="11.44140625" customWidth="1" style="38" min="771" max="771"/>
    <col width="10.44140625" customWidth="1" style="38" min="772" max="772"/>
    <col width="13.21875" customWidth="1" style="38" min="773" max="773"/>
    <col width="14.21875" customWidth="1" style="38" min="774" max="774"/>
    <col width="12.21875" customWidth="1" style="38" min="775" max="775"/>
    <col width="9.21875" customWidth="1" style="38" min="776" max="1024"/>
    <col width="8.21875" customWidth="1" style="38" min="1025" max="1025"/>
    <col width="70.44140625" bestFit="1" customWidth="1" style="38" min="1026" max="1026"/>
    <col width="11.44140625" customWidth="1" style="38" min="1027" max="1027"/>
    <col width="10.44140625" customWidth="1" style="38" min="1028" max="1028"/>
    <col width="13.21875" customWidth="1" style="38" min="1029" max="1029"/>
    <col width="14.21875" customWidth="1" style="38" min="1030" max="1030"/>
    <col width="12.21875" customWidth="1" style="38" min="1031" max="1031"/>
    <col width="9.21875" customWidth="1" style="38" min="1032" max="1280"/>
    <col width="8.21875" customWidth="1" style="38" min="1281" max="1281"/>
    <col width="70.44140625" bestFit="1" customWidth="1" style="38" min="1282" max="1282"/>
    <col width="11.44140625" customWidth="1" style="38" min="1283" max="1283"/>
    <col width="10.44140625" customWidth="1" style="38" min="1284" max="1284"/>
    <col width="13.21875" customWidth="1" style="38" min="1285" max="1285"/>
    <col width="14.21875" customWidth="1" style="38" min="1286" max="1286"/>
    <col width="12.21875" customWidth="1" style="38" min="1287" max="1287"/>
    <col width="9.21875" customWidth="1" style="38" min="1288" max="1536"/>
    <col width="8.21875" customWidth="1" style="38" min="1537" max="1537"/>
    <col width="70.44140625" bestFit="1" customWidth="1" style="38" min="1538" max="1538"/>
    <col width="11.44140625" customWidth="1" style="38" min="1539" max="1539"/>
    <col width="10.44140625" customWidth="1" style="38" min="1540" max="1540"/>
    <col width="13.21875" customWidth="1" style="38" min="1541" max="1541"/>
    <col width="14.21875" customWidth="1" style="38" min="1542" max="1542"/>
    <col width="12.21875" customWidth="1" style="38" min="1543" max="1543"/>
    <col width="9.21875" customWidth="1" style="38" min="1544" max="1792"/>
    <col width="8.21875" customWidth="1" style="38" min="1793" max="1793"/>
    <col width="70.44140625" bestFit="1" customWidth="1" style="38" min="1794" max="1794"/>
    <col width="11.44140625" customWidth="1" style="38" min="1795" max="1795"/>
    <col width="10.44140625" customWidth="1" style="38" min="1796" max="1796"/>
    <col width="13.21875" customWidth="1" style="38" min="1797" max="1797"/>
    <col width="14.21875" customWidth="1" style="38" min="1798" max="1798"/>
    <col width="12.21875" customWidth="1" style="38" min="1799" max="1799"/>
    <col width="9.21875" customWidth="1" style="38" min="1800" max="2048"/>
    <col width="8.21875" customWidth="1" style="38" min="2049" max="2049"/>
    <col width="70.44140625" bestFit="1" customWidth="1" style="38" min="2050" max="2050"/>
    <col width="11.44140625" customWidth="1" style="38" min="2051" max="2051"/>
    <col width="10.44140625" customWidth="1" style="38" min="2052" max="2052"/>
    <col width="13.21875" customWidth="1" style="38" min="2053" max="2053"/>
    <col width="14.21875" customWidth="1" style="38" min="2054" max="2054"/>
    <col width="12.21875" customWidth="1" style="38" min="2055" max="2055"/>
    <col width="9.21875" customWidth="1" style="38" min="2056" max="2304"/>
    <col width="8.21875" customWidth="1" style="38" min="2305" max="2305"/>
    <col width="70.44140625" bestFit="1" customWidth="1" style="38" min="2306" max="2306"/>
    <col width="11.44140625" customWidth="1" style="38" min="2307" max="2307"/>
    <col width="10.44140625" customWidth="1" style="38" min="2308" max="2308"/>
    <col width="13.21875" customWidth="1" style="38" min="2309" max="2309"/>
    <col width="14.21875" customWidth="1" style="38" min="2310" max="2310"/>
    <col width="12.21875" customWidth="1" style="38" min="2311" max="2311"/>
    <col width="9.21875" customWidth="1" style="38" min="2312" max="2560"/>
    <col width="8.21875" customWidth="1" style="38" min="2561" max="2561"/>
    <col width="70.44140625" bestFit="1" customWidth="1" style="38" min="2562" max="2562"/>
    <col width="11.44140625" customWidth="1" style="38" min="2563" max="2563"/>
    <col width="10.44140625" customWidth="1" style="38" min="2564" max="2564"/>
    <col width="13.21875" customWidth="1" style="38" min="2565" max="2565"/>
    <col width="14.21875" customWidth="1" style="38" min="2566" max="2566"/>
    <col width="12.21875" customWidth="1" style="38" min="2567" max="2567"/>
    <col width="9.21875" customWidth="1" style="38" min="2568" max="2816"/>
    <col width="8.21875" customWidth="1" style="38" min="2817" max="2817"/>
    <col width="70.44140625" bestFit="1" customWidth="1" style="38" min="2818" max="2818"/>
    <col width="11.44140625" customWidth="1" style="38" min="2819" max="2819"/>
    <col width="10.44140625" customWidth="1" style="38" min="2820" max="2820"/>
    <col width="13.21875" customWidth="1" style="38" min="2821" max="2821"/>
    <col width="14.21875" customWidth="1" style="38" min="2822" max="2822"/>
    <col width="12.21875" customWidth="1" style="38" min="2823" max="2823"/>
    <col width="9.21875" customWidth="1" style="38" min="2824" max="3072"/>
    <col width="8.21875" customWidth="1" style="38" min="3073" max="3073"/>
    <col width="70.44140625" bestFit="1" customWidth="1" style="38" min="3074" max="3074"/>
    <col width="11.44140625" customWidth="1" style="38" min="3075" max="3075"/>
    <col width="10.44140625" customWidth="1" style="38" min="3076" max="3076"/>
    <col width="13.21875" customWidth="1" style="38" min="3077" max="3077"/>
    <col width="14.21875" customWidth="1" style="38" min="3078" max="3078"/>
    <col width="12.21875" customWidth="1" style="38" min="3079" max="3079"/>
    <col width="9.21875" customWidth="1" style="38" min="3080" max="3328"/>
    <col width="8.21875" customWidth="1" style="38" min="3329" max="3329"/>
    <col width="70.44140625" bestFit="1" customWidth="1" style="38" min="3330" max="3330"/>
    <col width="11.44140625" customWidth="1" style="38" min="3331" max="3331"/>
    <col width="10.44140625" customWidth="1" style="38" min="3332" max="3332"/>
    <col width="13.21875" customWidth="1" style="38" min="3333" max="3333"/>
    <col width="14.21875" customWidth="1" style="38" min="3334" max="3334"/>
    <col width="12.21875" customWidth="1" style="38" min="3335" max="3335"/>
    <col width="9.21875" customWidth="1" style="38" min="3336" max="3584"/>
    <col width="8.21875" customWidth="1" style="38" min="3585" max="3585"/>
    <col width="70.44140625" bestFit="1" customWidth="1" style="38" min="3586" max="3586"/>
    <col width="11.44140625" customWidth="1" style="38" min="3587" max="3587"/>
    <col width="10.44140625" customWidth="1" style="38" min="3588" max="3588"/>
    <col width="13.21875" customWidth="1" style="38" min="3589" max="3589"/>
    <col width="14.21875" customWidth="1" style="38" min="3590" max="3590"/>
    <col width="12.21875" customWidth="1" style="38" min="3591" max="3591"/>
    <col width="9.21875" customWidth="1" style="38" min="3592" max="3840"/>
    <col width="8.21875" customWidth="1" style="38" min="3841" max="3841"/>
    <col width="70.44140625" bestFit="1" customWidth="1" style="38" min="3842" max="3842"/>
    <col width="11.44140625" customWidth="1" style="38" min="3843" max="3843"/>
    <col width="10.44140625" customWidth="1" style="38" min="3844" max="3844"/>
    <col width="13.21875" customWidth="1" style="38" min="3845" max="3845"/>
    <col width="14.21875" customWidth="1" style="38" min="3846" max="3846"/>
    <col width="12.21875" customWidth="1" style="38" min="3847" max="3847"/>
    <col width="9.21875" customWidth="1" style="38" min="3848" max="4096"/>
    <col width="8.21875" customWidth="1" style="38" min="4097" max="4097"/>
    <col width="70.44140625" bestFit="1" customWidth="1" style="38" min="4098" max="4098"/>
    <col width="11.44140625" customWidth="1" style="38" min="4099" max="4099"/>
    <col width="10.44140625" customWidth="1" style="38" min="4100" max="4100"/>
    <col width="13.21875" customWidth="1" style="38" min="4101" max="4101"/>
    <col width="14.21875" customWidth="1" style="38" min="4102" max="4102"/>
    <col width="12.21875" customWidth="1" style="38" min="4103" max="4103"/>
    <col width="9.21875" customWidth="1" style="38" min="4104" max="4352"/>
    <col width="8.21875" customWidth="1" style="38" min="4353" max="4353"/>
    <col width="70.44140625" bestFit="1" customWidth="1" style="38" min="4354" max="4354"/>
    <col width="11.44140625" customWidth="1" style="38" min="4355" max="4355"/>
    <col width="10.44140625" customWidth="1" style="38" min="4356" max="4356"/>
    <col width="13.21875" customWidth="1" style="38" min="4357" max="4357"/>
    <col width="14.21875" customWidth="1" style="38" min="4358" max="4358"/>
    <col width="12.21875" customWidth="1" style="38" min="4359" max="4359"/>
    <col width="9.21875" customWidth="1" style="38" min="4360" max="4608"/>
    <col width="8.21875" customWidth="1" style="38" min="4609" max="4609"/>
    <col width="70.44140625" bestFit="1" customWidth="1" style="38" min="4610" max="4610"/>
    <col width="11.44140625" customWidth="1" style="38" min="4611" max="4611"/>
    <col width="10.44140625" customWidth="1" style="38" min="4612" max="4612"/>
    <col width="13.21875" customWidth="1" style="38" min="4613" max="4613"/>
    <col width="14.21875" customWidth="1" style="38" min="4614" max="4614"/>
    <col width="12.21875" customWidth="1" style="38" min="4615" max="4615"/>
    <col width="9.21875" customWidth="1" style="38" min="4616" max="4864"/>
    <col width="8.21875" customWidth="1" style="38" min="4865" max="4865"/>
    <col width="70.44140625" bestFit="1" customWidth="1" style="38" min="4866" max="4866"/>
    <col width="11.44140625" customWidth="1" style="38" min="4867" max="4867"/>
    <col width="10.44140625" customWidth="1" style="38" min="4868" max="4868"/>
    <col width="13.21875" customWidth="1" style="38" min="4869" max="4869"/>
    <col width="14.21875" customWidth="1" style="38" min="4870" max="4870"/>
    <col width="12.21875" customWidth="1" style="38" min="4871" max="4871"/>
    <col width="9.21875" customWidth="1" style="38" min="4872" max="5120"/>
    <col width="8.21875" customWidth="1" style="38" min="5121" max="5121"/>
    <col width="70.44140625" bestFit="1" customWidth="1" style="38" min="5122" max="5122"/>
    <col width="11.44140625" customWidth="1" style="38" min="5123" max="5123"/>
    <col width="10.44140625" customWidth="1" style="38" min="5124" max="5124"/>
    <col width="13.21875" customWidth="1" style="38" min="5125" max="5125"/>
    <col width="14.21875" customWidth="1" style="38" min="5126" max="5126"/>
    <col width="12.21875" customWidth="1" style="38" min="5127" max="5127"/>
    <col width="9.21875" customWidth="1" style="38" min="5128" max="5376"/>
    <col width="8.21875" customWidth="1" style="38" min="5377" max="5377"/>
    <col width="70.44140625" bestFit="1" customWidth="1" style="38" min="5378" max="5378"/>
    <col width="11.44140625" customWidth="1" style="38" min="5379" max="5379"/>
    <col width="10.44140625" customWidth="1" style="38" min="5380" max="5380"/>
    <col width="13.21875" customWidth="1" style="38" min="5381" max="5381"/>
    <col width="14.21875" customWidth="1" style="38" min="5382" max="5382"/>
    <col width="12.21875" customWidth="1" style="38" min="5383" max="5383"/>
    <col width="9.21875" customWidth="1" style="38" min="5384" max="5632"/>
    <col width="8.21875" customWidth="1" style="38" min="5633" max="5633"/>
    <col width="70.44140625" bestFit="1" customWidth="1" style="38" min="5634" max="5634"/>
    <col width="11.44140625" customWidth="1" style="38" min="5635" max="5635"/>
    <col width="10.44140625" customWidth="1" style="38" min="5636" max="5636"/>
    <col width="13.21875" customWidth="1" style="38" min="5637" max="5637"/>
    <col width="14.21875" customWidth="1" style="38" min="5638" max="5638"/>
    <col width="12.21875" customWidth="1" style="38" min="5639" max="5639"/>
    <col width="9.21875" customWidth="1" style="38" min="5640" max="5888"/>
    <col width="8.21875" customWidth="1" style="38" min="5889" max="5889"/>
    <col width="70.44140625" bestFit="1" customWidth="1" style="38" min="5890" max="5890"/>
    <col width="11.44140625" customWidth="1" style="38" min="5891" max="5891"/>
    <col width="10.44140625" customWidth="1" style="38" min="5892" max="5892"/>
    <col width="13.21875" customWidth="1" style="38" min="5893" max="5893"/>
    <col width="14.21875" customWidth="1" style="38" min="5894" max="5894"/>
    <col width="12.21875" customWidth="1" style="38" min="5895" max="5895"/>
    <col width="9.21875" customWidth="1" style="38" min="5896" max="6144"/>
    <col width="8.21875" customWidth="1" style="38" min="6145" max="6145"/>
    <col width="70.44140625" bestFit="1" customWidth="1" style="38" min="6146" max="6146"/>
    <col width="11.44140625" customWidth="1" style="38" min="6147" max="6147"/>
    <col width="10.44140625" customWidth="1" style="38" min="6148" max="6148"/>
    <col width="13.21875" customWidth="1" style="38" min="6149" max="6149"/>
    <col width="14.21875" customWidth="1" style="38" min="6150" max="6150"/>
    <col width="12.21875" customWidth="1" style="38" min="6151" max="6151"/>
    <col width="9.21875" customWidth="1" style="38" min="6152" max="6400"/>
    <col width="8.21875" customWidth="1" style="38" min="6401" max="6401"/>
    <col width="70.44140625" bestFit="1" customWidth="1" style="38" min="6402" max="6402"/>
    <col width="11.44140625" customWidth="1" style="38" min="6403" max="6403"/>
    <col width="10.44140625" customWidth="1" style="38" min="6404" max="6404"/>
    <col width="13.21875" customWidth="1" style="38" min="6405" max="6405"/>
    <col width="14.21875" customWidth="1" style="38" min="6406" max="6406"/>
    <col width="12.21875" customWidth="1" style="38" min="6407" max="6407"/>
    <col width="9.21875" customWidth="1" style="38" min="6408" max="6656"/>
    <col width="8.21875" customWidth="1" style="38" min="6657" max="6657"/>
    <col width="70.44140625" bestFit="1" customWidth="1" style="38" min="6658" max="6658"/>
    <col width="11.44140625" customWidth="1" style="38" min="6659" max="6659"/>
    <col width="10.44140625" customWidth="1" style="38" min="6660" max="6660"/>
    <col width="13.21875" customWidth="1" style="38" min="6661" max="6661"/>
    <col width="14.21875" customWidth="1" style="38" min="6662" max="6662"/>
    <col width="12.21875" customWidth="1" style="38" min="6663" max="6663"/>
    <col width="9.21875" customWidth="1" style="38" min="6664" max="6912"/>
    <col width="8.21875" customWidth="1" style="38" min="6913" max="6913"/>
    <col width="70.44140625" bestFit="1" customWidth="1" style="38" min="6914" max="6914"/>
    <col width="11.44140625" customWidth="1" style="38" min="6915" max="6915"/>
    <col width="10.44140625" customWidth="1" style="38" min="6916" max="6916"/>
    <col width="13.21875" customWidth="1" style="38" min="6917" max="6917"/>
    <col width="14.21875" customWidth="1" style="38" min="6918" max="6918"/>
    <col width="12.21875" customWidth="1" style="38" min="6919" max="6919"/>
    <col width="9.21875" customWidth="1" style="38" min="6920" max="7168"/>
    <col width="8.21875" customWidth="1" style="38" min="7169" max="7169"/>
    <col width="70.44140625" bestFit="1" customWidth="1" style="38" min="7170" max="7170"/>
    <col width="11.44140625" customWidth="1" style="38" min="7171" max="7171"/>
    <col width="10.44140625" customWidth="1" style="38" min="7172" max="7172"/>
    <col width="13.21875" customWidth="1" style="38" min="7173" max="7173"/>
    <col width="14.21875" customWidth="1" style="38" min="7174" max="7174"/>
    <col width="12.21875" customWidth="1" style="38" min="7175" max="7175"/>
    <col width="9.21875" customWidth="1" style="38" min="7176" max="7424"/>
    <col width="8.21875" customWidth="1" style="38" min="7425" max="7425"/>
    <col width="70.44140625" bestFit="1" customWidth="1" style="38" min="7426" max="7426"/>
    <col width="11.44140625" customWidth="1" style="38" min="7427" max="7427"/>
    <col width="10.44140625" customWidth="1" style="38" min="7428" max="7428"/>
    <col width="13.21875" customWidth="1" style="38" min="7429" max="7429"/>
    <col width="14.21875" customWidth="1" style="38" min="7430" max="7430"/>
    <col width="12.21875" customWidth="1" style="38" min="7431" max="7431"/>
    <col width="9.21875" customWidth="1" style="38" min="7432" max="7680"/>
    <col width="8.21875" customWidth="1" style="38" min="7681" max="7681"/>
    <col width="70.44140625" bestFit="1" customWidth="1" style="38" min="7682" max="7682"/>
    <col width="11.44140625" customWidth="1" style="38" min="7683" max="7683"/>
    <col width="10.44140625" customWidth="1" style="38" min="7684" max="7684"/>
    <col width="13.21875" customWidth="1" style="38" min="7685" max="7685"/>
    <col width="14.21875" customWidth="1" style="38" min="7686" max="7686"/>
    <col width="12.21875" customWidth="1" style="38" min="7687" max="7687"/>
    <col width="9.21875" customWidth="1" style="38" min="7688" max="7936"/>
    <col width="8.21875" customWidth="1" style="38" min="7937" max="7937"/>
    <col width="70.44140625" bestFit="1" customWidth="1" style="38" min="7938" max="7938"/>
    <col width="11.44140625" customWidth="1" style="38" min="7939" max="7939"/>
    <col width="10.44140625" customWidth="1" style="38" min="7940" max="7940"/>
    <col width="13.21875" customWidth="1" style="38" min="7941" max="7941"/>
    <col width="14.21875" customWidth="1" style="38" min="7942" max="7942"/>
    <col width="12.21875" customWidth="1" style="38" min="7943" max="7943"/>
    <col width="9.21875" customWidth="1" style="38" min="7944" max="8192"/>
    <col width="8.21875" customWidth="1" style="38" min="8193" max="8193"/>
    <col width="70.44140625" bestFit="1" customWidth="1" style="38" min="8194" max="8194"/>
    <col width="11.44140625" customWidth="1" style="38" min="8195" max="8195"/>
    <col width="10.44140625" customWidth="1" style="38" min="8196" max="8196"/>
    <col width="13.21875" customWidth="1" style="38" min="8197" max="8197"/>
    <col width="14.21875" customWidth="1" style="38" min="8198" max="8198"/>
    <col width="12.21875" customWidth="1" style="38" min="8199" max="8199"/>
    <col width="9.21875" customWidth="1" style="38" min="8200" max="8448"/>
    <col width="8.21875" customWidth="1" style="38" min="8449" max="8449"/>
    <col width="70.44140625" bestFit="1" customWidth="1" style="38" min="8450" max="8450"/>
    <col width="11.44140625" customWidth="1" style="38" min="8451" max="8451"/>
    <col width="10.44140625" customWidth="1" style="38" min="8452" max="8452"/>
    <col width="13.21875" customWidth="1" style="38" min="8453" max="8453"/>
    <col width="14.21875" customWidth="1" style="38" min="8454" max="8454"/>
    <col width="12.21875" customWidth="1" style="38" min="8455" max="8455"/>
    <col width="9.21875" customWidth="1" style="38" min="8456" max="8704"/>
    <col width="8.21875" customWidth="1" style="38" min="8705" max="8705"/>
    <col width="70.44140625" bestFit="1" customWidth="1" style="38" min="8706" max="8706"/>
    <col width="11.44140625" customWidth="1" style="38" min="8707" max="8707"/>
    <col width="10.44140625" customWidth="1" style="38" min="8708" max="8708"/>
    <col width="13.21875" customWidth="1" style="38" min="8709" max="8709"/>
    <col width="14.21875" customWidth="1" style="38" min="8710" max="8710"/>
    <col width="12.21875" customWidth="1" style="38" min="8711" max="8711"/>
    <col width="9.21875" customWidth="1" style="38" min="8712" max="8960"/>
    <col width="8.21875" customWidth="1" style="38" min="8961" max="8961"/>
    <col width="70.44140625" bestFit="1" customWidth="1" style="38" min="8962" max="8962"/>
    <col width="11.44140625" customWidth="1" style="38" min="8963" max="8963"/>
    <col width="10.44140625" customWidth="1" style="38" min="8964" max="8964"/>
    <col width="13.21875" customWidth="1" style="38" min="8965" max="8965"/>
    <col width="14.21875" customWidth="1" style="38" min="8966" max="8966"/>
    <col width="12.21875" customWidth="1" style="38" min="8967" max="8967"/>
    <col width="9.21875" customWidth="1" style="38" min="8968" max="9216"/>
    <col width="8.21875" customWidth="1" style="38" min="9217" max="9217"/>
    <col width="70.44140625" bestFit="1" customWidth="1" style="38" min="9218" max="9218"/>
    <col width="11.44140625" customWidth="1" style="38" min="9219" max="9219"/>
    <col width="10.44140625" customWidth="1" style="38" min="9220" max="9220"/>
    <col width="13.21875" customWidth="1" style="38" min="9221" max="9221"/>
    <col width="14.21875" customWidth="1" style="38" min="9222" max="9222"/>
    <col width="12.21875" customWidth="1" style="38" min="9223" max="9223"/>
    <col width="9.21875" customWidth="1" style="38" min="9224" max="9472"/>
    <col width="8.21875" customWidth="1" style="38" min="9473" max="9473"/>
    <col width="70.44140625" bestFit="1" customWidth="1" style="38" min="9474" max="9474"/>
    <col width="11.44140625" customWidth="1" style="38" min="9475" max="9475"/>
    <col width="10.44140625" customWidth="1" style="38" min="9476" max="9476"/>
    <col width="13.21875" customWidth="1" style="38" min="9477" max="9477"/>
    <col width="14.21875" customWidth="1" style="38" min="9478" max="9478"/>
    <col width="12.21875" customWidth="1" style="38" min="9479" max="9479"/>
    <col width="9.21875" customWidth="1" style="38" min="9480" max="9728"/>
    <col width="8.21875" customWidth="1" style="38" min="9729" max="9729"/>
    <col width="70.44140625" bestFit="1" customWidth="1" style="38" min="9730" max="9730"/>
    <col width="11.44140625" customWidth="1" style="38" min="9731" max="9731"/>
    <col width="10.44140625" customWidth="1" style="38" min="9732" max="9732"/>
    <col width="13.21875" customWidth="1" style="38" min="9733" max="9733"/>
    <col width="14.21875" customWidth="1" style="38" min="9734" max="9734"/>
    <col width="12.21875" customWidth="1" style="38" min="9735" max="9735"/>
    <col width="9.21875" customWidth="1" style="38" min="9736" max="9984"/>
    <col width="8.21875" customWidth="1" style="38" min="9985" max="9985"/>
    <col width="70.44140625" bestFit="1" customWidth="1" style="38" min="9986" max="9986"/>
    <col width="11.44140625" customWidth="1" style="38" min="9987" max="9987"/>
    <col width="10.44140625" customWidth="1" style="38" min="9988" max="9988"/>
    <col width="13.21875" customWidth="1" style="38" min="9989" max="9989"/>
    <col width="14.21875" customWidth="1" style="38" min="9990" max="9990"/>
    <col width="12.21875" customWidth="1" style="38" min="9991" max="9991"/>
    <col width="9.21875" customWidth="1" style="38" min="9992" max="10240"/>
    <col width="8.21875" customWidth="1" style="38" min="10241" max="10241"/>
    <col width="70.44140625" bestFit="1" customWidth="1" style="38" min="10242" max="10242"/>
    <col width="11.44140625" customWidth="1" style="38" min="10243" max="10243"/>
    <col width="10.44140625" customWidth="1" style="38" min="10244" max="10244"/>
    <col width="13.21875" customWidth="1" style="38" min="10245" max="10245"/>
    <col width="14.21875" customWidth="1" style="38" min="10246" max="10246"/>
    <col width="12.21875" customWidth="1" style="38" min="10247" max="10247"/>
    <col width="9.21875" customWidth="1" style="38" min="10248" max="10496"/>
    <col width="8.21875" customWidth="1" style="38" min="10497" max="10497"/>
    <col width="70.44140625" bestFit="1" customWidth="1" style="38" min="10498" max="10498"/>
    <col width="11.44140625" customWidth="1" style="38" min="10499" max="10499"/>
    <col width="10.44140625" customWidth="1" style="38" min="10500" max="10500"/>
    <col width="13.21875" customWidth="1" style="38" min="10501" max="10501"/>
    <col width="14.21875" customWidth="1" style="38" min="10502" max="10502"/>
    <col width="12.21875" customWidth="1" style="38" min="10503" max="10503"/>
    <col width="9.21875" customWidth="1" style="38" min="10504" max="10752"/>
    <col width="8.21875" customWidth="1" style="38" min="10753" max="10753"/>
    <col width="70.44140625" bestFit="1" customWidth="1" style="38" min="10754" max="10754"/>
    <col width="11.44140625" customWidth="1" style="38" min="10755" max="10755"/>
    <col width="10.44140625" customWidth="1" style="38" min="10756" max="10756"/>
    <col width="13.21875" customWidth="1" style="38" min="10757" max="10757"/>
    <col width="14.21875" customWidth="1" style="38" min="10758" max="10758"/>
    <col width="12.21875" customWidth="1" style="38" min="10759" max="10759"/>
    <col width="9.21875" customWidth="1" style="38" min="10760" max="11008"/>
    <col width="8.21875" customWidth="1" style="38" min="11009" max="11009"/>
    <col width="70.44140625" bestFit="1" customWidth="1" style="38" min="11010" max="11010"/>
    <col width="11.44140625" customWidth="1" style="38" min="11011" max="11011"/>
    <col width="10.44140625" customWidth="1" style="38" min="11012" max="11012"/>
    <col width="13.21875" customWidth="1" style="38" min="11013" max="11013"/>
    <col width="14.21875" customWidth="1" style="38" min="11014" max="11014"/>
    <col width="12.21875" customWidth="1" style="38" min="11015" max="11015"/>
    <col width="9.21875" customWidth="1" style="38" min="11016" max="11264"/>
    <col width="8.21875" customWidth="1" style="38" min="11265" max="11265"/>
    <col width="70.44140625" bestFit="1" customWidth="1" style="38" min="11266" max="11266"/>
    <col width="11.44140625" customWidth="1" style="38" min="11267" max="11267"/>
    <col width="10.44140625" customWidth="1" style="38" min="11268" max="11268"/>
    <col width="13.21875" customWidth="1" style="38" min="11269" max="11269"/>
    <col width="14.21875" customWidth="1" style="38" min="11270" max="11270"/>
    <col width="12.21875" customWidth="1" style="38" min="11271" max="11271"/>
    <col width="9.21875" customWidth="1" style="38" min="11272" max="11520"/>
    <col width="8.21875" customWidth="1" style="38" min="11521" max="11521"/>
    <col width="70.44140625" bestFit="1" customWidth="1" style="38" min="11522" max="11522"/>
    <col width="11.44140625" customWidth="1" style="38" min="11523" max="11523"/>
    <col width="10.44140625" customWidth="1" style="38" min="11524" max="11524"/>
    <col width="13.21875" customWidth="1" style="38" min="11525" max="11525"/>
    <col width="14.21875" customWidth="1" style="38" min="11526" max="11526"/>
    <col width="12.21875" customWidth="1" style="38" min="11527" max="11527"/>
    <col width="9.21875" customWidth="1" style="38" min="11528" max="11776"/>
    <col width="8.21875" customWidth="1" style="38" min="11777" max="11777"/>
    <col width="70.44140625" bestFit="1" customWidth="1" style="38" min="11778" max="11778"/>
    <col width="11.44140625" customWidth="1" style="38" min="11779" max="11779"/>
    <col width="10.44140625" customWidth="1" style="38" min="11780" max="11780"/>
    <col width="13.21875" customWidth="1" style="38" min="11781" max="11781"/>
    <col width="14.21875" customWidth="1" style="38" min="11782" max="11782"/>
    <col width="12.21875" customWidth="1" style="38" min="11783" max="11783"/>
    <col width="9.21875" customWidth="1" style="38" min="11784" max="12032"/>
    <col width="8.21875" customWidth="1" style="38" min="12033" max="12033"/>
    <col width="70.44140625" bestFit="1" customWidth="1" style="38" min="12034" max="12034"/>
    <col width="11.44140625" customWidth="1" style="38" min="12035" max="12035"/>
    <col width="10.44140625" customWidth="1" style="38" min="12036" max="12036"/>
    <col width="13.21875" customWidth="1" style="38" min="12037" max="12037"/>
    <col width="14.21875" customWidth="1" style="38" min="12038" max="12038"/>
    <col width="12.21875" customWidth="1" style="38" min="12039" max="12039"/>
    <col width="9.21875" customWidth="1" style="38" min="12040" max="12288"/>
    <col width="8.21875" customWidth="1" style="38" min="12289" max="12289"/>
    <col width="70.44140625" bestFit="1" customWidth="1" style="38" min="12290" max="12290"/>
    <col width="11.44140625" customWidth="1" style="38" min="12291" max="12291"/>
    <col width="10.44140625" customWidth="1" style="38" min="12292" max="12292"/>
    <col width="13.21875" customWidth="1" style="38" min="12293" max="12293"/>
    <col width="14.21875" customWidth="1" style="38" min="12294" max="12294"/>
    <col width="12.21875" customWidth="1" style="38" min="12295" max="12295"/>
    <col width="9.21875" customWidth="1" style="38" min="12296" max="12544"/>
    <col width="8.21875" customWidth="1" style="38" min="12545" max="12545"/>
    <col width="70.44140625" bestFit="1" customWidth="1" style="38" min="12546" max="12546"/>
    <col width="11.44140625" customWidth="1" style="38" min="12547" max="12547"/>
    <col width="10.44140625" customWidth="1" style="38" min="12548" max="12548"/>
    <col width="13.21875" customWidth="1" style="38" min="12549" max="12549"/>
    <col width="14.21875" customWidth="1" style="38" min="12550" max="12550"/>
    <col width="12.21875" customWidth="1" style="38" min="12551" max="12551"/>
    <col width="9.21875" customWidth="1" style="38" min="12552" max="12800"/>
    <col width="8.21875" customWidth="1" style="38" min="12801" max="12801"/>
    <col width="70.44140625" bestFit="1" customWidth="1" style="38" min="12802" max="12802"/>
    <col width="11.44140625" customWidth="1" style="38" min="12803" max="12803"/>
    <col width="10.44140625" customWidth="1" style="38" min="12804" max="12804"/>
    <col width="13.21875" customWidth="1" style="38" min="12805" max="12805"/>
    <col width="14.21875" customWidth="1" style="38" min="12806" max="12806"/>
    <col width="12.21875" customWidth="1" style="38" min="12807" max="12807"/>
    <col width="9.21875" customWidth="1" style="38" min="12808" max="13056"/>
    <col width="8.21875" customWidth="1" style="38" min="13057" max="13057"/>
    <col width="70.44140625" bestFit="1" customWidth="1" style="38" min="13058" max="13058"/>
    <col width="11.44140625" customWidth="1" style="38" min="13059" max="13059"/>
    <col width="10.44140625" customWidth="1" style="38" min="13060" max="13060"/>
    <col width="13.21875" customWidth="1" style="38" min="13061" max="13061"/>
    <col width="14.21875" customWidth="1" style="38" min="13062" max="13062"/>
    <col width="12.21875" customWidth="1" style="38" min="13063" max="13063"/>
    <col width="9.21875" customWidth="1" style="38" min="13064" max="13312"/>
    <col width="8.21875" customWidth="1" style="38" min="13313" max="13313"/>
    <col width="70.44140625" bestFit="1" customWidth="1" style="38" min="13314" max="13314"/>
    <col width="11.44140625" customWidth="1" style="38" min="13315" max="13315"/>
    <col width="10.44140625" customWidth="1" style="38" min="13316" max="13316"/>
    <col width="13.21875" customWidth="1" style="38" min="13317" max="13317"/>
    <col width="14.21875" customWidth="1" style="38" min="13318" max="13318"/>
    <col width="12.21875" customWidth="1" style="38" min="13319" max="13319"/>
    <col width="9.21875" customWidth="1" style="38" min="13320" max="13568"/>
    <col width="8.21875" customWidth="1" style="38" min="13569" max="13569"/>
    <col width="70.44140625" bestFit="1" customWidth="1" style="38" min="13570" max="13570"/>
    <col width="11.44140625" customWidth="1" style="38" min="13571" max="13571"/>
    <col width="10.44140625" customWidth="1" style="38" min="13572" max="13572"/>
    <col width="13.21875" customWidth="1" style="38" min="13573" max="13573"/>
    <col width="14.21875" customWidth="1" style="38" min="13574" max="13574"/>
    <col width="12.21875" customWidth="1" style="38" min="13575" max="13575"/>
    <col width="9.21875" customWidth="1" style="38" min="13576" max="13824"/>
    <col width="8.21875" customWidth="1" style="38" min="13825" max="13825"/>
    <col width="70.44140625" bestFit="1" customWidth="1" style="38" min="13826" max="13826"/>
    <col width="11.44140625" customWidth="1" style="38" min="13827" max="13827"/>
    <col width="10.44140625" customWidth="1" style="38" min="13828" max="13828"/>
    <col width="13.21875" customWidth="1" style="38" min="13829" max="13829"/>
    <col width="14.21875" customWidth="1" style="38" min="13830" max="13830"/>
    <col width="12.21875" customWidth="1" style="38" min="13831" max="13831"/>
    <col width="9.21875" customWidth="1" style="38" min="13832" max="14080"/>
    <col width="8.21875" customWidth="1" style="38" min="14081" max="14081"/>
    <col width="70.44140625" bestFit="1" customWidth="1" style="38" min="14082" max="14082"/>
    <col width="11.44140625" customWidth="1" style="38" min="14083" max="14083"/>
    <col width="10.44140625" customWidth="1" style="38" min="14084" max="14084"/>
    <col width="13.21875" customWidth="1" style="38" min="14085" max="14085"/>
    <col width="14.21875" customWidth="1" style="38" min="14086" max="14086"/>
    <col width="12.21875" customWidth="1" style="38" min="14087" max="14087"/>
    <col width="9.21875" customWidth="1" style="38" min="14088" max="14336"/>
    <col width="8.21875" customWidth="1" style="38" min="14337" max="14337"/>
    <col width="70.44140625" bestFit="1" customWidth="1" style="38" min="14338" max="14338"/>
    <col width="11.44140625" customWidth="1" style="38" min="14339" max="14339"/>
    <col width="10.44140625" customWidth="1" style="38" min="14340" max="14340"/>
    <col width="13.21875" customWidth="1" style="38" min="14341" max="14341"/>
    <col width="14.21875" customWidth="1" style="38" min="14342" max="14342"/>
    <col width="12.21875" customWidth="1" style="38" min="14343" max="14343"/>
    <col width="9.21875" customWidth="1" style="38" min="14344" max="14592"/>
    <col width="8.21875" customWidth="1" style="38" min="14593" max="14593"/>
    <col width="70.44140625" bestFit="1" customWidth="1" style="38" min="14594" max="14594"/>
    <col width="11.44140625" customWidth="1" style="38" min="14595" max="14595"/>
    <col width="10.44140625" customWidth="1" style="38" min="14596" max="14596"/>
    <col width="13.21875" customWidth="1" style="38" min="14597" max="14597"/>
    <col width="14.21875" customWidth="1" style="38" min="14598" max="14598"/>
    <col width="12.21875" customWidth="1" style="38" min="14599" max="14599"/>
    <col width="9.21875" customWidth="1" style="38" min="14600" max="14848"/>
    <col width="8.21875" customWidth="1" style="38" min="14849" max="14849"/>
    <col width="70.44140625" bestFit="1" customWidth="1" style="38" min="14850" max="14850"/>
    <col width="11.44140625" customWidth="1" style="38" min="14851" max="14851"/>
    <col width="10.44140625" customWidth="1" style="38" min="14852" max="14852"/>
    <col width="13.21875" customWidth="1" style="38" min="14853" max="14853"/>
    <col width="14.21875" customWidth="1" style="38" min="14854" max="14854"/>
    <col width="12.21875" customWidth="1" style="38" min="14855" max="14855"/>
    <col width="9.21875" customWidth="1" style="38" min="14856" max="15104"/>
    <col width="8.21875" customWidth="1" style="38" min="15105" max="15105"/>
    <col width="70.44140625" bestFit="1" customWidth="1" style="38" min="15106" max="15106"/>
    <col width="11.44140625" customWidth="1" style="38" min="15107" max="15107"/>
    <col width="10.44140625" customWidth="1" style="38" min="15108" max="15108"/>
    <col width="13.21875" customWidth="1" style="38" min="15109" max="15109"/>
    <col width="14.21875" customWidth="1" style="38" min="15110" max="15110"/>
    <col width="12.21875" customWidth="1" style="38" min="15111" max="15111"/>
    <col width="9.21875" customWidth="1" style="38" min="15112" max="15360"/>
    <col width="8.21875" customWidth="1" style="38" min="15361" max="15361"/>
    <col width="70.44140625" bestFit="1" customWidth="1" style="38" min="15362" max="15362"/>
    <col width="11.44140625" customWidth="1" style="38" min="15363" max="15363"/>
    <col width="10.44140625" customWidth="1" style="38" min="15364" max="15364"/>
    <col width="13.21875" customWidth="1" style="38" min="15365" max="15365"/>
    <col width="14.21875" customWidth="1" style="38" min="15366" max="15366"/>
    <col width="12.21875" customWidth="1" style="38" min="15367" max="15367"/>
    <col width="9.21875" customWidth="1" style="38" min="15368" max="15616"/>
    <col width="8.21875" customWidth="1" style="38" min="15617" max="15617"/>
    <col width="70.44140625" bestFit="1" customWidth="1" style="38" min="15618" max="15618"/>
    <col width="11.44140625" customWidth="1" style="38" min="15619" max="15619"/>
    <col width="10.44140625" customWidth="1" style="38" min="15620" max="15620"/>
    <col width="13.21875" customWidth="1" style="38" min="15621" max="15621"/>
    <col width="14.21875" customWidth="1" style="38" min="15622" max="15622"/>
    <col width="12.21875" customWidth="1" style="38" min="15623" max="15623"/>
    <col width="9.21875" customWidth="1" style="38" min="15624" max="15872"/>
    <col width="8.21875" customWidth="1" style="38" min="15873" max="15873"/>
    <col width="70.44140625" bestFit="1" customWidth="1" style="38" min="15874" max="15874"/>
    <col width="11.44140625" customWidth="1" style="38" min="15875" max="15875"/>
    <col width="10.44140625" customWidth="1" style="38" min="15876" max="15876"/>
    <col width="13.21875" customWidth="1" style="38" min="15877" max="15877"/>
    <col width="14.21875" customWidth="1" style="38" min="15878" max="15878"/>
    <col width="12.21875" customWidth="1" style="38" min="15879" max="15879"/>
    <col width="9.21875" customWidth="1" style="38" min="15880" max="16128"/>
    <col width="8.21875" customWidth="1" style="38" min="16129" max="16129"/>
    <col width="70.44140625" bestFit="1" customWidth="1" style="38" min="16130" max="16130"/>
    <col width="11.44140625" customWidth="1" style="38" min="16131" max="16131"/>
    <col width="10.44140625" customWidth="1" style="38" min="16132" max="16132"/>
    <col width="13.21875" customWidth="1" style="38" min="16133" max="16133"/>
    <col width="14.21875" customWidth="1" style="38" min="16134" max="16134"/>
    <col width="12.21875" customWidth="1" style="38" min="16135" max="16135"/>
    <col width="9.21875" customWidth="1" style="38" min="16136" max="16384"/>
  </cols>
  <sheetData>
    <row r="1">
      <c r="A1" s="42" t="n"/>
      <c r="C1" s="42" t="n"/>
      <c r="D1" s="42" t="n"/>
      <c r="E1" s="588" t="n"/>
      <c r="F1" s="588" t="n"/>
    </row>
    <row r="2">
      <c r="A2" s="42" t="n"/>
      <c r="C2" s="42" t="n"/>
      <c r="D2" s="42" t="n"/>
      <c r="E2" s="588" t="n"/>
      <c r="F2" s="588" t="n"/>
    </row>
    <row r="3">
      <c r="A3" s="42" t="n"/>
      <c r="B3" s="505" t="inlineStr">
        <is>
          <t>INCLUDING GST (UNLESS NOTED OTHERWISE)</t>
        </is>
      </c>
    </row>
    <row r="4" ht="10.8" customHeight="1" thickBot="1">
      <c r="A4" s="42" t="n"/>
      <c r="C4" s="42" t="n"/>
      <c r="D4" s="42" t="n"/>
      <c r="E4" s="588" t="n"/>
      <c r="F4" s="588" t="n"/>
    </row>
    <row r="5" ht="13.95" customHeight="1" thickBot="1">
      <c r="A5" s="42" t="n"/>
      <c r="B5" s="486" t="inlineStr">
        <is>
          <t>TCS Accomodation Rates &amp; Costs</t>
        </is>
      </c>
      <c r="C5" s="586" t="n"/>
      <c r="D5" s="586" t="n"/>
      <c r="E5" s="586" t="n"/>
      <c r="F5" s="586" t="n"/>
      <c r="G5" s="100" t="n"/>
    </row>
    <row r="6" ht="10.8" customHeight="1" thickBot="1">
      <c r="A6" s="42" t="n"/>
      <c r="B6" s="87" t="inlineStr">
        <is>
          <t xml:space="preserve">Hotel / Motel </t>
        </is>
      </c>
      <c r="C6" s="689" t="inlineStr">
        <is>
          <t>Sngl Night</t>
        </is>
      </c>
      <c r="D6" s="689" t="inlineStr">
        <is>
          <t>Week</t>
        </is>
      </c>
      <c r="E6" s="689" t="inlineStr">
        <is>
          <t>Month</t>
        </is>
      </c>
      <c r="F6" s="686" t="inlineStr">
        <is>
          <t>Qtr</t>
        </is>
      </c>
      <c r="G6" s="90" t="n"/>
    </row>
    <row r="7">
      <c r="A7" s="42" t="n"/>
      <c r="B7" s="113" t="inlineStr">
        <is>
          <t>1 x Unit, 1 x Room</t>
        </is>
      </c>
      <c r="C7" s="115" t="inlineStr">
        <is>
          <t>Motel Unit</t>
        </is>
      </c>
      <c r="D7" s="207" t="inlineStr">
        <is>
          <t>Private Unit</t>
        </is>
      </c>
      <c r="E7" s="88" t="n"/>
      <c r="F7" s="89" t="n"/>
      <c r="K7" s="685" t="n"/>
    </row>
    <row r="8">
      <c r="A8" s="42" t="inlineStr">
        <is>
          <t>Hidden</t>
        </is>
      </c>
      <c r="B8" s="113" t="inlineStr">
        <is>
          <t>No. of persons stayng;</t>
        </is>
      </c>
      <c r="C8" s="115" t="n">
        <v>1</v>
      </c>
      <c r="D8" s="88" t="n"/>
      <c r="E8" s="88" t="n"/>
      <c r="F8" s="89" t="n"/>
      <c r="K8" s="685" t="n"/>
    </row>
    <row r="9" hidden="1">
      <c r="A9" s="42" t="n"/>
      <c r="B9" s="90" t="inlineStr">
        <is>
          <t>Furnished</t>
        </is>
      </c>
      <c r="C9" s="690" t="inlineStr">
        <is>
          <t>YES</t>
        </is>
      </c>
      <c r="D9" s="682" t="n"/>
      <c r="E9" s="691" t="n"/>
      <c r="F9" s="683" t="n"/>
      <c r="G9" s="685" t="n"/>
    </row>
    <row r="10" hidden="1">
      <c r="A10" s="42" t="n"/>
      <c r="B10" s="90" t="inlineStr">
        <is>
          <t>*Serviced</t>
        </is>
      </c>
      <c r="C10" s="690" t="inlineStr">
        <is>
          <t>YES</t>
        </is>
      </c>
      <c r="D10" s="682" t="n"/>
      <c r="E10" s="691" t="n"/>
      <c r="F10" s="683" t="n"/>
      <c r="G10" s="685" t="n"/>
    </row>
    <row r="11" hidden="1">
      <c r="A11" s="42" t="n"/>
      <c r="B11" s="90" t="inlineStr">
        <is>
          <t>Individual/Private BATHROOM</t>
        </is>
      </c>
      <c r="C11" s="690" t="inlineStr">
        <is>
          <t>YES</t>
        </is>
      </c>
      <c r="D11" s="682" t="n"/>
      <c r="E11" s="691" t="n"/>
      <c r="F11" s="683" t="n"/>
      <c r="G11" s="685" t="n"/>
    </row>
    <row r="12" hidden="1">
      <c r="A12" s="42" t="n"/>
      <c r="B12" s="90" t="inlineStr">
        <is>
          <t>Individual/Private KITCHEN (Cooking) Faciliities Available - Microwave min.</t>
        </is>
      </c>
      <c r="C12" s="690" t="inlineStr">
        <is>
          <t>YES</t>
        </is>
      </c>
      <c r="D12" s="682" t="n"/>
      <c r="E12" s="691" t="n"/>
      <c r="F12" s="683" t="n"/>
      <c r="G12" s="685" t="n"/>
    </row>
    <row r="13" hidden="1">
      <c r="A13" s="42" t="n"/>
      <c r="B13" s="90" t="inlineStr">
        <is>
          <t>Individual/Private LAUNDRY Facilities Available</t>
        </is>
      </c>
      <c r="C13" s="690" t="inlineStr">
        <is>
          <t>YES</t>
        </is>
      </c>
      <c r="D13" s="682" t="n"/>
      <c r="E13" s="691" t="n"/>
      <c r="F13" s="683" t="n"/>
      <c r="G13" s="685" t="n"/>
    </row>
    <row r="14" hidden="1">
      <c r="A14" s="42" t="n"/>
      <c r="B14" s="90" t="inlineStr">
        <is>
          <t>Individual/Private LOUNGE ROOM Facilities Available</t>
        </is>
      </c>
      <c r="C14" s="690" t="inlineStr">
        <is>
          <t>YES</t>
        </is>
      </c>
      <c r="D14" s="682" t="n"/>
      <c r="E14" s="691" t="n"/>
      <c r="F14" s="683" t="n"/>
      <c r="G14" s="685" t="n"/>
    </row>
    <row r="15" hidden="1">
      <c r="A15" s="42" t="n"/>
      <c r="B15" s="90" t="n"/>
      <c r="C15" s="682" t="n"/>
      <c r="D15" s="682" t="n"/>
      <c r="E15" s="691" t="n"/>
      <c r="F15" s="683" t="n"/>
      <c r="G15" s="685" t="n"/>
    </row>
    <row r="16" hidden="1">
      <c r="A16" s="42" t="n"/>
      <c r="B16" s="90" t="n"/>
      <c r="C16" s="689" t="inlineStr">
        <is>
          <t>Sngl Night</t>
        </is>
      </c>
      <c r="D16" s="689" t="inlineStr">
        <is>
          <t>Week</t>
        </is>
      </c>
      <c r="E16" s="689" t="inlineStr">
        <is>
          <t>Month</t>
        </is>
      </c>
      <c r="F16" s="686" t="inlineStr">
        <is>
          <t>Qtr</t>
        </is>
      </c>
      <c r="G16" s="685" t="n"/>
    </row>
    <row r="17" hidden="1">
      <c r="A17" s="42" t="n"/>
      <c r="B17" s="94" t="inlineStr">
        <is>
          <t xml:space="preserve">Total Booking Cost </t>
        </is>
      </c>
      <c r="C17" s="682">
        <f>D17/7</f>
        <v/>
      </c>
      <c r="D17" s="691" t="n">
        <v>790</v>
      </c>
      <c r="E17" s="682">
        <f>D17*4</f>
        <v/>
      </c>
      <c r="F17" s="683">
        <f>E17*3</f>
        <v/>
      </c>
      <c r="G17" s="685" t="n"/>
      <c r="H17" s="685" t="n"/>
    </row>
    <row r="18" hidden="1">
      <c r="A18" s="42" t="n"/>
      <c r="B18" s="94" t="n"/>
      <c r="C18" s="682" t="n"/>
      <c r="D18" s="691" t="n"/>
      <c r="E18" s="682" t="n"/>
      <c r="F18" s="683" t="n"/>
      <c r="G18" s="685" t="n"/>
    </row>
    <row r="19" hidden="1">
      <c r="A19" s="42" t="n"/>
      <c r="B19" s="112" t="inlineStr">
        <is>
          <t>TCS Housing Consumables; …..</t>
        </is>
      </c>
      <c r="C19" s="682">
        <f>D19/7</f>
        <v/>
      </c>
      <c r="D19" s="691" t="n">
        <v>0</v>
      </c>
      <c r="E19" s="682">
        <f>D19*4</f>
        <v/>
      </c>
      <c r="F19" s="683">
        <f>E19*3</f>
        <v/>
      </c>
      <c r="G19" s="685" t="n"/>
    </row>
    <row r="20" hidden="1">
      <c r="A20" s="42" t="n"/>
      <c r="B20" s="112" t="inlineStr">
        <is>
          <t>TCS Laundry Allowance..?</t>
        </is>
      </c>
      <c r="C20" s="682">
        <f>D20/7</f>
        <v/>
      </c>
      <c r="D20" s="691" t="n">
        <v>0</v>
      </c>
      <c r="E20" s="682">
        <f>D20*4</f>
        <v/>
      </c>
      <c r="F20" s="683">
        <f>E20*3</f>
        <v/>
      </c>
      <c r="G20" s="685" t="n"/>
    </row>
    <row r="21" hidden="1">
      <c r="A21" s="42" t="n"/>
      <c r="B21" s="112" t="inlineStr">
        <is>
          <t>TCS Additional Meals Allowance (If no cooking Facilities?)</t>
        </is>
      </c>
      <c r="C21" s="682">
        <f>D21/7</f>
        <v/>
      </c>
      <c r="D21" s="691" t="n">
        <v>0</v>
      </c>
      <c r="E21" s="682">
        <f>D21*4</f>
        <v/>
      </c>
      <c r="F21" s="683">
        <f>E21*3</f>
        <v/>
      </c>
      <c r="G21" s="685" t="n"/>
    </row>
    <row r="22" hidden="1">
      <c r="A22" s="42" t="n"/>
      <c r="B22" s="112" t="inlineStr">
        <is>
          <t>TCS Furnishings?</t>
        </is>
      </c>
      <c r="C22" s="682">
        <f>D22/7</f>
        <v/>
      </c>
      <c r="D22" s="691" t="n">
        <v>0</v>
      </c>
      <c r="E22" s="682">
        <f>D22*4</f>
        <v/>
      </c>
      <c r="F22" s="683">
        <f>E22*3</f>
        <v/>
      </c>
      <c r="G22" s="685" t="n"/>
    </row>
    <row r="23" hidden="1">
      <c r="A23" s="42" t="n"/>
      <c r="B23" s="112" t="inlineStr">
        <is>
          <t>TCS Cleaning/Servincing Allowance?</t>
        </is>
      </c>
      <c r="C23" s="682">
        <f>D23/7</f>
        <v/>
      </c>
      <c r="D23" s="691" t="n">
        <v>0</v>
      </c>
      <c r="E23" s="682">
        <f>D23*4</f>
        <v/>
      </c>
      <c r="F23" s="683">
        <f>E23*3</f>
        <v/>
      </c>
      <c r="G23" s="685" t="n"/>
    </row>
    <row r="24" hidden="1">
      <c r="A24" s="42" t="n"/>
      <c r="B24" s="112" t="n"/>
      <c r="C24" s="682" t="n"/>
      <c r="D24" s="691" t="n"/>
      <c r="E24" s="682" t="n"/>
      <c r="F24" s="683" t="n"/>
      <c r="G24" s="685" t="n"/>
    </row>
    <row r="25">
      <c r="A25" s="42" t="n"/>
      <c r="B25" s="94" t="inlineStr">
        <is>
          <t>Total TCS Cost</t>
        </is>
      </c>
      <c r="C25" s="691">
        <f>SUM(C17:C24)</f>
        <v/>
      </c>
      <c r="D25" s="691">
        <f>SUM(D17:D24)</f>
        <v/>
      </c>
      <c r="E25" s="691">
        <f>SUM(E17:E24)</f>
        <v/>
      </c>
      <c r="F25" s="691">
        <f>SUM(F17:F24)</f>
        <v/>
      </c>
      <c r="G25" s="692" t="n"/>
    </row>
    <row r="26">
      <c r="A26" s="42" t="n"/>
      <c r="B26" s="94" t="inlineStr">
        <is>
          <t>Total Cost Per Person</t>
        </is>
      </c>
      <c r="C26" s="682">
        <f>D26/7</f>
        <v/>
      </c>
      <c r="D26" s="691">
        <f>D17/C8</f>
        <v/>
      </c>
      <c r="E26" s="682">
        <f>D26*4</f>
        <v/>
      </c>
      <c r="F26" s="683">
        <f>E26*3</f>
        <v/>
      </c>
      <c r="G26" s="685" t="n"/>
    </row>
    <row r="27" ht="10.8" customHeight="1" thickBot="1">
      <c r="A27" s="42" t="n"/>
      <c r="B27" s="116" t="n"/>
      <c r="C27" s="693" t="n"/>
      <c r="D27" s="693" t="n"/>
      <c r="E27" s="691" t="n"/>
      <c r="F27" s="694" t="n"/>
      <c r="G27" s="685" t="n"/>
    </row>
    <row r="28">
      <c r="A28" s="42" t="n"/>
      <c r="B28" s="266" t="inlineStr">
        <is>
          <t>1 x Unit, 1 x Room</t>
        </is>
      </c>
      <c r="C28" s="267" t="inlineStr">
        <is>
          <t>Motel Unit</t>
        </is>
      </c>
      <c r="D28" s="268" t="inlineStr">
        <is>
          <t>Share Rooms</t>
        </is>
      </c>
      <c r="E28" s="269" t="n"/>
      <c r="F28" s="270" t="n"/>
      <c r="K28" s="685" t="n"/>
    </row>
    <row r="29">
      <c r="A29" s="42" t="inlineStr">
        <is>
          <t>Hidden</t>
        </is>
      </c>
      <c r="B29" s="113" t="inlineStr">
        <is>
          <t>No. of persons stayng;</t>
        </is>
      </c>
      <c r="C29" s="115" t="n">
        <v>2</v>
      </c>
      <c r="D29" s="88" t="n"/>
      <c r="E29" s="88" t="n"/>
      <c r="F29" s="89" t="n"/>
      <c r="K29" s="685" t="n"/>
    </row>
    <row r="30" hidden="1">
      <c r="A30" s="42" t="n"/>
      <c r="B30" s="100" t="n"/>
      <c r="C30" s="88" t="n"/>
      <c r="D30" s="88" t="n"/>
      <c r="E30" s="88" t="n"/>
      <c r="F30" s="89" t="n"/>
      <c r="K30" s="685" t="n"/>
    </row>
    <row r="31" hidden="1">
      <c r="A31" s="42" t="n"/>
      <c r="B31" s="90" t="inlineStr">
        <is>
          <t>Furnished</t>
        </is>
      </c>
      <c r="C31" s="690" t="inlineStr">
        <is>
          <t>YES</t>
        </is>
      </c>
      <c r="D31" s="682" t="n"/>
      <c r="E31" s="691" t="n"/>
      <c r="F31" s="683" t="n"/>
      <c r="G31" s="685" t="n"/>
    </row>
    <row r="32" hidden="1">
      <c r="A32" s="42" t="n"/>
      <c r="B32" s="90" t="inlineStr">
        <is>
          <t>*Serviced</t>
        </is>
      </c>
      <c r="C32" s="690" t="inlineStr">
        <is>
          <t>YES</t>
        </is>
      </c>
      <c r="D32" s="682" t="n"/>
      <c r="E32" s="691" t="n"/>
      <c r="F32" s="683" t="n"/>
      <c r="G32" s="685" t="n"/>
    </row>
    <row r="33" hidden="1">
      <c r="A33" s="42" t="n"/>
      <c r="B33" s="90" t="inlineStr">
        <is>
          <t>Individual/Private BATHROOM</t>
        </is>
      </c>
      <c r="C33" s="695" t="inlineStr">
        <is>
          <t>NO</t>
        </is>
      </c>
      <c r="D33" s="695" t="inlineStr">
        <is>
          <t>Share with Unit</t>
        </is>
      </c>
      <c r="E33" s="691" t="n"/>
      <c r="F33" s="683" t="n"/>
      <c r="G33" s="685" t="n"/>
    </row>
    <row r="34" hidden="1">
      <c r="A34" s="42" t="n"/>
      <c r="B34" s="90" t="inlineStr">
        <is>
          <t>Individual/Private KITCHEN (Cooking) Faciliities Available - Microwave min.</t>
        </is>
      </c>
      <c r="C34" s="695" t="inlineStr">
        <is>
          <t>NO</t>
        </is>
      </c>
      <c r="D34" s="695" t="inlineStr">
        <is>
          <t>Share with Unit</t>
        </is>
      </c>
      <c r="E34" s="691" t="n"/>
      <c r="F34" s="683" t="n"/>
      <c r="G34" s="685" t="n"/>
    </row>
    <row r="35" hidden="1">
      <c r="A35" s="42" t="n"/>
      <c r="B35" s="90" t="inlineStr">
        <is>
          <t>Individual/Private LAUNDRY Facilities Available</t>
        </is>
      </c>
      <c r="C35" s="690" t="inlineStr">
        <is>
          <t>YES</t>
        </is>
      </c>
      <c r="D35" s="682" t="n"/>
      <c r="E35" s="691" t="n"/>
      <c r="F35" s="683" t="n"/>
      <c r="G35" s="685" t="n"/>
    </row>
    <row r="36" hidden="1">
      <c r="A36" s="42" t="n"/>
      <c r="B36" s="90" t="inlineStr">
        <is>
          <t>Individual/Private LOUNGE ROOM Facilities Available</t>
        </is>
      </c>
      <c r="C36" s="690" t="inlineStr">
        <is>
          <t>YES</t>
        </is>
      </c>
      <c r="D36" s="682" t="n"/>
      <c r="E36" s="691" t="n"/>
      <c r="F36" s="683" t="n"/>
      <c r="G36" s="685" t="n"/>
    </row>
    <row r="37" hidden="1">
      <c r="A37" s="42" t="n"/>
      <c r="B37" s="90" t="n"/>
      <c r="C37" s="682" t="n"/>
      <c r="D37" s="682" t="n"/>
      <c r="E37" s="691" t="n"/>
      <c r="F37" s="683" t="n"/>
      <c r="G37" s="685" t="n"/>
    </row>
    <row r="38" hidden="1">
      <c r="A38" s="42" t="n"/>
      <c r="B38" s="90" t="n"/>
      <c r="C38" s="689" t="inlineStr">
        <is>
          <t>Sngl Night</t>
        </is>
      </c>
      <c r="D38" s="689" t="inlineStr">
        <is>
          <t>Week</t>
        </is>
      </c>
      <c r="E38" s="689" t="inlineStr">
        <is>
          <t>Month</t>
        </is>
      </c>
      <c r="F38" s="686" t="inlineStr">
        <is>
          <t>Qtr</t>
        </is>
      </c>
      <c r="G38" s="685" t="n"/>
    </row>
    <row r="39" hidden="1">
      <c r="A39" s="42" t="n"/>
      <c r="B39" s="94" t="inlineStr">
        <is>
          <t xml:space="preserve">Total Booking Cost </t>
        </is>
      </c>
      <c r="C39" s="682">
        <f>D39/7</f>
        <v/>
      </c>
      <c r="D39" s="691" t="n">
        <v>710</v>
      </c>
      <c r="E39" s="682">
        <f>D39*4</f>
        <v/>
      </c>
      <c r="F39" s="683">
        <f>E39*3</f>
        <v/>
      </c>
      <c r="G39" s="685" t="n"/>
    </row>
    <row r="40" hidden="1">
      <c r="A40" s="42" t="n"/>
      <c r="B40" s="94" t="n"/>
      <c r="C40" s="682" t="n"/>
      <c r="D40" s="691" t="n"/>
      <c r="E40" s="682" t="n"/>
      <c r="F40" s="683" t="n"/>
      <c r="G40" s="685" t="n"/>
    </row>
    <row r="41" hidden="1">
      <c r="A41" s="42" t="n"/>
      <c r="B41" s="112" t="inlineStr">
        <is>
          <t>TCS Housing Consumables; …..</t>
        </is>
      </c>
      <c r="C41" s="682">
        <f>D41/7</f>
        <v/>
      </c>
      <c r="D41" s="691" t="n">
        <v>0</v>
      </c>
      <c r="E41" s="682">
        <f>D41*4</f>
        <v/>
      </c>
      <c r="F41" s="683">
        <f>E41*3</f>
        <v/>
      </c>
      <c r="G41" s="685" t="n"/>
    </row>
    <row r="42" hidden="1">
      <c r="A42" s="42" t="n"/>
      <c r="B42" s="112" t="inlineStr">
        <is>
          <t>TCS Laundry Allowance..?</t>
        </is>
      </c>
      <c r="C42" s="682">
        <f>D42/7</f>
        <v/>
      </c>
      <c r="D42" s="691" t="n">
        <v>0</v>
      </c>
      <c r="E42" s="682">
        <f>D42*4</f>
        <v/>
      </c>
      <c r="F42" s="683">
        <f>E42*3</f>
        <v/>
      </c>
      <c r="G42" s="685" t="n"/>
    </row>
    <row r="43" hidden="1">
      <c r="A43" s="42" t="n"/>
      <c r="B43" s="112" t="inlineStr">
        <is>
          <t>TCS Additional Meals Allowance (If no cooking Facilities?)</t>
        </is>
      </c>
      <c r="C43" s="682">
        <f>D43/7</f>
        <v/>
      </c>
      <c r="D43" s="691" t="n">
        <v>0</v>
      </c>
      <c r="E43" s="682">
        <f>D43*4</f>
        <v/>
      </c>
      <c r="F43" s="683">
        <f>E43*3</f>
        <v/>
      </c>
      <c r="G43" s="685" t="n"/>
    </row>
    <row r="44" hidden="1">
      <c r="A44" s="42" t="n"/>
      <c r="B44" s="112" t="inlineStr">
        <is>
          <t>TCS Furnishings?</t>
        </is>
      </c>
      <c r="C44" s="682">
        <f>D44/7</f>
        <v/>
      </c>
      <c r="D44" s="691" t="n">
        <v>0</v>
      </c>
      <c r="E44" s="682">
        <f>D44*4</f>
        <v/>
      </c>
      <c r="F44" s="683">
        <f>E44*3</f>
        <v/>
      </c>
      <c r="G44" s="685" t="n"/>
    </row>
    <row r="45" hidden="1">
      <c r="A45" s="42" t="n"/>
      <c r="B45" s="112" t="inlineStr">
        <is>
          <t>TCS Cleaning/Servincing Allowance?</t>
        </is>
      </c>
      <c r="C45" s="682">
        <f>D45/7</f>
        <v/>
      </c>
      <c r="D45" s="691" t="n">
        <v>0</v>
      </c>
      <c r="E45" s="682">
        <f>D45*4</f>
        <v/>
      </c>
      <c r="F45" s="683">
        <f>E45*3</f>
        <v/>
      </c>
      <c r="G45" s="685" t="n"/>
    </row>
    <row r="46" hidden="1">
      <c r="A46" s="42" t="n"/>
      <c r="B46" s="112" t="n"/>
      <c r="C46" s="682" t="n"/>
      <c r="D46" s="691" t="n"/>
      <c r="E46" s="682" t="n"/>
      <c r="F46" s="683" t="n"/>
      <c r="G46" s="685" t="n"/>
    </row>
    <row r="47">
      <c r="A47" s="42" t="n"/>
      <c r="B47" s="94" t="inlineStr">
        <is>
          <t>Total TCS Cost</t>
        </is>
      </c>
      <c r="C47" s="691">
        <f>SUM(C39:C46)</f>
        <v/>
      </c>
      <c r="D47" s="691">
        <f>SUM(D39:D46)</f>
        <v/>
      </c>
      <c r="E47" s="691">
        <f>SUM(E39:E46)</f>
        <v/>
      </c>
      <c r="F47" s="691">
        <f>SUM(F39:F46)</f>
        <v/>
      </c>
      <c r="G47" s="692" t="n"/>
    </row>
    <row r="48">
      <c r="A48" s="42" t="n"/>
      <c r="B48" s="94" t="inlineStr">
        <is>
          <t>Total Cost Per Person</t>
        </is>
      </c>
      <c r="C48" s="682">
        <f>D48/7</f>
        <v/>
      </c>
      <c r="D48" s="691">
        <f>D39/C29</f>
        <v/>
      </c>
      <c r="E48" s="682">
        <f>D48*4</f>
        <v/>
      </c>
      <c r="F48" s="683">
        <f>E48*3</f>
        <v/>
      </c>
      <c r="G48" s="685" t="n"/>
    </row>
    <row r="49" ht="10.8" customHeight="1" thickBot="1">
      <c r="A49" s="42" t="n"/>
      <c r="B49" s="112" t="n"/>
      <c r="C49" s="682" t="n"/>
      <c r="D49" s="696" t="n"/>
      <c r="E49" s="682" t="n"/>
      <c r="F49" s="683" t="n"/>
      <c r="G49" s="685" t="n"/>
    </row>
    <row r="50">
      <c r="A50" s="42" t="n"/>
      <c r="B50" s="271" t="inlineStr">
        <is>
          <t>1 x Unit, 1 x Room</t>
        </is>
      </c>
      <c r="C50" s="267" t="inlineStr">
        <is>
          <t>Motel Unit</t>
        </is>
      </c>
      <c r="D50" s="268" t="inlineStr">
        <is>
          <t>Share Rooms</t>
        </is>
      </c>
      <c r="E50" s="269" t="n"/>
      <c r="F50" s="272" t="n"/>
      <c r="K50" s="685" t="n"/>
    </row>
    <row r="51">
      <c r="A51" s="42" t="inlineStr">
        <is>
          <t>Hidden</t>
        </is>
      </c>
      <c r="B51" s="113" t="inlineStr">
        <is>
          <t>No. of persons stayng;</t>
        </is>
      </c>
      <c r="C51" s="115" t="n">
        <v>3</v>
      </c>
      <c r="D51" s="88" t="n"/>
      <c r="E51" s="88" t="n"/>
      <c r="F51" s="89" t="n"/>
      <c r="K51" s="685" t="n"/>
    </row>
    <row r="52" hidden="1">
      <c r="A52" s="42" t="n"/>
      <c r="B52" s="100" t="n"/>
      <c r="C52" s="88" t="n"/>
      <c r="D52" s="88" t="n"/>
      <c r="E52" s="88" t="n"/>
      <c r="F52" s="89" t="n"/>
      <c r="K52" s="685" t="n"/>
    </row>
    <row r="53" hidden="1">
      <c r="A53" s="42" t="n"/>
      <c r="B53" s="90" t="inlineStr">
        <is>
          <t>Furnished</t>
        </is>
      </c>
      <c r="C53" s="690" t="inlineStr">
        <is>
          <t>YES</t>
        </is>
      </c>
      <c r="D53" s="682" t="n"/>
      <c r="E53" s="691" t="n"/>
      <c r="F53" s="683" t="n"/>
      <c r="G53" s="685" t="n"/>
    </row>
    <row r="54" hidden="1">
      <c r="A54" s="42" t="n"/>
      <c r="B54" s="90" t="inlineStr">
        <is>
          <t>*Serviced</t>
        </is>
      </c>
      <c r="C54" s="690" t="inlineStr">
        <is>
          <t>YES</t>
        </is>
      </c>
      <c r="D54" s="682" t="n"/>
      <c r="E54" s="691" t="n"/>
      <c r="F54" s="683" t="n"/>
      <c r="G54" s="685" t="n"/>
    </row>
    <row r="55" hidden="1">
      <c r="A55" s="42" t="n"/>
      <c r="B55" s="90" t="inlineStr">
        <is>
          <t>Individual/Private BATHROOM</t>
        </is>
      </c>
      <c r="C55" s="695" t="inlineStr">
        <is>
          <t>NO</t>
        </is>
      </c>
      <c r="D55" s="695" t="inlineStr">
        <is>
          <t>Share with Unit</t>
        </is>
      </c>
      <c r="E55" s="691" t="n"/>
      <c r="F55" s="683" t="n"/>
      <c r="G55" s="685" t="n"/>
    </row>
    <row r="56" hidden="1">
      <c r="A56" s="42" t="n"/>
      <c r="B56" s="90" t="inlineStr">
        <is>
          <t>Individual/Private KITCHEN (Cooking) Faciliities Available - Microwave min.</t>
        </is>
      </c>
      <c r="C56" s="695" t="inlineStr">
        <is>
          <t>NO</t>
        </is>
      </c>
      <c r="D56" s="695" t="inlineStr">
        <is>
          <t>Share with Unit</t>
        </is>
      </c>
      <c r="E56" s="691" t="n"/>
      <c r="F56" s="683" t="n"/>
      <c r="G56" s="685" t="n"/>
    </row>
    <row r="57" hidden="1">
      <c r="A57" s="42" t="n"/>
      <c r="B57" s="90" t="inlineStr">
        <is>
          <t>Individual/Private LAUNDRY Facilities Available</t>
        </is>
      </c>
      <c r="C57" s="690" t="inlineStr">
        <is>
          <t>YES</t>
        </is>
      </c>
      <c r="D57" s="682" t="n"/>
      <c r="E57" s="691" t="n"/>
      <c r="F57" s="683" t="n"/>
      <c r="G57" s="685" t="n"/>
    </row>
    <row r="58" hidden="1">
      <c r="A58" s="42" t="n"/>
      <c r="B58" s="90" t="inlineStr">
        <is>
          <t>Individual/Private LOUNGE ROOM Facilities Available</t>
        </is>
      </c>
      <c r="C58" s="690" t="inlineStr">
        <is>
          <t>YES</t>
        </is>
      </c>
      <c r="D58" s="682" t="n"/>
      <c r="E58" s="691" t="n"/>
      <c r="F58" s="683" t="n"/>
      <c r="G58" s="685" t="n"/>
    </row>
    <row r="59" hidden="1">
      <c r="A59" s="42" t="n"/>
      <c r="B59" s="90" t="n"/>
      <c r="C59" s="682" t="n"/>
      <c r="D59" s="682" t="n"/>
      <c r="E59" s="691" t="n"/>
      <c r="F59" s="683" t="n"/>
      <c r="G59" s="685" t="n"/>
    </row>
    <row r="60" hidden="1">
      <c r="A60" s="42" t="n"/>
      <c r="B60" s="90" t="n"/>
      <c r="C60" s="689" t="inlineStr">
        <is>
          <t>Sngl Night</t>
        </is>
      </c>
      <c r="D60" s="689" t="inlineStr">
        <is>
          <t>Week</t>
        </is>
      </c>
      <c r="E60" s="689" t="inlineStr">
        <is>
          <t>Month</t>
        </is>
      </c>
      <c r="F60" s="686" t="inlineStr">
        <is>
          <t>Qtr</t>
        </is>
      </c>
      <c r="G60" s="685" t="n"/>
    </row>
    <row r="61" hidden="1">
      <c r="A61" s="42" t="n"/>
      <c r="B61" s="94" t="inlineStr">
        <is>
          <t xml:space="preserve">Total Booking Cost </t>
        </is>
      </c>
      <c r="C61" s="682">
        <f>D61/7</f>
        <v/>
      </c>
      <c r="D61" s="691" t="n">
        <v>915</v>
      </c>
      <c r="E61" s="682">
        <f>D61*4</f>
        <v/>
      </c>
      <c r="F61" s="683">
        <f>E61*3</f>
        <v/>
      </c>
      <c r="G61" s="685" t="n"/>
    </row>
    <row r="62" hidden="1">
      <c r="A62" s="42" t="n"/>
      <c r="B62" s="94" t="n"/>
      <c r="C62" s="682" t="n"/>
      <c r="D62" s="691" t="n"/>
      <c r="E62" s="682" t="n"/>
      <c r="F62" s="683" t="n"/>
      <c r="G62" s="685" t="n"/>
    </row>
    <row r="63" hidden="1">
      <c r="A63" s="42" t="n"/>
      <c r="B63" s="112" t="inlineStr">
        <is>
          <t>TCS Housing Consumables; …..</t>
        </is>
      </c>
      <c r="C63" s="682">
        <f>D63/7</f>
        <v/>
      </c>
      <c r="D63" s="691" t="n">
        <v>0</v>
      </c>
      <c r="E63" s="682">
        <f>D63*4</f>
        <v/>
      </c>
      <c r="F63" s="683">
        <f>E63*3</f>
        <v/>
      </c>
      <c r="G63" s="685" t="n"/>
    </row>
    <row r="64" hidden="1">
      <c r="A64" s="42" t="n"/>
      <c r="B64" s="112" t="inlineStr">
        <is>
          <t>TCS Laundry Allowance..?</t>
        </is>
      </c>
      <c r="C64" s="682">
        <f>D64/7</f>
        <v/>
      </c>
      <c r="D64" s="691" t="n">
        <v>0</v>
      </c>
      <c r="E64" s="682">
        <f>D64*4</f>
        <v/>
      </c>
      <c r="F64" s="683">
        <f>E64*3</f>
        <v/>
      </c>
      <c r="G64" s="685" t="n"/>
    </row>
    <row r="65" hidden="1">
      <c r="A65" s="42" t="n"/>
      <c r="B65" s="112" t="inlineStr">
        <is>
          <t>TCS Additional Meals Allowance (If no cooking Facilities?)</t>
        </is>
      </c>
      <c r="C65" s="682">
        <f>D65/7</f>
        <v/>
      </c>
      <c r="D65" s="691" t="n">
        <v>0</v>
      </c>
      <c r="E65" s="682">
        <f>D65*4</f>
        <v/>
      </c>
      <c r="F65" s="683">
        <f>E65*3</f>
        <v/>
      </c>
      <c r="G65" s="685" t="n"/>
    </row>
    <row r="66" hidden="1">
      <c r="A66" s="42" t="n"/>
      <c r="B66" s="112" t="inlineStr">
        <is>
          <t>TCS Furnishings?</t>
        </is>
      </c>
      <c r="C66" s="682">
        <f>D66/7</f>
        <v/>
      </c>
      <c r="D66" s="691" t="n">
        <v>0</v>
      </c>
      <c r="E66" s="682">
        <f>D66*4</f>
        <v/>
      </c>
      <c r="F66" s="683">
        <f>E66*3</f>
        <v/>
      </c>
      <c r="G66" s="685" t="n"/>
    </row>
    <row r="67" hidden="1">
      <c r="A67" s="42" t="n"/>
      <c r="B67" s="112" t="inlineStr">
        <is>
          <t>TCS Cleaning/Servincing Allowance?</t>
        </is>
      </c>
      <c r="C67" s="682">
        <f>D67/7</f>
        <v/>
      </c>
      <c r="D67" s="691" t="n">
        <v>0</v>
      </c>
      <c r="E67" s="682">
        <f>D67*4</f>
        <v/>
      </c>
      <c r="F67" s="683">
        <f>E67*3</f>
        <v/>
      </c>
      <c r="G67" s="685" t="n"/>
    </row>
    <row r="68" hidden="1">
      <c r="A68" s="42" t="n"/>
      <c r="B68" s="112" t="n"/>
      <c r="C68" s="682" t="n"/>
      <c r="D68" s="691" t="n"/>
      <c r="E68" s="682" t="n"/>
      <c r="F68" s="683" t="n"/>
      <c r="G68" s="685" t="n"/>
    </row>
    <row r="69">
      <c r="A69" s="42" t="n"/>
      <c r="B69" s="94" t="inlineStr">
        <is>
          <t>Total TCS Cost</t>
        </is>
      </c>
      <c r="C69" s="691">
        <f>SUM(C61:C68)</f>
        <v/>
      </c>
      <c r="D69" s="691">
        <f>SUM(D61:D68)</f>
        <v/>
      </c>
      <c r="E69" s="691">
        <f>SUM(E61:E68)</f>
        <v/>
      </c>
      <c r="F69" s="691">
        <f>SUM(F61:F68)</f>
        <v/>
      </c>
      <c r="G69" s="692" t="n"/>
    </row>
    <row r="70">
      <c r="A70" s="42" t="n"/>
      <c r="B70" s="94" t="inlineStr">
        <is>
          <t>Total Cost Per Person</t>
        </is>
      </c>
      <c r="C70" s="682">
        <f>D70/7</f>
        <v/>
      </c>
      <c r="D70" s="691">
        <f>D69/C51</f>
        <v/>
      </c>
      <c r="E70" s="682">
        <f>D70*4</f>
        <v/>
      </c>
      <c r="F70" s="683">
        <f>E70*3</f>
        <v/>
      </c>
      <c r="G70" s="685" t="n"/>
    </row>
    <row r="71" ht="10.8" customHeight="1" thickBot="1">
      <c r="A71" s="42" t="n"/>
      <c r="B71" s="90" t="n"/>
      <c r="C71" s="682" t="n"/>
      <c r="D71" s="693" t="n"/>
      <c r="E71" s="691" t="n"/>
      <c r="F71" s="683" t="n"/>
      <c r="G71" s="685" t="n"/>
    </row>
    <row r="72">
      <c r="A72" s="42" t="n"/>
      <c r="B72" s="114" t="inlineStr">
        <is>
          <t>1 x Unit, 2 x Room</t>
        </is>
      </c>
      <c r="C72" s="115" t="inlineStr">
        <is>
          <t>Motel Unit</t>
        </is>
      </c>
      <c r="D72" s="208" t="inlineStr">
        <is>
          <t>Share House'</t>
        </is>
      </c>
      <c r="E72" s="98" t="n"/>
      <c r="F72" s="99" t="n"/>
      <c r="K72" s="685" t="n"/>
    </row>
    <row r="73">
      <c r="A73" s="42" t="inlineStr">
        <is>
          <t>Hidden</t>
        </is>
      </c>
      <c r="B73" s="113" t="inlineStr">
        <is>
          <t>No. of persons stayng;</t>
        </is>
      </c>
      <c r="C73" s="115" t="n">
        <v>2</v>
      </c>
      <c r="D73" s="88" t="n"/>
      <c r="E73" s="88" t="n"/>
      <c r="F73" s="89" t="n"/>
      <c r="K73" s="685" t="n"/>
    </row>
    <row r="74" hidden="1">
      <c r="A74" s="42" t="n"/>
      <c r="B74" s="100" t="n"/>
      <c r="C74" s="88" t="n"/>
      <c r="D74" s="88" t="n"/>
      <c r="E74" s="88" t="n"/>
      <c r="F74" s="89" t="n"/>
      <c r="K74" s="685" t="n"/>
    </row>
    <row r="75" hidden="1">
      <c r="A75" s="42" t="n"/>
      <c r="B75" s="90" t="inlineStr">
        <is>
          <t>Furnished</t>
        </is>
      </c>
      <c r="C75" s="690" t="inlineStr">
        <is>
          <t>YES</t>
        </is>
      </c>
      <c r="D75" s="682" t="n"/>
      <c r="E75" s="691" t="n"/>
      <c r="F75" s="683" t="n"/>
      <c r="G75" s="685" t="n"/>
    </row>
    <row r="76" hidden="1">
      <c r="A76" s="42" t="n"/>
      <c r="B76" s="90" t="inlineStr">
        <is>
          <t>*Serviced</t>
        </is>
      </c>
      <c r="C76" s="690" t="inlineStr">
        <is>
          <t>YES</t>
        </is>
      </c>
      <c r="D76" s="682" t="n"/>
      <c r="E76" s="691" t="n"/>
      <c r="F76" s="683" t="n"/>
      <c r="G76" s="685" t="n"/>
    </row>
    <row r="77" hidden="1">
      <c r="A77" s="42" t="n"/>
      <c r="B77" s="90" t="inlineStr">
        <is>
          <t>Individual/Private BATHROOM</t>
        </is>
      </c>
      <c r="C77" s="695" t="inlineStr">
        <is>
          <t>NO</t>
        </is>
      </c>
      <c r="D77" s="695" t="inlineStr">
        <is>
          <t>Share with Unit</t>
        </is>
      </c>
      <c r="E77" s="691" t="n"/>
      <c r="F77" s="683" t="n"/>
      <c r="G77" s="685" t="n"/>
    </row>
    <row r="78" hidden="1">
      <c r="A78" s="42" t="n"/>
      <c r="B78" s="90" t="inlineStr">
        <is>
          <t>Individual/Private KITCHEN (Cooking) Faciliities Available - Microwave min.</t>
        </is>
      </c>
      <c r="C78" s="695" t="inlineStr">
        <is>
          <t>NO</t>
        </is>
      </c>
      <c r="D78" s="695" t="inlineStr">
        <is>
          <t>Share with Unit</t>
        </is>
      </c>
      <c r="E78" s="691" t="n"/>
      <c r="F78" s="683" t="n"/>
      <c r="G78" s="685" t="n"/>
    </row>
    <row r="79" hidden="1">
      <c r="A79" s="42" t="n"/>
      <c r="B79" s="90" t="inlineStr">
        <is>
          <t>Individual/Private LAUNDRY Facilities Available</t>
        </is>
      </c>
      <c r="C79" s="690" t="inlineStr">
        <is>
          <t>YES</t>
        </is>
      </c>
      <c r="D79" s="682" t="n"/>
      <c r="E79" s="691" t="n"/>
      <c r="F79" s="683" t="n"/>
      <c r="G79" s="685" t="n"/>
    </row>
    <row r="80" hidden="1">
      <c r="A80" s="42" t="n"/>
      <c r="B80" s="90" t="inlineStr">
        <is>
          <t>Individual/Private LOUNGE ROOM Facilities Available</t>
        </is>
      </c>
      <c r="C80" s="690" t="inlineStr">
        <is>
          <t>YES</t>
        </is>
      </c>
      <c r="D80" s="682" t="n"/>
      <c r="E80" s="691" t="n"/>
      <c r="F80" s="683" t="n"/>
      <c r="G80" s="685" t="n"/>
    </row>
    <row r="81" hidden="1">
      <c r="A81" s="42" t="n"/>
      <c r="B81" s="90" t="n"/>
      <c r="C81" s="682" t="n"/>
      <c r="D81" s="682" t="n"/>
      <c r="E81" s="691" t="n"/>
      <c r="F81" s="683" t="n"/>
      <c r="G81" s="685" t="n"/>
    </row>
    <row r="82" hidden="1">
      <c r="A82" s="42" t="n"/>
      <c r="B82" s="90" t="n"/>
      <c r="C82" s="689" t="inlineStr">
        <is>
          <t>Sngl Night</t>
        </is>
      </c>
      <c r="D82" s="689" t="inlineStr">
        <is>
          <t>Week</t>
        </is>
      </c>
      <c r="E82" s="689" t="inlineStr">
        <is>
          <t>Month</t>
        </is>
      </c>
      <c r="F82" s="686" t="inlineStr">
        <is>
          <t>Qtr</t>
        </is>
      </c>
      <c r="G82" s="685" t="n"/>
    </row>
    <row r="83" hidden="1">
      <c r="A83" s="42" t="n"/>
      <c r="B83" s="94" t="inlineStr">
        <is>
          <t xml:space="preserve">Total Booking Cost </t>
        </is>
      </c>
      <c r="C83" s="682">
        <f>D83/7</f>
        <v/>
      </c>
      <c r="D83" s="691" t="n">
        <v>1780</v>
      </c>
      <c r="E83" s="682">
        <f>D83*4</f>
        <v/>
      </c>
      <c r="F83" s="683">
        <f>E83*3</f>
        <v/>
      </c>
      <c r="G83" s="685" t="n"/>
    </row>
    <row r="84" hidden="1">
      <c r="A84" s="42" t="n"/>
      <c r="B84" s="94" t="n"/>
      <c r="C84" s="682" t="n"/>
      <c r="D84" s="691" t="n"/>
      <c r="E84" s="682" t="n"/>
      <c r="F84" s="683" t="n"/>
      <c r="G84" s="685" t="n"/>
    </row>
    <row r="85" hidden="1">
      <c r="A85" s="42" t="n"/>
      <c r="B85" s="112" t="inlineStr">
        <is>
          <t>TCS Housing Consumables; …..</t>
        </is>
      </c>
      <c r="C85" s="682">
        <f>D85/7</f>
        <v/>
      </c>
      <c r="D85" s="691" t="n">
        <v>0</v>
      </c>
      <c r="E85" s="682">
        <f>D85*4</f>
        <v/>
      </c>
      <c r="F85" s="683">
        <f>E85*3</f>
        <v/>
      </c>
      <c r="G85" s="685" t="n"/>
    </row>
    <row r="86" hidden="1">
      <c r="A86" s="42" t="n"/>
      <c r="B86" s="112" t="inlineStr">
        <is>
          <t>TCS Laundry Allowance..?</t>
        </is>
      </c>
      <c r="C86" s="682">
        <f>D86/7</f>
        <v/>
      </c>
      <c r="D86" s="691" t="n">
        <v>0</v>
      </c>
      <c r="E86" s="682">
        <f>D86*4</f>
        <v/>
      </c>
      <c r="F86" s="683">
        <f>E86*3</f>
        <v/>
      </c>
      <c r="G86" s="685" t="n"/>
    </row>
    <row r="87" hidden="1">
      <c r="A87" s="42" t="n"/>
      <c r="B87" s="112" t="inlineStr">
        <is>
          <t>TCS Additional Meals Allowance (If no cooking Facilities?)</t>
        </is>
      </c>
      <c r="C87" s="682">
        <f>D87/7</f>
        <v/>
      </c>
      <c r="D87" s="691" t="n">
        <v>0</v>
      </c>
      <c r="E87" s="682">
        <f>D87*4</f>
        <v/>
      </c>
      <c r="F87" s="683">
        <f>E87*3</f>
        <v/>
      </c>
      <c r="G87" s="685" t="n"/>
    </row>
    <row r="88" hidden="1">
      <c r="A88" s="42" t="n"/>
      <c r="B88" s="112" t="inlineStr">
        <is>
          <t>TCS Furnishings?</t>
        </is>
      </c>
      <c r="C88" s="682">
        <f>D88/7</f>
        <v/>
      </c>
      <c r="D88" s="691" t="n">
        <v>0</v>
      </c>
      <c r="E88" s="682">
        <f>D88*4</f>
        <v/>
      </c>
      <c r="F88" s="683">
        <f>E88*3</f>
        <v/>
      </c>
      <c r="G88" s="685" t="n"/>
    </row>
    <row r="89" hidden="1">
      <c r="A89" s="42" t="n"/>
      <c r="B89" s="112" t="inlineStr">
        <is>
          <t>TCS Cleaning/Servincing Allowance?</t>
        </is>
      </c>
      <c r="C89" s="682">
        <f>D89/7</f>
        <v/>
      </c>
      <c r="D89" s="691" t="n">
        <v>0</v>
      </c>
      <c r="E89" s="682">
        <f>D89*4</f>
        <v/>
      </c>
      <c r="F89" s="683">
        <f>E89*3</f>
        <v/>
      </c>
      <c r="G89" s="685" t="n"/>
    </row>
    <row r="90" hidden="1">
      <c r="A90" s="42" t="n"/>
      <c r="B90" s="112" t="n"/>
      <c r="C90" s="682" t="n"/>
      <c r="D90" s="691" t="n"/>
      <c r="E90" s="682" t="n"/>
      <c r="F90" s="683" t="n"/>
      <c r="G90" s="685" t="n"/>
    </row>
    <row r="91">
      <c r="A91" s="42" t="n"/>
      <c r="B91" s="94" t="inlineStr">
        <is>
          <t>Total TCS Cost</t>
        </is>
      </c>
      <c r="C91" s="691">
        <f>SUM(C83:C90)</f>
        <v/>
      </c>
      <c r="D91" s="691">
        <f>SUM(D83:D90)</f>
        <v/>
      </c>
      <c r="E91" s="691">
        <f>SUM(E83:E90)</f>
        <v/>
      </c>
      <c r="F91" s="691">
        <f>SUM(F83:F90)</f>
        <v/>
      </c>
      <c r="G91" s="692" t="n"/>
    </row>
    <row r="92">
      <c r="A92" s="42" t="n"/>
      <c r="B92" s="94" t="inlineStr">
        <is>
          <t>Total Cost Per Person</t>
        </is>
      </c>
      <c r="C92" s="682">
        <f>D92/7</f>
        <v/>
      </c>
      <c r="D92" s="691">
        <f>D91/C73</f>
        <v/>
      </c>
      <c r="E92" s="682">
        <f>D92*4</f>
        <v/>
      </c>
      <c r="F92" s="683">
        <f>E92*3</f>
        <v/>
      </c>
      <c r="G92" s="685" t="n"/>
    </row>
    <row r="93" ht="10.8" customHeight="1" thickBot="1">
      <c r="A93" s="42" t="n"/>
      <c r="B93" s="116" t="n"/>
      <c r="C93" s="693" t="n"/>
      <c r="D93" s="693" t="n"/>
      <c r="E93" s="696" t="n"/>
      <c r="F93" s="694" t="n"/>
      <c r="G93" s="685" t="n"/>
    </row>
    <row r="94" ht="10.8" customHeight="1" thickBot="1">
      <c r="A94" s="42" t="n"/>
      <c r="B94" s="87" t="inlineStr">
        <is>
          <t>Full Apartment / Cabin / Villa (Tourist/Caravan Park)</t>
        </is>
      </c>
      <c r="C94" s="689" t="inlineStr">
        <is>
          <t>Sngl Night</t>
        </is>
      </c>
      <c r="D94" s="689" t="inlineStr">
        <is>
          <t>Week</t>
        </is>
      </c>
      <c r="E94" s="689" t="inlineStr">
        <is>
          <t>Month</t>
        </is>
      </c>
      <c r="F94" s="686" t="inlineStr">
        <is>
          <t>Qtr</t>
        </is>
      </c>
      <c r="G94" s="90" t="n"/>
    </row>
    <row r="95">
      <c r="A95" s="42" t="n"/>
      <c r="B95" s="113" t="inlineStr">
        <is>
          <t>1 x Unit, 1 x Room</t>
        </is>
      </c>
      <c r="C95" s="115" t="inlineStr">
        <is>
          <t>*CABIN</t>
        </is>
      </c>
      <c r="D95" s="207" t="inlineStr">
        <is>
          <t>Private Unit</t>
        </is>
      </c>
      <c r="E95" s="88" t="n"/>
      <c r="F95" s="89" t="n"/>
      <c r="K95" s="685" t="n"/>
    </row>
    <row r="96">
      <c r="A96" s="42" t="inlineStr">
        <is>
          <t>Hidden</t>
        </is>
      </c>
      <c r="B96" s="113" t="inlineStr">
        <is>
          <t>No. of persons stayng;</t>
        </is>
      </c>
      <c r="C96" s="115" t="n">
        <v>1</v>
      </c>
      <c r="D96" s="88" t="n"/>
      <c r="E96" s="88" t="n"/>
      <c r="F96" s="89" t="n"/>
      <c r="K96" s="685" t="n"/>
    </row>
    <row r="97" hidden="1">
      <c r="A97" s="42" t="n"/>
      <c r="B97" s="90" t="inlineStr">
        <is>
          <t>Furnished</t>
        </is>
      </c>
      <c r="C97" s="690" t="inlineStr">
        <is>
          <t>YES</t>
        </is>
      </c>
      <c r="D97" s="682" t="n"/>
      <c r="E97" s="691" t="n"/>
      <c r="F97" s="683" t="n"/>
      <c r="G97" s="685" t="n"/>
    </row>
    <row r="98" hidden="1">
      <c r="A98" s="42" t="n"/>
      <c r="B98" s="90" t="inlineStr">
        <is>
          <t>*Serviced</t>
        </is>
      </c>
      <c r="C98" s="690" t="inlineStr">
        <is>
          <t>YES</t>
        </is>
      </c>
      <c r="D98" s="682" t="n"/>
      <c r="E98" s="691" t="n"/>
      <c r="F98" s="683" t="n"/>
      <c r="G98" s="685" t="n"/>
    </row>
    <row r="99" hidden="1">
      <c r="A99" s="42" t="n"/>
      <c r="B99" s="90" t="inlineStr">
        <is>
          <t>Individual/Private BATHROOM</t>
        </is>
      </c>
      <c r="C99" s="690" t="inlineStr">
        <is>
          <t>YES</t>
        </is>
      </c>
      <c r="D99" s="682" t="n"/>
      <c r="E99" s="691" t="n"/>
      <c r="F99" s="683" t="n"/>
      <c r="G99" s="685" t="n"/>
    </row>
    <row r="100" hidden="1">
      <c r="A100" s="42" t="n"/>
      <c r="B100" s="90" t="inlineStr">
        <is>
          <t>Individual/Private KITCHEN (Cooking) Faciliities Available - Microwave min.</t>
        </is>
      </c>
      <c r="C100" s="690" t="inlineStr">
        <is>
          <t>YES</t>
        </is>
      </c>
      <c r="D100" s="682" t="n"/>
      <c r="E100" s="691" t="n"/>
      <c r="F100" s="683" t="n"/>
      <c r="G100" s="685" t="n"/>
    </row>
    <row r="101" hidden="1">
      <c r="A101" s="42" t="n"/>
      <c r="B101" s="90" t="inlineStr">
        <is>
          <t>Individual/Private LAUNDRY Facilities Available</t>
        </is>
      </c>
      <c r="C101" s="690" t="inlineStr">
        <is>
          <t>YES</t>
        </is>
      </c>
      <c r="D101" s="682" t="n"/>
      <c r="E101" s="691" t="n"/>
      <c r="F101" s="683" t="n"/>
      <c r="G101" s="685" t="n"/>
    </row>
    <row r="102" hidden="1">
      <c r="A102" s="42" t="n"/>
      <c r="B102" s="90" t="inlineStr">
        <is>
          <t>Individual/Private LOUNGE ROOM Facilities Available</t>
        </is>
      </c>
      <c r="C102" s="690" t="inlineStr">
        <is>
          <t>YES</t>
        </is>
      </c>
      <c r="D102" s="682" t="n"/>
      <c r="E102" s="691" t="n"/>
      <c r="F102" s="683" t="n"/>
      <c r="G102" s="685" t="n"/>
    </row>
    <row r="103" hidden="1">
      <c r="A103" s="42" t="n"/>
      <c r="B103" s="118" t="inlineStr">
        <is>
          <t>** Pool, BBQ, Games etc etc?</t>
        </is>
      </c>
      <c r="C103" s="682" t="n"/>
      <c r="D103" s="682" t="n"/>
      <c r="E103" s="691" t="n"/>
      <c r="F103" s="683" t="n"/>
      <c r="G103" s="685" t="n"/>
    </row>
    <row r="104" hidden="1">
      <c r="A104" s="42" t="n"/>
      <c r="B104" s="90" t="n"/>
      <c r="C104" s="689" t="inlineStr">
        <is>
          <t>Sngl Night</t>
        </is>
      </c>
      <c r="D104" s="689" t="inlineStr">
        <is>
          <t>Week</t>
        </is>
      </c>
      <c r="E104" s="689" t="inlineStr">
        <is>
          <t>Month</t>
        </is>
      </c>
      <c r="F104" s="686" t="inlineStr">
        <is>
          <t>Qtr</t>
        </is>
      </c>
      <c r="G104" s="685" t="n"/>
    </row>
    <row r="105" hidden="1">
      <c r="A105" s="42" t="n"/>
      <c r="B105" s="94" t="inlineStr">
        <is>
          <t xml:space="preserve">Total Booking Cost </t>
        </is>
      </c>
      <c r="C105" s="682">
        <f>D105/7</f>
        <v/>
      </c>
      <c r="D105" s="691" t="n">
        <v>800</v>
      </c>
      <c r="E105" s="682">
        <f>D105*4</f>
        <v/>
      </c>
      <c r="F105" s="683">
        <f>E105*3</f>
        <v/>
      </c>
      <c r="G105" s="685" t="n"/>
    </row>
    <row r="106" hidden="1">
      <c r="A106" s="42" t="n"/>
      <c r="B106" s="94" t="n"/>
      <c r="C106" s="682" t="n"/>
      <c r="D106" s="691" t="n"/>
      <c r="E106" s="682" t="n"/>
      <c r="F106" s="683" t="n"/>
      <c r="G106" s="685" t="n"/>
    </row>
    <row r="107" hidden="1">
      <c r="A107" s="42" t="n"/>
      <c r="B107" s="112" t="inlineStr">
        <is>
          <t>TCS Housing Consumables; …..</t>
        </is>
      </c>
      <c r="C107" s="682">
        <f>D107/7</f>
        <v/>
      </c>
      <c r="D107" s="691" t="n">
        <v>0</v>
      </c>
      <c r="E107" s="682">
        <f>D107*4</f>
        <v/>
      </c>
      <c r="F107" s="683">
        <f>E107*3</f>
        <v/>
      </c>
      <c r="G107" s="685" t="n"/>
    </row>
    <row r="108" hidden="1">
      <c r="A108" s="42" t="n"/>
      <c r="B108" s="112" t="inlineStr">
        <is>
          <t>TCS Laundry Allowance..?</t>
        </is>
      </c>
      <c r="C108" s="682">
        <f>D108/7</f>
        <v/>
      </c>
      <c r="D108" s="691" t="n">
        <v>0</v>
      </c>
      <c r="E108" s="682">
        <f>D108*4</f>
        <v/>
      </c>
      <c r="F108" s="683">
        <f>E108*3</f>
        <v/>
      </c>
      <c r="G108" s="685" t="n"/>
    </row>
    <row r="109" hidden="1">
      <c r="A109" s="42" t="n"/>
      <c r="B109" s="112" t="inlineStr">
        <is>
          <t>TCS Additional Meals Allowance (If no cooking Facilities?)</t>
        </is>
      </c>
      <c r="C109" s="682">
        <f>D109/7</f>
        <v/>
      </c>
      <c r="D109" s="691" t="n">
        <v>0</v>
      </c>
      <c r="E109" s="682">
        <f>D109*4</f>
        <v/>
      </c>
      <c r="F109" s="683">
        <f>E109*3</f>
        <v/>
      </c>
      <c r="G109" s="685" t="n"/>
    </row>
    <row r="110" hidden="1">
      <c r="A110" s="42" t="n"/>
      <c r="B110" s="112" t="inlineStr">
        <is>
          <t>TCS Furnishings?</t>
        </is>
      </c>
      <c r="C110" s="682">
        <f>D110/7</f>
        <v/>
      </c>
      <c r="D110" s="691" t="n">
        <v>0</v>
      </c>
      <c r="E110" s="682">
        <f>D110*4</f>
        <v/>
      </c>
      <c r="F110" s="683">
        <f>E110*3</f>
        <v/>
      </c>
      <c r="G110" s="685" t="n"/>
    </row>
    <row r="111" hidden="1">
      <c r="A111" s="42" t="n"/>
      <c r="B111" s="112" t="inlineStr">
        <is>
          <t>TCS Cleaning/Servincing Allowance?</t>
        </is>
      </c>
      <c r="C111" s="682">
        <f>D111/7</f>
        <v/>
      </c>
      <c r="D111" s="691" t="n">
        <v>0</v>
      </c>
      <c r="E111" s="682">
        <f>D111*4</f>
        <v/>
      </c>
      <c r="F111" s="683">
        <f>E111*3</f>
        <v/>
      </c>
      <c r="G111" s="685" t="n"/>
    </row>
    <row r="112" hidden="1">
      <c r="A112" s="42" t="n"/>
      <c r="B112" s="112" t="n"/>
      <c r="C112" s="682" t="n"/>
      <c r="D112" s="691" t="n"/>
      <c r="E112" s="682" t="n"/>
      <c r="F112" s="683" t="n"/>
      <c r="G112" s="685" t="n"/>
    </row>
    <row r="113">
      <c r="A113" s="42" t="n"/>
      <c r="B113" s="94" t="inlineStr">
        <is>
          <t>Total TCS Cost</t>
        </is>
      </c>
      <c r="C113" s="691">
        <f>SUM(C105:C112)</f>
        <v/>
      </c>
      <c r="D113" s="691">
        <f>SUM(D105:D112)</f>
        <v/>
      </c>
      <c r="E113" s="691">
        <f>SUM(E105:E112)</f>
        <v/>
      </c>
      <c r="F113" s="691">
        <f>SUM(F105:F112)</f>
        <v/>
      </c>
      <c r="G113" s="692" t="n"/>
    </row>
    <row r="114">
      <c r="A114" s="42" t="n"/>
      <c r="B114" s="94" t="inlineStr">
        <is>
          <t>Total Cost Per Person</t>
        </is>
      </c>
      <c r="C114" s="682">
        <f>D114/7</f>
        <v/>
      </c>
      <c r="D114" s="691">
        <f>D113/C96</f>
        <v/>
      </c>
      <c r="E114" s="682">
        <f>D114*4</f>
        <v/>
      </c>
      <c r="F114" s="683">
        <f>E114*3</f>
        <v/>
      </c>
      <c r="G114" s="685" t="n"/>
    </row>
    <row r="115" ht="10.8" customHeight="1" thickBot="1">
      <c r="A115" s="42" t="n"/>
      <c r="B115" s="116" t="n"/>
      <c r="C115" s="693" t="n"/>
      <c r="D115" s="693" t="n"/>
      <c r="E115" s="696" t="n"/>
      <c r="F115" s="694" t="n"/>
      <c r="G115" s="685" t="n"/>
    </row>
    <row r="116">
      <c r="A116" s="42" t="inlineStr">
        <is>
          <t>Hidden</t>
        </is>
      </c>
      <c r="B116" s="266" t="inlineStr">
        <is>
          <t>1 x Unit, 1 x Room</t>
        </is>
      </c>
      <c r="C116" s="267" t="inlineStr">
        <is>
          <t>*UNIT/VILLA</t>
        </is>
      </c>
      <c r="D116" s="268" t="inlineStr">
        <is>
          <t>Share Rooms</t>
        </is>
      </c>
      <c r="E116" s="88" t="n"/>
      <c r="F116" s="89" t="n"/>
      <c r="K116" s="685" t="n"/>
    </row>
    <row r="117" hidden="1">
      <c r="B117" s="113" t="inlineStr">
        <is>
          <t>No. of persons stayng;</t>
        </is>
      </c>
      <c r="C117" s="115" t="n">
        <v>2</v>
      </c>
      <c r="D117" s="88" t="n"/>
      <c r="E117" s="88" t="n"/>
      <c r="F117" s="89" t="n"/>
      <c r="K117" s="685" t="n"/>
    </row>
    <row r="118" hidden="1">
      <c r="A118" s="42" t="n"/>
      <c r="B118" s="90" t="inlineStr">
        <is>
          <t>Furnished</t>
        </is>
      </c>
      <c r="C118" s="690" t="inlineStr">
        <is>
          <t>YES</t>
        </is>
      </c>
      <c r="D118" s="682" t="n"/>
      <c r="E118" s="691" t="n"/>
      <c r="F118" s="683" t="n"/>
      <c r="G118" s="685" t="n"/>
    </row>
    <row r="119" hidden="1">
      <c r="A119" s="42" t="n"/>
      <c r="B119" s="90" t="inlineStr">
        <is>
          <t>*Serviced</t>
        </is>
      </c>
      <c r="C119" s="690" t="inlineStr">
        <is>
          <t>YES</t>
        </is>
      </c>
      <c r="D119" s="682" t="n"/>
      <c r="E119" s="691" t="n"/>
      <c r="F119" s="683" t="n"/>
      <c r="G119" s="685" t="n"/>
    </row>
    <row r="120" hidden="1">
      <c r="A120" s="42" t="n"/>
      <c r="B120" s="90" t="inlineStr">
        <is>
          <t>Individual/Private BATHROOM</t>
        </is>
      </c>
      <c r="C120" s="695" t="inlineStr">
        <is>
          <t>NO</t>
        </is>
      </c>
      <c r="D120" s="695" t="inlineStr">
        <is>
          <t>Share with Unit</t>
        </is>
      </c>
      <c r="E120" s="691" t="n"/>
      <c r="F120" s="683" t="n"/>
      <c r="G120" s="685" t="n"/>
    </row>
    <row r="121" hidden="1">
      <c r="A121" s="42" t="n"/>
      <c r="B121" s="90" t="inlineStr">
        <is>
          <t>Individual/Private KITCHEN (Cooking) Faciliities Available - Microwave min.</t>
        </is>
      </c>
      <c r="C121" s="695" t="inlineStr">
        <is>
          <t>NO</t>
        </is>
      </c>
      <c r="D121" s="695" t="inlineStr">
        <is>
          <t>Share with Unit</t>
        </is>
      </c>
      <c r="E121" s="691" t="n"/>
      <c r="F121" s="683" t="n"/>
      <c r="G121" s="685" t="n"/>
    </row>
    <row r="122" hidden="1">
      <c r="A122" s="42" t="n"/>
      <c r="B122" s="90" t="inlineStr">
        <is>
          <t>Individual/Private LAUNDRY Facilities Available</t>
        </is>
      </c>
      <c r="C122" s="690" t="inlineStr">
        <is>
          <t>YES</t>
        </is>
      </c>
      <c r="D122" s="682" t="n"/>
      <c r="E122" s="691" t="n"/>
      <c r="F122" s="683" t="n"/>
      <c r="G122" s="685" t="n"/>
    </row>
    <row r="123" hidden="1">
      <c r="A123" s="42" t="n"/>
      <c r="B123" s="90" t="inlineStr">
        <is>
          <t>Individual/Private LOUNGE ROOM Facilities Available</t>
        </is>
      </c>
      <c r="C123" s="690" t="inlineStr">
        <is>
          <t>YES</t>
        </is>
      </c>
      <c r="D123" s="682" t="n"/>
      <c r="E123" s="691" t="n"/>
      <c r="F123" s="683" t="n"/>
      <c r="G123" s="685" t="n"/>
    </row>
    <row r="124" hidden="1">
      <c r="A124" s="42" t="n"/>
      <c r="B124" s="118" t="inlineStr">
        <is>
          <t>** Pool, BBQ, Games etc etc?</t>
        </is>
      </c>
      <c r="C124" s="682" t="n"/>
      <c r="D124" s="682" t="n"/>
      <c r="E124" s="691" t="n"/>
      <c r="F124" s="683" t="n"/>
      <c r="G124" s="685" t="n"/>
    </row>
    <row r="125" hidden="1">
      <c r="A125" s="42" t="n"/>
      <c r="B125" s="90" t="n"/>
      <c r="C125" s="689" t="inlineStr">
        <is>
          <t>Sngl Night</t>
        </is>
      </c>
      <c r="D125" s="689" t="inlineStr">
        <is>
          <t>Week</t>
        </is>
      </c>
      <c r="E125" s="689" t="inlineStr">
        <is>
          <t>Month</t>
        </is>
      </c>
      <c r="F125" s="686" t="inlineStr">
        <is>
          <t>Qtr</t>
        </is>
      </c>
      <c r="G125" s="685" t="n"/>
    </row>
    <row r="126" hidden="1">
      <c r="A126" s="42" t="n"/>
      <c r="B126" s="94" t="inlineStr">
        <is>
          <t xml:space="preserve">Total Booking Cost </t>
        </is>
      </c>
      <c r="C126" s="682">
        <f>D126/7</f>
        <v/>
      </c>
      <c r="D126" s="691" t="n">
        <v>1000</v>
      </c>
      <c r="E126" s="682">
        <f>D126*4</f>
        <v/>
      </c>
      <c r="F126" s="683">
        <f>E126*3</f>
        <v/>
      </c>
      <c r="G126" s="685" t="n"/>
    </row>
    <row r="127" hidden="1">
      <c r="A127" s="42" t="n"/>
      <c r="B127" s="94" t="n"/>
      <c r="C127" s="682" t="n"/>
      <c r="D127" s="691" t="n"/>
      <c r="E127" s="682" t="n"/>
      <c r="F127" s="683" t="n"/>
      <c r="G127" s="685" t="n"/>
    </row>
    <row r="128" hidden="1">
      <c r="A128" s="42" t="n"/>
      <c r="B128" s="112" t="inlineStr">
        <is>
          <t>TCS Housing Consumables; …..</t>
        </is>
      </c>
      <c r="C128" s="682">
        <f>D128/7</f>
        <v/>
      </c>
      <c r="D128" s="691" t="n">
        <v>0</v>
      </c>
      <c r="E128" s="682">
        <f>D128*4</f>
        <v/>
      </c>
      <c r="F128" s="683">
        <f>E128*3</f>
        <v/>
      </c>
      <c r="G128" s="685" t="n"/>
    </row>
    <row r="129" hidden="1">
      <c r="A129" s="42" t="n"/>
      <c r="B129" s="112" t="inlineStr">
        <is>
          <t>TCS Laundry Allowance..?</t>
        </is>
      </c>
      <c r="C129" s="682">
        <f>D129/7</f>
        <v/>
      </c>
      <c r="D129" s="691" t="n">
        <v>0</v>
      </c>
      <c r="E129" s="682">
        <f>D129*4</f>
        <v/>
      </c>
      <c r="F129" s="683">
        <f>E129*3</f>
        <v/>
      </c>
      <c r="G129" s="685" t="n"/>
    </row>
    <row r="130" hidden="1">
      <c r="A130" s="42" t="n"/>
      <c r="B130" s="112" t="inlineStr">
        <is>
          <t>TCS Additional Meals Allowance (If no cooking Facilities?)</t>
        </is>
      </c>
      <c r="C130" s="682">
        <f>D130/7</f>
        <v/>
      </c>
      <c r="D130" s="691" t="n">
        <v>0</v>
      </c>
      <c r="E130" s="682">
        <f>D130*4</f>
        <v/>
      </c>
      <c r="F130" s="683">
        <f>E130*3</f>
        <v/>
      </c>
      <c r="G130" s="685" t="n"/>
    </row>
    <row r="131" hidden="1">
      <c r="A131" s="42" t="n"/>
      <c r="B131" s="112" t="inlineStr">
        <is>
          <t>TCS Furnishings?</t>
        </is>
      </c>
      <c r="C131" s="682">
        <f>D131/7</f>
        <v/>
      </c>
      <c r="D131" s="691" t="n">
        <v>0</v>
      </c>
      <c r="E131" s="682">
        <f>D131*4</f>
        <v/>
      </c>
      <c r="F131" s="683">
        <f>E131*3</f>
        <v/>
      </c>
      <c r="G131" s="685" t="n"/>
    </row>
    <row r="132" hidden="1">
      <c r="A132" s="42" t="n"/>
      <c r="B132" s="112" t="inlineStr">
        <is>
          <t>TCS Cleaning/Servincing Allowance?</t>
        </is>
      </c>
      <c r="C132" s="682">
        <f>D132/7</f>
        <v/>
      </c>
      <c r="D132" s="691" t="n">
        <v>0</v>
      </c>
      <c r="E132" s="682">
        <f>D132*4</f>
        <v/>
      </c>
      <c r="F132" s="683">
        <f>E132*3</f>
        <v/>
      </c>
      <c r="G132" s="685" t="n"/>
    </row>
    <row r="133" hidden="1">
      <c r="A133" s="42" t="n"/>
      <c r="B133" s="112" t="n"/>
      <c r="C133" s="682" t="n"/>
      <c r="D133" s="691" t="n"/>
      <c r="E133" s="682" t="n"/>
      <c r="F133" s="683" t="n"/>
      <c r="G133" s="685" t="n"/>
    </row>
    <row r="134" hidden="1">
      <c r="A134" s="42" t="n"/>
      <c r="B134" s="94" t="inlineStr">
        <is>
          <t>Total TCS Cost</t>
        </is>
      </c>
      <c r="C134" s="691">
        <f>SUM(C126:C133)</f>
        <v/>
      </c>
      <c r="D134" s="691">
        <f>SUM(D126:D133)</f>
        <v/>
      </c>
      <c r="E134" s="691">
        <f>SUM(E126:E133)</f>
        <v/>
      </c>
      <c r="F134" s="691">
        <f>SUM(F126:F133)</f>
        <v/>
      </c>
      <c r="G134" s="692" t="n"/>
    </row>
    <row r="135" hidden="1">
      <c r="A135" s="42" t="n"/>
      <c r="B135" s="94" t="inlineStr">
        <is>
          <t>Total Cost Per Person</t>
        </is>
      </c>
      <c r="C135" s="682">
        <f>D135/7</f>
        <v/>
      </c>
      <c r="D135" s="691">
        <f>D134/C117</f>
        <v/>
      </c>
      <c r="E135" s="682">
        <f>D135*4</f>
        <v/>
      </c>
      <c r="F135" s="683">
        <f>E135*3</f>
        <v/>
      </c>
      <c r="G135" s="685" t="n"/>
    </row>
    <row r="136" ht="10.8" customHeight="1" thickBot="1">
      <c r="A136" s="42" t="n"/>
      <c r="B136" s="119" t="n"/>
      <c r="C136" s="693" t="n"/>
      <c r="D136" s="696" t="n"/>
      <c r="E136" s="693" t="n"/>
      <c r="F136" s="694" t="n"/>
      <c r="G136" s="685" t="n"/>
    </row>
    <row r="137">
      <c r="A137" s="42" t="inlineStr">
        <is>
          <t>Hidden</t>
        </is>
      </c>
      <c r="B137" s="266" t="inlineStr">
        <is>
          <t>1 x Unit, 1 x Room</t>
        </is>
      </c>
      <c r="C137" s="267" t="inlineStr">
        <is>
          <t>*UNIT/VILLA</t>
        </is>
      </c>
      <c r="D137" s="268" t="inlineStr">
        <is>
          <t>Share Rooms</t>
        </is>
      </c>
      <c r="E137" s="273" t="n"/>
      <c r="F137" s="270" t="n"/>
      <c r="K137" s="685" t="n"/>
    </row>
    <row r="138" hidden="1">
      <c r="B138" s="113" t="inlineStr">
        <is>
          <t>No. of persons stayng;</t>
        </is>
      </c>
      <c r="C138" s="115" t="n">
        <v>3</v>
      </c>
      <c r="D138" s="88" t="n"/>
      <c r="E138" s="88" t="n"/>
      <c r="F138" s="89" t="n"/>
      <c r="K138" s="685" t="n"/>
    </row>
    <row r="139" hidden="1">
      <c r="A139" s="42" t="n"/>
      <c r="B139" s="90" t="inlineStr">
        <is>
          <t>Furnished</t>
        </is>
      </c>
      <c r="C139" s="690" t="inlineStr">
        <is>
          <t>YES</t>
        </is>
      </c>
      <c r="D139" s="682" t="n"/>
      <c r="E139" s="691" t="n"/>
      <c r="F139" s="683" t="n"/>
      <c r="G139" s="685" t="n"/>
    </row>
    <row r="140" hidden="1">
      <c r="A140" s="42" t="n"/>
      <c r="B140" s="90" t="inlineStr">
        <is>
          <t>*Serviced</t>
        </is>
      </c>
      <c r="C140" s="690" t="inlineStr">
        <is>
          <t>YES</t>
        </is>
      </c>
      <c r="D140" s="682" t="n"/>
      <c r="E140" s="691" t="n"/>
      <c r="F140" s="683" t="n"/>
      <c r="G140" s="685" t="n"/>
    </row>
    <row r="141" hidden="1">
      <c r="A141" s="42" t="n"/>
      <c r="B141" s="90" t="inlineStr">
        <is>
          <t>Individual/Private BATHROOM</t>
        </is>
      </c>
      <c r="C141" s="690" t="inlineStr">
        <is>
          <t>YES</t>
        </is>
      </c>
      <c r="D141" s="682" t="n"/>
      <c r="E141" s="691" t="n"/>
      <c r="F141" s="683" t="n"/>
      <c r="G141" s="685" t="n"/>
    </row>
    <row r="142" hidden="1">
      <c r="A142" s="42" t="n"/>
      <c r="B142" s="90" t="inlineStr">
        <is>
          <t>Individual/Private KITCHEN (Cooking) Faciliities Available - Microwave min.</t>
        </is>
      </c>
      <c r="C142" s="690" t="inlineStr">
        <is>
          <t>YES</t>
        </is>
      </c>
      <c r="D142" s="682" t="n"/>
      <c r="E142" s="691" t="n"/>
      <c r="F142" s="683" t="n"/>
      <c r="G142" s="685" t="n"/>
    </row>
    <row r="143" hidden="1">
      <c r="A143" s="42" t="n"/>
      <c r="B143" s="90" t="inlineStr">
        <is>
          <t>Individual/Private LAUNDRY Facilities Available</t>
        </is>
      </c>
      <c r="C143" s="690" t="inlineStr">
        <is>
          <t>YES</t>
        </is>
      </c>
      <c r="D143" s="682" t="n"/>
      <c r="E143" s="691" t="n"/>
      <c r="F143" s="683" t="n"/>
      <c r="G143" s="685" t="n"/>
    </row>
    <row r="144" hidden="1">
      <c r="A144" s="42" t="n"/>
      <c r="B144" s="90" t="inlineStr">
        <is>
          <t>Individual/Private LOUNGE ROOM Facilities Available</t>
        </is>
      </c>
      <c r="C144" s="690" t="inlineStr">
        <is>
          <t>YES</t>
        </is>
      </c>
      <c r="D144" s="682" t="n"/>
      <c r="E144" s="691" t="n"/>
      <c r="F144" s="683" t="n"/>
      <c r="G144" s="685" t="n"/>
    </row>
    <row r="145" hidden="1">
      <c r="A145" s="42" t="n"/>
      <c r="B145" s="118" t="inlineStr">
        <is>
          <t>** Pool, BBQ, Games etc etc?</t>
        </is>
      </c>
      <c r="C145" s="682" t="n"/>
      <c r="D145" s="682" t="n"/>
      <c r="E145" s="691" t="n"/>
      <c r="F145" s="683" t="n"/>
      <c r="G145" s="685" t="n"/>
    </row>
    <row r="146" hidden="1">
      <c r="A146" s="42" t="n"/>
      <c r="B146" s="90" t="n"/>
      <c r="C146" s="689" t="inlineStr">
        <is>
          <t>Sngl Night</t>
        </is>
      </c>
      <c r="D146" s="689" t="inlineStr">
        <is>
          <t>Week</t>
        </is>
      </c>
      <c r="E146" s="689" t="inlineStr">
        <is>
          <t>Month</t>
        </is>
      </c>
      <c r="F146" s="686" t="inlineStr">
        <is>
          <t>Qtr</t>
        </is>
      </c>
      <c r="G146" s="685" t="n"/>
    </row>
    <row r="147" hidden="1">
      <c r="A147" s="42" t="n"/>
      <c r="B147" s="94" t="inlineStr">
        <is>
          <t xml:space="preserve">Total Booking Cost </t>
        </is>
      </c>
      <c r="C147" s="682">
        <f>D147/7</f>
        <v/>
      </c>
      <c r="D147" s="691" t="n">
        <v>1250</v>
      </c>
      <c r="E147" s="682">
        <f>D147*4</f>
        <v/>
      </c>
      <c r="F147" s="683">
        <f>E147*3</f>
        <v/>
      </c>
      <c r="G147" s="685" t="n"/>
    </row>
    <row r="148" hidden="1">
      <c r="A148" s="42" t="n"/>
      <c r="B148" s="94" t="n"/>
      <c r="C148" s="682" t="n"/>
      <c r="D148" s="691" t="n"/>
      <c r="E148" s="682" t="n"/>
      <c r="F148" s="683" t="n"/>
      <c r="G148" s="685" t="n"/>
    </row>
    <row r="149" hidden="1">
      <c r="A149" s="42" t="n"/>
      <c r="B149" s="112" t="inlineStr">
        <is>
          <t>TCS Housing Consumables; …..</t>
        </is>
      </c>
      <c r="C149" s="682">
        <f>D149/7</f>
        <v/>
      </c>
      <c r="D149" s="691" t="n">
        <v>0</v>
      </c>
      <c r="E149" s="682">
        <f>D149*4</f>
        <v/>
      </c>
      <c r="F149" s="683">
        <f>E149*3</f>
        <v/>
      </c>
      <c r="G149" s="685" t="n"/>
    </row>
    <row r="150" hidden="1">
      <c r="A150" s="42" t="n"/>
      <c r="B150" s="112" t="inlineStr">
        <is>
          <t>TCS Laundry Allowance..?</t>
        </is>
      </c>
      <c r="C150" s="682">
        <f>D150/7</f>
        <v/>
      </c>
      <c r="D150" s="691" t="n">
        <v>0</v>
      </c>
      <c r="E150" s="682">
        <f>D150*4</f>
        <v/>
      </c>
      <c r="F150" s="683">
        <f>E150*3</f>
        <v/>
      </c>
      <c r="G150" s="685" t="n"/>
    </row>
    <row r="151" hidden="1">
      <c r="A151" s="42" t="n"/>
      <c r="B151" s="112" t="inlineStr">
        <is>
          <t>TCS Additional Meals Allowance (If no cooking Facilities?)</t>
        </is>
      </c>
      <c r="C151" s="682">
        <f>D151/7</f>
        <v/>
      </c>
      <c r="D151" s="691" t="n">
        <v>0</v>
      </c>
      <c r="E151" s="682">
        <f>D151*4</f>
        <v/>
      </c>
      <c r="F151" s="683">
        <f>E151*3</f>
        <v/>
      </c>
      <c r="G151" s="685" t="n"/>
    </row>
    <row r="152" hidden="1">
      <c r="A152" s="42" t="n"/>
      <c r="B152" s="112" t="inlineStr">
        <is>
          <t>TCS Furnishings?</t>
        </is>
      </c>
      <c r="C152" s="682">
        <f>D152/7</f>
        <v/>
      </c>
      <c r="D152" s="691" t="n">
        <v>0</v>
      </c>
      <c r="E152" s="682">
        <f>D152*4</f>
        <v/>
      </c>
      <c r="F152" s="683">
        <f>E152*3</f>
        <v/>
      </c>
      <c r="G152" s="685" t="n"/>
    </row>
    <row r="153" hidden="1">
      <c r="A153" s="42" t="n"/>
      <c r="B153" s="112" t="inlineStr">
        <is>
          <t>TCS Cleaning/Servincing Allowance?</t>
        </is>
      </c>
      <c r="C153" s="682">
        <f>D153/7</f>
        <v/>
      </c>
      <c r="D153" s="691" t="n">
        <v>0</v>
      </c>
      <c r="E153" s="682">
        <f>D153*4</f>
        <v/>
      </c>
      <c r="F153" s="683">
        <f>E153*3</f>
        <v/>
      </c>
      <c r="G153" s="685" t="n"/>
    </row>
    <row r="154" hidden="1">
      <c r="A154" s="42" t="n"/>
      <c r="B154" s="112" t="n"/>
      <c r="C154" s="682" t="n"/>
      <c r="D154" s="691" t="n"/>
      <c r="E154" s="682" t="n"/>
      <c r="F154" s="683" t="n"/>
      <c r="G154" s="685" t="n"/>
    </row>
    <row r="155" hidden="1">
      <c r="A155" s="42" t="n"/>
      <c r="B155" s="94" t="inlineStr">
        <is>
          <t>Total TCS Cost</t>
        </is>
      </c>
      <c r="C155" s="691">
        <f>SUM(C147:C154)</f>
        <v/>
      </c>
      <c r="D155" s="691">
        <f>SUM(D147:D154)</f>
        <v/>
      </c>
      <c r="E155" s="691">
        <f>SUM(E147:E154)</f>
        <v/>
      </c>
      <c r="F155" s="691">
        <f>SUM(F147:F154)</f>
        <v/>
      </c>
      <c r="G155" s="692" t="n"/>
    </row>
    <row r="156" hidden="1">
      <c r="A156" s="42" t="n"/>
      <c r="B156" s="94" t="inlineStr">
        <is>
          <t>Total Cost Per Person</t>
        </is>
      </c>
      <c r="C156" s="682">
        <f>D156/7</f>
        <v/>
      </c>
      <c r="D156" s="691">
        <f>D155/C138</f>
        <v/>
      </c>
      <c r="E156" s="682">
        <f>D156*4</f>
        <v/>
      </c>
      <c r="F156" s="683">
        <f>E156*3</f>
        <v/>
      </c>
      <c r="G156" s="685" t="n"/>
    </row>
    <row r="157" ht="10.8" customHeight="1" thickBot="1">
      <c r="A157" s="42" t="n"/>
      <c r="B157" s="119" t="n"/>
      <c r="C157" s="693" t="n"/>
      <c r="D157" s="696" t="n"/>
      <c r="E157" s="693" t="n"/>
      <c r="F157" s="694" t="n"/>
      <c r="G157" s="685" t="n"/>
    </row>
    <row r="158">
      <c r="A158" s="42" t="n"/>
      <c r="B158" s="113" t="inlineStr">
        <is>
          <t>1 x Unit, 2 x Room</t>
        </is>
      </c>
      <c r="C158" s="115" t="inlineStr">
        <is>
          <t>*UNIT/VILLA</t>
        </is>
      </c>
      <c r="D158" s="208" t="inlineStr">
        <is>
          <t>Share House'</t>
        </is>
      </c>
      <c r="E158" s="88" t="n"/>
      <c r="F158" s="89" t="n"/>
      <c r="K158" s="685" t="n"/>
    </row>
    <row r="159">
      <c r="A159" s="42" t="inlineStr">
        <is>
          <t>Hidden</t>
        </is>
      </c>
      <c r="B159" s="113" t="inlineStr">
        <is>
          <t>No. of persons stayng;</t>
        </is>
      </c>
      <c r="C159" s="115" t="n">
        <v>2</v>
      </c>
      <c r="D159" s="88" t="n"/>
      <c r="E159" s="88" t="n"/>
      <c r="F159" s="89" t="n"/>
      <c r="K159" s="685" t="n"/>
    </row>
    <row r="160" hidden="1">
      <c r="A160" s="42" t="n"/>
      <c r="B160" s="90" t="inlineStr">
        <is>
          <t>Furnished</t>
        </is>
      </c>
      <c r="C160" s="690" t="inlineStr">
        <is>
          <t>YES</t>
        </is>
      </c>
      <c r="D160" s="682" t="n"/>
      <c r="E160" s="691" t="n"/>
      <c r="F160" s="683" t="n"/>
      <c r="G160" s="685" t="n"/>
    </row>
    <row r="161" hidden="1">
      <c r="A161" s="42" t="n"/>
      <c r="B161" s="90" t="inlineStr">
        <is>
          <t>*Serviced</t>
        </is>
      </c>
      <c r="C161" s="690" t="inlineStr">
        <is>
          <t>YES</t>
        </is>
      </c>
      <c r="D161" s="682" t="n"/>
      <c r="E161" s="691" t="n"/>
      <c r="F161" s="683" t="n"/>
      <c r="G161" s="685" t="n"/>
    </row>
    <row r="162" hidden="1">
      <c r="A162" s="42" t="n"/>
      <c r="B162" s="90" t="inlineStr">
        <is>
          <t>Individual/Private BATHROOM</t>
        </is>
      </c>
      <c r="C162" s="690" t="inlineStr">
        <is>
          <t>YES</t>
        </is>
      </c>
      <c r="D162" s="682" t="n"/>
      <c r="E162" s="691" t="n"/>
      <c r="F162" s="683" t="n"/>
      <c r="G162" s="685" t="n"/>
    </row>
    <row r="163" hidden="1">
      <c r="A163" s="42" t="n"/>
      <c r="B163" s="90" t="inlineStr">
        <is>
          <t>Individual/Private KITCHEN (Cooking) Faciliities Available - Microwave min.</t>
        </is>
      </c>
      <c r="C163" s="690" t="inlineStr">
        <is>
          <t>YES</t>
        </is>
      </c>
      <c r="D163" s="682" t="n"/>
      <c r="E163" s="691" t="n"/>
      <c r="F163" s="683" t="n"/>
      <c r="G163" s="685" t="n"/>
    </row>
    <row r="164" hidden="1">
      <c r="A164" s="42" t="n"/>
      <c r="B164" s="90" t="inlineStr">
        <is>
          <t>Individual/Private LAUNDRY Facilities Available</t>
        </is>
      </c>
      <c r="C164" s="690" t="inlineStr">
        <is>
          <t>YES</t>
        </is>
      </c>
      <c r="D164" s="682" t="n"/>
      <c r="E164" s="691" t="n"/>
      <c r="F164" s="683" t="n"/>
      <c r="G164" s="685" t="n"/>
    </row>
    <row r="165" hidden="1">
      <c r="A165" s="42" t="n"/>
      <c r="B165" s="90" t="inlineStr">
        <is>
          <t>Individual/Private LOUNGE ROOM Facilities Available</t>
        </is>
      </c>
      <c r="C165" s="690" t="inlineStr">
        <is>
          <t>YES</t>
        </is>
      </c>
      <c r="D165" s="682" t="n"/>
      <c r="E165" s="691" t="n"/>
      <c r="F165" s="683" t="n"/>
      <c r="G165" s="685" t="n"/>
    </row>
    <row r="166" hidden="1">
      <c r="A166" s="42" t="n"/>
      <c r="B166" s="118" t="inlineStr">
        <is>
          <t>** Pool, BBQ, Games etc etc?</t>
        </is>
      </c>
      <c r="C166" s="682" t="n"/>
      <c r="D166" s="682" t="n"/>
      <c r="E166" s="691" t="n"/>
      <c r="F166" s="683" t="n"/>
      <c r="G166" s="685" t="n"/>
    </row>
    <row r="167" hidden="1">
      <c r="A167" s="42" t="n"/>
      <c r="B167" s="90" t="n"/>
      <c r="C167" s="689" t="inlineStr">
        <is>
          <t>Sngl Night</t>
        </is>
      </c>
      <c r="D167" s="689" t="inlineStr">
        <is>
          <t>Week</t>
        </is>
      </c>
      <c r="E167" s="689" t="inlineStr">
        <is>
          <t>Month</t>
        </is>
      </c>
      <c r="F167" s="686" t="inlineStr">
        <is>
          <t>Qtr</t>
        </is>
      </c>
      <c r="G167" s="685" t="n"/>
    </row>
    <row r="168" hidden="1">
      <c r="A168" s="42" t="n"/>
      <c r="B168" s="94" t="inlineStr">
        <is>
          <t xml:space="preserve">Total Booking Cost </t>
        </is>
      </c>
      <c r="C168" s="682">
        <f>D168/7</f>
        <v/>
      </c>
      <c r="D168" s="691" t="n">
        <v>1300</v>
      </c>
      <c r="E168" s="682">
        <f>D168*4</f>
        <v/>
      </c>
      <c r="F168" s="683">
        <f>E168*3</f>
        <v/>
      </c>
      <c r="G168" s="685" t="n"/>
    </row>
    <row r="169" hidden="1">
      <c r="A169" s="42" t="n"/>
      <c r="B169" s="94" t="n"/>
      <c r="C169" s="682" t="n"/>
      <c r="D169" s="691" t="n"/>
      <c r="E169" s="682" t="n"/>
      <c r="F169" s="683" t="n"/>
      <c r="G169" s="685" t="n"/>
    </row>
    <row r="170" hidden="1">
      <c r="A170" s="42" t="n"/>
      <c r="B170" s="112" t="inlineStr">
        <is>
          <t>TCS Housing Consumables; …..</t>
        </is>
      </c>
      <c r="C170" s="682">
        <f>D170/7</f>
        <v/>
      </c>
      <c r="D170" s="691" t="n">
        <v>0</v>
      </c>
      <c r="E170" s="682">
        <f>D170*4</f>
        <v/>
      </c>
      <c r="F170" s="683">
        <f>E170*3</f>
        <v/>
      </c>
      <c r="G170" s="685" t="n"/>
    </row>
    <row r="171" hidden="1">
      <c r="A171" s="42" t="n"/>
      <c r="B171" s="112" t="inlineStr">
        <is>
          <t>TCS Laundry Allowance..?</t>
        </is>
      </c>
      <c r="C171" s="682">
        <f>D171/7</f>
        <v/>
      </c>
      <c r="D171" s="691" t="n">
        <v>0</v>
      </c>
      <c r="E171" s="682">
        <f>D171*4</f>
        <v/>
      </c>
      <c r="F171" s="683">
        <f>E171*3</f>
        <v/>
      </c>
      <c r="G171" s="685" t="n"/>
    </row>
    <row r="172" hidden="1">
      <c r="A172" s="42" t="n"/>
      <c r="B172" s="112" t="inlineStr">
        <is>
          <t>TCS Additional Meals Allowance (If no cooking Facilities?)</t>
        </is>
      </c>
      <c r="C172" s="682">
        <f>D172/7</f>
        <v/>
      </c>
      <c r="D172" s="691" t="n">
        <v>0</v>
      </c>
      <c r="E172" s="682">
        <f>D172*4</f>
        <v/>
      </c>
      <c r="F172" s="683">
        <f>E172*3</f>
        <v/>
      </c>
      <c r="G172" s="685" t="n"/>
    </row>
    <row r="173" hidden="1">
      <c r="A173" s="42" t="n"/>
      <c r="B173" s="112" t="inlineStr">
        <is>
          <t>TCS Furnishings?</t>
        </is>
      </c>
      <c r="C173" s="682">
        <f>D173/7</f>
        <v/>
      </c>
      <c r="D173" s="691" t="n">
        <v>0</v>
      </c>
      <c r="E173" s="682">
        <f>D173*4</f>
        <v/>
      </c>
      <c r="F173" s="683">
        <f>E173*3</f>
        <v/>
      </c>
      <c r="G173" s="685" t="n"/>
    </row>
    <row r="174" hidden="1">
      <c r="A174" s="42" t="n"/>
      <c r="B174" s="112" t="inlineStr">
        <is>
          <t>TCS Cleaning/Servincing Allowance?</t>
        </is>
      </c>
      <c r="C174" s="682">
        <f>D174/7</f>
        <v/>
      </c>
      <c r="D174" s="691" t="n">
        <v>0</v>
      </c>
      <c r="E174" s="682">
        <f>D174*4</f>
        <v/>
      </c>
      <c r="F174" s="683">
        <f>E174*3</f>
        <v/>
      </c>
      <c r="G174" s="685" t="n"/>
    </row>
    <row r="175">
      <c r="A175" s="42" t="n"/>
      <c r="B175" s="112" t="n"/>
      <c r="C175" s="682" t="n"/>
      <c r="D175" s="691" t="n"/>
      <c r="E175" s="682" t="n"/>
      <c r="F175" s="683" t="n"/>
      <c r="G175" s="685" t="n"/>
    </row>
    <row r="176">
      <c r="A176" s="42" t="n"/>
      <c r="B176" s="94" t="inlineStr">
        <is>
          <t>Total TCS Cost</t>
        </is>
      </c>
      <c r="C176" s="691">
        <f>SUM(C168:C175)</f>
        <v/>
      </c>
      <c r="D176" s="691">
        <f>SUM(D168:D175)</f>
        <v/>
      </c>
      <c r="E176" s="691">
        <f>SUM(E168:E175)</f>
        <v/>
      </c>
      <c r="F176" s="691">
        <f>SUM(F168:F175)</f>
        <v/>
      </c>
      <c r="G176" s="692" t="n"/>
    </row>
    <row r="177">
      <c r="A177" s="42" t="n"/>
      <c r="B177" s="94" t="inlineStr">
        <is>
          <t>Total Cost Per Person</t>
        </is>
      </c>
      <c r="C177" s="682">
        <f>D177/7</f>
        <v/>
      </c>
      <c r="D177" s="691">
        <f>D176/C159</f>
        <v/>
      </c>
      <c r="E177" s="682">
        <f>D177*4</f>
        <v/>
      </c>
      <c r="F177" s="683">
        <f>E177*3</f>
        <v/>
      </c>
      <c r="G177" s="685" t="n"/>
    </row>
    <row r="178" ht="10.8" customHeight="1" thickBot="1">
      <c r="A178" s="42" t="n"/>
      <c r="B178" s="116" t="n"/>
      <c r="C178" s="693" t="n"/>
      <c r="D178" s="693" t="n"/>
      <c r="E178" s="696" t="n"/>
      <c r="F178" s="694" t="n"/>
      <c r="G178" s="685" t="n"/>
    </row>
    <row r="179">
      <c r="A179" s="274" t="inlineStr">
        <is>
          <t>Hidden</t>
        </is>
      </c>
      <c r="B179" s="266" t="inlineStr">
        <is>
          <t>1 x Unit, 2 x Room</t>
        </is>
      </c>
      <c r="C179" s="267" t="inlineStr">
        <is>
          <t>*UNIT/VILLA</t>
        </is>
      </c>
      <c r="D179" s="268" t="inlineStr">
        <is>
          <t>Share Rooms</t>
        </is>
      </c>
      <c r="E179" s="273" t="n"/>
      <c r="F179" s="270" t="n"/>
      <c r="K179" s="685" t="n"/>
    </row>
    <row r="180" hidden="1">
      <c r="A180" s="42" t="n"/>
      <c r="B180" s="113" t="inlineStr">
        <is>
          <t>No. of persons stayng;</t>
        </is>
      </c>
      <c r="C180" s="115" t="n">
        <v>4</v>
      </c>
      <c r="D180" s="88" t="n"/>
      <c r="E180" s="88" t="n"/>
      <c r="F180" s="89" t="n"/>
      <c r="K180" s="685" t="n"/>
    </row>
    <row r="181" hidden="1">
      <c r="A181" s="42" t="n"/>
      <c r="B181" s="90" t="inlineStr">
        <is>
          <t>Furnished</t>
        </is>
      </c>
      <c r="C181" s="690" t="inlineStr">
        <is>
          <t>YES</t>
        </is>
      </c>
      <c r="D181" s="682" t="n"/>
      <c r="E181" s="691" t="n"/>
      <c r="F181" s="683" t="n"/>
      <c r="G181" s="685" t="n"/>
    </row>
    <row r="182" hidden="1">
      <c r="A182" s="42" t="n"/>
      <c r="B182" s="90" t="inlineStr">
        <is>
          <t>*Serviced</t>
        </is>
      </c>
      <c r="C182" s="690" t="inlineStr">
        <is>
          <t>YES</t>
        </is>
      </c>
      <c r="D182" s="682" t="n"/>
      <c r="E182" s="691" t="n"/>
      <c r="F182" s="683" t="n"/>
      <c r="G182" s="685" t="n"/>
    </row>
    <row r="183" hidden="1">
      <c r="A183" s="42" t="n"/>
      <c r="B183" s="90" t="inlineStr">
        <is>
          <t>Individual/Private BATHROOM</t>
        </is>
      </c>
      <c r="C183" s="690" t="inlineStr">
        <is>
          <t>YES</t>
        </is>
      </c>
      <c r="D183" s="682" t="n"/>
      <c r="E183" s="691" t="n"/>
      <c r="F183" s="683" t="n"/>
      <c r="G183" s="685" t="n"/>
    </row>
    <row r="184" hidden="1">
      <c r="A184" s="42" t="n"/>
      <c r="B184" s="90" t="inlineStr">
        <is>
          <t>Individual/Private KITCHEN (Cooking) Faciliities Available - Microwave min.</t>
        </is>
      </c>
      <c r="C184" s="690" t="inlineStr">
        <is>
          <t>YES</t>
        </is>
      </c>
      <c r="D184" s="682" t="n"/>
      <c r="E184" s="691" t="n"/>
      <c r="F184" s="683" t="n"/>
      <c r="G184" s="685" t="n"/>
    </row>
    <row r="185" hidden="1">
      <c r="A185" s="42" t="n"/>
      <c r="B185" s="90" t="inlineStr">
        <is>
          <t>Individual/Private LAUNDRY Facilities Available</t>
        </is>
      </c>
      <c r="C185" s="690" t="inlineStr">
        <is>
          <t>YES</t>
        </is>
      </c>
      <c r="D185" s="682" t="n"/>
      <c r="E185" s="691" t="n"/>
      <c r="F185" s="683" t="n"/>
      <c r="G185" s="685" t="n"/>
    </row>
    <row r="186" hidden="1">
      <c r="A186" s="42" t="n"/>
      <c r="B186" s="90" t="inlineStr">
        <is>
          <t>Individual/Private LOUNGE ROOM Facilities Available</t>
        </is>
      </c>
      <c r="C186" s="690" t="inlineStr">
        <is>
          <t>YES</t>
        </is>
      </c>
      <c r="D186" s="682" t="n"/>
      <c r="E186" s="691" t="n"/>
      <c r="F186" s="683" t="n"/>
      <c r="G186" s="685" t="n"/>
    </row>
    <row r="187" hidden="1">
      <c r="A187" s="42" t="n"/>
      <c r="B187" s="118" t="inlineStr">
        <is>
          <t>** Pool, BBQ, Games etc etc?</t>
        </is>
      </c>
      <c r="C187" s="682" t="n"/>
      <c r="D187" s="682" t="n"/>
      <c r="E187" s="691" t="n"/>
      <c r="F187" s="683" t="n"/>
      <c r="G187" s="685" t="n"/>
    </row>
    <row r="188" hidden="1">
      <c r="A188" s="42" t="n"/>
      <c r="B188" s="90" t="n"/>
      <c r="C188" s="689" t="inlineStr">
        <is>
          <t>Sngl Night</t>
        </is>
      </c>
      <c r="D188" s="689" t="inlineStr">
        <is>
          <t>Week</t>
        </is>
      </c>
      <c r="E188" s="689" t="inlineStr">
        <is>
          <t>Month</t>
        </is>
      </c>
      <c r="F188" s="686" t="inlineStr">
        <is>
          <t>Qtr</t>
        </is>
      </c>
      <c r="G188" s="685" t="n"/>
    </row>
    <row r="189" hidden="1">
      <c r="A189" s="42" t="n"/>
      <c r="B189" s="94" t="inlineStr">
        <is>
          <t xml:space="preserve">Total Booking Cost </t>
        </is>
      </c>
      <c r="C189" s="682">
        <f>D189/7</f>
        <v/>
      </c>
      <c r="D189" s="691" t="n">
        <v>1680</v>
      </c>
      <c r="E189" s="682">
        <f>D189*4</f>
        <v/>
      </c>
      <c r="F189" s="683">
        <f>E189*3</f>
        <v/>
      </c>
      <c r="G189" s="685" t="n"/>
    </row>
    <row r="190" hidden="1">
      <c r="A190" s="42" t="n"/>
      <c r="B190" s="94" t="n"/>
      <c r="C190" s="682" t="n"/>
      <c r="D190" s="691" t="n"/>
      <c r="E190" s="682" t="n"/>
      <c r="F190" s="683" t="n"/>
      <c r="G190" s="685" t="n"/>
    </row>
    <row r="191" hidden="1">
      <c r="A191" s="42" t="n"/>
      <c r="B191" s="112" t="inlineStr">
        <is>
          <t>TCS Housing Consumables; …..</t>
        </is>
      </c>
      <c r="C191" s="682">
        <f>D191/7</f>
        <v/>
      </c>
      <c r="D191" s="691" t="n">
        <v>0</v>
      </c>
      <c r="E191" s="682">
        <f>D191*4</f>
        <v/>
      </c>
      <c r="F191" s="683">
        <f>E191*3</f>
        <v/>
      </c>
      <c r="G191" s="685" t="n"/>
    </row>
    <row r="192" hidden="1">
      <c r="A192" s="42" t="n"/>
      <c r="B192" s="112" t="inlineStr">
        <is>
          <t>TCS Laundry Allowance..?</t>
        </is>
      </c>
      <c r="C192" s="682">
        <f>D192/7</f>
        <v/>
      </c>
      <c r="D192" s="691" t="n">
        <v>0</v>
      </c>
      <c r="E192" s="682">
        <f>D192*4</f>
        <v/>
      </c>
      <c r="F192" s="683">
        <f>E192*3</f>
        <v/>
      </c>
      <c r="G192" s="685" t="n"/>
    </row>
    <row r="193" hidden="1">
      <c r="A193" s="42" t="n"/>
      <c r="B193" s="112" t="inlineStr">
        <is>
          <t>TCS Additional Meals Allowance (If no cooking Facilities?)</t>
        </is>
      </c>
      <c r="C193" s="682">
        <f>D193/7</f>
        <v/>
      </c>
      <c r="D193" s="691" t="n">
        <v>0</v>
      </c>
      <c r="E193" s="682">
        <f>D193*4</f>
        <v/>
      </c>
      <c r="F193" s="683">
        <f>E193*3</f>
        <v/>
      </c>
      <c r="G193" s="685" t="n"/>
    </row>
    <row r="194" hidden="1">
      <c r="A194" s="42" t="n"/>
      <c r="B194" s="112" t="inlineStr">
        <is>
          <t>TCS Furnishings?</t>
        </is>
      </c>
      <c r="C194" s="682">
        <f>D194/7</f>
        <v/>
      </c>
      <c r="D194" s="691" t="n">
        <v>0</v>
      </c>
      <c r="E194" s="682">
        <f>D194*4</f>
        <v/>
      </c>
      <c r="F194" s="683">
        <f>E194*3</f>
        <v/>
      </c>
      <c r="G194" s="685" t="n"/>
    </row>
    <row r="195" hidden="1">
      <c r="A195" s="42" t="n"/>
      <c r="B195" s="112" t="inlineStr">
        <is>
          <t>TCS Cleaning/Servincing Allowance?</t>
        </is>
      </c>
      <c r="C195" s="682">
        <f>D195/7</f>
        <v/>
      </c>
      <c r="D195" s="691" t="n">
        <v>0</v>
      </c>
      <c r="E195" s="682">
        <f>D195*4</f>
        <v/>
      </c>
      <c r="F195" s="683">
        <f>E195*3</f>
        <v/>
      </c>
      <c r="G195" s="685" t="n"/>
    </row>
    <row r="196" hidden="1">
      <c r="A196" s="42" t="n"/>
      <c r="B196" s="112" t="n"/>
      <c r="C196" s="682" t="n"/>
      <c r="D196" s="691" t="n"/>
      <c r="E196" s="682" t="n"/>
      <c r="F196" s="683" t="n"/>
      <c r="G196" s="685" t="n"/>
    </row>
    <row r="197" hidden="1">
      <c r="A197" s="42" t="n"/>
      <c r="B197" s="94" t="inlineStr">
        <is>
          <t>Total TCS Cost</t>
        </is>
      </c>
      <c r="C197" s="691">
        <f>SUM(C189:C196)</f>
        <v/>
      </c>
      <c r="D197" s="691">
        <f>SUM(D189:D196)</f>
        <v/>
      </c>
      <c r="E197" s="691">
        <f>SUM(E189:E196)</f>
        <v/>
      </c>
      <c r="F197" s="691">
        <f>SUM(F189:F196)</f>
        <v/>
      </c>
      <c r="G197" s="692" t="n"/>
    </row>
    <row r="198" hidden="1">
      <c r="A198" s="42" t="n"/>
      <c r="B198" s="94" t="inlineStr">
        <is>
          <t>Total Cost Per Person</t>
        </is>
      </c>
      <c r="C198" s="682">
        <f>D198/7</f>
        <v/>
      </c>
      <c r="D198" s="691">
        <f>D197/C180</f>
        <v/>
      </c>
      <c r="E198" s="682">
        <f>D198*4</f>
        <v/>
      </c>
      <c r="F198" s="683">
        <f>E198*3</f>
        <v/>
      </c>
      <c r="G198" s="685" t="n"/>
    </row>
    <row r="199" ht="10.8" customHeight="1" thickBot="1">
      <c r="A199" s="42" t="n"/>
      <c r="B199" s="116" t="n"/>
      <c r="C199" s="693" t="n"/>
      <c r="D199" s="693" t="n"/>
      <c r="E199" s="696" t="n"/>
      <c r="F199" s="694" t="n"/>
      <c r="G199" s="685" t="n"/>
    </row>
    <row r="200">
      <c r="A200" s="42" t="n"/>
      <c r="B200" s="113" t="inlineStr">
        <is>
          <t>1 x Unit, 3 x Room</t>
        </is>
      </c>
      <c r="C200" s="115" t="inlineStr">
        <is>
          <t>*UNIT/VILLA</t>
        </is>
      </c>
      <c r="D200" s="208" t="inlineStr">
        <is>
          <t>Share House'</t>
        </is>
      </c>
      <c r="E200" s="88" t="n"/>
      <c r="F200" s="89" t="n"/>
      <c r="K200" s="685" t="n"/>
    </row>
    <row r="201">
      <c r="A201" s="42" t="inlineStr">
        <is>
          <t>Hidden</t>
        </is>
      </c>
      <c r="B201" s="113" t="inlineStr">
        <is>
          <t>No. of persons stayng;</t>
        </is>
      </c>
      <c r="C201" s="115" t="n">
        <v>3</v>
      </c>
      <c r="D201" s="88" t="n"/>
      <c r="E201" s="88" t="n"/>
      <c r="F201" s="89" t="n"/>
      <c r="K201" s="685" t="n"/>
    </row>
    <row r="202" hidden="1">
      <c r="A202" s="42" t="n"/>
      <c r="B202" s="90" t="inlineStr">
        <is>
          <t>Furnished</t>
        </is>
      </c>
      <c r="C202" s="690" t="inlineStr">
        <is>
          <t>YES</t>
        </is>
      </c>
      <c r="D202" s="682" t="n"/>
      <c r="E202" s="691" t="n"/>
      <c r="F202" s="683" t="n"/>
      <c r="G202" s="685" t="n"/>
    </row>
    <row r="203" hidden="1">
      <c r="A203" s="42" t="n"/>
      <c r="B203" s="90" t="inlineStr">
        <is>
          <t>*Serviced</t>
        </is>
      </c>
      <c r="C203" s="690" t="inlineStr">
        <is>
          <t>YES</t>
        </is>
      </c>
      <c r="D203" s="682" t="n"/>
      <c r="E203" s="691" t="n"/>
      <c r="F203" s="683" t="n"/>
      <c r="G203" s="685" t="n"/>
    </row>
    <row r="204" hidden="1">
      <c r="A204" s="42" t="n"/>
      <c r="B204" s="90" t="inlineStr">
        <is>
          <t>Individual/Private BATHROOM</t>
        </is>
      </c>
      <c r="C204" s="690" t="inlineStr">
        <is>
          <t>YES</t>
        </is>
      </c>
      <c r="D204" s="682" t="n"/>
      <c r="E204" s="691" t="n"/>
      <c r="F204" s="683" t="n"/>
      <c r="G204" s="685" t="n"/>
    </row>
    <row r="205" hidden="1">
      <c r="A205" s="42" t="n"/>
      <c r="B205" s="90" t="inlineStr">
        <is>
          <t>Individual/Private KITCHEN (Cooking) Faciliities Available - Microwave min.</t>
        </is>
      </c>
      <c r="C205" s="690" t="inlineStr">
        <is>
          <t>YES</t>
        </is>
      </c>
      <c r="D205" s="682" t="n"/>
      <c r="E205" s="691" t="n"/>
      <c r="F205" s="683" t="n"/>
      <c r="G205" s="685" t="n"/>
    </row>
    <row r="206" hidden="1">
      <c r="A206" s="42" t="n"/>
      <c r="B206" s="90" t="inlineStr">
        <is>
          <t>Individual/Private LAUNDRY Facilities Available</t>
        </is>
      </c>
      <c r="C206" s="690" t="inlineStr">
        <is>
          <t>YES</t>
        </is>
      </c>
      <c r="D206" s="682" t="n"/>
      <c r="E206" s="691" t="n"/>
      <c r="F206" s="683" t="n"/>
      <c r="G206" s="685" t="n"/>
    </row>
    <row r="207" hidden="1">
      <c r="A207" s="42" t="n"/>
      <c r="B207" s="90" t="inlineStr">
        <is>
          <t>Individual/Private LOUNGE ROOM Facilities Available</t>
        </is>
      </c>
      <c r="C207" s="690" t="inlineStr">
        <is>
          <t>YES</t>
        </is>
      </c>
      <c r="D207" s="682" t="n"/>
      <c r="E207" s="691" t="n"/>
      <c r="F207" s="683" t="n"/>
      <c r="G207" s="685" t="n"/>
    </row>
    <row r="208" hidden="1">
      <c r="A208" s="42" t="n"/>
      <c r="B208" s="118" t="inlineStr">
        <is>
          <t>** Pool, BBQ, Games etc etc?</t>
        </is>
      </c>
      <c r="C208" s="682" t="n"/>
      <c r="D208" s="682" t="n"/>
      <c r="E208" s="691" t="n"/>
      <c r="F208" s="683" t="n"/>
      <c r="G208" s="685" t="n"/>
    </row>
    <row r="209" hidden="1">
      <c r="A209" s="42" t="n"/>
      <c r="B209" s="90" t="n"/>
      <c r="C209" s="689" t="inlineStr">
        <is>
          <t>Sngl Night</t>
        </is>
      </c>
      <c r="D209" s="689" t="inlineStr">
        <is>
          <t>Week</t>
        </is>
      </c>
      <c r="E209" s="689" t="inlineStr">
        <is>
          <t>Month</t>
        </is>
      </c>
      <c r="F209" s="686" t="inlineStr">
        <is>
          <t>Qtr</t>
        </is>
      </c>
      <c r="G209" s="685" t="n"/>
    </row>
    <row r="210" hidden="1">
      <c r="A210" s="42" t="n"/>
      <c r="B210" s="94" t="inlineStr">
        <is>
          <t xml:space="preserve">Total Booking Cost </t>
        </is>
      </c>
      <c r="C210" s="682">
        <f>D210/7</f>
        <v/>
      </c>
      <c r="D210" s="691" t="n">
        <v>2300</v>
      </c>
      <c r="E210" s="682">
        <f>D210*4</f>
        <v/>
      </c>
      <c r="F210" s="683">
        <f>E210*3</f>
        <v/>
      </c>
      <c r="G210" s="685" t="n"/>
    </row>
    <row r="211" hidden="1">
      <c r="A211" s="42" t="n"/>
      <c r="B211" s="94" t="n"/>
      <c r="C211" s="682" t="n"/>
      <c r="D211" s="691" t="n"/>
      <c r="E211" s="682" t="n"/>
      <c r="F211" s="683" t="n"/>
      <c r="G211" s="685" t="n"/>
    </row>
    <row r="212" hidden="1">
      <c r="A212" s="42" t="n"/>
      <c r="B212" s="112" t="inlineStr">
        <is>
          <t>TCS Housing Consumables; …..</t>
        </is>
      </c>
      <c r="C212" s="682">
        <f>D212/7</f>
        <v/>
      </c>
      <c r="D212" s="691" t="n">
        <v>0</v>
      </c>
      <c r="E212" s="682">
        <f>D212*4</f>
        <v/>
      </c>
      <c r="F212" s="683">
        <f>E212*3</f>
        <v/>
      </c>
      <c r="G212" s="685" t="n"/>
    </row>
    <row r="213" hidden="1">
      <c r="A213" s="42" t="n"/>
      <c r="B213" s="112" t="inlineStr">
        <is>
          <t>TCS Laundry Allowance..?</t>
        </is>
      </c>
      <c r="C213" s="682">
        <f>D213/7</f>
        <v/>
      </c>
      <c r="D213" s="691" t="n">
        <v>0</v>
      </c>
      <c r="E213" s="682">
        <f>D213*4</f>
        <v/>
      </c>
      <c r="F213" s="683">
        <f>E213*3</f>
        <v/>
      </c>
      <c r="G213" s="685" t="n"/>
    </row>
    <row r="214" hidden="1">
      <c r="A214" s="42" t="n"/>
      <c r="B214" s="112" t="inlineStr">
        <is>
          <t>TCS Additional Meals Allowance (If no cooking Facilities?)</t>
        </is>
      </c>
      <c r="C214" s="682">
        <f>D214/7</f>
        <v/>
      </c>
      <c r="D214" s="691" t="n">
        <v>0</v>
      </c>
      <c r="E214" s="682">
        <f>D214*4</f>
        <v/>
      </c>
      <c r="F214" s="683">
        <f>E214*3</f>
        <v/>
      </c>
      <c r="G214" s="685" t="n"/>
    </row>
    <row r="215" hidden="1">
      <c r="A215" s="42" t="n"/>
      <c r="B215" s="112" t="inlineStr">
        <is>
          <t>TCS Furnishings?</t>
        </is>
      </c>
      <c r="C215" s="682">
        <f>D215/7</f>
        <v/>
      </c>
      <c r="D215" s="691" t="n">
        <v>0</v>
      </c>
      <c r="E215" s="682">
        <f>D215*4</f>
        <v/>
      </c>
      <c r="F215" s="683">
        <f>E215*3</f>
        <v/>
      </c>
      <c r="G215" s="685" t="n"/>
    </row>
    <row r="216" hidden="1">
      <c r="A216" s="42" t="n"/>
      <c r="B216" s="112" t="inlineStr">
        <is>
          <t>TCS Cleaning/Servincing Allowance?</t>
        </is>
      </c>
      <c r="C216" s="682">
        <f>D216/7</f>
        <v/>
      </c>
      <c r="D216" s="691" t="n">
        <v>0</v>
      </c>
      <c r="E216" s="682">
        <f>D216*4</f>
        <v/>
      </c>
      <c r="F216" s="683">
        <f>E216*3</f>
        <v/>
      </c>
      <c r="G216" s="685" t="n"/>
    </row>
    <row r="217">
      <c r="A217" s="42" t="n"/>
      <c r="B217" s="112" t="n"/>
      <c r="C217" s="682" t="n"/>
      <c r="D217" s="691" t="n"/>
      <c r="E217" s="682" t="n"/>
      <c r="F217" s="683" t="n"/>
      <c r="G217" s="685" t="n"/>
    </row>
    <row r="218">
      <c r="A218" s="42" t="n"/>
      <c r="B218" s="94" t="inlineStr">
        <is>
          <t>Total TCS Cost</t>
        </is>
      </c>
      <c r="C218" s="691">
        <f>SUM(C210:C217)</f>
        <v/>
      </c>
      <c r="D218" s="691">
        <f>SUM(D210:D217)</f>
        <v/>
      </c>
      <c r="E218" s="691">
        <f>SUM(E210:E217)</f>
        <v/>
      </c>
      <c r="F218" s="691">
        <f>SUM(F210:F217)</f>
        <v/>
      </c>
      <c r="G218" s="692" t="n"/>
    </row>
    <row r="219">
      <c r="A219" s="42" t="n"/>
      <c r="B219" s="94" t="inlineStr">
        <is>
          <t>Total Cost Per Person</t>
        </is>
      </c>
      <c r="C219" s="682">
        <f>D219/7</f>
        <v/>
      </c>
      <c r="D219" s="691">
        <f>D218/C201</f>
        <v/>
      </c>
      <c r="E219" s="682">
        <f>D219*4</f>
        <v/>
      </c>
      <c r="F219" s="683">
        <f>E219*3</f>
        <v/>
      </c>
      <c r="G219" s="685" t="n"/>
    </row>
    <row r="220" ht="10.8" customHeight="1" thickBot="1">
      <c r="A220" s="42" t="n"/>
      <c r="B220" s="116" t="n"/>
      <c r="C220" s="693" t="n"/>
      <c r="D220" s="693" t="n"/>
      <c r="E220" s="696" t="n"/>
      <c r="F220" s="694" t="n"/>
      <c r="G220" s="685" t="n"/>
    </row>
    <row r="221">
      <c r="A221" s="42" t="inlineStr">
        <is>
          <t>Hidden</t>
        </is>
      </c>
      <c r="B221" s="266" t="inlineStr">
        <is>
          <t>1 x Unit, 3 x Room</t>
        </is>
      </c>
      <c r="C221" s="267" t="inlineStr">
        <is>
          <t>*UNIT/VILLA</t>
        </is>
      </c>
      <c r="D221" s="268" t="inlineStr">
        <is>
          <t>Share Rooms</t>
        </is>
      </c>
      <c r="E221" s="273" t="n"/>
      <c r="F221" s="270" t="n"/>
      <c r="K221" s="685" t="n"/>
    </row>
    <row r="222" hidden="1">
      <c r="A222" s="42" t="n"/>
      <c r="B222" s="113" t="inlineStr">
        <is>
          <t>No. of persons stayng;</t>
        </is>
      </c>
      <c r="C222" s="115" t="n">
        <v>6</v>
      </c>
      <c r="D222" s="88" t="n"/>
      <c r="E222" s="88" t="n"/>
      <c r="F222" s="89" t="n"/>
      <c r="K222" s="685" t="n"/>
    </row>
    <row r="223" hidden="1">
      <c r="A223" s="42" t="n"/>
      <c r="B223" s="90" t="inlineStr">
        <is>
          <t>Furnished</t>
        </is>
      </c>
      <c r="C223" s="690" t="inlineStr">
        <is>
          <t>YES</t>
        </is>
      </c>
      <c r="D223" s="682" t="n"/>
      <c r="E223" s="691" t="n"/>
      <c r="F223" s="683" t="n"/>
      <c r="G223" s="685" t="n"/>
    </row>
    <row r="224" hidden="1">
      <c r="A224" s="42" t="n"/>
      <c r="B224" s="90" t="inlineStr">
        <is>
          <t>*Serviced</t>
        </is>
      </c>
      <c r="C224" s="690" t="inlineStr">
        <is>
          <t>YES</t>
        </is>
      </c>
      <c r="D224" s="682" t="n"/>
      <c r="E224" s="691" t="n"/>
      <c r="F224" s="683" t="n"/>
      <c r="G224" s="685" t="n"/>
    </row>
    <row r="225" hidden="1">
      <c r="A225" s="42" t="n"/>
      <c r="B225" s="90" t="inlineStr">
        <is>
          <t>Individual/Private BATHROOM</t>
        </is>
      </c>
      <c r="C225" s="690" t="inlineStr">
        <is>
          <t>YES</t>
        </is>
      </c>
      <c r="D225" s="682" t="n"/>
      <c r="E225" s="691" t="n"/>
      <c r="F225" s="683" t="n"/>
      <c r="G225" s="685" t="n"/>
    </row>
    <row r="226" hidden="1">
      <c r="A226" s="42" t="n"/>
      <c r="B226" s="90" t="inlineStr">
        <is>
          <t>Individual/Private KITCHEN (Cooking) Faciliities Available - Microwave min.</t>
        </is>
      </c>
      <c r="C226" s="690" t="inlineStr">
        <is>
          <t>YES</t>
        </is>
      </c>
      <c r="D226" s="682" t="n"/>
      <c r="E226" s="691" t="n"/>
      <c r="F226" s="683" t="n"/>
      <c r="G226" s="685" t="n"/>
    </row>
    <row r="227" hidden="1">
      <c r="A227" s="42" t="n"/>
      <c r="B227" s="90" t="inlineStr">
        <is>
          <t>Individual/Private LAUNDRY Facilities Available</t>
        </is>
      </c>
      <c r="C227" s="690" t="inlineStr">
        <is>
          <t>YES</t>
        </is>
      </c>
      <c r="D227" s="682" t="n"/>
      <c r="E227" s="691" t="n"/>
      <c r="F227" s="683" t="n"/>
      <c r="G227" s="685" t="n"/>
    </row>
    <row r="228" hidden="1">
      <c r="A228" s="42" t="n"/>
      <c r="B228" s="90" t="inlineStr">
        <is>
          <t>Individual/Private LOUNGE ROOM Facilities Available</t>
        </is>
      </c>
      <c r="C228" s="690" t="inlineStr">
        <is>
          <t>YES</t>
        </is>
      </c>
      <c r="D228" s="682" t="n"/>
      <c r="E228" s="691" t="n"/>
      <c r="F228" s="683" t="n"/>
      <c r="G228" s="685" t="n"/>
    </row>
    <row r="229" hidden="1">
      <c r="A229" s="42" t="n"/>
      <c r="B229" s="118" t="inlineStr">
        <is>
          <t>** Pool, BBQ, Games etc etc?</t>
        </is>
      </c>
      <c r="C229" s="682" t="n"/>
      <c r="D229" s="682" t="n"/>
      <c r="E229" s="691" t="n"/>
      <c r="F229" s="683" t="n"/>
      <c r="G229" s="685" t="n"/>
    </row>
    <row r="230" hidden="1">
      <c r="A230" s="42" t="n"/>
      <c r="B230" s="90" t="n"/>
      <c r="C230" s="689" t="inlineStr">
        <is>
          <t>Sngl Night</t>
        </is>
      </c>
      <c r="D230" s="689" t="inlineStr">
        <is>
          <t>Week</t>
        </is>
      </c>
      <c r="E230" s="689" t="inlineStr">
        <is>
          <t>Month</t>
        </is>
      </c>
      <c r="F230" s="686" t="inlineStr">
        <is>
          <t>Qtr</t>
        </is>
      </c>
      <c r="G230" s="685" t="n"/>
    </row>
    <row r="231" hidden="1">
      <c r="A231" s="42" t="n"/>
      <c r="B231" s="94" t="inlineStr">
        <is>
          <t xml:space="preserve">Total Booking Cost </t>
        </is>
      </c>
      <c r="C231" s="682">
        <f>D231/7</f>
        <v/>
      </c>
      <c r="D231" s="691" t="n">
        <v>2650</v>
      </c>
      <c r="E231" s="682">
        <f>D231*4</f>
        <v/>
      </c>
      <c r="F231" s="683">
        <f>E231*3</f>
        <v/>
      </c>
      <c r="G231" s="685" t="n"/>
    </row>
    <row r="232" hidden="1">
      <c r="A232" s="42" t="n"/>
      <c r="B232" s="94" t="n"/>
      <c r="C232" s="682" t="n"/>
      <c r="D232" s="691" t="n"/>
      <c r="E232" s="682" t="n"/>
      <c r="F232" s="683" t="n"/>
      <c r="G232" s="685" t="n"/>
    </row>
    <row r="233" hidden="1">
      <c r="A233" s="42" t="n"/>
      <c r="B233" s="112" t="inlineStr">
        <is>
          <t>TCS Housing Consumables; …..</t>
        </is>
      </c>
      <c r="C233" s="682">
        <f>D233/7</f>
        <v/>
      </c>
      <c r="D233" s="691" t="n">
        <v>0</v>
      </c>
      <c r="E233" s="682">
        <f>D233*4</f>
        <v/>
      </c>
      <c r="F233" s="683">
        <f>E233*3</f>
        <v/>
      </c>
      <c r="G233" s="685" t="n"/>
    </row>
    <row r="234" hidden="1">
      <c r="A234" s="42" t="n"/>
      <c r="B234" s="112" t="inlineStr">
        <is>
          <t>TCS Laundry Allowance..?</t>
        </is>
      </c>
      <c r="C234" s="682">
        <f>D234/7</f>
        <v/>
      </c>
      <c r="D234" s="691" t="n">
        <v>0</v>
      </c>
      <c r="E234" s="682">
        <f>D234*4</f>
        <v/>
      </c>
      <c r="F234" s="683">
        <f>E234*3</f>
        <v/>
      </c>
      <c r="G234" s="685" t="n"/>
    </row>
    <row r="235" hidden="1">
      <c r="A235" s="42" t="n"/>
      <c r="B235" s="112" t="inlineStr">
        <is>
          <t>TCS Additional Meals Allowance (If no cooking Facilities?)</t>
        </is>
      </c>
      <c r="C235" s="682">
        <f>D235/7</f>
        <v/>
      </c>
      <c r="D235" s="691" t="n">
        <v>0</v>
      </c>
      <c r="E235" s="682">
        <f>D235*4</f>
        <v/>
      </c>
      <c r="F235" s="683">
        <f>E235*3</f>
        <v/>
      </c>
      <c r="G235" s="685" t="n"/>
    </row>
    <row r="236" hidden="1">
      <c r="A236" s="42" t="n"/>
      <c r="B236" s="112" t="inlineStr">
        <is>
          <t>TCS Furnishings?</t>
        </is>
      </c>
      <c r="C236" s="682">
        <f>D236/7</f>
        <v/>
      </c>
      <c r="D236" s="691" t="n">
        <v>0</v>
      </c>
      <c r="E236" s="682">
        <f>D236*4</f>
        <v/>
      </c>
      <c r="F236" s="683">
        <f>E236*3</f>
        <v/>
      </c>
      <c r="G236" s="685" t="n"/>
    </row>
    <row r="237" hidden="1">
      <c r="A237" s="42" t="n"/>
      <c r="B237" s="112" t="inlineStr">
        <is>
          <t>TCS Cleaning/Servincing Allowance?</t>
        </is>
      </c>
      <c r="C237" s="682">
        <f>D237/7</f>
        <v/>
      </c>
      <c r="D237" s="691" t="n">
        <v>0</v>
      </c>
      <c r="E237" s="682">
        <f>D237*4</f>
        <v/>
      </c>
      <c r="F237" s="683">
        <f>E237*3</f>
        <v/>
      </c>
      <c r="G237" s="685" t="n"/>
    </row>
    <row r="238" hidden="1">
      <c r="A238" s="42" t="n"/>
      <c r="B238" s="112" t="n"/>
      <c r="C238" s="682" t="n"/>
      <c r="D238" s="691" t="n"/>
      <c r="E238" s="682" t="n"/>
      <c r="F238" s="683" t="n"/>
      <c r="G238" s="685" t="n"/>
    </row>
    <row r="239" hidden="1">
      <c r="A239" s="42" t="n"/>
      <c r="B239" s="94" t="inlineStr">
        <is>
          <t>Total TCS Cost</t>
        </is>
      </c>
      <c r="C239" s="691">
        <f>SUM(C231:C238)</f>
        <v/>
      </c>
      <c r="D239" s="691">
        <f>SUM(D231:D238)</f>
        <v/>
      </c>
      <c r="E239" s="691">
        <f>SUM(E231:E238)</f>
        <v/>
      </c>
      <c r="F239" s="691">
        <f>SUM(F231:F238)</f>
        <v/>
      </c>
      <c r="G239" s="692" t="n"/>
    </row>
    <row r="240" hidden="1">
      <c r="A240" s="42" t="n"/>
      <c r="B240" s="94" t="inlineStr">
        <is>
          <t>Total Cost Per Person</t>
        </is>
      </c>
      <c r="C240" s="682">
        <f>D240/7</f>
        <v/>
      </c>
      <c r="D240" s="691">
        <f>D239/C222</f>
        <v/>
      </c>
      <c r="E240" s="682">
        <f>D240*4</f>
        <v/>
      </c>
      <c r="F240" s="683">
        <f>E240*3</f>
        <v/>
      </c>
      <c r="G240" s="685" t="n"/>
    </row>
    <row r="241" hidden="1" ht="10.8" customHeight="1" thickBot="1">
      <c r="A241" s="42" t="n"/>
      <c r="B241" s="116" t="n"/>
      <c r="C241" s="693" t="n"/>
      <c r="D241" s="693" t="n"/>
      <c r="E241" s="696" t="n"/>
      <c r="F241" s="694" t="n"/>
      <c r="G241" s="685" t="n"/>
    </row>
    <row r="242" ht="10.8" customHeight="1" thickBot="1">
      <c r="A242" s="42" t="n"/>
      <c r="F242" s="688" t="n"/>
      <c r="G242" s="685" t="n"/>
    </row>
    <row r="243" ht="10.8" customHeight="1" thickBot="1">
      <c r="A243" s="42" t="n"/>
      <c r="B243" s="87" t="inlineStr">
        <is>
          <t>Full Apartment / TownHouse (Private/AirBnB)</t>
        </is>
      </c>
      <c r="C243" s="86" t="n"/>
      <c r="D243" s="86" t="n"/>
      <c r="E243" s="86" t="n"/>
      <c r="F243" s="86" t="n"/>
      <c r="G243" s="90" t="n"/>
    </row>
    <row r="244">
      <c r="A244" s="42" t="n"/>
      <c r="B244" s="113" t="inlineStr">
        <is>
          <t>1 x Unit, 3 x Room</t>
        </is>
      </c>
      <c r="C244" s="115" t="inlineStr">
        <is>
          <t>T'House</t>
        </is>
      </c>
      <c r="D244" s="208" t="inlineStr">
        <is>
          <t>Share House'</t>
        </is>
      </c>
      <c r="E244" s="88" t="n"/>
      <c r="F244" s="89" t="n"/>
      <c r="K244" s="685" t="n"/>
    </row>
    <row r="245">
      <c r="A245" s="42" t="n"/>
      <c r="B245" s="113" t="inlineStr">
        <is>
          <t>No. of persons stayng;</t>
        </is>
      </c>
      <c r="C245" s="115" t="n">
        <v>3</v>
      </c>
      <c r="D245" s="88" t="n"/>
      <c r="E245" s="88" t="n"/>
      <c r="F245" s="89" t="n"/>
      <c r="K245" s="685" t="n"/>
    </row>
    <row r="246" hidden="1">
      <c r="A246" s="42" t="n"/>
      <c r="B246" s="90" t="inlineStr">
        <is>
          <t>Furnished</t>
        </is>
      </c>
      <c r="C246" s="690" t="inlineStr">
        <is>
          <t>YES</t>
        </is>
      </c>
      <c r="D246" s="682" t="n"/>
      <c r="E246" s="691" t="n"/>
      <c r="F246" s="683" t="n"/>
      <c r="G246" s="685" t="n"/>
    </row>
    <row r="247" hidden="1">
      <c r="A247" s="42" t="n"/>
      <c r="B247" s="90" t="inlineStr">
        <is>
          <t>*Serviced</t>
        </is>
      </c>
      <c r="C247" s="690" t="inlineStr">
        <is>
          <t>YES</t>
        </is>
      </c>
      <c r="D247" s="682" t="inlineStr">
        <is>
          <t>Fortnightly</t>
        </is>
      </c>
      <c r="E247" s="691" t="n"/>
      <c r="F247" s="683" t="n"/>
      <c r="G247" s="685" t="n"/>
    </row>
    <row r="248" hidden="1">
      <c r="A248" s="42" t="n"/>
      <c r="B248" s="90" t="inlineStr">
        <is>
          <t>Individual/Private BATHROOM</t>
        </is>
      </c>
      <c r="C248" s="690" t="inlineStr">
        <is>
          <t>YES</t>
        </is>
      </c>
      <c r="D248" s="682" t="inlineStr">
        <is>
          <t>2 of</t>
        </is>
      </c>
      <c r="E248" s="691" t="n"/>
      <c r="F248" s="683" t="n"/>
      <c r="G248" s="685" t="n"/>
    </row>
    <row r="249" hidden="1">
      <c r="A249" s="42" t="n"/>
      <c r="B249" s="90" t="inlineStr">
        <is>
          <t>Individual/Private KITCHEN (Cooking) Faciliities Available - Microwave min.</t>
        </is>
      </c>
      <c r="C249" s="690" t="inlineStr">
        <is>
          <t>YES</t>
        </is>
      </c>
      <c r="D249" s="682" t="n"/>
      <c r="E249" s="691" t="n"/>
      <c r="F249" s="683" t="n"/>
      <c r="G249" s="685" t="n"/>
    </row>
    <row r="250" hidden="1">
      <c r="A250" s="42" t="n"/>
      <c r="B250" s="90" t="inlineStr">
        <is>
          <t>Individual/Private LAUNDRY Facilities Available</t>
        </is>
      </c>
      <c r="C250" s="690" t="inlineStr">
        <is>
          <t>YES</t>
        </is>
      </c>
      <c r="D250" s="682" t="n"/>
      <c r="E250" s="691" t="n"/>
      <c r="F250" s="683" t="n"/>
      <c r="G250" s="685" t="n"/>
    </row>
    <row r="251" hidden="1">
      <c r="A251" s="42" t="n"/>
      <c r="B251" s="90" t="inlineStr">
        <is>
          <t>Individual/Private LOUNGE ROOM Facilities Available</t>
        </is>
      </c>
      <c r="C251" s="690" t="inlineStr">
        <is>
          <t>YES</t>
        </is>
      </c>
      <c r="D251" s="682" t="n"/>
      <c r="E251" s="691" t="n"/>
      <c r="F251" s="683" t="n"/>
      <c r="G251" s="685" t="n"/>
    </row>
    <row r="252" hidden="1">
      <c r="A252" s="42" t="n"/>
      <c r="B252" s="118" t="n"/>
      <c r="C252" s="682" t="n"/>
      <c r="D252" s="682" t="n"/>
      <c r="E252" s="691" t="n"/>
      <c r="F252" s="683" t="n"/>
      <c r="G252" s="685" t="n"/>
    </row>
    <row r="253" hidden="1">
      <c r="A253" s="42" t="n"/>
      <c r="B253" s="90" t="n"/>
      <c r="C253" s="689" t="inlineStr">
        <is>
          <t>Sngl Night</t>
        </is>
      </c>
      <c r="D253" s="689" t="inlineStr">
        <is>
          <t>Week</t>
        </is>
      </c>
      <c r="E253" s="689" t="inlineStr">
        <is>
          <t>Month</t>
        </is>
      </c>
      <c r="F253" s="686" t="inlineStr">
        <is>
          <t>Qtr</t>
        </is>
      </c>
      <c r="G253" s="685" t="n"/>
    </row>
    <row r="254" hidden="1">
      <c r="A254" s="42" t="n"/>
      <c r="B254" s="94" t="inlineStr">
        <is>
          <t xml:space="preserve">Total Booking Cost </t>
        </is>
      </c>
      <c r="C254" s="682">
        <f>F254/90</f>
        <v/>
      </c>
      <c r="D254" s="682">
        <f>E254/4</f>
        <v/>
      </c>
      <c r="E254" s="682">
        <f>F254/3</f>
        <v/>
      </c>
      <c r="F254" s="697" t="n">
        <v>13000</v>
      </c>
      <c r="G254" s="685" t="n"/>
    </row>
    <row r="255" hidden="1">
      <c r="A255" s="42" t="n"/>
      <c r="B255" s="94" t="n"/>
      <c r="C255" s="682" t="n"/>
      <c r="D255" s="691" t="n"/>
      <c r="E255" s="682" t="n"/>
      <c r="F255" s="683" t="n"/>
      <c r="G255" s="685" t="n"/>
    </row>
    <row r="256" hidden="1">
      <c r="A256" s="42" t="n"/>
      <c r="B256" s="112" t="inlineStr">
        <is>
          <t>TCS Housing Consumables; …..</t>
        </is>
      </c>
      <c r="C256" s="682">
        <f>F256/90</f>
        <v/>
      </c>
      <c r="D256" s="682">
        <f>E256/4</f>
        <v/>
      </c>
      <c r="E256" s="682">
        <f>F256/3</f>
        <v/>
      </c>
      <c r="F256" s="698" t="n">
        <v>400</v>
      </c>
      <c r="G256" s="685" t="n"/>
    </row>
    <row r="257" hidden="1">
      <c r="A257" s="42" t="n"/>
      <c r="B257" s="112" t="inlineStr">
        <is>
          <t>TCS Laundry Allowance..?</t>
        </is>
      </c>
      <c r="C257" s="682">
        <f>D257/7</f>
        <v/>
      </c>
      <c r="D257" s="691" t="n">
        <v>0</v>
      </c>
      <c r="E257" s="682">
        <f>D257*4</f>
        <v/>
      </c>
      <c r="F257" s="683">
        <f>E257*3</f>
        <v/>
      </c>
      <c r="G257" s="685" t="n"/>
    </row>
    <row r="258" hidden="1">
      <c r="A258" s="42" t="n"/>
      <c r="B258" s="112" t="inlineStr">
        <is>
          <t>TCS Additional Meals Allowance (If no cooking Facilities?)</t>
        </is>
      </c>
      <c r="C258" s="682">
        <f>D258/7</f>
        <v/>
      </c>
      <c r="D258" s="691" t="n">
        <v>0</v>
      </c>
      <c r="E258" s="682">
        <f>D258*4</f>
        <v/>
      </c>
      <c r="F258" s="683">
        <f>E258*3</f>
        <v/>
      </c>
      <c r="G258" s="685" t="n"/>
    </row>
    <row r="259" hidden="1">
      <c r="A259" s="42" t="n"/>
      <c r="B259" s="112" t="inlineStr">
        <is>
          <t>TCS Furnishings?</t>
        </is>
      </c>
      <c r="C259" s="682">
        <f>D259/7</f>
        <v/>
      </c>
      <c r="D259" s="691" t="n">
        <v>0</v>
      </c>
      <c r="E259" s="682">
        <f>D259*4</f>
        <v/>
      </c>
      <c r="F259" s="683">
        <f>E259*3</f>
        <v/>
      </c>
      <c r="G259" s="685" t="n"/>
    </row>
    <row r="260" hidden="1">
      <c r="A260" s="42" t="n"/>
      <c r="B260" s="112" t="inlineStr">
        <is>
          <t>TCS Cleaning/Servincing Allowance?</t>
        </is>
      </c>
      <c r="C260" s="682">
        <f>F260/90</f>
        <v/>
      </c>
      <c r="D260" s="682">
        <f>E260/4</f>
        <v/>
      </c>
      <c r="E260" s="682">
        <f>F260/3</f>
        <v/>
      </c>
      <c r="F260" s="698" t="n">
        <v>300</v>
      </c>
      <c r="G260" s="685" t="n"/>
    </row>
    <row r="261" hidden="1">
      <c r="A261" s="42" t="n"/>
      <c r="B261" s="112" t="n"/>
      <c r="C261" s="682" t="n"/>
      <c r="D261" s="691" t="n"/>
      <c r="E261" s="682" t="n"/>
      <c r="F261" s="683" t="n"/>
      <c r="G261" s="685" t="n"/>
    </row>
    <row r="262">
      <c r="A262" s="42" t="n"/>
      <c r="B262" s="94" t="inlineStr">
        <is>
          <t>Total TCS Cost</t>
        </is>
      </c>
      <c r="C262" s="691">
        <f>SUM(C254:C261)</f>
        <v/>
      </c>
      <c r="D262" s="691">
        <f>SUM(D254:D261)</f>
        <v/>
      </c>
      <c r="E262" s="691">
        <f>SUM(E254:E261)</f>
        <v/>
      </c>
      <c r="F262" s="691">
        <f>SUM(F254:F261)</f>
        <v/>
      </c>
      <c r="G262" s="692" t="n"/>
    </row>
    <row r="263">
      <c r="A263" s="42" t="n"/>
      <c r="B263" s="94" t="inlineStr">
        <is>
          <t>Total Cost Per Person</t>
        </is>
      </c>
      <c r="C263" s="682">
        <f>D263/7</f>
        <v/>
      </c>
      <c r="D263" s="691">
        <f>D262/C245</f>
        <v/>
      </c>
      <c r="E263" s="682">
        <f>D263*4</f>
        <v/>
      </c>
      <c r="F263" s="683">
        <f>E263*3</f>
        <v/>
      </c>
      <c r="G263" s="685" t="n"/>
    </row>
    <row r="264" ht="10.8" customHeight="1" thickBot="1">
      <c r="A264" s="42" t="n"/>
      <c r="B264" s="116" t="n"/>
      <c r="C264" s="693" t="n"/>
      <c r="D264" s="693" t="n"/>
      <c r="E264" s="696" t="n"/>
      <c r="F264" s="694" t="n"/>
      <c r="G264" s="685" t="n"/>
    </row>
    <row r="265" ht="10.8" customHeight="1" thickBot="1">
      <c r="A265" s="42" t="n"/>
      <c r="B265" s="104" t="n"/>
      <c r="C265" s="682" t="n"/>
      <c r="D265" s="691" t="n"/>
      <c r="E265" s="682" t="n"/>
      <c r="F265" s="688" t="n"/>
      <c r="G265" s="685" t="n"/>
    </row>
    <row r="266" ht="10.8" customHeight="1" thickBot="1">
      <c r="A266" s="42" t="n"/>
      <c r="B266" s="87" t="inlineStr">
        <is>
          <t>Full Apartment / TownHouse / Unit - VIA AGENT</t>
        </is>
      </c>
      <c r="C266" s="86" t="n"/>
      <c r="D266" s="86" t="n"/>
      <c r="E266" s="86" t="n"/>
      <c r="F266" s="86" t="n"/>
      <c r="G266" s="90" t="n"/>
    </row>
    <row r="267">
      <c r="A267" s="42" t="n"/>
      <c r="B267" s="113" t="inlineStr">
        <is>
          <t>1 x Unit, 3 x Room</t>
        </is>
      </c>
      <c r="C267" s="115" t="inlineStr">
        <is>
          <t>House</t>
        </is>
      </c>
      <c r="D267" s="208" t="inlineStr">
        <is>
          <t>Share House'</t>
        </is>
      </c>
      <c r="E267" s="88" t="n"/>
      <c r="F267" s="89" t="n"/>
      <c r="K267" s="685" t="n"/>
    </row>
    <row r="268">
      <c r="A268" s="42" t="n"/>
      <c r="B268" s="113" t="inlineStr">
        <is>
          <t>No. of persons stayng;</t>
        </is>
      </c>
      <c r="C268" s="115" t="n">
        <v>3</v>
      </c>
      <c r="D268" s="88" t="n"/>
      <c r="E268" s="88" t="n"/>
      <c r="F268" s="89" t="n"/>
      <c r="K268" s="685" t="n"/>
    </row>
    <row r="269" hidden="1">
      <c r="A269" s="42" t="n"/>
      <c r="B269" s="90" t="inlineStr">
        <is>
          <t>Furnished</t>
        </is>
      </c>
      <c r="C269" s="695" t="inlineStr">
        <is>
          <t>NO</t>
        </is>
      </c>
      <c r="D269" s="682" t="n"/>
      <c r="E269" s="691" t="n"/>
      <c r="F269" s="683" t="n"/>
      <c r="G269" s="685" t="n"/>
    </row>
    <row r="270" hidden="1">
      <c r="A270" s="42" t="n"/>
      <c r="B270" s="90" t="inlineStr">
        <is>
          <t>*Serviced</t>
        </is>
      </c>
      <c r="C270" s="695" t="inlineStr">
        <is>
          <t>NO</t>
        </is>
      </c>
      <c r="D270" s="682" t="n"/>
      <c r="E270" s="691" t="n"/>
      <c r="F270" s="683" t="n"/>
      <c r="G270" s="685" t="n"/>
    </row>
    <row r="271" hidden="1">
      <c r="A271" s="42" t="n"/>
      <c r="B271" s="90" t="inlineStr">
        <is>
          <t>Individual/Private BATHROOM</t>
        </is>
      </c>
      <c r="C271" s="690" t="inlineStr">
        <is>
          <t>YES</t>
        </is>
      </c>
      <c r="D271" s="682" t="n"/>
      <c r="E271" s="691" t="n"/>
      <c r="F271" s="683" t="n"/>
      <c r="G271" s="685" t="n"/>
    </row>
    <row r="272" hidden="1">
      <c r="A272" s="42" t="n"/>
      <c r="B272" s="90" t="inlineStr">
        <is>
          <t>Individual/Private KITCHEN (Cooking) Faciliities Available - Microwave min.</t>
        </is>
      </c>
      <c r="C272" s="690" t="inlineStr">
        <is>
          <t>YES</t>
        </is>
      </c>
      <c r="D272" s="682" t="n"/>
      <c r="E272" s="691" t="n"/>
      <c r="F272" s="683" t="n"/>
      <c r="G272" s="685" t="n"/>
    </row>
    <row r="273" hidden="1">
      <c r="A273" s="42" t="n"/>
      <c r="B273" s="90" t="inlineStr">
        <is>
          <t>Individual/Private LAUNDRY Facilities Available</t>
        </is>
      </c>
      <c r="C273" s="690" t="inlineStr">
        <is>
          <t>YES</t>
        </is>
      </c>
      <c r="D273" s="682" t="n"/>
      <c r="E273" s="691" t="n"/>
      <c r="F273" s="683" t="n"/>
      <c r="G273" s="685" t="n"/>
    </row>
    <row r="274" hidden="1">
      <c r="A274" s="42" t="n"/>
      <c r="B274" s="90" t="inlineStr">
        <is>
          <t>Individual/Private LOUNGE ROOM Facilities Available</t>
        </is>
      </c>
      <c r="C274" s="690" t="inlineStr">
        <is>
          <t>YES</t>
        </is>
      </c>
      <c r="D274" s="682" t="n"/>
      <c r="E274" s="691" t="n"/>
      <c r="F274" s="683" t="n"/>
      <c r="G274" s="685" t="n"/>
    </row>
    <row r="275" hidden="1">
      <c r="A275" s="42" t="n"/>
      <c r="B275" s="118" t="n"/>
      <c r="C275" s="682" t="n"/>
      <c r="D275" s="682" t="n"/>
      <c r="E275" s="691" t="n"/>
      <c r="F275" s="683" t="n"/>
      <c r="G275" s="685" t="n"/>
    </row>
    <row r="276" hidden="1">
      <c r="A276" s="42" t="n"/>
      <c r="B276" s="90" t="n"/>
      <c r="C276" s="689" t="inlineStr">
        <is>
          <t>Sngl Night</t>
        </is>
      </c>
      <c r="D276" s="689" t="inlineStr">
        <is>
          <t>Week</t>
        </is>
      </c>
      <c r="E276" s="689" t="inlineStr">
        <is>
          <t>Month</t>
        </is>
      </c>
      <c r="F276" s="686" t="inlineStr">
        <is>
          <t>Qtr</t>
        </is>
      </c>
      <c r="G276" s="685" t="n"/>
    </row>
    <row r="277" hidden="1">
      <c r="A277" s="42" t="n"/>
      <c r="B277" s="94" t="inlineStr">
        <is>
          <t xml:space="preserve">Total Booking Cost </t>
        </is>
      </c>
      <c r="C277" s="682">
        <f>F277/90</f>
        <v/>
      </c>
      <c r="D277" s="682">
        <f>E277/4</f>
        <v/>
      </c>
      <c r="E277" s="682">
        <f>F277/3</f>
        <v/>
      </c>
      <c r="F277" s="697" t="n">
        <v>7000</v>
      </c>
      <c r="G277" s="685" t="n"/>
    </row>
    <row r="278" hidden="1">
      <c r="A278" s="42" t="n"/>
      <c r="B278" s="94" t="n"/>
      <c r="C278" s="682" t="n"/>
      <c r="D278" s="691" t="n"/>
      <c r="E278" s="682" t="n"/>
      <c r="F278" s="683" t="n"/>
      <c r="G278" s="685" t="n"/>
    </row>
    <row r="279" hidden="1">
      <c r="A279" s="42" t="n"/>
      <c r="B279" s="112" t="inlineStr">
        <is>
          <t>TCS Housing Consumables; …..</t>
        </is>
      </c>
      <c r="C279" s="682">
        <f>F279/90</f>
        <v/>
      </c>
      <c r="D279" s="682">
        <f>E279/4</f>
        <v/>
      </c>
      <c r="E279" s="682">
        <f>F279/3</f>
        <v/>
      </c>
      <c r="F279" s="698" t="n">
        <v>400</v>
      </c>
      <c r="G279" s="685" t="n"/>
    </row>
    <row r="280" hidden="1">
      <c r="A280" s="42" t="n"/>
      <c r="B280" s="112" t="inlineStr">
        <is>
          <t>TCS Laundry Allowance..?</t>
        </is>
      </c>
      <c r="C280" s="682">
        <f>F280/90</f>
        <v/>
      </c>
      <c r="D280" s="682">
        <f>E280/4</f>
        <v/>
      </c>
      <c r="E280" s="682">
        <f>F280/3</f>
        <v/>
      </c>
      <c r="F280" s="697" t="n">
        <v>0</v>
      </c>
      <c r="G280" s="685" t="n"/>
    </row>
    <row r="281" hidden="1">
      <c r="A281" s="42" t="n"/>
      <c r="B281" s="112" t="inlineStr">
        <is>
          <t>TCS Additional Meals Allowance (If no cooking Facilities?)</t>
        </is>
      </c>
      <c r="C281" s="682">
        <f>F281/90</f>
        <v/>
      </c>
      <c r="D281" s="682">
        <f>E281/4</f>
        <v/>
      </c>
      <c r="E281" s="682">
        <f>F281/3</f>
        <v/>
      </c>
      <c r="F281" s="697" t="n">
        <v>0</v>
      </c>
      <c r="G281" s="685" t="n"/>
    </row>
    <row r="282" hidden="1">
      <c r="A282" s="42" t="n"/>
      <c r="B282" s="112" t="inlineStr">
        <is>
          <t>TCS Furnishings?</t>
        </is>
      </c>
      <c r="C282" s="682">
        <f>F282/90</f>
        <v/>
      </c>
      <c r="D282" s="682">
        <f>E282/4</f>
        <v/>
      </c>
      <c r="E282" s="682">
        <f>F282/3</f>
        <v/>
      </c>
      <c r="F282" s="698" t="n">
        <v>2800</v>
      </c>
      <c r="G282" s="685" t="n"/>
    </row>
    <row r="283" hidden="1">
      <c r="A283" s="42" t="n"/>
      <c r="B283" s="112" t="inlineStr">
        <is>
          <t>TCS Cleaning/Servincing Allowance?</t>
        </is>
      </c>
      <c r="C283" s="682">
        <f>F283/90</f>
        <v/>
      </c>
      <c r="D283" s="682">
        <f>E283/4</f>
        <v/>
      </c>
      <c r="E283" s="682">
        <f>F283/3</f>
        <v/>
      </c>
      <c r="F283" s="698" t="n">
        <v>1500</v>
      </c>
      <c r="G283" s="685" t="n"/>
    </row>
    <row r="284" hidden="1">
      <c r="A284" s="42" t="n"/>
      <c r="B284" s="112" t="inlineStr">
        <is>
          <t>TCS Cost - Labour to set up, Fitout etc?</t>
        </is>
      </c>
      <c r="C284" s="682">
        <f>F284/90</f>
        <v/>
      </c>
      <c r="D284" s="682">
        <f>E284/4</f>
        <v/>
      </c>
      <c r="E284" s="682">
        <f>F284/3</f>
        <v/>
      </c>
      <c r="F284" s="698" t="n">
        <v>1000</v>
      </c>
      <c r="G284" s="685" t="n"/>
    </row>
    <row r="285" hidden="1">
      <c r="A285" s="42" t="n"/>
      <c r="B285" s="112" t="n"/>
      <c r="C285" s="682" t="n"/>
      <c r="D285" s="691" t="n"/>
      <c r="E285" s="682" t="n"/>
      <c r="F285" s="683" t="n"/>
      <c r="G285" s="685" t="n"/>
    </row>
    <row r="286">
      <c r="A286" s="42" t="n"/>
      <c r="B286" s="94" t="inlineStr">
        <is>
          <t>Total TCS Cost</t>
        </is>
      </c>
      <c r="C286" s="691">
        <f>SUM(C277:C285)</f>
        <v/>
      </c>
      <c r="D286" s="691">
        <f>SUM(D277:D285)</f>
        <v/>
      </c>
      <c r="E286" s="691">
        <f>SUM(E277:E285)</f>
        <v/>
      </c>
      <c r="F286" s="691">
        <f>SUM(F277:F285)</f>
        <v/>
      </c>
      <c r="G286" s="692" t="n"/>
    </row>
    <row r="287">
      <c r="A287" s="42" t="n"/>
      <c r="B287" s="94" t="inlineStr">
        <is>
          <t>Total Cost Per Person</t>
        </is>
      </c>
      <c r="C287" s="682">
        <f>D287/7</f>
        <v/>
      </c>
      <c r="D287" s="691">
        <f>D286/C268</f>
        <v/>
      </c>
      <c r="E287" s="682">
        <f>D287*4</f>
        <v/>
      </c>
      <c r="F287" s="683">
        <f>E287*3</f>
        <v/>
      </c>
      <c r="G287" s="685" t="n"/>
    </row>
    <row r="288" ht="10.8" customHeight="1" thickBot="1">
      <c r="A288" s="42" t="n"/>
      <c r="B288" s="116" t="n"/>
      <c r="C288" s="693" t="n"/>
      <c r="D288" s="693" t="n"/>
      <c r="E288" s="696" t="n"/>
      <c r="F288" s="694" t="n"/>
      <c r="G288" s="685" t="n"/>
    </row>
    <row r="289">
      <c r="A289" s="42" t="n"/>
      <c r="B289" s="113" t="inlineStr">
        <is>
          <t>1 x Unit, 4 x Room</t>
        </is>
      </c>
      <c r="C289" s="115" t="inlineStr">
        <is>
          <t>House</t>
        </is>
      </c>
      <c r="D289" s="88" t="n"/>
      <c r="E289" s="88" t="n"/>
      <c r="F289" s="89" t="n"/>
      <c r="K289" s="685" t="n"/>
    </row>
    <row r="290">
      <c r="A290" s="42" t="inlineStr">
        <is>
          <t>HIDDEN</t>
        </is>
      </c>
      <c r="B290" s="113" t="inlineStr">
        <is>
          <t>No. of persons stayng;</t>
        </is>
      </c>
      <c r="C290" s="115" t="n">
        <v>4</v>
      </c>
      <c r="D290" s="88" t="n"/>
      <c r="E290" s="88" t="n"/>
      <c r="F290" s="89" t="n"/>
      <c r="K290" s="685" t="n"/>
    </row>
    <row r="291">
      <c r="A291" s="42" t="n"/>
      <c r="B291" s="90" t="inlineStr">
        <is>
          <t>Furnished</t>
        </is>
      </c>
      <c r="C291" s="695" t="inlineStr">
        <is>
          <t>NO</t>
        </is>
      </c>
      <c r="D291" s="682" t="n"/>
      <c r="E291" s="691" t="n"/>
      <c r="F291" s="683" t="n"/>
      <c r="G291" s="685" t="n"/>
    </row>
    <row r="292">
      <c r="A292" s="42" t="n"/>
      <c r="B292" s="90" t="inlineStr">
        <is>
          <t>*Serviced</t>
        </is>
      </c>
      <c r="C292" s="695" t="inlineStr">
        <is>
          <t>NO</t>
        </is>
      </c>
      <c r="D292" s="682" t="n"/>
      <c r="E292" s="691" t="n"/>
      <c r="F292" s="683" t="n"/>
      <c r="G292" s="685" t="n"/>
    </row>
    <row r="293">
      <c r="A293" s="42" t="n"/>
      <c r="B293" s="90" t="inlineStr">
        <is>
          <t>Individual/Private BATHROOM</t>
        </is>
      </c>
      <c r="C293" s="690" t="inlineStr">
        <is>
          <t>YES</t>
        </is>
      </c>
      <c r="D293" s="682" t="n"/>
      <c r="E293" s="691" t="n"/>
      <c r="F293" s="683" t="n"/>
      <c r="G293" s="685" t="n"/>
    </row>
    <row r="294">
      <c r="A294" s="42" t="n"/>
      <c r="B294" s="90" t="inlineStr">
        <is>
          <t>Individual/Private KITCHEN (Cooking) Faciliities Available - Microwave min.</t>
        </is>
      </c>
      <c r="C294" s="690" t="inlineStr">
        <is>
          <t>YES</t>
        </is>
      </c>
      <c r="D294" s="682" t="n"/>
      <c r="E294" s="691" t="n"/>
      <c r="F294" s="683" t="n"/>
      <c r="G294" s="685" t="n"/>
    </row>
    <row r="295">
      <c r="A295" s="42" t="n"/>
      <c r="B295" s="90" t="inlineStr">
        <is>
          <t>Individual/Private LAUNDRY Facilities Available</t>
        </is>
      </c>
      <c r="C295" s="690" t="inlineStr">
        <is>
          <t>YES</t>
        </is>
      </c>
      <c r="D295" s="682" t="n"/>
      <c r="E295" s="691" t="n"/>
      <c r="F295" s="683" t="n"/>
      <c r="G295" s="685" t="n"/>
    </row>
    <row r="296">
      <c r="A296" s="42" t="n"/>
      <c r="B296" s="90" t="inlineStr">
        <is>
          <t>Individual/Private LOUNGE ROOM Facilities Available</t>
        </is>
      </c>
      <c r="C296" s="690" t="inlineStr">
        <is>
          <t>YES</t>
        </is>
      </c>
      <c r="D296" s="682" t="n"/>
      <c r="E296" s="691" t="n"/>
      <c r="F296" s="683" t="n"/>
      <c r="G296" s="685" t="n"/>
    </row>
    <row r="297">
      <c r="A297" s="42" t="n"/>
      <c r="B297" s="118" t="n"/>
      <c r="C297" s="682" t="n"/>
      <c r="D297" s="682" t="n"/>
      <c r="E297" s="691" t="n"/>
      <c r="F297" s="683" t="n"/>
      <c r="G297" s="685" t="n"/>
    </row>
    <row r="298">
      <c r="A298" s="42" t="n"/>
      <c r="B298" s="90" t="n"/>
      <c r="C298" s="689" t="inlineStr">
        <is>
          <t>Sngl Night</t>
        </is>
      </c>
      <c r="D298" s="689" t="inlineStr">
        <is>
          <t>Week</t>
        </is>
      </c>
      <c r="E298" s="689" t="inlineStr">
        <is>
          <t>Month</t>
        </is>
      </c>
      <c r="F298" s="686" t="inlineStr">
        <is>
          <t>Qtr</t>
        </is>
      </c>
      <c r="G298" s="685" t="n"/>
    </row>
    <row r="299">
      <c r="A299" s="42" t="n"/>
      <c r="B299" s="94" t="inlineStr">
        <is>
          <t xml:space="preserve">Total Booking Cost </t>
        </is>
      </c>
      <c r="C299" s="682">
        <f>F299/90</f>
        <v/>
      </c>
      <c r="D299" s="682">
        <f>E299/4</f>
        <v/>
      </c>
      <c r="E299" s="682">
        <f>F299/3</f>
        <v/>
      </c>
      <c r="F299" s="697" t="n">
        <v>7850</v>
      </c>
      <c r="G299" s="685" t="n"/>
    </row>
    <row r="300">
      <c r="A300" s="42" t="n"/>
      <c r="B300" s="94" t="n"/>
      <c r="C300" s="682" t="n"/>
      <c r="D300" s="691" t="n"/>
      <c r="E300" s="682" t="n"/>
      <c r="F300" s="683" t="n"/>
      <c r="G300" s="685" t="n"/>
    </row>
    <row r="301">
      <c r="A301" s="42" t="n"/>
      <c r="B301" s="112" t="inlineStr">
        <is>
          <t>TCS Housing Consumables; …..</t>
        </is>
      </c>
      <c r="C301" s="682">
        <f>F301/90</f>
        <v/>
      </c>
      <c r="D301" s="682">
        <f>E301/4</f>
        <v/>
      </c>
      <c r="E301" s="682">
        <f>F301/3</f>
        <v/>
      </c>
      <c r="F301" s="698" t="n">
        <v>400</v>
      </c>
      <c r="G301" s="685" t="n"/>
    </row>
    <row r="302">
      <c r="A302" s="42" t="n"/>
      <c r="B302" s="112" t="inlineStr">
        <is>
          <t>TCS Laundry Allowance..?</t>
        </is>
      </c>
      <c r="C302" s="682">
        <f>F302/90</f>
        <v/>
      </c>
      <c r="D302" s="682">
        <f>E302/4</f>
        <v/>
      </c>
      <c r="E302" s="682">
        <f>F302/3</f>
        <v/>
      </c>
      <c r="F302" s="697" t="n">
        <v>0</v>
      </c>
      <c r="G302" s="685" t="n"/>
    </row>
    <row r="303">
      <c r="A303" s="42" t="n"/>
      <c r="B303" s="112" t="inlineStr">
        <is>
          <t>TCS Additional Meals Allowance (If no cooking Facilities?)</t>
        </is>
      </c>
      <c r="C303" s="682">
        <f>F303/90</f>
        <v/>
      </c>
      <c r="D303" s="682">
        <f>E303/4</f>
        <v/>
      </c>
      <c r="E303" s="682">
        <f>F303/3</f>
        <v/>
      </c>
      <c r="F303" s="697" t="n">
        <v>0</v>
      </c>
      <c r="G303" s="685" t="n"/>
    </row>
    <row r="304">
      <c r="A304" s="42" t="n"/>
      <c r="B304" s="112" t="inlineStr">
        <is>
          <t>TCS Furnishings?</t>
        </is>
      </c>
      <c r="C304" s="682">
        <f>F304/90</f>
        <v/>
      </c>
      <c r="D304" s="682">
        <f>E304/4</f>
        <v/>
      </c>
      <c r="E304" s="682">
        <f>F304/3</f>
        <v/>
      </c>
      <c r="F304" s="698" t="n">
        <v>3500</v>
      </c>
      <c r="G304" s="685" t="n"/>
    </row>
    <row r="305">
      <c r="A305" s="42" t="n"/>
      <c r="B305" s="112" t="inlineStr">
        <is>
          <t>TCS Cleaning/Servincing Allowance?</t>
        </is>
      </c>
      <c r="C305" s="682">
        <f>F305/90</f>
        <v/>
      </c>
      <c r="D305" s="682">
        <f>E305/4</f>
        <v/>
      </c>
      <c r="E305" s="682">
        <f>F305/3</f>
        <v/>
      </c>
      <c r="F305" s="698" t="n">
        <v>1850</v>
      </c>
      <c r="G305" s="685" t="n"/>
    </row>
    <row r="306">
      <c r="A306" s="42" t="n"/>
      <c r="B306" s="112" t="inlineStr">
        <is>
          <t>TCS Cost - Labour to set up, Fitout etc?</t>
        </is>
      </c>
      <c r="C306" s="682">
        <f>F306/90</f>
        <v/>
      </c>
      <c r="D306" s="682">
        <f>E306/4</f>
        <v/>
      </c>
      <c r="E306" s="682">
        <f>F306/3</f>
        <v/>
      </c>
      <c r="F306" s="698" t="n">
        <v>1600</v>
      </c>
      <c r="G306" s="685" t="n"/>
    </row>
    <row r="307">
      <c r="A307" s="42" t="n"/>
      <c r="B307" s="112" t="n"/>
      <c r="C307" s="682" t="n"/>
      <c r="D307" s="691" t="n"/>
      <c r="E307" s="682" t="n"/>
      <c r="F307" s="683" t="n"/>
      <c r="G307" s="685" t="n"/>
    </row>
    <row r="308">
      <c r="A308" s="42" t="n"/>
      <c r="B308" s="94" t="inlineStr">
        <is>
          <t>Total TCS Cost</t>
        </is>
      </c>
      <c r="C308" s="691">
        <f>SUM(C299:C307)</f>
        <v/>
      </c>
      <c r="D308" s="691">
        <f>SUM(D299:D307)</f>
        <v/>
      </c>
      <c r="E308" s="699">
        <f>SUM(E299:E307)</f>
        <v/>
      </c>
      <c r="F308" s="691">
        <f>SUM(F299:F307)</f>
        <v/>
      </c>
      <c r="G308" s="692" t="n"/>
    </row>
    <row r="309">
      <c r="A309" s="42" t="n"/>
      <c r="B309" s="94" t="inlineStr">
        <is>
          <t>Total Cost Per Person</t>
        </is>
      </c>
      <c r="C309" s="682">
        <f>D309/7</f>
        <v/>
      </c>
      <c r="D309" s="691">
        <f>D308/C290</f>
        <v/>
      </c>
      <c r="E309" s="682">
        <f>D309*4</f>
        <v/>
      </c>
      <c r="F309" s="683">
        <f>E309*3</f>
        <v/>
      </c>
      <c r="G309" s="685" t="n"/>
    </row>
    <row r="310" ht="10.8" customHeight="1" thickBot="1">
      <c r="A310" s="42" t="n"/>
      <c r="B310" s="116" t="n"/>
      <c r="C310" s="693" t="n"/>
      <c r="D310" s="693" t="n"/>
      <c r="E310" s="696" t="n"/>
      <c r="F310" s="694" t="n"/>
      <c r="G310" s="685" t="n"/>
    </row>
    <row r="311">
      <c r="A311" s="42" t="n"/>
    </row>
    <row r="312" ht="10.8" customHeight="1" thickBot="1">
      <c r="A312" s="42" t="n"/>
    </row>
    <row r="313" ht="10.8" customHeight="1" thickBot="1">
      <c r="A313" s="42" t="n"/>
      <c r="B313" s="700" t="inlineStr">
        <is>
          <t>OPTION AVERAGES - Per Person, Per MONTH (No Project Roster Imapct)</t>
        </is>
      </c>
      <c r="C313" s="586" t="n"/>
      <c r="D313" s="586" t="n"/>
      <c r="E313" s="586" t="n"/>
      <c r="F313" s="587" t="n"/>
      <c r="G313" s="685" t="n"/>
    </row>
    <row r="314">
      <c r="A314" s="42" t="n"/>
      <c r="B314" s="503" t="n"/>
      <c r="C314" s="504" t="n"/>
      <c r="D314" s="504" t="n"/>
      <c r="E314" s="504" t="n"/>
      <c r="F314" s="697" t="n"/>
      <c r="G314" s="685" t="n"/>
    </row>
    <row r="315">
      <c r="A315" s="42" t="n"/>
      <c r="B315" s="503" t="inlineStr">
        <is>
          <t>Single Hotel/Motel, Single Room - NO SHARE</t>
        </is>
      </c>
      <c r="F315" s="697">
        <f>E26</f>
        <v/>
      </c>
      <c r="G315" s="685" t="n"/>
    </row>
    <row r="316">
      <c r="A316" s="42" t="n"/>
      <c r="B316" s="503" t="n"/>
      <c r="C316" s="504" t="n"/>
      <c r="D316" s="504" t="n"/>
      <c r="E316" s="504" t="n"/>
      <c r="F316" s="697" t="n"/>
      <c r="G316" s="685" t="n"/>
    </row>
    <row r="317">
      <c r="A317" s="42" t="n"/>
      <c r="B317" s="503" t="inlineStr">
        <is>
          <t>Single Hotel/Motel, Individual Rooms - SHARE HOUSE</t>
        </is>
      </c>
      <c r="F317" s="697">
        <f>AVERAGE(E92)</f>
        <v/>
      </c>
      <c r="G317" s="685" t="n"/>
    </row>
    <row r="318">
      <c r="A318" s="42" t="n"/>
      <c r="B318" s="503" t="n"/>
      <c r="C318" s="504" t="n"/>
      <c r="D318" s="504" t="n"/>
      <c r="E318" s="149" t="n"/>
      <c r="F318" s="697" t="n"/>
      <c r="G318" s="685" t="n"/>
    </row>
    <row r="319">
      <c r="A319" s="42" t="n"/>
      <c r="B319" s="503" t="inlineStr">
        <is>
          <t>Single Hotel/Motel, ANY ROOM - SHARE ROOM</t>
        </is>
      </c>
      <c r="F319" s="701">
        <f>AVERAGE(E48,E70)</f>
        <v/>
      </c>
      <c r="G319" s="685" t="n"/>
    </row>
    <row r="320">
      <c r="A320" s="42" t="n"/>
      <c r="B320" s="503" t="n"/>
      <c r="C320" s="504" t="n"/>
      <c r="D320" s="504" t="n"/>
      <c r="E320" s="504" t="n"/>
      <c r="F320" s="697" t="n"/>
      <c r="G320" s="685" t="n"/>
    </row>
    <row r="321" ht="6" customHeight="1">
      <c r="A321" s="42" t="n"/>
      <c r="B321" s="107" t="n"/>
      <c r="C321" s="130" t="n"/>
      <c r="D321" s="130" t="n"/>
      <c r="E321" s="130" t="n"/>
      <c r="F321" s="702" t="n"/>
      <c r="G321" s="685" t="n"/>
    </row>
    <row r="322">
      <c r="A322" s="42" t="n"/>
      <c r="B322" s="503" t="inlineStr">
        <is>
          <t>Cabin/Flat/Unit_Tourist Park Type, Single Room - NO SHARE</t>
        </is>
      </c>
      <c r="F322" s="697">
        <f>E114</f>
        <v/>
      </c>
      <c r="G322" s="685" t="n"/>
    </row>
    <row r="323">
      <c r="A323" s="42" t="n"/>
      <c r="B323" s="503" t="n"/>
      <c r="C323" s="504" t="n"/>
      <c r="D323" s="504" t="n"/>
      <c r="E323" s="504" t="n"/>
      <c r="F323" s="697" t="n"/>
      <c r="G323" s="685" t="n"/>
    </row>
    <row r="324">
      <c r="A324" s="42" t="n"/>
      <c r="B324" s="503" t="inlineStr">
        <is>
          <t>Cabin/Flat/Unit_Tourist Park Type, Individual Rooms - SHARE HOUSE</t>
        </is>
      </c>
      <c r="F324" s="697">
        <f>AVERAGE(E177,E219)</f>
        <v/>
      </c>
      <c r="G324" s="685" t="n"/>
    </row>
    <row r="325">
      <c r="A325" s="42" t="n"/>
      <c r="B325" s="503" t="n"/>
      <c r="C325" s="504" t="n"/>
      <c r="D325" s="504" t="n"/>
      <c r="E325" s="504" t="n"/>
      <c r="F325" s="697" t="n"/>
      <c r="G325" s="685" t="n"/>
    </row>
    <row r="326">
      <c r="A326" s="42" t="n"/>
      <c r="B326" s="503" t="inlineStr">
        <is>
          <t>Cabin/Flat/Unit_Tourist Park Type, ANY ROOM - SHARE ROOM</t>
        </is>
      </c>
      <c r="F326" s="701">
        <f>AVERAGE(E240,E198,E156,E135)</f>
        <v/>
      </c>
      <c r="G326" s="685" t="n"/>
    </row>
    <row r="327">
      <c r="A327" s="42" t="n"/>
      <c r="B327" s="503" t="n"/>
      <c r="C327" s="504" t="n"/>
      <c r="D327" s="504" t="n"/>
      <c r="E327" s="504" t="n"/>
      <c r="F327" s="697" t="n"/>
      <c r="G327" s="685" t="n"/>
    </row>
    <row r="328" ht="6" customHeight="1">
      <c r="A328" s="42" t="n"/>
      <c r="B328" s="107" t="n"/>
      <c r="C328" s="130" t="n"/>
      <c r="D328" s="130" t="n"/>
      <c r="E328" s="130" t="n"/>
      <c r="F328" s="702" t="n"/>
      <c r="G328" s="685" t="n"/>
    </row>
    <row r="329">
      <c r="A329" s="42" t="n"/>
      <c r="B329" s="503" t="inlineStr">
        <is>
          <t>Unit / T'House / House_Serviced / Air BnB, Individual Rooms - SHARE HOUSE</t>
        </is>
      </c>
      <c r="F329" s="697">
        <f>E263</f>
        <v/>
      </c>
      <c r="G329" s="685" t="n"/>
    </row>
    <row r="330">
      <c r="A330" s="42" t="n"/>
      <c r="B330" s="503" t="n"/>
      <c r="F330" s="697" t="n"/>
      <c r="G330" s="685" t="n"/>
    </row>
    <row r="331" ht="6" customHeight="1">
      <c r="A331" s="42" t="n"/>
      <c r="B331" s="107" t="n"/>
      <c r="C331" s="130" t="n"/>
      <c r="D331" s="130" t="n"/>
      <c r="E331" s="130" t="n"/>
      <c r="F331" s="702" t="n"/>
      <c r="G331" s="685" t="n"/>
    </row>
    <row r="332">
      <c r="A332" s="42" t="n"/>
      <c r="B332" s="503" t="inlineStr">
        <is>
          <t>Unit / T'House / House_Private / TCS Rental, Individual Rooms - SHARE HOUSE</t>
        </is>
      </c>
      <c r="F332" s="697">
        <f>AVERAGE(E309,E287)</f>
        <v/>
      </c>
      <c r="G332" s="685" t="n"/>
    </row>
    <row r="333" ht="10.8" customHeight="1" thickBot="1">
      <c r="A333" s="42" t="n"/>
      <c r="B333" s="153" t="n"/>
      <c r="C333" s="156" t="n"/>
      <c r="D333" s="504" t="n"/>
      <c r="E333" s="156" t="n"/>
      <c r="F333" s="703" t="n"/>
      <c r="G333" s="685" t="n"/>
    </row>
    <row r="334">
      <c r="A334" s="42" t="n"/>
      <c r="D334" s="53" t="n"/>
      <c r="F334" s="583" t="n"/>
    </row>
    <row r="335" ht="10.8" customHeight="1" thickBot="1">
      <c r="A335" s="42" t="n"/>
      <c r="E335" s="583" t="n"/>
      <c r="F335" s="38" t="n"/>
      <c r="G335" s="589" t="n"/>
    </row>
    <row r="336">
      <c r="A336" s="42" t="n"/>
      <c r="B336" s="150" t="inlineStr">
        <is>
          <t>BASED ON:</t>
        </is>
      </c>
      <c r="C336" s="151" t="n"/>
      <c r="D336" s="160" t="n"/>
      <c r="E336" s="704" t="n"/>
      <c r="F336" s="705" t="n"/>
    </row>
    <row r="337" ht="20.4" customHeight="1">
      <c r="A337" s="42" t="n"/>
      <c r="B337" s="157">
        <f>'LabourProject Rates_Master'!B7</f>
        <v/>
      </c>
      <c r="C337" s="152" t="n"/>
      <c r="D337" s="42" t="n"/>
      <c r="E337" s="588" t="n"/>
      <c r="F337" s="706" t="n"/>
    </row>
    <row r="338">
      <c r="A338" s="42" t="n"/>
      <c r="B338" s="503">
        <f>'LabourProject Rates_Master'!B8</f>
        <v/>
      </c>
      <c r="C338" s="158">
        <f>'LabourProject Rates_Master'!C8</f>
        <v/>
      </c>
      <c r="D338" s="707" t="inlineStr">
        <is>
          <t>(Add 2.5 days for non-work days spent in accom)</t>
        </is>
      </c>
      <c r="F338" s="708" t="n"/>
    </row>
    <row r="339">
      <c r="A339" s="42" t="n"/>
      <c r="B339" s="503">
        <f>'LabourProject Rates_Master'!B9</f>
        <v/>
      </c>
      <c r="C339" s="158">
        <f>'LabourProject Rates_Master'!C9</f>
        <v/>
      </c>
      <c r="D339" s="42" t="n"/>
      <c r="E339" s="588" t="n"/>
      <c r="F339" s="706" t="n"/>
    </row>
    <row r="340" ht="10.8" customHeight="1" thickBot="1">
      <c r="A340" s="42" t="n"/>
      <c r="B340" s="153">
        <f>'LabourProject Rates_Master'!B10</f>
        <v/>
      </c>
      <c r="C340" s="158">
        <f>'LabourProject Rates_Master'!C10</f>
        <v/>
      </c>
      <c r="D340" s="164" t="n"/>
      <c r="E340" s="709" t="n"/>
      <c r="F340" s="710" t="n"/>
    </row>
    <row r="341" ht="10.8" customHeight="1" thickBot="1">
      <c r="A341" s="42" t="n"/>
      <c r="B341" s="700" t="inlineStr">
        <is>
          <t>OPTION AVERAGES - Per Person, Per NIGHT (As Per Project Roster)</t>
        </is>
      </c>
      <c r="C341" s="586" t="n"/>
      <c r="D341" s="586" t="n"/>
      <c r="E341" s="586" t="n"/>
      <c r="F341" s="587" t="n"/>
      <c r="G341" s="685" t="n"/>
    </row>
    <row r="342">
      <c r="A342" s="42" t="n"/>
      <c r="B342" s="503" t="n"/>
      <c r="C342" s="504" t="n"/>
      <c r="D342" s="504" t="n"/>
      <c r="E342" s="504" t="n"/>
      <c r="F342" s="697" t="n"/>
      <c r="G342" s="685" t="n"/>
    </row>
    <row r="343">
      <c r="A343" s="42" t="n"/>
      <c r="B343" s="503" t="inlineStr">
        <is>
          <t>Single Hotel/Motel, Private Unit - NO SHARE</t>
        </is>
      </c>
      <c r="F343" s="697">
        <f>C26</f>
        <v/>
      </c>
      <c r="G343" s="685" t="inlineStr">
        <is>
          <t>Nightly Book</t>
        </is>
      </c>
    </row>
    <row r="344">
      <c r="A344" s="42" t="n"/>
      <c r="B344" s="503" t="n"/>
      <c r="C344" s="504" t="n"/>
      <c r="D344" s="504" t="n"/>
      <c r="E344" s="504" t="n"/>
      <c r="F344" s="697" t="n"/>
      <c r="G344" s="685" t="n"/>
    </row>
    <row r="345">
      <c r="A345" s="42" t="n"/>
      <c r="B345" s="503" t="inlineStr">
        <is>
          <t>Single Hotel/Motel, Individual Rooms - SHARE HOUSE</t>
        </is>
      </c>
      <c r="F345" s="697">
        <f>C92</f>
        <v/>
      </c>
      <c r="G345" s="685" t="inlineStr">
        <is>
          <t>Nightly Book</t>
        </is>
      </c>
    </row>
    <row r="346">
      <c r="A346" s="42" t="n"/>
      <c r="B346" s="503" t="n"/>
      <c r="C346" s="504" t="n"/>
      <c r="D346" s="504" t="n"/>
      <c r="E346" s="149" t="n"/>
      <c r="F346" s="697" t="n"/>
      <c r="G346" s="685" t="n"/>
    </row>
    <row r="347">
      <c r="A347" s="42" t="n"/>
      <c r="B347" s="515" t="inlineStr">
        <is>
          <t>Single Hotel/Motel, ANY ROOM - SHARE ROOM</t>
        </is>
      </c>
      <c r="F347" s="701">
        <f>F319/$C$338</f>
        <v/>
      </c>
      <c r="G347" s="685" t="n"/>
    </row>
    <row r="348">
      <c r="A348" s="42" t="n"/>
      <c r="B348" s="503" t="n"/>
      <c r="C348" s="504" t="n"/>
      <c r="D348" s="504" t="n"/>
      <c r="E348" s="504" t="n"/>
      <c r="F348" s="697" t="n"/>
      <c r="G348" s="685" t="n"/>
    </row>
    <row r="349" ht="6" customHeight="1">
      <c r="A349" s="42" t="n"/>
      <c r="B349" s="107" t="n"/>
      <c r="C349" s="130" t="n"/>
      <c r="D349" s="130" t="n"/>
      <c r="E349" s="130" t="n"/>
      <c r="F349" s="702" t="n"/>
      <c r="G349" s="685" t="n"/>
    </row>
    <row r="350">
      <c r="A350" s="42" t="n"/>
      <c r="B350" s="503" t="inlineStr">
        <is>
          <t>Cabin/Flat/Unit_Tourist Park Type, Private Unit - NO SHARE</t>
        </is>
      </c>
      <c r="F350" s="697">
        <f>C114</f>
        <v/>
      </c>
      <c r="G350" s="685" t="inlineStr">
        <is>
          <t>Nightly Book</t>
        </is>
      </c>
    </row>
    <row r="351">
      <c r="A351" s="42" t="n"/>
      <c r="B351" s="503" t="n"/>
      <c r="C351" s="504" t="n"/>
      <c r="D351" s="504" t="n"/>
      <c r="E351" s="504" t="n"/>
      <c r="F351" s="697" t="n"/>
      <c r="G351" s="685" t="n"/>
    </row>
    <row r="352">
      <c r="A352" s="42" t="n"/>
      <c r="B352" s="503" t="inlineStr">
        <is>
          <t>Cabin/Flat/Unit_Tourist Park Type, Individual Rooms - SHARE HOUSE</t>
        </is>
      </c>
      <c r="F352" s="697">
        <f>F324/$C$338</f>
        <v/>
      </c>
      <c r="G352" s="685" t="inlineStr">
        <is>
          <t>Long-stay Book</t>
        </is>
      </c>
    </row>
    <row r="353">
      <c r="A353" s="42" t="n"/>
      <c r="B353" s="503" t="n"/>
      <c r="C353" s="504" t="n"/>
      <c r="D353" s="504" t="n"/>
      <c r="E353" s="504" t="n"/>
      <c r="F353" s="697" t="n"/>
      <c r="G353" s="685" t="n"/>
    </row>
    <row r="354">
      <c r="A354" s="42" t="n"/>
      <c r="B354" s="515" t="inlineStr">
        <is>
          <t>Cabin/Flat/Unit_Tourist Park Type, ANY ROOM - SHARE ROOM</t>
        </is>
      </c>
      <c r="F354" s="701">
        <f>F326/$C$338</f>
        <v/>
      </c>
      <c r="G354" s="685" t="n"/>
    </row>
    <row r="355">
      <c r="A355" s="42" t="n"/>
      <c r="B355" s="503" t="n"/>
      <c r="C355" s="504" t="n"/>
      <c r="D355" s="504" t="n"/>
      <c r="E355" s="504" t="n"/>
      <c r="F355" s="697" t="n"/>
      <c r="G355" s="685" t="n"/>
    </row>
    <row r="356" ht="6" customHeight="1">
      <c r="A356" s="42" t="n"/>
      <c r="B356" s="107" t="n"/>
      <c r="C356" s="130" t="n"/>
      <c r="D356" s="130" t="n"/>
      <c r="E356" s="130" t="n"/>
      <c r="F356" s="702" t="n"/>
      <c r="G356" s="685" t="n"/>
    </row>
    <row r="357">
      <c r="A357" s="42" t="n"/>
      <c r="B357" s="503" t="inlineStr">
        <is>
          <t>Unit / T'House / House_Serviced / Air BnB, Individual Rooms - SHARE HOUSE</t>
        </is>
      </c>
      <c r="F357" s="697">
        <f>F329/$C$338</f>
        <v/>
      </c>
      <c r="G357" s="685" t="inlineStr">
        <is>
          <t>Long-stay Book</t>
        </is>
      </c>
    </row>
    <row r="358">
      <c r="A358" s="42" t="n"/>
      <c r="B358" s="503" t="n"/>
      <c r="F358" s="697" t="n"/>
      <c r="G358" s="685" t="n"/>
    </row>
    <row r="359" ht="6" customHeight="1">
      <c r="A359" s="42" t="n"/>
      <c r="B359" s="107" t="n"/>
      <c r="C359" s="130" t="n"/>
      <c r="D359" s="130" t="n"/>
      <c r="E359" s="130" t="n"/>
      <c r="F359" s="702" t="n"/>
      <c r="G359" s="685" t="n"/>
    </row>
    <row r="360">
      <c r="A360" s="42" t="n"/>
      <c r="B360" s="503" t="inlineStr">
        <is>
          <t>Unit / T'House / House_Private / TCS Rental, Individual Rooms - SHARE HOUSE</t>
        </is>
      </c>
      <c r="F360" s="697">
        <f>F332/$C$338</f>
        <v/>
      </c>
      <c r="G360" s="685" t="inlineStr">
        <is>
          <t>Long-stay Book</t>
        </is>
      </c>
    </row>
    <row r="361" ht="10.8" customHeight="1" thickBot="1">
      <c r="A361" s="42" t="n"/>
      <c r="B361" s="153" t="n"/>
      <c r="C361" s="156" t="n"/>
      <c r="D361" s="156" t="n"/>
      <c r="E361" s="156" t="n"/>
      <c r="F361" s="703" t="n"/>
      <c r="G361" s="685" t="n"/>
    </row>
    <row r="362" ht="10.8" customHeight="1" thickBot="1">
      <c r="A362" s="42" t="n"/>
      <c r="F362" s="54" t="n"/>
    </row>
    <row r="363" ht="10.8" customHeight="1" thickBot="1">
      <c r="A363" s="42" t="n"/>
      <c r="B363" s="711" t="inlineStr">
        <is>
          <t>Roster Averages</t>
        </is>
      </c>
      <c r="C363" s="586" t="n"/>
      <c r="D363" s="586" t="n"/>
      <c r="E363" s="586" t="n"/>
      <c r="F363" s="587" t="n"/>
      <c r="G363" s="685" t="n"/>
    </row>
    <row r="364">
      <c r="A364" s="42" t="n"/>
      <c r="B364" s="503" t="inlineStr">
        <is>
          <t>TCS Cost Per Person - Private Unit - NO SHARE - Nightly Booking (average allowance)</t>
        </is>
      </c>
      <c r="F364" s="698">
        <f>AVERAGE(F343,F350)</f>
        <v/>
      </c>
      <c r="G364" s="685" t="n"/>
    </row>
    <row r="365">
      <c r="A365" s="42" t="n"/>
      <c r="B365" s="503" t="inlineStr">
        <is>
          <t>TCS Cost Per Person - Individual Room - SHARE HOUSE - Nightly Booking (average allowance)</t>
        </is>
      </c>
      <c r="F365" s="698">
        <f>AVERAGE(F357,F360)</f>
        <v/>
      </c>
      <c r="G365" s="685" t="n"/>
    </row>
    <row r="366" ht="6" customHeight="1">
      <c r="A366" s="42" t="n"/>
      <c r="B366" s="107" t="n"/>
      <c r="C366" s="130" t="n"/>
      <c r="D366" s="130" t="n"/>
      <c r="E366" s="130" t="n"/>
      <c r="F366" s="702" t="n"/>
      <c r="G366" s="685" t="n"/>
    </row>
    <row r="367">
      <c r="F367" s="589" t="n"/>
    </row>
    <row r="368">
      <c r="B368" s="56" t="n"/>
      <c r="C368" s="38" t="n"/>
      <c r="F368" s="38" t="n"/>
    </row>
  </sheetData>
  <mergeCells count="26">
    <mergeCell ref="B360:E360"/>
    <mergeCell ref="B329:E329"/>
    <mergeCell ref="B319:E319"/>
    <mergeCell ref="B3:F3"/>
    <mergeCell ref="B330:E330"/>
    <mergeCell ref="B343:E343"/>
    <mergeCell ref="B341:F341"/>
    <mergeCell ref="B324:E324"/>
    <mergeCell ref="B315:E315"/>
    <mergeCell ref="B365:E365"/>
    <mergeCell ref="B345:E345"/>
    <mergeCell ref="B357:E357"/>
    <mergeCell ref="B326:E326"/>
    <mergeCell ref="B347:E347"/>
    <mergeCell ref="B363:F363"/>
    <mergeCell ref="B332:E332"/>
    <mergeCell ref="B350:E350"/>
    <mergeCell ref="B322:E322"/>
    <mergeCell ref="B358:E358"/>
    <mergeCell ref="B313:F313"/>
    <mergeCell ref="B5:F5"/>
    <mergeCell ref="D338:F338"/>
    <mergeCell ref="B354:E354"/>
    <mergeCell ref="B352:E352"/>
    <mergeCell ref="B317:E317"/>
    <mergeCell ref="B364:E364"/>
  </mergeCells>
  <printOptions gridLines="1"/>
  <pageMargins left="0.46" right="0.42" top="0.37" bottom="0.4" header="0.39" footer="0.38"/>
  <pageSetup orientation="portrait" paperSize="8" scale="80" horizontalDpi="1200" verticalDpi="12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3" customWidth="1" min="1" max="1"/>
    <col width="92" customWidth="1" min="2" max="2"/>
    <col width="8" customWidth="1" min="3" max="3"/>
    <col width="10" customWidth="1" min="4" max="4"/>
    <col width="14" customWidth="1" min="5" max="5"/>
    <col width="15" customWidth="1" min="6" max="6"/>
  </cols>
  <sheetData>
    <row r="1">
      <c r="B1" s="716" t="inlineStr">
        <is>
          <t>TPS - EBC REGISTER &amp; ALTERNATES - TEN16699 (all ex GST)</t>
        </is>
      </c>
    </row>
    <row r="2" ht="40" customHeight="1">
      <c r="B2" s="717" t="inlineStr">
        <is>
          <t>NOTHING on this sheet feeds the base roll-up on 'TCS $ Sched'. Every figure is either an EXCLUDED-BUT-COSTED add-price held ready for reinstatement, or a labelled ALTERNATE to a base-offer item. The markup factor is referenced live from 'TCS $ Sched' Q51 (41.5% = 5.5% prelims + 18% O/H + 18% profit, each applied to total cost per SS5.4).</t>
        </is>
      </c>
    </row>
    <row r="3"/>
    <row r="4">
      <c r="B4" s="716" t="inlineStr">
        <is>
          <t>SECTION A - EXCLUDED-BUT-COSTED (EBC) add-prices - formula-ready for reinstatement</t>
        </is>
      </c>
    </row>
    <row r="5"/>
    <row r="6">
      <c r="B6" s="584" t="inlineStr">
        <is>
          <t>EBC-1  Sewer rising main O100/DN110, pumpwell to discharge - 110 m (SCOPE_MATRIX 2.1-x2; NewItems #1; RFI CL C4 discharge undefined)</t>
        </is>
      </c>
    </row>
    <row r="7">
      <c r="B7" t="inlineStr">
        <is>
          <t>PE100 DN110 PN16 pressure pipe - benchmark (Reece Q-459014437 PE100 125 @ $31.1083/m x (110/125)^2 weight ratio x 1.38 escalation)</t>
        </is>
      </c>
      <c r="C7" t="inlineStr">
        <is>
          <t>m</t>
        </is>
      </c>
      <c r="D7" t="n">
        <v>110</v>
      </c>
      <c r="E7">
        <f>31.1083*(110/125)^2*1.38</f>
        <v/>
      </c>
      <c r="F7" s="582">
        <f>E7*D7</f>
        <v/>
      </c>
    </row>
    <row r="8">
      <c r="B8" t="inlineStr">
        <is>
          <t>EF couplers / fittings allowance (15% of pipe value)</t>
        </is>
      </c>
      <c r="C8" t="inlineStr">
        <is>
          <t>item</t>
        </is>
      </c>
      <c r="D8" t="n">
        <v>1</v>
      </c>
      <c r="E8">
        <f>F7*0.15</f>
        <v/>
      </c>
      <c r="F8" s="582">
        <f>E8*D8</f>
        <v/>
      </c>
    </row>
    <row r="9">
      <c r="B9" t="inlineStr">
        <is>
          <t>Labour - Crew 1 in-ground, 2 crew-days (Phase 7 T1-06)</t>
        </is>
      </c>
      <c r="C9" t="inlineStr">
        <is>
          <t>day</t>
        </is>
      </c>
      <c r="D9" t="n">
        <v>2</v>
      </c>
      <c r="E9">
        <f>'LabourProject Rates_Master'!E37</f>
        <v/>
      </c>
      <c r="F9" s="582">
        <f>E9*D9</f>
        <v/>
      </c>
    </row>
    <row r="10">
      <c r="B10" t="inlineStr">
        <is>
          <t>Plant - 5T excavator 2 d + butt welder 2 d @ $350/d allowance</t>
        </is>
      </c>
      <c r="C10" t="inlineStr">
        <is>
          <t>item</t>
        </is>
      </c>
      <c r="D10" t="n">
        <v>1</v>
      </c>
      <c r="E10">
        <f>2*'Equip&amp;HIRE_Master'!D10+2*350</f>
        <v/>
      </c>
      <c r="F10" s="582">
        <f>E10*D10</f>
        <v/>
      </c>
    </row>
    <row r="11">
      <c r="B11" t="inlineStr">
        <is>
          <t>EBC-1 cost subtotal</t>
        </is>
      </c>
      <c r="F11" s="582">
        <f>SUM(F7:F10)</f>
        <v/>
      </c>
    </row>
    <row r="12">
      <c r="B12" s="584" t="inlineStr">
        <is>
          <t>EBC-1 ADD-PRICE (cost x 1.415)</t>
        </is>
      </c>
      <c r="F12" s="575">
        <f>F11*(1+'TCS $ Sched'!Q51)</f>
        <v/>
      </c>
    </row>
    <row r="13" ht="30" customHeight="1">
      <c r="B13" s="717" t="inlineStr">
        <is>
          <t>Wording control: the exclusion must be worded so the builder cannot deem the rising main included inside 2.1-b gravity sewer. Ownership is ambiguous once Council installs the station (interface L6) - the reinstatement price is HELD, not offered.</t>
        </is>
      </c>
    </row>
    <row r="14"/>
    <row r="15">
      <c r="B15" s="584" t="inlineStr">
        <is>
          <t>EBC-2  Trade waste application (grease arrestor) - excluded per locked SS5.3 / cross-cutting X3; add-price held (CL A2)</t>
        </is>
      </c>
    </row>
    <row r="16">
      <c r="B16" t="inlineStr">
        <is>
          <t>Trade waste application / consultant fee allowance</t>
        </is>
      </c>
      <c r="C16" t="inlineStr">
        <is>
          <t>item</t>
        </is>
      </c>
      <c r="D16" t="n">
        <v>1</v>
      </c>
      <c r="E16" t="n">
        <v>1500</v>
      </c>
      <c r="F16" s="582">
        <f>E16*D16</f>
        <v/>
      </c>
    </row>
    <row r="17">
      <c r="B17" t="inlineStr">
        <is>
          <t>Attendance + documentation - 0.5 crew-day</t>
        </is>
      </c>
      <c r="C17" t="inlineStr">
        <is>
          <t>day</t>
        </is>
      </c>
      <c r="D17" t="n">
        <v>0.5</v>
      </c>
      <c r="E17">
        <f>'LabourProject Rates_Master'!E37</f>
        <v/>
      </c>
      <c r="F17" s="582">
        <f>E17*D17</f>
        <v/>
      </c>
    </row>
    <row r="18">
      <c r="B18" t="inlineStr">
        <is>
          <t>EBC-2 cost subtotal</t>
        </is>
      </c>
      <c r="F18" s="582">
        <f>SUM(F16:F17)</f>
        <v/>
      </c>
    </row>
    <row r="19">
      <c r="B19" s="584" t="inlineStr">
        <is>
          <t>EBC-2 ADD-PRICE (cost x 1.415)</t>
        </is>
      </c>
      <c r="F19" s="575">
        <f>F18*(1+'TCS $ Sched'!Q51)</f>
        <v/>
      </c>
    </row>
    <row r="20" ht="30" customHeight="1">
      <c r="B20" s="717" t="inlineStr">
        <is>
          <t>H002 n.25 makes the trade waste application TPS's; VOL 21 never mentions trade waste despite the canteen. Excluded per locked decision + RFI. The arrestor HARDWARE is priced in the NBC base (1500 L Viking GIT; size conflict 1500/2000/550-5000 L per CL B6).</t>
        </is>
      </c>
    </row>
    <row r="21"/>
    <row r="22">
      <c r="B22" s="584" t="inlineStr">
        <is>
          <t>EBC-3  Fire extinguisher SUPPLY - NBC x8 + PAM x1 (drawn with no trade allocation - CL B8; matrix 4.11-d / 3.11-d)</t>
        </is>
      </c>
    </row>
    <row r="23">
      <c r="B23" t="inlineStr">
        <is>
          <t>FE 2.5 kg ABE + bracket + location sign</t>
        </is>
      </c>
      <c r="C23" t="inlineStr">
        <is>
          <t>ea</t>
        </is>
      </c>
      <c r="D23" t="n">
        <v>9</v>
      </c>
      <c r="E23" t="n">
        <v>120</v>
      </c>
      <c r="F23" s="582">
        <f>E23*D23</f>
        <v/>
      </c>
    </row>
    <row r="24">
      <c r="B24" t="inlineStr">
        <is>
          <t>Install / mount labour - 0.25 crew-day</t>
        </is>
      </c>
      <c r="C24" t="inlineStr">
        <is>
          <t>day</t>
        </is>
      </c>
      <c r="D24" t="n">
        <v>0.25</v>
      </c>
      <c r="E24">
        <f>'LabourProject Rates_Master'!E37</f>
        <v/>
      </c>
      <c r="F24" s="582">
        <f>E24*D24</f>
        <v/>
      </c>
    </row>
    <row r="25">
      <c r="B25" t="inlineStr">
        <is>
          <t>EBC-3 cost subtotal</t>
        </is>
      </c>
      <c r="F25" s="582">
        <f>SUM(F23:F24)</f>
        <v/>
      </c>
    </row>
    <row r="26">
      <c r="B26" s="584" t="inlineStr">
        <is>
          <t>EBC-3 ADD-PRICE (cost x 1.415)</t>
        </is>
      </c>
      <c r="F26" s="575">
        <f>F25*(1+'TCS $ Sched'!Q51)</f>
        <v/>
      </c>
    </row>
    <row r="27" ht="30" customHeight="1">
      <c r="B27" s="717" t="inlineStr">
        <is>
          <t>VOL38 s14.1 says the plumber prices extinguishers; the drawing note says the builder generally provides them. Carried EBC + RFI so the position is stated either way. AS1851 12-month maintenance of the fire services IS priced in the NBC base (r309).</t>
        </is>
      </c>
    </row>
    <row r="28"/>
    <row r="29">
      <c r="B29" s="584" t="inlineStr">
        <is>
          <t>EBC-4  Sewer pump station - EXCLUDED, NO PRICE CARRIED (Addendum 2, 10 Jul 2026: 'Sewage Pump Station will be getting installed by Council')</t>
        </is>
      </c>
    </row>
    <row r="30" ht="55" customHeight="1">
      <c r="B30" s="717" t="inlineStr">
        <is>
          <t>Interface per ledger L6: TPS carries the gravity sewer to and terminating at the station's inlet DICL pipe piece ('LIMIT OF Q-MAX WORKS'). Station supply, installation, excavation and slab by Council/others; electrical supply, controls and commissioning cabling by the electrical trade; the rising main is EBC-1 above. TPS states this interface list verbatim in its submission so 'pump station excluded' cannot be read as excluding the connecting works.</t>
        </is>
      </c>
    </row>
    <row r="31" ht="55" customHeight="1">
      <c r="B31" s="717" t="inlineStr">
        <is>
          <t>Add-price EVIDENCE held (not offered): APS Quote 14065 as-specified QMax Fortis 3200 O x 6700 deep = $468,000 supply + install + commissioning - the basis to quote from if an add-price is requested (no validity stated - flag). Cross-references for the same station: Tradelink 1066334 pack ~$416,000 (incl. $115,000 M&amp;E install labour) and Reece Q-459014431 $523,170.73 S+I. Spread of $107k across the three offers.</t>
        </is>
      </c>
    </row>
    <row r="32" ht="55" customHeight="1">
      <c r="B32" s="717" t="inlineStr">
        <is>
          <t>REMOVED FROM THE MODEL 26/07/26: the prior workbook carried an orphaned block W37 $468,000 -&gt; W43 = 468,000 x 1.15 + $2,500 freight + $5,000 install = $545,700 'sell'. That block fed NO roll-up cell - it was never inside the old $273,056.54 sub-total, so its deletion moves no headline number. D6 FLAG: any prior quote circulated off the old N68 grand total never included the pump station.</t>
        </is>
      </c>
    </row>
    <row r="33"/>
    <row r="34">
      <c r="B34" s="716" t="inlineStr">
        <is>
          <t>SECTION B - ALTERNATES (clearly labelled; EXCLUDED from the base roll-up)</t>
        </is>
      </c>
    </row>
    <row r="35"/>
    <row r="36">
      <c r="B36" s="584" t="inlineStr">
        <is>
          <t>ALT-1  O200 buried main - COPPER Type B alternate. BASE OFFER = HDPE PE100 SDR11 DN250 (locked SS5.5: no buried copper alternate is OFFERED)</t>
        </is>
      </c>
    </row>
    <row r="37">
      <c r="B37" t="inlineStr">
        <is>
          <t>Kembla copper Type B DN200 - Tradelink 6595064, $2,015 per 6 m length (Jul-26; escalation not embedded)</t>
        </is>
      </c>
      <c r="C37" t="inlineStr">
        <is>
          <t>m</t>
        </is>
      </c>
      <c r="D37" t="n">
        <v>134.63</v>
      </c>
      <c r="E37">
        <f>2015/6</f>
        <v/>
      </c>
      <c r="F37" s="582">
        <f>E37*D37</f>
        <v/>
      </c>
    </row>
    <row r="38">
      <c r="B38" t="inlineStr">
        <is>
          <t>Base HDPE line as carried in the model ('Siteworks ' F349)</t>
        </is>
      </c>
      <c r="F38" s="582">
        <f>'Siteworks '!F349</f>
        <v/>
      </c>
    </row>
    <row r="39">
      <c r="B39" t="inlineStr">
        <is>
          <t>Material delta if copper were adopted (alternate less base)</t>
        </is>
      </c>
      <c r="F39" s="582">
        <f>F37-F38</f>
        <v/>
      </c>
    </row>
    <row r="40">
      <c r="B40" s="584" t="inlineStr">
        <is>
          <t>Sell delta if adopted (delta x 1.18 site contingency x 1.415 markup)</t>
        </is>
      </c>
      <c r="F40" s="575">
        <f>F39*1.18*(1+'TCS $ Sched'!Q51)</f>
        <v/>
      </c>
    </row>
    <row r="41" ht="45" customHeight="1">
      <c r="B41" s="717" t="inlineStr">
        <is>
          <t>The copper build-up is retained here as a cost record only. The base offer sits inside the spec's own equivalence table (VOL38 s10.1, Cromford PN16 250 = O200 ID) so it is a CONFORMING offer, not a departure. The copper tapping-cluster FITTINGS (tees, bends, full-faced stubs, gasket kits, sluice valves) remain in the base at adopted counts - only the 134.63 m pipe run changes material.</t>
        </is>
      </c>
    </row>
    <row r="42"/>
    <row r="43">
      <c r="B43" s="584" t="inlineStr">
        <is>
          <t>ALT-2  Building water &gt;DN22 - COPPER alternate. BASE = 316 SS press-fit per WS2 (priced both ways per locked SS5.5 / CL C9)</t>
        </is>
      </c>
    </row>
    <row r="44">
      <c r="B44" t="inlineStr">
        <is>
          <t>NBC copper Type B 32 mm (CQU 1057751 curve basis)</t>
        </is>
      </c>
      <c r="C44" t="inlineStr">
        <is>
          <t>m</t>
        </is>
      </c>
      <c r="D44" t="n">
        <v>17.86</v>
      </c>
      <c r="E44" t="n">
        <v>32</v>
      </c>
      <c r="F44" s="582">
        <f>E44*D44</f>
        <v/>
      </c>
    </row>
    <row r="45">
      <c r="B45" t="inlineStr">
        <is>
          <t>NBC copper Type B 25 mm</t>
        </is>
      </c>
      <c r="C45" t="inlineStr">
        <is>
          <t>m</t>
        </is>
      </c>
      <c r="D45" t="n">
        <v>112.72</v>
      </c>
      <c r="E45">
        <f>129/6</f>
        <v/>
      </c>
      <c r="F45" s="582">
        <f>E45*D45</f>
        <v/>
      </c>
    </row>
    <row r="46">
      <c r="B46" t="inlineStr">
        <is>
          <t>PAM copper Type B 32 mm</t>
        </is>
      </c>
      <c r="C46" t="inlineStr">
        <is>
          <t>m</t>
        </is>
      </c>
      <c r="D46" t="n">
        <v>9.56</v>
      </c>
      <c r="E46">
        <f>119.88/6</f>
        <v/>
      </c>
      <c r="F46" s="582">
        <f>E46*D46</f>
        <v/>
      </c>
    </row>
    <row r="47">
      <c r="B47" t="inlineStr">
        <is>
          <t>PAM copper Type B 25 mm</t>
        </is>
      </c>
      <c r="C47" t="inlineStr">
        <is>
          <t>m</t>
        </is>
      </c>
      <c r="D47" t="n">
        <v>26.9</v>
      </c>
      <c r="E47" t="n">
        <v>17.52</v>
      </c>
      <c r="F47" s="582">
        <f>E47*D47</f>
        <v/>
      </c>
    </row>
    <row r="48">
      <c r="B48" t="inlineStr">
        <is>
          <t>Copper pipe alternate - total</t>
        </is>
      </c>
      <c r="F48" s="582">
        <f>SUM(F44:F47)</f>
        <v/>
      </c>
    </row>
    <row r="49">
      <c r="B49" t="inlineStr">
        <is>
          <t>316 SS press-fit pipe as carried in the base (NBC F420+F423, PAM F405+F407)</t>
        </is>
      </c>
      <c r="F49" s="582">
        <f>'ClubHouse (NBC )'!F420+'ClubHouse (NBC )'!F423+'Public Amenities (PAM)'!F405+'Public Amenities (PAM)'!F407</f>
        <v/>
      </c>
    </row>
    <row r="50">
      <c r="B50" t="inlineStr">
        <is>
          <t>Base SS press FITTINGS total (these carry a +50% benchmark uplift over copper press)</t>
        </is>
      </c>
      <c r="F50" s="582">
        <f>'ClubHouse (NBC )'!F421+'ClubHouse (NBC )'!F422+'ClubHouse (NBC )'!F424+'ClubHouse (NBC )'!F425+'ClubHouse (NBC )'!F438+'ClubHouse (NBC )'!F439+'ClubHouse (NBC )'!F442+'ClubHouse (NBC )'!F443+'Public Amenities (PAM)'!F406+'Public Amenities (PAM)'!F408+'Public Amenities (PAM)'!F410+'Public Amenities (PAM)'!F419+'Public Amenities (PAM)'!F420+'Public Amenities (PAM)'!F423+'Public Amenities (PAM)'!F425</f>
        <v/>
      </c>
    </row>
    <row r="51">
      <c r="B51" t="inlineStr">
        <is>
          <t>Copper fitting reversion (base/1.5 less base = -base/3)</t>
        </is>
      </c>
      <c r="F51" s="582">
        <f>-F50/3</f>
        <v/>
      </c>
    </row>
    <row r="52">
      <c r="B52" t="inlineStr">
        <is>
          <t>Material delta if copper adopted (copper pipe less SS pipe plus fitting reversion)</t>
        </is>
      </c>
      <c r="F52" s="582">
        <f>F48-F49+F51</f>
        <v/>
      </c>
    </row>
    <row r="53">
      <c r="B53" s="584" t="inlineStr">
        <is>
          <t>Sell delta if adopted (delta x 1.12 NBC contingency x 1.415 markup)</t>
        </is>
      </c>
      <c r="F53" s="575">
        <f>F52*1.12*(1+'TCS $ Sched'!Q51)</f>
        <v/>
      </c>
    </row>
    <row r="54" ht="55" customHeight="1">
      <c r="B54" s="717" t="inlineStr">
        <is>
          <t>Gap #2: Tradelink refused a 316 SS press-fit rate; Reece Q-459014431 priced 22/28/35 mm only - which covers every size needed here (NBC/PAM carry nothing above 35 mm), so the PIPE rate is a project quote, not a benchmark. The FITTING rates are benchmark-derived at copper press x1.5 (SS press fittings run 1.4-1.6x copper on supplier curves) and are tagged PENDING RFQ on every affected row. 316 SS long-lead 10-14 weeks is flagged in the programme.</t>
        </is>
      </c>
    </row>
    <row r="55"/>
    <row r="56" ht="30" customHeight="1">
      <c r="B56" s="717" t="inlineStr">
        <is>
          <t>SUMMARY - held add-prices (EBC) and alternate deltas are STATED in the submission but are NOT in the tendered sum. Base-offer positions: O200 main = HDPE PE100 SDR11 DN250; building water &gt;DN22 = 316 SS press-fit; &lt;=DN22 = PEX / copper per WS2.</t>
        </is>
      </c>
    </row>
    <row r="57">
      <c r="B57" s="584" t="inlineStr">
        <is>
          <t>TOTAL EBC add-prices held (EBC-1 + EBC-2 + EBC-3)</t>
        </is>
      </c>
      <c r="F57" s="575">
        <f>F12+F19+F26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58" customWidth="1" min="3" max="3"/>
    <col width="30" customWidth="1" min="4" max="4"/>
    <col width="16" customWidth="1" min="5" max="5"/>
    <col width="62" customWidth="1" min="6" max="6"/>
  </cols>
  <sheetData>
    <row r="1">
      <c r="A1" s="716" t="inlineStr">
        <is>
          <t>TPS (Hydraulic) - Paynters Schedule 3 price extract - TEN16699 - ALL EX GST</t>
        </is>
      </c>
    </row>
    <row r="2" ht="32" customHeight="1">
      <c r="A2" s="717" t="inlineStr">
        <is>
          <t>Maps the TPS cost model to the exact Schedule 3 line structure (schedule3_transcript.md / 01_SCOPE_MATRIX). Physical lump-sum lines are carried inside the stage lump sums; PC Sums, provisional fees and schedule-of-rates lines are separately identified as the schedule requires. Every Schedule 3 line allocated to TPS appears exactly once.</t>
        </is>
      </c>
    </row>
    <row r="3"/>
    <row r="4">
      <c r="A4" s="584" t="inlineStr">
        <is>
          <t>Stage</t>
        </is>
      </c>
      <c r="B4" s="584" t="inlineStr">
        <is>
          <t>Sch ref</t>
        </is>
      </c>
      <c r="C4" s="584" t="inlineStr">
        <is>
          <t>Schedule 3 line</t>
        </is>
      </c>
      <c r="D4" s="584" t="inlineStr">
        <is>
          <t>TPS treatment</t>
        </is>
      </c>
      <c r="E4" s="584" t="inlineStr">
        <is>
          <t>Amount ex GST</t>
        </is>
      </c>
      <c r="F4" s="584" t="inlineStr">
        <is>
          <t>Basis / qualification</t>
        </is>
      </c>
    </row>
    <row r="5" ht="40" customHeight="1">
      <c r="A5" t="inlineStr">
        <is>
          <t>1A</t>
        </is>
      </c>
      <c r="B5" t="inlineStr">
        <is>
          <t>1.1-1.7</t>
        </is>
      </c>
      <c r="C5" s="717" t="inlineStr">
        <is>
          <t>Preliminaries &amp; Documentation (TPS share of the Split lines)</t>
        </is>
      </c>
      <c r="D5" s="717" t="inlineStr">
        <is>
          <t>In 1A lump sum</t>
        </is>
      </c>
      <c r="F5" s="717" t="inlineStr">
        <is>
          <t>Own establishment/TC/ESC/plans/set-out/QC+ADAC/PM per SS5.2 - priced via Phase 7 activities T1-01, T1-02, T5-07 plus the Prelim &amp; OH tab; no shared compound (L5)</t>
        </is>
      </c>
    </row>
    <row r="6" ht="40" customHeight="1">
      <c r="A6" t="inlineStr">
        <is>
          <t>1A</t>
        </is>
      </c>
      <c r="B6" t="inlineStr">
        <is>
          <t>2.1-b</t>
        </is>
      </c>
      <c r="C6" s="717" t="inlineStr">
        <is>
          <t>Sewerage mains (incl. mains through 1B land serving 1A)</t>
        </is>
      </c>
      <c r="D6" s="717" t="inlineStr">
        <is>
          <t>In 1A lump sum</t>
        </is>
      </c>
      <c r="F6" s="717" t="inlineStr">
        <is>
          <t>Gravity sewer 207.53 m (29.29 O150 + 178.24 O100) + SMS x2 + O150 property connection. Terminates at the Council station inlet DICL piece (L6). FRW lodgement = Principal Contractor (X2)</t>
        </is>
      </c>
    </row>
    <row r="7" ht="40" customHeight="1">
      <c r="A7" t="inlineStr">
        <is>
          <t>1A</t>
        </is>
      </c>
      <c r="B7" t="inlineStr">
        <is>
          <t>2.1-x1</t>
        </is>
      </c>
      <c r="C7" s="717" t="inlineStr">
        <is>
          <t>-- Sewer pump station</t>
        </is>
      </c>
      <c r="D7" s="717" t="inlineStr">
        <is>
          <t>EXCLUDED (Addendum 2)</t>
        </is>
      </c>
      <c r="F7" s="717" t="inlineStr">
        <is>
          <t>Council-installed; interface list stated verbatim (L6); add-price evidence held on EBC_Alternates EBC-4 (APS 14065 basis)</t>
        </is>
      </c>
    </row>
    <row r="8" ht="40" customHeight="1">
      <c r="A8" t="inlineStr">
        <is>
          <t>1A</t>
        </is>
      </c>
      <c r="B8" t="inlineStr">
        <is>
          <t>2.1-x2</t>
        </is>
      </c>
      <c r="C8" s="717" t="inlineStr">
        <is>
          <t>-- Sewer rising main O100/DN110</t>
        </is>
      </c>
      <c r="D8" s="717" t="inlineStr">
        <is>
          <t>EBC - add-price held</t>
        </is>
      </c>
      <c r="E8" s="582">
        <f>EBC_Alternates!F12</f>
        <v/>
      </c>
      <c r="F8" s="717" t="inlineStr">
        <is>
          <t>110 m allowance, formula-ready reinstatement; RFI CL C4 (discharge location undefined); wording prevents it being deemed inside 2.1-b</t>
        </is>
      </c>
    </row>
    <row r="9" ht="40" customHeight="1">
      <c r="A9" t="inlineStr">
        <is>
          <t>1A</t>
        </is>
      </c>
      <c r="B9" t="inlineStr">
        <is>
          <t>2.1-c</t>
        </is>
      </c>
      <c r="C9" s="717" t="inlineStr">
        <is>
          <t>Water mains - O200 tapping to meter slab (mains through 1B)</t>
        </is>
      </c>
      <c r="D9" s="717" t="inlineStr">
        <is>
          <t>In 1A lump sum</t>
        </is>
      </c>
      <c r="F9" s="717" t="inlineStr">
        <is>
          <t>BASE = O200 ID HDPE PE100 SDR11 DN250 per locked SS5.5 (VOL38 s10.1 equivalence); rate benchmark-derived PENDING RFQ (Gap #5). Copper alternate ALT-1. H002 n.26 diameter blank - RFI CL C3</t>
        </is>
      </c>
    </row>
    <row r="10" ht="40" customHeight="1">
      <c r="A10" t="inlineStr">
        <is>
          <t>1A</t>
        </is>
      </c>
      <c r="B10" t="inlineStr">
        <is>
          <t>2.2-b</t>
        </is>
      </c>
      <c r="C10" s="717" t="inlineStr">
        <is>
          <t>Temporary site services (TPS own, in full)</t>
        </is>
      </c>
      <c r="D10" s="717" t="inlineStr">
        <is>
          <t>In 1A lump sum</t>
        </is>
      </c>
      <c r="F10" s="717" t="inlineStr">
        <is>
          <t>Own toilets/wash/genset/potable water storage + distribution (ITT S17.3 - no site power or water). Priced bottom-up on the Prelim &amp; OH tab</t>
        </is>
      </c>
    </row>
    <row r="11" ht="40" customHeight="1">
      <c r="A11" t="inlineStr">
        <is>
          <t>1A</t>
        </is>
      </c>
      <c r="B11" t="inlineStr">
        <is>
          <t>2.4-b</t>
        </is>
      </c>
      <c r="C11" s="717" t="inlineStr">
        <is>
          <t>Hydraulic services - site reticulation within 1A</t>
        </is>
      </c>
      <c r="D11" s="717" t="inlineStr">
        <is>
          <t>In 1A lump sum</t>
        </is>
      </c>
      <c r="F11" s="717" t="inlineStr">
        <is>
          <t>125 PE CW spine 236.88 m + 6 take-off sets + 32/25 branches 111.51 m + capped future services + irrigation take-off capped at the E-type flange (L13)</t>
        </is>
      </c>
    </row>
    <row r="12" ht="40" customHeight="1">
      <c r="A12" t="inlineStr">
        <is>
          <t>1A</t>
        </is>
      </c>
      <c r="B12" t="inlineStr">
        <is>
          <t>2.4-c</t>
        </is>
      </c>
      <c r="C12" s="717" t="inlineStr">
        <is>
          <t>Fire services - site</t>
        </is>
      </c>
      <c r="D12" s="717" t="inlineStr">
        <is>
          <t>In 1A lump sum</t>
        </is>
      </c>
      <c r="F12" s="717" t="inlineStr">
        <is>
          <t>125 HDPE REDLINE 217.73 m + H-pattern booster + cabinet + 100 dual pillar hydrant. Extent qualified (CL C1/F3); AS2419.1 coverage + missing H004 = RFI</t>
        </is>
      </c>
    </row>
    <row r="13" ht="40" customHeight="1">
      <c r="A13" t="inlineStr">
        <is>
          <t>1A</t>
        </is>
      </c>
      <c r="B13" t="inlineStr">
        <is>
          <t>3.5</t>
        </is>
      </c>
      <c r="C13" s="717" t="inlineStr">
        <is>
          <t>Hydraulic - grated trench drains and pits</t>
        </is>
      </c>
      <c r="D13" s="717" t="inlineStr">
        <is>
          <t>EXCLUDED - TCS scope</t>
        </is>
      </c>
      <c r="F13" s="717" t="inlineStr">
        <is>
          <t>Locked SS5.1: priced by TCS despite the 'Hydraulic' heading (drawn on the civil sheets). TPS expressly excludes and cross-refers the TCS tender (L1)</t>
        </is>
      </c>
    </row>
    <row r="14" ht="40" customHeight="1">
      <c r="A14" t="inlineStr">
        <is>
          <t>1A</t>
        </is>
      </c>
      <c r="B14" t="inlineStr">
        <is>
          <t>4.3</t>
        </is>
      </c>
      <c r="C14" s="717" t="inlineStr">
        <is>
          <t>-- Roofing / roof plumbing / gutters / downpipes</t>
        </is>
      </c>
      <c r="D14" s="717" t="inlineStr">
        <is>
          <t>EXCLUDED (SS5.3)</t>
        </is>
      </c>
      <c r="F14" s="717" t="inlineStr">
        <is>
          <t>TPS scope starts at the DP 'CONNECT TO CIVIL' point in ground; the roofer owns everything above (L14). DP stub count adopted 19 EA, RFI on count (Opens #23)</t>
        </is>
      </c>
    </row>
    <row r="15" ht="40" customHeight="1">
      <c r="A15" t="inlineStr">
        <is>
          <t>1A</t>
        </is>
      </c>
      <c r="B15" t="inlineStr">
        <is>
          <t>4.11-c</t>
        </is>
      </c>
      <c r="C15" s="717" t="inlineStr">
        <is>
          <t>NBC hydraulic services</t>
        </is>
      </c>
      <c r="D15" s="717" t="inlineStr">
        <is>
          <t>In 1A lump sum</t>
        </is>
      </c>
      <c r="F15" s="717" t="inlineStr">
        <is>
          <t>Sanitary 268.4 m + trade waste 54.78 m + 1500 L GIT (size RFI CL B6) + water (316 SS press-fit &gt;DN22 conforming, PEX &lt;=DN22; copper ALT-2) + 2x Rheem 315L HWU + RPZD/backflow + articulation + seismic (install + layout only, CL C7) + DP stubs to CONNECT TO CIVIL only (L2)</t>
        </is>
      </c>
    </row>
    <row r="16" ht="40" customHeight="1">
      <c r="A16" t="inlineStr">
        <is>
          <t>1A</t>
        </is>
      </c>
      <c r="B16" t="inlineStr">
        <is>
          <t>4.11-d</t>
        </is>
      </c>
      <c r="C16" s="717" t="inlineStr">
        <is>
          <t>NBC fire compliance</t>
        </is>
      </c>
      <c r="D16" s="717" t="inlineStr">
        <is>
          <t>In 1A lump sum</t>
        </is>
      </c>
      <c r="F16" s="717" t="inlineStr">
        <is>
          <t>FHR x1 + FB x1 + AS1851 12-month maintenance &amp; tagging. FE x8 supply = EBC-3 + RFI (CL B8)</t>
        </is>
      </c>
    </row>
    <row r="17" ht="40" customHeight="1">
      <c r="A17" t="inlineStr">
        <is>
          <t>1A</t>
        </is>
      </c>
      <c r="B17" t="inlineStr">
        <is>
          <t>4.12-c</t>
        </is>
      </c>
      <c r="C17" s="717" t="inlineStr">
        <is>
          <t>NBC plumbing fixtures - SUPPLY</t>
        </is>
      </c>
      <c r="D17" s="717" t="inlineStr">
        <is>
          <t>PC SUM</t>
        </is>
      </c>
      <c r="E17" s="582">
        <f>'TCS $ Sched'!N71</f>
        <v/>
      </c>
      <c r="F17" s="717" t="inlineStr">
        <is>
          <t>Tradelink 1066143 adjusted for adopted counts + 15% (build-up on 'TCS $ Sched' R70:S78). Install labour is in Base. Validity 13/08/26 vs 2027 start + header defects qualified (CL F4)</t>
        </is>
      </c>
    </row>
    <row r="18" ht="40" customHeight="1">
      <c r="A18" t="inlineStr">
        <is>
          <t>1A</t>
        </is>
      </c>
      <c r="B18" t="inlineStr">
        <is>
          <t>4.12-e</t>
        </is>
      </c>
      <c r="C18" s="717" t="inlineStr">
        <is>
          <t>NBC drinking fountain (chilled)</t>
        </is>
      </c>
      <c r="D18" s="717" t="inlineStr">
        <is>
          <t>PC SUM (calculated)</t>
        </is>
      </c>
      <c r="E18" s="582">
        <f>'TCS $ Sched'!N72</f>
        <v/>
      </c>
      <c r="F18" s="717" t="inlineStr">
        <is>
          <t>2x CF400 chilled @ $11,050 + 15%; chilled/non-chilled same-SKU RFI (CL C10); signage explicitly extra on the quote. Rough-in connections in Base</t>
        </is>
      </c>
    </row>
    <row r="19" ht="40" customHeight="1">
      <c r="A19" t="inlineStr">
        <is>
          <t>1A</t>
        </is>
      </c>
      <c r="B19" t="inlineStr">
        <is>
          <t>5.0</t>
        </is>
      </c>
      <c r="C19" s="717" t="inlineStr">
        <is>
          <t>Provisional - plumbing, water &amp; sewer connection fees</t>
        </is>
      </c>
      <c r="D19" s="717" t="inlineStr">
        <is>
          <t>PROVISIONAL as directed</t>
        </is>
      </c>
      <c r="E19" s="582">
        <f>'TCS $ Sched'!N73</f>
        <v/>
      </c>
      <c r="F19" s="717" t="inlineStr">
        <is>
          <t>$20,000 actual-cost reimbursement carried exactly as directed, NO markup (SS5.4). Schedule entry mechanics RFI (CL A3)</t>
        </is>
      </c>
    </row>
    <row r="20" ht="40" customHeight="1">
      <c r="A20" t="inlineStr">
        <is>
          <t>1A</t>
        </is>
      </c>
      <c r="B20" t="inlineStr">
        <is>
          <t>7.0-a</t>
        </is>
      </c>
      <c r="C20" s="717" t="inlineStr">
        <is>
          <t>Rock removal rate - TPS trenches AND pits, soft AND hard</t>
        </is>
      </c>
      <c r="D20" s="717" t="inlineStr">
        <is>
          <t>SCHEDULE OF RATES</t>
        </is>
      </c>
      <c r="E20" t="inlineStr">
        <is>
          <t>see build-up below</t>
        </is>
      </c>
      <c r="F20" s="717" t="inlineStr">
        <is>
          <t>Four rates tendered per H002 n.24. Extra-over, payable on Superintendent written direction (ITT s18.2). TPS rates apply only to water/sewer/fire excavations - no overlap with TCS. Three-regime inconsistency RFI'd (CL B5/A5)</t>
        </is>
      </c>
    </row>
    <row r="21" ht="40" customHeight="1">
      <c r="A21" t="inlineStr">
        <is>
          <t>1A</t>
        </is>
      </c>
      <c r="B21" t="inlineStr">
        <is>
          <t>7.0-b</t>
        </is>
      </c>
      <c r="C21" s="717" t="inlineStr">
        <is>
          <t>Unsuitable ground removal &amp; reinstatement rate</t>
        </is>
      </c>
      <c r="D21" s="717" t="inlineStr">
        <is>
          <t>SCHEDULE OF RATES</t>
        </is>
      </c>
      <c r="E21" t="inlineStr">
        <is>
          <t>see build-up below</t>
        </is>
      </c>
      <c r="F21" s="717" t="inlineStr">
        <is>
          <t>Extra-over, Superintendent written direction only (ITT s18.1); same own-excavations boundary</t>
        </is>
      </c>
    </row>
    <row r="22" ht="40" customHeight="1">
      <c r="A22" s="584" t="inlineStr">
        <is>
          <t>1A</t>
        </is>
      </c>
      <c r="B22" s="584" t="inlineStr"/>
      <c r="C22" s="718" t="inlineStr">
        <is>
          <t>STAGE 1A TOTAL ex GST (lump sum + PC sums + provisional)</t>
        </is>
      </c>
      <c r="D22" s="718" t="inlineStr"/>
      <c r="E22" s="575">
        <f>'TCS $ Sched'!N83</f>
        <v/>
      </c>
      <c r="F22" s="718">
        <f> 1A base sell + 1A PC sums. Section 6.0 (electrical) is Not Ours; 1A 2.3 / 2.5 drainage is TCS</f>
        <v/>
      </c>
    </row>
    <row r="23" ht="40" customHeight="1">
      <c r="A23" t="inlineStr">
        <is>
          <t>1B</t>
        </is>
      </c>
      <c r="B23" t="inlineStr">
        <is>
          <t>1.1-1.7</t>
        </is>
      </c>
      <c r="C23" s="717" t="inlineStr">
        <is>
          <t>Preliminaries &amp; Documentation (TPS share)</t>
        </is>
      </c>
      <c r="D23" s="717" t="inlineStr">
        <is>
          <t>In 1B lump sum</t>
        </is>
      </c>
      <c r="F23" s="717" t="inlineStr">
        <is>
          <t>Standalone-viable 1B per SS5.2 - no reliance on any 1A establishment</t>
        </is>
      </c>
    </row>
    <row r="24" ht="40" customHeight="1">
      <c r="A24" t="inlineStr">
        <is>
          <t>1B</t>
        </is>
      </c>
      <c r="B24" t="inlineStr">
        <is>
          <t>2.1-a</t>
        </is>
      </c>
      <c r="C24" s="717" t="inlineStr">
        <is>
          <t>Temporary site services (TPS own)</t>
        </is>
      </c>
      <c r="D24" s="717" t="inlineStr">
        <is>
          <t>In 1B lump sum</t>
        </is>
      </c>
      <c r="F24" s="717" t="inlineStr">
        <is>
          <t>As 1A 2.2-b, sized for a standalone 1B award</t>
        </is>
      </c>
    </row>
    <row r="25" ht="40" customHeight="1">
      <c r="A25" t="inlineStr">
        <is>
          <t>1B</t>
        </is>
      </c>
      <c r="B25" t="inlineStr">
        <is>
          <t>2.2-b</t>
        </is>
      </c>
      <c r="C25" s="717" t="inlineStr">
        <is>
          <t>Hydraulic services - 1B's own connections and reticulation</t>
        </is>
      </c>
      <c r="D25" s="717" t="inlineStr">
        <is>
          <t>In 1B lump sum</t>
        </is>
      </c>
      <c r="F25" s="717" t="inlineStr">
        <is>
          <t>Branch take-offs from the 1A-priced mains; the branch fitting/valve IS the line (L9). PAM O25/O32 entries, O100 PAM sewer leg, bubbler/DF supplies + wastes, hose taps (Phase 7 T2-09, 4 crew-days carried on the PAM sheet)</t>
        </is>
      </c>
    </row>
    <row r="26" ht="40" customHeight="1">
      <c r="A26" t="inlineStr">
        <is>
          <t>1B</t>
        </is>
      </c>
      <c r="B26" t="inlineStr">
        <is>
          <t>2.2-c</t>
        </is>
      </c>
      <c r="C26" s="717" t="inlineStr">
        <is>
          <t>Fire services - 1B extent</t>
        </is>
      </c>
      <c r="D26" s="717" t="inlineStr">
        <is>
          <t>In 1B lump sum</t>
        </is>
      </c>
      <c r="F26" s="717" t="inlineStr">
        <is>
          <t>Same extent-verification qualification as 1A 2.4-c (CL C1)</t>
        </is>
      </c>
    </row>
    <row r="27" ht="40" customHeight="1">
      <c r="A27" t="inlineStr">
        <is>
          <t>1B</t>
        </is>
      </c>
      <c r="B27" t="inlineStr">
        <is>
          <t>3.11-c</t>
        </is>
      </c>
      <c r="C27" s="717" t="inlineStr">
        <is>
          <t>PAM hydraulic services</t>
        </is>
      </c>
      <c r="D27" s="717" t="inlineStr">
        <is>
          <t>In 1B lump sum</t>
        </is>
      </c>
      <c r="F27" s="717" t="inlineStr">
        <is>
          <t>Sanitary 68.09 m @1:60 + ORG + FWG x4 + Rheem 50L HWU + TMV in SS lockable cabinet + O32 check-meter (no PRV vs NBC 500 kPa - RFI CL C8) + 316 SS/PEX water + articulation + seismic. DP stubs only - PAM sheets carry NO 'connect to civil' note (RFI)</t>
        </is>
      </c>
    </row>
    <row r="28" ht="40" customHeight="1">
      <c r="A28" t="inlineStr">
        <is>
          <t>1B</t>
        </is>
      </c>
      <c r="B28" t="inlineStr">
        <is>
          <t>3.11-d</t>
        </is>
      </c>
      <c r="C28" s="717" t="inlineStr">
        <is>
          <t>PAM fire compliance</t>
        </is>
      </c>
      <c r="D28" s="717" t="inlineStr">
        <is>
          <t>In 1B lump sum</t>
        </is>
      </c>
      <c r="F28" s="717" t="inlineStr">
        <is>
          <t>FE x1 supply = EBC-3 + RFI (CL B8)</t>
        </is>
      </c>
    </row>
    <row r="29" ht="40" customHeight="1">
      <c r="A29" t="inlineStr">
        <is>
          <t>1B</t>
        </is>
      </c>
      <c r="B29" t="inlineStr">
        <is>
          <t>3.12-a</t>
        </is>
      </c>
      <c r="C29" s="717" t="inlineStr">
        <is>
          <t>PAM plumbing fixtures - SUPPLY</t>
        </is>
      </c>
      <c r="D29" s="717" t="inlineStr">
        <is>
          <t>PC SUM</t>
        </is>
      </c>
      <c r="E29" s="582">
        <f>'TCS $ Sched'!N74</f>
        <v/>
      </c>
      <c r="F29" s="717" t="inlineStr">
        <is>
          <t>PAM extension of the Tradelink 1066143 basis + 15%. The PAM fixture set was never counted by the take-off - adopted counts (8 s/s WC + in-wall cisterns, 1800 trough, PWD basin, CSK, timed taps, 2x TR) extended at the quote-rate family; delta stated</t>
        </is>
      </c>
    </row>
    <row r="30" ht="40" customHeight="1">
      <c r="A30" t="inlineStr">
        <is>
          <t>1B</t>
        </is>
      </c>
      <c r="B30" t="inlineStr">
        <is>
          <t>3.12-b</t>
        </is>
      </c>
      <c r="C30" s="717" t="inlineStr">
        <is>
          <t>PAM drinking fountain (non-chilled)</t>
        </is>
      </c>
      <c r="D30" s="717" t="inlineStr">
        <is>
          <t>PC SUM (calculated)</t>
        </is>
      </c>
      <c r="E30" s="582">
        <f>'TCS $ Sched'!N75</f>
        <v/>
      </c>
      <c r="F30" s="717" t="inlineStr">
        <is>
          <t>2x CF400 non-chilled benchmark $7,200 ea + 15% - the non-chilled variant is unpriced by anyone (Gap #6), re-quote pending; same SKU RFI (CL C10)</t>
        </is>
      </c>
    </row>
    <row r="31" ht="40" customHeight="1">
      <c r="A31" t="inlineStr">
        <is>
          <t>1B</t>
        </is>
      </c>
      <c r="B31" t="inlineStr">
        <is>
          <t>4.5-c</t>
        </is>
      </c>
      <c r="C31" s="717" t="inlineStr">
        <is>
          <t>Water bubbler stations (recreational park)</t>
        </is>
      </c>
      <c r="D31" s="717" t="inlineStr">
        <is>
          <t>PC SUM (calculated)</t>
        </is>
      </c>
      <c r="E31" s="582">
        <f>'TCS $ Sched'!N76</f>
        <v/>
      </c>
      <c r="F31" s="717" t="inlineStr">
        <is>
          <t>4x site DF/BT positions per H003 at the same benchmark + 15%; unit type undefined in the legend (RFI CL C10). Supply/waste connections priced in 1B 2.2-b Base; slabs/surrounds by others</t>
        </is>
      </c>
    </row>
    <row r="32" ht="40" customHeight="1">
      <c r="A32" t="inlineStr">
        <is>
          <t>1B</t>
        </is>
      </c>
      <c r="B32" t="inlineStr">
        <is>
          <t>4.6</t>
        </is>
      </c>
      <c r="C32" s="717" t="inlineStr">
        <is>
          <t>Provisional - connection fees</t>
        </is>
      </c>
      <c r="D32" s="717" t="inlineStr">
        <is>
          <t>PROVISIONAL as directed</t>
        </is>
      </c>
      <c r="E32" s="582">
        <f>'TCS $ Sched'!N77</f>
        <v/>
      </c>
      <c r="F32" s="717" t="inlineStr">
        <is>
          <t>$20,000 as directed, no markup - mirror of 1A 5.0. Carried in BOTH stages per the schedule and SS5.4</t>
        </is>
      </c>
    </row>
    <row r="33" ht="40" customHeight="1">
      <c r="A33" t="inlineStr">
        <is>
          <t>1B</t>
        </is>
      </c>
      <c r="B33" t="inlineStr">
        <is>
          <t>5.0-a</t>
        </is>
      </c>
      <c r="C33" s="717" t="inlineStr">
        <is>
          <t>Rock removal rate - TPS trenches AND pits, soft AND hard</t>
        </is>
      </c>
      <c r="D33" s="717" t="inlineStr">
        <is>
          <t>SCHEDULE OF RATES</t>
        </is>
      </c>
      <c r="E33" t="inlineStr">
        <is>
          <t>see build-up below</t>
        </is>
      </c>
      <c r="F33" s="717" t="inlineStr">
        <is>
          <t>Identical rates and regime to 1A 7.0-a</t>
        </is>
      </c>
    </row>
    <row r="34" ht="40" customHeight="1">
      <c r="A34" t="inlineStr">
        <is>
          <t>1B</t>
        </is>
      </c>
      <c r="B34" t="inlineStr">
        <is>
          <t>5.0-b</t>
        </is>
      </c>
      <c r="C34" s="717" t="inlineStr">
        <is>
          <t>Unsuitable ground removal &amp; reinstatement rate</t>
        </is>
      </c>
      <c r="D34" s="717" t="inlineStr">
        <is>
          <t>SCHEDULE OF RATES</t>
        </is>
      </c>
      <c r="E34" t="inlineStr">
        <is>
          <t>see build-up below</t>
        </is>
      </c>
      <c r="F34" s="717" t="inlineStr">
        <is>
          <t>Identical to 1A 7.0-b</t>
        </is>
      </c>
    </row>
    <row r="35" ht="40" customHeight="1">
      <c r="A35" t="inlineStr">
        <is>
          <t>1B</t>
        </is>
      </c>
      <c r="B35" t="inlineStr">
        <is>
          <t>2.3 / 4.x</t>
        </is>
      </c>
      <c r="C35" s="717" t="inlineStr">
        <is>
          <t>Stormwater drainage, landscaping, play equipment, park furniture</t>
        </is>
      </c>
      <c r="D35" s="717" t="inlineStr">
        <is>
          <t>Not Ours / TCS</t>
        </is>
      </c>
      <c r="F35" s="717" t="inlineStr">
        <is>
          <t>1B 2.3-a stormwater = TCS; landscape/irrigation/play/furniture = other trades. Listed so no 1B line is silent</t>
        </is>
      </c>
    </row>
    <row r="36" ht="40" customHeight="1">
      <c r="A36" s="584" t="inlineStr">
        <is>
          <t>1B</t>
        </is>
      </c>
      <c r="B36" s="584" t="inlineStr"/>
      <c r="C36" s="718" t="inlineStr">
        <is>
          <t>STAGE 1B TOTAL ex GST (lump sum + PC sums + provisional)</t>
        </is>
      </c>
      <c r="D36" s="718" t="inlineStr"/>
      <c r="E36" s="575">
        <f>'TCS $ Sched'!N86</f>
        <v/>
      </c>
      <c r="F36" s="718">
        <f> 1B base sell + 1B PC sums</f>
        <v/>
      </c>
    </row>
    <row r="37" ht="40" customHeight="1">
      <c r="A37" s="584" t="inlineStr"/>
      <c r="B37" s="584" t="inlineStr"/>
      <c r="C37" s="718" t="inlineStr">
        <is>
          <t>TPS GRAND TOTAL ex GST (1A + 1B)</t>
        </is>
      </c>
      <c r="D37" s="718" t="inlineStr"/>
      <c r="E37" s="575">
        <f>'TCS $ Sched'!N87</f>
        <v/>
      </c>
      <c r="F37" s="718" t="inlineStr">
        <is>
          <t>Tie check on 'TCS $ Sched' N88 must read 0</t>
        </is>
      </c>
    </row>
    <row r="38"/>
    <row r="39">
      <c r="A39" s="716" t="inlineStr">
        <is>
          <t>SCHEDULE-OF-RATES BUILD-UP (1A 7.0 / 1B 5.0) - extra-over rates, TPS excavations only</t>
        </is>
      </c>
    </row>
    <row r="40" ht="32" customHeight="1">
      <c r="A40" s="717" t="inlineStr">
        <is>
          <t>Extra-over $/m3 = (crew day rate + plant day rate) x (1/rock production - 1/normal production) + disposal or import premium. The crew rate is the re-based FIFO Crew 1 day rate; plant is 8T excavator + breaker. Productions are estimator judgement for Rockhampton siltstone/sandstone per geotech NQL2024-0320 s5.3.3 refusal depths.</t>
        </is>
      </c>
    </row>
    <row r="41"/>
    <row r="42">
      <c r="A42" s="584" t="inlineStr">
        <is>
          <t>Rate line</t>
        </is>
      </c>
      <c r="B42" s="584" t="inlineStr">
        <is>
          <t>Rock prod (m3/d)</t>
        </is>
      </c>
      <c r="C42" s="584" t="inlineStr">
        <is>
          <t>Normal prod (m3/d)</t>
        </is>
      </c>
      <c r="D42" s="584" t="inlineStr">
        <is>
          <t>Crew+plant $/day</t>
        </is>
      </c>
      <c r="E42" s="584" t="inlineStr">
        <is>
          <t>Disposal/import $/m3</t>
        </is>
      </c>
      <c r="F42" s="584" t="inlineStr">
        <is>
          <t>TENDERED RATE $/m3</t>
        </is>
      </c>
    </row>
    <row r="43">
      <c r="A43" t="inlineStr">
        <is>
          <t>Soft rock - TRENCH (extra over)</t>
        </is>
      </c>
      <c r="B43" t="n">
        <v>18</v>
      </c>
      <c r="C43" t="n">
        <v>45</v>
      </c>
      <c r="D43" s="582">
        <f>'LabourProject Rates_Master'!E37+'Equip&amp;HIRE_Master'!D11+'Equip&amp;HIRE_Master'!D22</f>
        <v/>
      </c>
      <c r="E43" t="n">
        <v>25</v>
      </c>
      <c r="F43" s="575">
        <f>D43*(1/B43-1/C43)+E43</f>
        <v/>
      </c>
    </row>
    <row r="44">
      <c r="A44" t="inlineStr">
        <is>
          <t>Hard rock - TRENCH (extra over)</t>
        </is>
      </c>
      <c r="B44" t="n">
        <v>7</v>
      </c>
      <c r="C44" t="n">
        <v>45</v>
      </c>
      <c r="D44" s="582">
        <f>'LabourProject Rates_Master'!E37+'Equip&amp;HIRE_Master'!D11+'Equip&amp;HIRE_Master'!D22</f>
        <v/>
      </c>
      <c r="E44" t="n">
        <v>25</v>
      </c>
      <c r="F44" s="575">
        <f>D44*(1/B44-1/C44)+E44</f>
        <v/>
      </c>
    </row>
    <row r="45">
      <c r="A45" t="inlineStr">
        <is>
          <t>Soft rock - PIT / structure (extra over)</t>
        </is>
      </c>
      <c r="B45" t="n">
        <v>12</v>
      </c>
      <c r="C45" t="n">
        <v>45</v>
      </c>
      <c r="D45" s="582">
        <f>'LabourProject Rates_Master'!E37+'Equip&amp;HIRE_Master'!D11+'Equip&amp;HIRE_Master'!D22</f>
        <v/>
      </c>
      <c r="E45" t="n">
        <v>25</v>
      </c>
      <c r="F45" s="575">
        <f>D45*(1/B45-1/C45)+E45</f>
        <v/>
      </c>
    </row>
    <row r="46">
      <c r="A46" t="inlineStr">
        <is>
          <t>Hard rock - PIT / structure (extra over)</t>
        </is>
      </c>
      <c r="B46" t="n">
        <v>4.5</v>
      </c>
      <c r="C46" t="n">
        <v>45</v>
      </c>
      <c r="D46" s="582">
        <f>'LabourProject Rates_Master'!E37+'Equip&amp;HIRE_Master'!D11+'Equip&amp;HIRE_Master'!D22</f>
        <v/>
      </c>
      <c r="E46" t="n">
        <v>25</v>
      </c>
      <c r="F46" s="575">
        <f>D46*(1/B46-1/C46)+E46</f>
        <v/>
      </c>
    </row>
    <row r="47">
      <c r="A47" t="inlineStr">
        <is>
          <t>Unsuitable ground - removal &amp; reinstatement (extra over)</t>
        </is>
      </c>
      <c r="B47" t="n">
        <v>25</v>
      </c>
      <c r="C47" t="n">
        <v>45</v>
      </c>
      <c r="D47" s="582">
        <f>'LabourProject Rates_Master'!E37+'Equip&amp;HIRE_Master'!D11</f>
        <v/>
      </c>
      <c r="E47">
        <f>15+'Material Rates_Master'!D185</f>
        <v/>
      </c>
      <c r="F47" s="575">
        <f>D47*(1/B47-1/C47)+E47</f>
        <v/>
      </c>
      <c r="G47" t="inlineStr">
        <is>
          <t>Disposal $15/m3 (helper haulage rate) + imported select fill at the bedding-sand rate; compaction sits inside the crew production</t>
        </is>
      </c>
    </row>
    <row r="48"/>
    <row r="49" ht="40" customHeight="1">
      <c r="A49" s="717" t="inlineStr">
        <is>
          <t>Rock 'reasonably anticipated' extent: the rates apply BELOW the bore-log rock horizons in NQL2024-0320; rock encountered above those horizons is deemed included. Three inconsistent regimes exist (ITT s18.2 written direction vs H002 n.24 four-way schedule vs VOL38 s7.7 deemed-included) - the priced regime is stated and the inconsistency RFI'd (CL B5/A5) so H002 n.15 cannot bite.</t>
        </is>
      </c>
    </row>
    <row r="50"/>
    <row r="51" ht="55" customHeight="1">
      <c r="A51" s="717" t="inlineStr">
        <is>
          <t>Exclusions &amp; qualifications carried per 01_SCOPE_MATRIX: roofing/DPs above ground (4.3 / 3.3), landscape irrigation (demarcation = the capped E-type flange, L13), plumbing approval lodgement (X2 - RRC plumbing applications; the FRW Private Works lodgement is Principal Contractor as written in ITT s16), trade waste application (X3 = EBC-2), shop drawings (X1 - EBC in the tender control register), court trench drains (TCS, L1), sewer pump station (Addendum 2, L6), design liability (construct-only; seismic = layout drafting only, CL C7).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Mitch Hannan</dc:creator>
  <dcterms:created xmlns:dcterms="http://purl.org/dc/terms/" xmlns:xsi="http://www.w3.org/2001/XMLSchema-instance" xsi:type="dcterms:W3CDTF">2019-11-28T02:17:14Z</dcterms:created>
  <dcterms:modified xmlns:dcterms="http://purl.org/dc/terms/" xmlns:xsi="http://www.w3.org/2001/XMLSchema-instance" xsi:type="dcterms:W3CDTF">2026-07-26T18:33:02Z</dcterms:modified>
  <cp:lastModifiedBy>Mitch - TPS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0x0101009CD3EBEF7E0ECE45AC780B83940604DE</vt:lpwstr>
  </property>
  <property name="Order" fmtid="{D5CDD505-2E9C-101B-9397-08002B2CF9AE}" pid="3">
    <vt:r8 xmlns:vt="http://schemas.openxmlformats.org/officeDocument/2006/docPropsVTypes">5182200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ComplianceAssetId" fmtid="{D5CDD505-2E9C-101B-9397-08002B2CF9AE}" pid="6">
    <vt:lpwstr xmlns:vt="http://schemas.openxmlformats.org/officeDocument/2006/docPropsVTypes"/>
  </property>
  <property name="TemplateUrl" fmtid="{D5CDD505-2E9C-101B-9397-08002B2CF9AE}" pid="7">
    <vt:lpwstr xmlns:vt="http://schemas.openxmlformats.org/officeDocument/2006/docPropsVTypes"/>
  </property>
  <property name="_ExtendedDescription" fmtid="{D5CDD505-2E9C-101B-9397-08002B2CF9AE}" pid="8">
    <vt:lpwstr xmlns:vt="http://schemas.openxmlformats.org/officeDocument/2006/docPropsVTypes"/>
  </property>
  <property name="MediaServiceImageTags" fmtid="{D5CDD505-2E9C-101B-9397-08002B2CF9AE}" pid="9">
    <vt:lpwstr xmlns:vt="http://schemas.openxmlformats.org/officeDocument/2006/docPropsVTypes"/>
  </property>
  <property name="TriggerFlowInfo" fmtid="{D5CDD505-2E9C-101B-9397-08002B2CF9AE}" pid="10">
    <vt:lpwstr xmlns:vt="http://schemas.openxmlformats.org/officeDocument/2006/docPropsVTypes"/>
  </property>
</Properties>
</file>