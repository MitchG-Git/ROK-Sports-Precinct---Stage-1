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er" sheetId="1" state="visible" r:id="rId1"/>
    <sheet name="KeyRates" sheetId="2" state="visible" r:id="rId2"/>
    <sheet name="G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4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2" customWidth="1" min="3" max="3"/>
    <col width="12" customWidth="1" min="4" max="4"/>
    <col width="16" customWidth="1" min="5" max="5"/>
    <col width="9" customWidth="1" min="6" max="6"/>
    <col width="24" customWidth="1" min="7" max="7"/>
    <col width="20" customWidth="1" min="8" max="8"/>
    <col width="26" customWidth="1" min="9" max="9"/>
    <col width="22" customWidth="1" min="10" max="10"/>
    <col width="18" customWidth="1" min="11" max="11"/>
    <col width="30" customWidth="1" min="12" max="12"/>
    <col width="32" customWidth="1" min="13" max="13"/>
    <col width="16" customWidth="1" min="14" max="14"/>
    <col width="34" customWidth="1" min="15" max="15"/>
    <col width="13" customWidth="1" min="16" max="16"/>
    <col width="60" customWidth="1" min="17" max="17"/>
    <col width="26" customWidth="1" min="18" max="18"/>
    <col width="30" customWidth="1" min="19" max="19"/>
  </cols>
  <sheetData>
    <row r="1" ht="30" customHeight="1">
      <c r="A1" s="1" t="inlineStr">
        <is>
          <t>Ref</t>
        </is>
      </c>
      <c r="B1" s="1" t="inlineStr">
        <is>
          <t>Supplier</t>
        </is>
      </c>
      <c r="C1" s="1" t="inlineStr">
        <is>
          <t>Quote No / Doc</t>
        </is>
      </c>
      <c r="D1" s="1" t="inlineStr">
        <is>
          <t>Rev</t>
        </is>
      </c>
      <c r="E1" s="1" t="inlineStr">
        <is>
          <t>Doc type</t>
        </is>
      </c>
      <c r="F1" s="1" t="inlineStr">
        <is>
          <t>Date</t>
        </is>
      </c>
      <c r="G1" s="1" t="inlineStr">
        <is>
          <t>Validity / expiry (as stated)</t>
        </is>
      </c>
      <c r="H1" s="1" t="inlineStr">
        <is>
          <t>Addressed to</t>
        </is>
      </c>
      <c r="I1" s="1" t="inlineStr">
        <is>
          <t>Entity / header issues</t>
        </is>
      </c>
      <c r="J1" s="1" t="inlineStr">
        <is>
          <t>Category</t>
        </is>
      </c>
      <c r="K1" s="1" t="inlineStr">
        <is>
          <t>GST basis</t>
        </is>
      </c>
      <c r="L1" s="1" t="inlineStr">
        <is>
          <t>Freight / delivery basis</t>
        </is>
      </c>
      <c r="M1" s="1" t="inlineStr">
        <is>
          <t>Stated exclusions (key)</t>
        </is>
      </c>
      <c r="N1" s="1" t="inlineStr">
        <is>
          <t>Lead time</t>
        </is>
      </c>
      <c r="O1" s="1" t="inlineStr">
        <is>
          <t>Escalation / freight / margin embedded? (double-count flags)</t>
        </is>
      </c>
      <c r="P1" s="1" t="inlineStr">
        <is>
          <t>Total ex GST</t>
        </is>
      </c>
      <c r="Q1" s="1" t="inlineStr">
        <is>
          <t>Line-item summary (major items &amp; rates, ex GST)</t>
        </is>
      </c>
      <c r="R1" s="1" t="inlineStr">
        <is>
          <t>Scope element(s) priced</t>
        </is>
      </c>
      <c r="S1" s="1" t="inlineStr">
        <is>
          <t>File path(s) under Material\</t>
        </is>
      </c>
    </row>
    <row r="2">
      <c r="A2" s="2" t="inlineStr">
        <is>
          <t>P01</t>
        </is>
      </c>
      <c r="B2" s="2" t="inlineStr">
        <is>
          <t>Tradelink</t>
        </is>
      </c>
      <c r="C2" s="2" t="inlineStr">
        <is>
          <t>1066143 SP</t>
        </is>
      </c>
      <c r="D2" s="2" t="inlineStr">
        <is>
          <t>-</t>
        </is>
      </c>
      <c r="E2" s="2" t="inlineStr">
        <is>
          <t>Quote</t>
        </is>
      </c>
      <c r="F2" s="2" t="inlineStr">
        <is>
          <t>15/07/26</t>
        </is>
      </c>
      <c r="G2" s="2" t="inlineStr">
        <is>
          <t>Prices valid for deliveries made by 13/08/26; goods delivered after sold at prevailing price at date of delivery</t>
        </is>
      </c>
      <c r="H2" s="2" t="inlineStr">
        <is>
          <t>TRICORE CIVIL SERVICES PTY LTD (TCS)</t>
        </is>
      </c>
      <c r="I2" s="2" t="inlineStr">
        <is>
          <t>WRONG ENTITY for hydraulic fixtures scope (should be TPS) and WRONG SITE header: '544 YAAMBA RD PARKHURST' vs actual 554-700 Yaamba Rd Norman Gardens. Job ref 28703083.</t>
        </is>
      </c>
      <c r="J2" s="2" t="inlineStr">
        <is>
          <t>Project-specific (TEN16699)</t>
        </is>
      </c>
      <c r="K2" s="2" t="inlineStr">
        <is>
          <t>Ex GST (some items GST-free, e.g. Caroma care grab rails marked 'NO GST' - so incl-GST total is not simply +10%)</t>
        </is>
      </c>
      <c r="L2" s="2" t="inlineStr">
        <is>
          <t>Ex works branch + Standard Delivery Fee $31.82+GST per delivery; 'prices on certain products subject to increase if delivery location outside metro areas'; 2-person-lift / multi-storey extra</t>
        </is>
      </c>
      <c r="M2" s="2" t="inlineStr">
        <is>
          <t>Signage for CF400 fountains extra ('IF WANTED SIGNAGE THERE WILL BE ADDED COST'); storage costs if required; custom order forms for non-standard items; 20% min restocking</t>
        </is>
      </c>
      <c r="N2" s="2" t="inlineStr">
        <is>
          <t>Not stated</t>
        </is>
      </c>
      <c r="O2" s="2" t="inlineStr">
        <is>
          <t>No escalation embedded - validity only to 13/08/26, then prevailing price. Freight NOT in rates (per-delivery fee extra). TRAP: package price basis - any qty variation/deletion may require re-quote.</t>
        </is>
      </c>
      <c r="P2" s="2" t="inlineStr">
        <is>
          <t>252,694.77</t>
        </is>
      </c>
      <c r="Q2" s="2" t="inlineStr">
        <is>
          <t>Netball Clubhouse + Public Amenities fixture package. Key: 4x CF400-PREMIUM wall-mount chilled fountain DFCF400P @11,050; 5x Billi Quadra 4180 boil/chill @7,652.20; 5x custom L-shaped SS bench @4,986.50; 5x SS ambulant toilet suite @3,450.10; 6x accessible folding shower seat @550; 6x baby change @565.30; 2x vanity bench 1800 @4,650.10; Stoddart CC/WF toilets 2,130-3,650.31; knee-op basins @1,120.10; cleaners sinks @555.30; TMF pillar taps @335; misc grab rails/curtains/dispensers.</t>
        </is>
      </c>
      <c r="R2" s="2" t="inlineStr">
        <is>
          <t>Fixtures (buildings); equipment (boil/chill); drinking fountains (chilled only)</t>
        </is>
      </c>
      <c r="S2" s="2" t="inlineStr">
        <is>
          <t>01 - Project Specific\Fixtures\tradelink\1066143_ROCKHAMPTON_SPORTS_PRECINCT.pdf</t>
        </is>
      </c>
    </row>
    <row r="3">
      <c r="A3" s="2" t="inlineStr">
        <is>
          <t>P02</t>
        </is>
      </c>
      <c r="B3" s="2" t="inlineStr">
        <is>
          <t>Atlan Stormwater</t>
        </is>
      </c>
      <c r="C3" s="2" t="inlineStr">
        <is>
          <t>26-87004 (Deal 87004 / Q41972)</t>
        </is>
      </c>
      <c r="D3" s="2" t="inlineStr">
        <is>
          <t>-</t>
        </is>
      </c>
      <c r="E3" s="2" t="inlineStr">
        <is>
          <t>Quote (high-level estimate)</t>
        </is>
      </c>
      <c r="F3" s="2" t="inlineStr">
        <is>
          <t>16/07/26</t>
        </is>
      </c>
      <c r="G3" s="2" t="inlineStr">
        <is>
          <t>'The pricing is valid on the day of issue only'</t>
        </is>
      </c>
      <c r="H3" s="2" t="inlineStr">
        <is>
          <t>'TRICORE TRADE SERVICES' (neither TCS nor TPS - wrong entity name)</t>
        </is>
      </c>
      <c r="I3" s="2" t="inlineStr">
        <is>
          <t>Wrong/loose entity name; project titled 'Rockhampton Netball Centre Norman Gardens Stage 1', correct site 554-700 Yaamba Rd</t>
        </is>
      </c>
      <c r="J3" s="2" t="inlineStr">
        <is>
          <t>Project-specific (TEN16699)</t>
        </is>
      </c>
      <c r="K3" s="2" t="inlineStr">
        <is>
          <t>Ex GST (T&amp;C cl.4: consideration exclusive of GST)</t>
        </is>
      </c>
      <c r="L3" s="2" t="inlineStr">
        <is>
          <t>FREIGHT-SALE line included in package, but 'quoted price does not include any fuel levy, which will be applied at the prevailing rate at time of dispatch'; flat-bed delivery, unloading &amp; installation by others; 1 hr on site then demurrage</t>
        </is>
      </c>
      <c r="M3" s="2" t="inlineStr">
        <is>
          <t>'High level estimate only based on flowrate equivalent - once access to MUSIC model provided, Atlan will provide updated proposal'; unloading/installation by others; risers cut to height by others; lids boxed/bedded by others; commissioning visit is NOT installation</t>
        </is>
      </c>
      <c r="N3" s="2" t="inlineStr">
        <is>
          <t>'Approximately TBC from receipt of signed documents'; T&amp;C indicates delivery approx 8-11 weeks from order acceptance</t>
        </is>
      </c>
      <c r="O3" s="2" t="inlineStr">
        <is>
          <t>Freight INCLUDED in lump sum (do not add line freight again - only fuel levy + cranage/unload). No escalation embedded (same-day validity). TRAP: package includes commissioning - do not double-carry commissioning.</t>
        </is>
      </c>
      <c r="P3" s="2" t="inlineStr">
        <is>
          <t>88,838.00</t>
        </is>
      </c>
      <c r="Q3" s="2" t="inlineStr">
        <is>
          <t>WSUD/detention package (lump sum): 38x Stormsack 600x600 (SSS.6060.C1) pit inserts; 10x FIL-3.0 filter (3.0 L/s @850mm head); 1x VAU.5023.1464-STD 14.9kL precast detention tank Class D (heaviest lift ~10t, incl weir walls); 1x HAC99HD 900x900 CI Class D cover; freight; commissioning/certification visit.</t>
        </is>
      </c>
      <c r="R3" s="2" t="inlineStr">
        <is>
          <t>WSUD/filtration (pit inserts + filter) + detention tank</t>
        </is>
      </c>
      <c r="S3" s="2" t="inlineStr">
        <is>
          <t>01 - Project Specific\Material\CIVIL SW QUOTE\CIVIL SW DETENTION TANK\ATLAN\26-87004 ... - TRICORE.pdf</t>
        </is>
      </c>
    </row>
    <row r="4">
      <c r="A4" s="2" t="inlineStr">
        <is>
          <t>P03</t>
        </is>
      </c>
      <c r="B4" s="2" t="inlineStr">
        <is>
          <t>Atlan Stormwater</t>
        </is>
      </c>
      <c r="C4" s="2" t="inlineStr">
        <is>
          <t>26-87004-1 (SN8) (Deal 87004 / Q41968)</t>
        </is>
      </c>
      <c r="D4" s="2" t="inlineStr">
        <is>
          <t>-</t>
        </is>
      </c>
      <c r="E4" s="2" t="inlineStr">
        <is>
          <t>Quote</t>
        </is>
      </c>
      <c r="F4" s="2" t="inlineStr">
        <is>
          <t>16/07/26</t>
        </is>
      </c>
      <c r="G4" s="2" t="inlineStr">
        <is>
          <t>'The pricing is valid on the day of issue only'</t>
        </is>
      </c>
      <c r="H4" s="2" t="inlineStr">
        <is>
          <t>'TRICORE TRADE SERVICES'</t>
        </is>
      </c>
      <c r="I4" s="2" t="inlineStr">
        <is>
          <t>Wrong/loose entity name; correct site named</t>
        </is>
      </c>
      <c r="J4" s="2" t="inlineStr">
        <is>
          <t>Project-specific (TEN16699)</t>
        </is>
      </c>
      <c r="K4" s="2" t="inlineStr">
        <is>
          <t>Ex GST</t>
        </is>
      </c>
      <c r="L4" s="2" t="inlineStr">
        <is>
          <t>Freight to site included as line ($2,950); fuel levy extra at prevailing rate at dispatch; unloading by others; 1 hr on site then demurrage; seals pre-fitted, bundles pre-slung</t>
        </is>
      </c>
      <c r="M4" s="2" t="inlineStr">
        <is>
          <t>Unloading &amp; installation by others</t>
        </is>
      </c>
      <c r="N4" s="2" t="inlineStr">
        <is>
          <t>'Approximately TBC'; T&amp;C ~8-11 weeks</t>
        </is>
      </c>
      <c r="O4" s="2" t="inlineStr">
        <is>
          <t>Freight line INCLUDED in total (do not add again); no escalation embedded (same-day validity)</t>
        </is>
      </c>
      <c r="P4" s="2" t="inlineStr">
        <is>
          <t>28,828.00</t>
        </is>
      </c>
      <c r="Q4" s="2" t="inlineStr">
        <is>
          <t>HDPE SN8 storm pipe: 23x DN225 x6.28m @151 ($24.0/m); 36x DN375 x6.181m @353 ($57.1/m); 7x DN450 x6.121m @532 ($86.9/m); 7x DN600 x5.9m @829 ($140.5/m); 10x lube @17; freight $2,950.</t>
        </is>
      </c>
      <c r="R4" s="2" t="inlineStr">
        <is>
          <t>Civil SW pipe (HDPE alternative to RCP/PVC)</t>
        </is>
      </c>
      <c r="S4" s="2" t="inlineStr">
        <is>
          <t>01 - Project Specific\Material\CIVIL SW QUOTE\CIVIL SW HDPE PIPE\ATLAN\26-87004-1 (SN8) ... - TRICORE.pdf</t>
        </is>
      </c>
    </row>
    <row r="5">
      <c r="A5" s="2" t="inlineStr">
        <is>
          <t>P04</t>
        </is>
      </c>
      <c r="B5" s="2" t="inlineStr">
        <is>
          <t>Humes (Holcim Australia)</t>
        </is>
      </c>
      <c r="C5" s="2" t="inlineStr">
        <is>
          <t>Q21642316</t>
        </is>
      </c>
      <c r="D5" s="2" t="inlineStr">
        <is>
          <t>REV2 (24.07.26)</t>
        </is>
      </c>
      <c r="E5" s="2" t="inlineStr">
        <is>
          <t>Quote - CURRENT revision</t>
        </is>
      </c>
      <c r="F5" s="2" t="inlineStr">
        <is>
          <t>16/07/26</t>
        </is>
      </c>
      <c r="G5" s="2" t="inlineStr">
        <is>
          <t>'Valid to: 16.08.2026' / 'Quotation is valid for 30 days from issue'</t>
        </is>
      </c>
      <c r="H5" s="2" t="inlineStr">
        <is>
          <t>TRICORE PLUMBING SERVICES P/L (TPS), PO Box 103 Rockhampton</t>
        </is>
      </c>
      <c r="I5" s="2" t="inlineStr">
        <is>
          <t>Addressed to TPS although civil stormwater is TCS scope entity - entity mismatch to note at contract award. Ship-to 554-700 Yaamba Rd Norman Gardens = CORRECT site.</t>
        </is>
      </c>
      <c r="J5" s="2" t="inlineStr">
        <is>
          <t>Project-specific (TEN16699)</t>
        </is>
      </c>
      <c r="K5" s="2" t="inlineStr">
        <is>
          <t>Ex GST ('PRICES QUOTED ARE EXCLUSIVE OF G.S.T.')</t>
        </is>
      </c>
      <c r="L5" s="2" t="inlineStr">
        <is>
          <t>Delivery Terms 'Delivered by us' - line 19: Freight to site FOT (customer to unload), 35 loads @710 = 24,850, 'less than 24km'. All unloading/cranage/rotation by others at no cost to Humes. 2-business-day delivery notice; Humes Service Fees schedule applies (waiting time $360/hr after first hour, etc.)</t>
        </is>
      </c>
      <c r="M5" s="2" t="inlineStr">
        <is>
          <t>No liquidated damages; schedule of rates only (not lump sum); quantities to be checked by client - no responsibility if they differ; pricing subject to mould availability; no returns on made-to-order goods (incl large box culverts, MRTS headwalls, Class 4 pipes); steel shortage EOT clause; variation to supply scope may require re-pricing</t>
        </is>
      </c>
      <c r="N5" s="2" t="inlineStr">
        <is>
          <t>Based on mould availability &amp; order queue; updated at order confirmation</t>
        </is>
      </c>
      <c r="O5" s="2" t="inlineStr">
        <is>
          <t>Freight INCLUDED as its own line in total (do not add freight again; DO add unload/cranage). No escalation embedded - 30-day validity; fuel levy regime flagged in Tender &amp; Contract Terms. Rates are supply-only otherwise.</t>
        </is>
      </c>
      <c r="P5" s="2" t="inlineStr">
        <is>
          <t>296,267.24</t>
        </is>
      </c>
      <c r="Q5" s="2" t="inlineStr">
        <is>
          <t>RCP + box culvert package: 299x Pipe 375x2.44 RJ Cl4 MRTS @256.20 + rings @4.80; 2x Pipe 600x2.44 Cl3 @447.90; headwalls 375 @380.80, 375 twin-cell @588.80; BC crowns: 900x450 x12 @1,404.80 / 1200x600 x8 @1,718.40 / 750x300 x3 @1,171.20 / 600x300 x15 @1,095.00; BCC headwalls: 900x450 x4 @2,425.63 / 1200x600 x2 @3,322.45 / 750x300 x1 @2,162.60 / 600x300 x8 @1,800.63 / 1500x600 x2 @4,222.78 / 2700x1200 x2 @5,241.45; Large box culverts AS1597.2: 1500x600x2.4 x13 @3,065.72; 2700x1200x2.4 x8 @5,891.95; freight 35 loads @710. Est delivered weight 186.31 t.</t>
        </is>
      </c>
      <c r="R5" s="2" t="inlineStr">
        <is>
          <t>Civil SW RCP pipe, box culverts, headwalls</t>
        </is>
      </c>
      <c r="S5" s="2" t="inlineStr">
        <is>
          <t>01 - Project Specific\...\Humes\HUMES_Q21642316_REV2_...pdf.pdf</t>
        </is>
      </c>
    </row>
    <row r="6">
      <c r="A6" s="2" t="inlineStr">
        <is>
          <t>P05</t>
        </is>
      </c>
      <c r="B6" s="2" t="inlineStr">
        <is>
          <t>Humes (Holcim Australia)</t>
        </is>
      </c>
      <c r="C6" s="2" t="inlineStr">
        <is>
          <t>Q21642316</t>
        </is>
      </c>
      <c r="D6" s="2" t="inlineStr">
        <is>
          <t>REV1 (16.07.26)</t>
        </is>
      </c>
      <c r="E6" s="2" t="inlineStr">
        <is>
          <t>Quote - SUPERSEDED by REV2</t>
        </is>
      </c>
      <c r="F6" s="2" t="inlineStr">
        <is>
          <t>16/07/26</t>
        </is>
      </c>
      <c r="G6" s="2" t="inlineStr">
        <is>
          <t>Valid to 16.08.2026</t>
        </is>
      </c>
      <c r="H6" s="2" t="inlineStr">
        <is>
          <t>TRICORE PLUMBING SERVICES P/L (TPS)</t>
        </is>
      </c>
      <c r="I6" s="2" t="inlineStr">
        <is>
          <t>Same as REV2</t>
        </is>
      </c>
      <c r="J6" s="2" t="inlineStr">
        <is>
          <t>Project-specific - SUPERSEDED</t>
        </is>
      </c>
      <c r="K6" s="2" t="inlineStr">
        <is>
          <t>Ex GST</t>
        </is>
      </c>
      <c r="L6" s="2" t="inlineStr">
        <is>
          <t>As REV2</t>
        </is>
      </c>
      <c r="M6" s="2" t="inlineStr">
        <is>
          <t>As REV2</t>
        </is>
      </c>
      <c r="N6" s="2" t="inlineStr">
        <is>
          <t>As REV2</t>
        </is>
      </c>
      <c r="O6" s="2" t="inlineStr">
        <is>
          <t>As REV2</t>
        </is>
      </c>
      <c r="P6" s="2" t="inlineStr">
        <is>
          <t>301,151.03</t>
        </is>
      </c>
      <c r="Q6" s="2" t="inlineStr">
        <is>
          <t>Same scope as REV2. Differences vs REV2: BCC headwall 900x450 was 4,150.40 (now 2,425.63 = -1,724.77 ea); 750x300 was 1,792.35 (now 2,162.60); 600x300 was 1,595.00 (now 1,800.63). REV2 total is $4,883.79 lower. Use REV2 ONLY.</t>
        </is>
      </c>
      <c r="R6" s="2" t="inlineStr">
        <is>
          <t>Civil SW RCP/box culverts/headwalls</t>
        </is>
      </c>
      <c r="S6" s="2" t="inlineStr">
        <is>
          <t>01 - Project Specific\...\Humes\SS_HUME QUOTE.pdf</t>
        </is>
      </c>
    </row>
    <row r="7">
      <c r="A7" s="2" t="inlineStr">
        <is>
          <t>P06</t>
        </is>
      </c>
      <c r="B7" s="2" t="inlineStr">
        <is>
          <t>Jaybro (Stephen Haslemore, BDM)</t>
        </is>
      </c>
      <c r="C7" s="2" t="inlineStr">
        <is>
          <t>Email quote (no number) - 'RE: 260715 Quote request: rockhampton sport precinct'</t>
        </is>
      </c>
      <c r="D7" s="2" t="inlineStr">
        <is>
          <t>-</t>
        </is>
      </c>
      <c r="E7" s="2" t="inlineStr">
        <is>
          <t>Email quote (.msg)</t>
        </is>
      </c>
      <c r="F7" s="2" t="inlineStr">
        <is>
          <t>16/07/26 07:13</t>
        </is>
      </c>
      <c r="G7" s="2" t="inlineStr">
        <is>
          <t>None stated</t>
        </is>
      </c>
      <c r="H7" s="2" t="inlineStr">
        <is>
          <t>Denis Zhong - TCS (cc Mitch - TCS)</t>
        </is>
      </c>
      <c r="I7" s="2" t="inlineStr">
        <is>
          <t>Site correctly quoted in subject: 554-700 Yaamba Rd Norman Gardens</t>
        </is>
      </c>
      <c r="J7" s="2" t="inlineStr">
        <is>
          <t>Project-specific (TEN16699)</t>
        </is>
      </c>
      <c r="K7" s="2" t="inlineStr">
        <is>
          <t>'all plus gst'</t>
        </is>
      </c>
      <c r="L7" s="2" t="inlineStr">
        <is>
          <t>'No allowance for freight' - freight EXCLUDED entirely</t>
        </is>
      </c>
      <c r="M7" s="2" t="inlineStr">
        <is>
          <t>'We don't do rcbc box culvert headwalls sorry' - ALL RCBC box-culvert headwalls (900x450, 1200x600, 1500x600, 600x300, 2700x1200, 750x300) DECLINED / unpriced. Grated trench schedule and Hauraton trash boxes in the request NOT priced in reply.</t>
        </is>
      </c>
      <c r="N7" s="2" t="inlineStr">
        <is>
          <t>Not stated</t>
        </is>
      </c>
      <c r="O7" s="2" t="inlineStr">
        <is>
          <t>No freight, no escalation, prices current-day. Must ADD freight to Rockhampton before use.</t>
        </is>
      </c>
      <c r="P7" s="2" t="inlineStr">
        <is>
          <t>n/a (unit rates only)</t>
        </is>
      </c>
      <c r="Q7" s="2" t="inlineStr">
        <is>
          <t>Round/pipe headwalls only, priced inline: to suit 225 PVC $280 ea (qty 2); 375 RCP $372 ea (qty 5); 150 PVC $158 ea (qty 1); 2x375 RCP twin $1,670 ea (qty 2); 300 HDPE $352 ea (qty 1). Attachments: grated trench schedule image (GT1-GT9, no prices), TriCore logo, Jaybro banner - NO quote PDF attached.</t>
        </is>
      </c>
      <c r="R7" s="2" t="inlineStr">
        <is>
          <t>Civil SW headwalls (round pipe only)</t>
        </is>
      </c>
      <c r="S7" s="2" t="inlineStr">
        <is>
          <t>01 - Project Specific\...\Jaybro\stephen quote.msg</t>
        </is>
      </c>
    </row>
    <row r="8">
      <c r="A8" s="2" t="inlineStr">
        <is>
          <t>P07</t>
        </is>
      </c>
      <c r="B8" s="2" t="inlineStr">
        <is>
          <t>Reece Australia (Civil, N Rockhampton br. 4070)</t>
        </is>
      </c>
      <c r="C8" s="2" t="inlineStr">
        <is>
          <t>Q-459014445 ('ROCKY SPORTS')</t>
        </is>
      </c>
      <c r="D8" s="2" t="inlineStr">
        <is>
          <t>-</t>
        </is>
      </c>
      <c r="E8" s="2" t="inlineStr">
        <is>
          <t>Quote</t>
        </is>
      </c>
      <c r="F8" s="2" t="inlineStr">
        <is>
          <t>16/07/26</t>
        </is>
      </c>
      <c r="G8" s="2" t="inlineStr">
        <is>
          <t>Quote Expiry Date: 16/08/2026</t>
        </is>
      </c>
      <c r="H8" s="2" t="inlineStr">
        <is>
          <t>TRICORE CIVIL SERVICES PTY LTD (TCS)</t>
        </is>
      </c>
      <c r="I8" s="2" t="inlineStr">
        <is>
          <t>Correct entity for civil scope; no site address on quote (order ref 'ROCKY SPORTS' only)</t>
        </is>
      </c>
      <c r="J8" s="2" t="inlineStr">
        <is>
          <t>Project-specific (TEN16699)</t>
        </is>
      </c>
      <c r="K8" s="2" t="inlineStr">
        <is>
          <t>Ex GST (columns show price before GST + GST)</t>
        </is>
      </c>
      <c r="L8" s="2" t="inlineStr">
        <is>
          <t>Freight For Concrete: 25 loads @944.30 = 23,607.50, 'Customer To Unload'; $40+GST delivery fee per delivery, ground floor only; goods to be collected/delivered within 30 days of availability or storage fees</t>
        </is>
      </c>
      <c r="M8" s="2" t="inlineStr">
        <is>
          <t>Most concrete/Hauraton lines flagged 'Specially Acquired Product (SAP) - supplier may not accept returns or handling fees may apply'; custom/specially-acquired products non-returnable &amp; non-refundable</t>
        </is>
      </c>
      <c r="N8" s="2" t="inlineStr">
        <is>
          <t>Not stated</t>
        </is>
      </c>
      <c r="O8" s="2" t="inlineStr">
        <is>
          <t>Freight lines INCLUDED in total (do not add again for concrete; customer still to unload). No escalation embedded. NOTE embedded annotation on 550m Fibretec line: '550 $198.00 $108,900.00' - an apparent alternative/negotiated rate vs the invoiced 232.94/m ($128,117.00): clarify with Reece before adoption.</t>
        </is>
      </c>
      <c r="P8" s="2" t="inlineStr">
        <is>
          <t>444,084.12</t>
        </is>
      </c>
      <c r="Q8" s="2" t="inlineStr">
        <is>
          <t>Stormwater: 70x DWV PVC 100 SN6 @43.07/6m; Stormpro SN8 poly: 21x225 @216.10, 10x300 @348.77, 33x375 @545.62, 7x600 @1,322.30; RCP Cl4: 262x375x2.44 @328.46 + rings, 17x450x2.44 @424.62, 1x600 Cl3 @574.23; 2x winged HW 375 @317.05; BC crowns: 900x450 x12 @1,599.77, 600x300 x16 @1,136.36, 750x300 x2 @1,330.91; LBC 1500x600 x8 @3,483.77, 2700x1200 x8 @6,797.67; concrete freight 25x944.30. HAURATON TRENCH DRAINS (approx. 162,349 ex GST subtotal): 32m Pro200 T010 G-tec ductile D @280.89; 550m Pro200 T010 Fibretec slotted B125 (47246) @232.94; 29m Pro100 T010 SS304 heelguard 200dp @368.24; trash boxes: 24x Pro200 Fibretec @535.29, 1x Pro200 G-tec @550.59, 4x Pro100 @214.12; end caps 10x23.53 + 8x9.41.</t>
        </is>
      </c>
      <c r="R8" s="2" t="inlineStr">
        <is>
          <t>Civil SW pipe/culverts/headwalls + trench drains (Hauraton) - direct alternative to Humes P04 for concrete items</t>
        </is>
      </c>
      <c r="S8" s="2" t="inlineStr">
        <is>
          <t>01 - Project Specific\...\REECE CIVIL QUOTE FOR ALL\Q-459014445-260716_095312503-line.pdf</t>
        </is>
      </c>
    </row>
    <row r="9">
      <c r="A9" s="2" t="inlineStr">
        <is>
          <t>P08</t>
        </is>
      </c>
      <c r="B9" s="2" t="inlineStr">
        <is>
          <t>Australian Pump Solutions (APS)</t>
        </is>
      </c>
      <c r="C9" s="2" t="inlineStr">
        <is>
          <t>Quote No 14065</t>
        </is>
      </c>
      <c r="D9" s="2" t="inlineStr">
        <is>
          <t>-</t>
        </is>
      </c>
      <c r="E9" s="2" t="inlineStr">
        <is>
          <t>Quote (PDF owner-encrypted; opens w/ blank password)</t>
        </is>
      </c>
      <c r="F9" s="2" t="inlineStr">
        <is>
          <t>22/07/26</t>
        </is>
      </c>
      <c r="G9" s="2" t="inlineStr">
        <is>
          <t>None stated</t>
        </is>
      </c>
      <c r="H9" s="2" t="inlineStr">
        <is>
          <t>Tricore Plumbing Services (TPS)</t>
        </is>
      </c>
      <c r="I9" s="2" t="inlineStr">
        <is>
          <t>Correct entity; site 'Rockhampton Sports Precinct'</t>
        </is>
      </c>
      <c r="J9" s="2" t="inlineStr">
        <is>
          <t>Project-specific - INTERFACE / ADD-PRICE EVIDENCE ONLY (pump station EXCLUDED from our scope per Addendum 2)</t>
        </is>
      </c>
      <c r="K9" s="2" t="inlineStr">
        <is>
          <t>Ex GST (sub-totals ex GST + GST shown)</t>
        </is>
      </c>
      <c r="L9" s="2" t="inlineStr">
        <is>
          <t>As-specified option: supply AND install incl delivery; FRP option: delivery to site included but 'lifting off transport by others', 30 min unloading allowed then extra charges</t>
        </is>
      </c>
      <c r="M9" s="2" t="inlineStr">
        <is>
          <t>As-spec QMax: 'APS staff have NO involvement with design, manufacture, delivery, commissioning... all by Qmax'. FRP option EXCLUDES: mechanical installation on site; electrical conduits chamber-to-panel (min 2x65mm w/ LR bends); incoming power; cable extensions. Hot water pump excludes control panel, manifolding, power, installation, bypass pipework.</t>
        </is>
      </c>
      <c r="N9" s="2" t="inlineStr">
        <is>
          <t>Not stated</t>
        </is>
      </c>
      <c r="O9" s="2" t="inlineStr">
        <is>
          <t>MAJOR TRAP: As-specified $468,000 is SUPPLY + INSTALL + COMMISSIONING (progress payments: design 22,200 / deposit 95,040 / 327,360 pre-delivery / 23,400 at commissioning). It is NOT a material rate - do NOT apply material contingency/escalation multipliers built for supply-only rates, and the whole station is EXCLUDED scope anyway.</t>
        </is>
      </c>
      <c r="P9" s="2" t="inlineStr">
        <is>
          <t>555,195.00 (as-spec 468,000 + FRP option 85,950 + HW pump 1,245)</t>
        </is>
      </c>
      <c r="Q9" s="2" t="inlineStr">
        <is>
          <t>Sewer PS 10 L/s @10m: (a) QMax Fortis 3200 dia x 6700 deep as specified, dual Sulzer XFP80C, control panel/telemetry/HMI, install/test/commission/training/O&amp;M = 468,000; (b) Option: FRP tank 2400 dia x 6700 (28.5kL), dual Sulzer XFP80C macerators, panel, transducer+float, delivery+commissioning (installation by others) = 85,950; (c) Grundfos UPS 25-60 N HW circulator = 1,245.</t>
        </is>
      </c>
      <c r="R9" s="2" t="inlineStr">
        <is>
          <t>Pump station interface / add-price evidence; HWU circulation pump</t>
        </is>
      </c>
      <c r="S9" s="2" t="inlineStr">
        <is>
          <t>01 - Project Specific\Material\Hydraulic\APS SEWER STATION\Quote_No_14065 - Rockhampton Sports Precinct.pdf</t>
        </is>
      </c>
    </row>
    <row r="10">
      <c r="A10" s="2" t="inlineStr">
        <is>
          <t>P09</t>
        </is>
      </c>
      <c r="B10" s="2" t="inlineStr">
        <is>
          <t>Tradelink</t>
        </is>
      </c>
      <c r="C10" s="2" t="inlineStr">
        <is>
          <t>1065005 SP</t>
        </is>
      </c>
      <c r="D10" s="2" t="inlineStr">
        <is>
          <t>Rev 15/07/26 (orig 03/07/26)</t>
        </is>
      </c>
      <c r="E10" s="2" t="inlineStr">
        <is>
          <t>Quote - CURRENT revision (3 identical copies on file)</t>
        </is>
      </c>
      <c r="F10" s="2" t="inlineStr">
        <is>
          <t>15/07/26</t>
        </is>
      </c>
      <c r="G10" s="2" t="inlineStr">
        <is>
          <t>Prices valid for deliveries made by 02/08/26 - SHORTEST validity in the pack; then prevailing price</t>
        </is>
      </c>
      <c r="H10" s="2" t="inlineStr">
        <is>
          <t>TRICORE PLUMBING SERVICES PTY LTD (TPS)</t>
        </is>
      </c>
      <c r="I10" s="2" t="inlineStr">
        <is>
          <t>Addressed to TPS for civil SW materials (TCS scope) - entity mismatch; no site stated</t>
        </is>
      </c>
      <c r="J10" s="2" t="inlineStr">
        <is>
          <t>Project-specific (TEN16699)</t>
        </is>
      </c>
      <c r="K10" s="2" t="inlineStr">
        <is>
          <t>Ex GST</t>
        </is>
      </c>
      <c r="L10" s="2" t="inlineStr">
        <is>
          <t>'SF - SUPPLIER FREIGHT/HANDLING CHARGE' $3,750 line INCLUDED + Standard Delivery Fee $31.82+GST per delivery; non-metro increase clause</t>
        </is>
      </c>
      <c r="M10" s="2" t="inlineStr">
        <is>
          <t>Package pricing - variation/deletion may require re-quote; 20% restocking; storage costs</t>
        </is>
      </c>
      <c r="N10" s="2" t="inlineStr">
        <is>
          <t>Not stated</t>
        </is>
      </c>
      <c r="O10" s="2" t="inlineStr">
        <is>
          <t>Supplier freight line ($3,750) already IN the total - do not add again. No escalation embedded; validity to 02/08/26 only.</t>
        </is>
      </c>
      <c r="P10" s="2" t="inlineStr">
        <is>
          <t>33,117.57</t>
        </is>
      </c>
      <c r="Q10" s="2" t="inlineStr">
        <is>
          <t>SW pits &amp; PVC: 450 pit @168.50 + Cl D grate&amp;frame @228.90; 6x 600x600x600 HD pit @229.50 + 600 HD grate&amp;frame @365.20; risers; 16x 300 SN8 x3m @302.10; 16x 225 SN8 x6m @776.50; 11x 150 SN8 x6m @220.10; SW junctions/bends/reducers; winged HW 300 @275.60; 225 HW @270.10; compact HW 90-150 @130.00; SF freight 3,750.</t>
        </is>
      </c>
      <c r="R10" s="2" t="inlineStr">
        <is>
          <t>Civil SW pits/grates + SN8 PVC pipeline + headwalls</t>
        </is>
      </c>
      <c r="S10" s="2" t="inlineStr">
        <is>
          <t>01 - Project Specific\Material\Hydraulic\Tradelink\1065005...pdf (also filed: 01\...\quote reference...\tlink civil sw\ and 02\NAS_Material\...\pit and headwall\tradelink\)</t>
        </is>
      </c>
    </row>
    <row r="11">
      <c r="A11" s="2" t="inlineStr">
        <is>
          <t>P10</t>
        </is>
      </c>
      <c r="B11" s="2" t="inlineStr">
        <is>
          <t>Tradelink</t>
        </is>
      </c>
      <c r="C11" s="2" t="inlineStr">
        <is>
          <t>1065005 SP</t>
        </is>
      </c>
      <c r="D11" s="2" t="inlineStr">
        <is>
          <t>Original 03/07/26</t>
        </is>
      </c>
      <c r="E11" s="2" t="inlineStr">
        <is>
          <t>Quote - SUPERSEDED by 15/07/26 revision (2 copies, NAS folders)</t>
        </is>
      </c>
      <c r="F11" s="2" t="inlineStr">
        <is>
          <t>03/07/26</t>
        </is>
      </c>
      <c r="G11" s="2" t="inlineStr">
        <is>
          <t>Deliveries by 02/08/26</t>
        </is>
      </c>
      <c r="H11" s="2" t="inlineStr">
        <is>
          <t>TPS</t>
        </is>
      </c>
      <c r="I11" s="2" t="inlineStr">
        <is>
          <t>As P09</t>
        </is>
      </c>
      <c r="J11" s="2" t="inlineStr">
        <is>
          <t>Project-specific - SUPERSEDED</t>
        </is>
      </c>
      <c r="K11" s="2" t="inlineStr">
        <is>
          <t>Ex GST</t>
        </is>
      </c>
      <c r="L11" s="2" t="inlineStr">
        <is>
          <t>As P09</t>
        </is>
      </c>
      <c r="M11" s="2" t="inlineStr">
        <is>
          <t>As P09</t>
        </is>
      </c>
      <c r="N11" s="2" t="inlineStr">
        <is>
          <t>Not stated</t>
        </is>
      </c>
      <c r="O11" s="2" t="inlineStr">
        <is>
          <t>As P09</t>
        </is>
      </c>
      <c r="P11" s="2" t="inlineStr">
        <is>
          <t>52,522.57</t>
        </is>
      </c>
      <c r="Q11" s="2" t="inlineStr">
        <is>
          <t>Earlier, larger take-off: includes 1050mm winged headwall @2,950.10 (deleted in rev) and different pit/pipe quantities; several rates re-cut in revision. Use P09 rev ONLY.</t>
        </is>
      </c>
      <c r="R11" s="2" t="inlineStr">
        <is>
          <t>Civil SW pits/pipe/headwalls</t>
        </is>
      </c>
      <c r="S11" s="2" t="inlineStr">
        <is>
          <t>02 - Other Recent ROK Proj\NAS_Material\Material\civil storm water pipe line\tradelink\1065005...pdf + ss_ copy in pit and headwall\tradelink\</t>
        </is>
      </c>
    </row>
    <row r="12">
      <c r="A12" s="2" t="inlineStr">
        <is>
          <t>P11</t>
        </is>
      </c>
      <c r="B12" s="2" t="inlineStr">
        <is>
          <t>Tradelink</t>
        </is>
      </c>
      <c r="C12" s="2" t="inlineStr">
        <is>
          <t>1066334 SP</t>
        </is>
      </c>
      <c r="D12" s="2" t="inlineStr">
        <is>
          <t>-</t>
        </is>
      </c>
      <c r="E12" s="2" t="inlineStr">
        <is>
          <t>Quote</t>
        </is>
      </c>
      <c r="F12" s="2" t="inlineStr">
        <is>
          <t>17/07/26</t>
        </is>
      </c>
      <c r="G12" s="2" t="inlineStr">
        <is>
          <t>Prices valid for deliveries made by 16/08/26; then prevailing price</t>
        </is>
      </c>
      <c r="H12" s="2" t="inlineStr">
        <is>
          <t>TRICORE CIVIL SERVICES PTY LTD (TCS)</t>
        </is>
      </c>
      <c r="I12" s="2" t="inlineStr">
        <is>
          <t>Addressed TCS for hydraulic/pump-station package (TPS scope) - entity mismatch; no site stated</t>
        </is>
      </c>
      <c r="J12" s="2" t="inlineStr">
        <is>
          <t>Project-specific (pump-station lines = interface/add-price evidence only - excluded per Addendum 2)</t>
        </is>
      </c>
      <c r="K12" s="2" t="inlineStr">
        <is>
          <t>Ex GST</t>
        </is>
      </c>
      <c r="L12" s="2" t="inlineStr">
        <is>
          <t>SF supplier freight $250 line + $31.82+GST per delivery; non-metro increase clause</t>
        </is>
      </c>
      <c r="M12" s="2" t="inlineStr">
        <is>
          <t>Package pricing; 20% restocking; 'PLEASE CHECK WHAT SIZE IS NEEDED' (hose cock)</t>
        </is>
      </c>
      <c r="N12" s="2" t="inlineStr">
        <is>
          <t>Not stated</t>
        </is>
      </c>
      <c r="O12" s="2" t="inlineStr">
        <is>
          <t>TRAP: line 15780497 'MECHANICAL &amp; ELECTRICAL INSTAL' $115,000 is INSTALLATION LABOUR inside a material quote - keep out of material-only escalation/contingency; pump-station lines are excluded scope. Freight line in total.</t>
        </is>
      </c>
      <c r="P12" s="2" t="inlineStr">
        <is>
          <t>454,113.65</t>
        </is>
      </c>
      <c r="Q12" s="2" t="inlineStr">
        <is>
          <t>Pump station pack: QMax Fortis vessel + dual Sulzer XFP80C PE100 @281,000; M&amp;E install @115,000; 'Sewer pump WSA 04-2005' @20,000 (station subtotal ~416,000). Trade waste: 1500L underground grease trap @6,110 + light top @1,308 / medium grate @2,004 / heavy @2,413.28. Water: RPZ 100mm complete @2,103; Woltman 100 meter @750.11; PD 32 meter @542.65; PRV 32 @360; 6x TMV AVG w/ SS cabinet @503.77; 5x RPZD 20 @210; butterfly/check valves. Equipment: Grundfos UPS20-60N dual circ @4,700; 3x Rheem 613/315 HWU @3,100; 1x Rheem 613/050 @1,900.</t>
        </is>
      </c>
      <c r="R12" s="2" t="inlineStr">
        <is>
          <t>Pump station interface; trade waste (grease trap); water valves/meters/TMVs; equipment/HWU</t>
        </is>
      </c>
      <c r="S12" s="2" t="inlineStr">
        <is>
          <t>01 - Project Specific\Material\Hydraulic\Tradelink\1066334_TRICORE_CIVIL_SERVICES_PTY_LTD.pdf</t>
        </is>
      </c>
    </row>
    <row r="13">
      <c r="A13" s="2" t="inlineStr">
        <is>
          <t>P12</t>
        </is>
      </c>
      <c r="B13" s="2" t="inlineStr">
        <is>
          <t>Tradelink</t>
        </is>
      </c>
      <c r="C13" s="2" t="inlineStr">
        <is>
          <t>6595064 SQ</t>
        </is>
      </c>
      <c r="D13" s="2" t="inlineStr">
        <is>
          <t>-</t>
        </is>
      </c>
      <c r="E13" s="2" t="inlineStr">
        <is>
          <t>Quote (estimator IAN BAKER)</t>
        </is>
      </c>
      <c r="F13" s="2" t="inlineStr">
        <is>
          <t>21/07/26</t>
        </is>
      </c>
      <c r="G13" s="2" t="inlineStr">
        <is>
          <t>Prices valid for deliveries made by 20/08/26; then prevailing price</t>
        </is>
      </c>
      <c r="H13" s="2" t="inlineStr">
        <is>
          <t>TRICORE PLUMBING SERVICES PTY LTD (TPS)</t>
        </is>
      </c>
      <c r="I13" s="2" t="inlineStr">
        <is>
          <t>WRONG SITE header: '544 YAAMBA RD PARKHURST' (same error as 1066143); 'based on information supplied by you... does not constitute a take-off'</t>
        </is>
      </c>
      <c r="J13" s="2" t="inlineStr">
        <is>
          <t>Project-specific (TEN16699)</t>
        </is>
      </c>
      <c r="K13" s="2" t="inlineStr">
        <is>
          <t>Ex GST</t>
        </is>
      </c>
      <c r="L13" s="2" t="inlineStr">
        <is>
          <t>$31.82+GST per delivery; non-metro increase clause</t>
        </is>
      </c>
      <c r="M13" s="2" t="inlineStr">
        <is>
          <t>Quote is quantities-as-given, not a take-off</t>
        </is>
      </c>
      <c r="N13" s="2" t="inlineStr">
        <is>
          <t>Not stated</t>
        </is>
      </c>
      <c r="O13" s="2" t="inlineStr">
        <is>
          <t>No freight in rates; no escalation embedded (30-day delivery window).</t>
        </is>
      </c>
      <c r="P13" s="2" t="inlineStr">
        <is>
          <t>47,154.60</t>
        </is>
      </c>
      <c r="Q13" s="2" t="inlineStr">
        <is>
          <t>DN200 copper main: 23x CU tube Type-B 200mm (203.2 OD, 14G) x6m @2,015/len (=335.83/m) = 46,345; 1x 200 HP weld elbow 90 @420; 1x 200 HP weld equal tee @389.60. This is the copper potable main the HDPE PE100 SDR11 O250 alternative would replace.</t>
        </is>
      </c>
      <c r="R13" s="2" t="inlineStr">
        <is>
          <t>Water main (DN200 copper) - copper basis for the potable main</t>
        </is>
      </c>
      <c r="S13" s="2" t="inlineStr">
        <is>
          <t>01 - Project Specific\Material\Hydraulic\Tradelink\6595064_ROCKHAMPTON_SPORTS_PRECINCT.pdf</t>
        </is>
      </c>
    </row>
    <row r="14">
      <c r="A14" s="2" t="inlineStr">
        <is>
          <t>P13</t>
        </is>
      </c>
      <c r="B14" s="2" t="inlineStr">
        <is>
          <t>Reece Australia</t>
        </is>
      </c>
      <c r="C14" s="2" t="inlineStr">
        <is>
          <t>Q-459014431 ('NETBALL')</t>
        </is>
      </c>
      <c r="D14" s="2" t="inlineStr">
        <is>
          <t>-</t>
        </is>
      </c>
      <c r="E14" s="2" t="inlineStr">
        <is>
          <t>Quote</t>
        </is>
      </c>
      <c r="F14" s="2" t="inlineStr">
        <is>
          <t>15/07/26</t>
        </is>
      </c>
      <c r="G14" s="2" t="inlineStr">
        <is>
          <t>Quote Expiry Date: 15/08/2026</t>
        </is>
      </c>
      <c r="H14" s="2" t="inlineStr">
        <is>
          <t>TRICORE CIVIL SERVICES PTY LTD (TCS)</t>
        </is>
      </c>
      <c r="I14" s="2" t="inlineStr">
        <is>
          <t>Addressed TCS for hydraulic equipment package (TPS scope) - entity mismatch</t>
        </is>
      </c>
      <c r="J14" s="2" t="inlineStr">
        <is>
          <t>Project-specific (pump-station line = interface/add-price evidence only)</t>
        </is>
      </c>
      <c r="K14" s="2" t="inlineStr">
        <is>
          <t>Ex GST</t>
        </is>
      </c>
      <c r="L14" s="2" t="inlineStr">
        <is>
          <t>StormFilter freight line 7,142.10 included; $40+GST per delivery ground floor only; 30-day collection window / storage fees</t>
        </is>
      </c>
      <c r="M14" s="2" t="inlineStr">
        <is>
          <t>SAP lines non-returnable (stormfilter manhole, pump station)</t>
        </is>
      </c>
      <c r="N14" s="2" t="inlineStr">
        <is>
          <t>Not stated</t>
        </is>
      </c>
      <c r="O14" s="2" t="inlineStr">
        <is>
          <t>TRAPS: (1) 'Dual Pump Station Qmax Fortis 3200x6700 INSTALLATION AND COMMISSIONING' 523,170.73 is a supply+install lump sum AND excluded scope. (2) StormFilter line already has its own freight line (7,142.10) - do not add freight again. Rates otherwise supply-only, no escalation embedded.</t>
        </is>
      </c>
      <c r="P14" s="2" t="inlineStr">
        <is>
          <t>650,797.91</t>
        </is>
      </c>
      <c r="Q14" s="2" t="inlineStr">
        <is>
          <t>KEY WSUD LINE: '22-cartridge 690mm Psorb Stormfilter Manhole' 1x @90,064.63 + freight 7,142.10 (this IS a project-specific price for the 22x Tall 690 PSorb + DN3300 manhole - single unpriced-detail lump line via Reece, verify against a direct Ocean Protect quote). Also: Graf 1500L grease trap Cl D @4,010.30; 3x Rheem 613/315 @3,438.29 + trays; Rheem 613/050 @2,016.08; Grundfos UPS32-80N dual @6,775.83; 6x TMV T160 20 @248.86 + recess boxes @241.80; 5x RPZ 20 @453.85; 316 press-fit tube rate-set: 22mm @64.68/6m, 28mm @80.63/6m, 35mm @132.03/6m + fittings (rate lines qty 1; NOTHING larger than 35mm); water meter 32 pulse @243.64; cleanouts, FW.</t>
        </is>
      </c>
      <c r="R14" s="2" t="inlineStr">
        <is>
          <t>WSUD/filtration (StormFilter+manhole); trade waste; equipment/HWU; building rough-in valves; pump station interface; 316 SS press-fit rate basis</t>
        </is>
      </c>
      <c r="S14" s="2" t="inlineStr">
        <is>
          <t>01 - Project Specific\Material\Hydraulic\reece all package\equipment and material\Q-459014431-260716_062410652-line.pdf</t>
        </is>
      </c>
    </row>
    <row r="15">
      <c r="A15" s="2" t="inlineStr">
        <is>
          <t>P14</t>
        </is>
      </c>
      <c r="B15" s="2" t="inlineStr">
        <is>
          <t>Reece Australia</t>
        </is>
      </c>
      <c r="C15" s="2" t="inlineStr">
        <is>
          <t>Q-459014438 ('TRADEWASTE')</t>
        </is>
      </c>
      <c r="D15" s="2" t="inlineStr">
        <is>
          <t>-</t>
        </is>
      </c>
      <c r="E15" s="2" t="inlineStr">
        <is>
          <t>Quote (rate set)</t>
        </is>
      </c>
      <c r="F15" s="2" t="inlineStr">
        <is>
          <t>16/07/26</t>
        </is>
      </c>
      <c r="G15" s="2" t="inlineStr">
        <is>
          <t>Quote Expiry Date: 16/08/2026</t>
        </is>
      </c>
      <c r="H15" s="2" t="inlineStr">
        <is>
          <t>TRICORE CIVIL SERVICES PTY LTD (TCS)</t>
        </is>
      </c>
      <c r="I15" s="2" t="inlineStr">
        <is>
          <t>Entity mismatch as P13</t>
        </is>
      </c>
      <c r="J15" s="2" t="inlineStr">
        <is>
          <t>Project-specific (TEN16699)</t>
        </is>
      </c>
      <c r="K15" s="2" t="inlineStr">
        <is>
          <t>Ex GST</t>
        </is>
      </c>
      <c r="L15" s="2" t="inlineStr">
        <is>
          <t>$40+GST per delivery ground floor only</t>
        </is>
      </c>
      <c r="M15" s="2" t="inlineStr">
        <is>
          <t>-</t>
        </is>
      </c>
      <c r="N15" s="2" t="inlineStr">
        <is>
          <t>Not stated</t>
        </is>
      </c>
      <c r="O15" s="2" t="inlineStr">
        <is>
          <t>Rate-set only (qty 1 lines) - unit rates for take-off pricing; no freight/escalation embedded</t>
        </is>
      </c>
      <c r="P15" s="2" t="inlineStr">
        <is>
          <t>285.92 (rate set)</t>
        </is>
      </c>
      <c r="Q15" s="2" t="inlineStr">
        <is>
          <t>Geberit HDPE trade waste rates: 110 pipe @84.16/5m; sleeve coupling @6.24; bends 45/88.5/15deg @4.73/5.55/15.39; junctions 45/88.5 @8.98/9.73; adj DT trap bottom @41.53; inspection opening @24.66; 4-way riser @32.47; expansion socket @12.48.</t>
        </is>
      </c>
      <c r="R15" s="2" t="inlineStr">
        <is>
          <t>Trade waste (HDPE drainage) building rough-in</t>
        </is>
      </c>
      <c r="S15" s="2" t="inlineStr">
        <is>
          <t>01 - Project Specific\Material\Hydraulic\reece all package\trade waste\Q-459014438-260716_062210445-line.pdf</t>
        </is>
      </c>
    </row>
    <row r="16">
      <c r="A16" s="2" t="inlineStr">
        <is>
          <t>S01</t>
        </is>
      </c>
      <c r="B16" s="2" t="inlineStr">
        <is>
          <t>Humes (Holcim)</t>
        </is>
      </c>
      <c r="C16" s="2" t="inlineStr">
        <is>
          <t>Humes Service Fees (from 1 Jan 2026)</t>
        </is>
      </c>
      <c r="D16" s="2" t="inlineStr">
        <is>
          <t>-</t>
        </is>
      </c>
      <c r="E16" s="2" t="inlineStr">
        <is>
          <t>Supporting document</t>
        </is>
      </c>
      <c r="F16" s="2" t="inlineStr">
        <is>
          <t>01/01/26</t>
        </is>
      </c>
      <c r="G16" s="2" t="inlineStr">
        <is>
          <t>Current from 1 Jan 2026</t>
        </is>
      </c>
      <c r="H16" s="2" t="inlineStr">
        <is>
          <t>-</t>
        </is>
      </c>
      <c r="I16" s="2" t="inlineStr">
        <is>
          <t>-</t>
        </is>
      </c>
      <c r="J16" s="2" t="inlineStr">
        <is>
          <t>Supporting document</t>
        </is>
      </c>
      <c r="K16" s="2" t="inlineStr">
        <is>
          <t>Fees ex GST</t>
        </is>
      </c>
      <c r="L16" s="2" t="inlineStr">
        <is>
          <t>Delivery notice 72h (48h +$325, 24h +$500); waiting time $360/hr after first 60 min ($520/hr OOH); min load 10t metro / 20t &gt;75km; cancelled delivery $2,000/truck + original charge; additional drop $350; storage $35/day/unit std or 10%/wk non-std after 30 days</t>
        </is>
      </c>
      <c r="M16" s="2" t="inlineStr">
        <is>
          <t>-</t>
        </is>
      </c>
      <c r="N16" s="2" t="inlineStr">
        <is>
          <t>-</t>
        </is>
      </c>
      <c r="O16" s="2" t="inlineStr">
        <is>
          <t>Applies on top of Humes quotes P04/C22 - allow for notice-period and waiting-time risk in programme, not in material rates</t>
        </is>
      </c>
      <c r="P16" s="2" t="inlineStr">
        <is>
          <t>n/a</t>
        </is>
      </c>
      <c r="Q16" s="2" t="inlineStr">
        <is>
          <t>Fee schedule (see notes).</t>
        </is>
      </c>
      <c r="R16" s="2" t="inlineStr">
        <is>
          <t>Civil SW supply logistics</t>
        </is>
      </c>
      <c r="S16" s="2" t="inlineStr">
        <is>
          <t>Filed twice: project Humes folder + NAS humes folder</t>
        </is>
      </c>
    </row>
    <row r="17">
      <c r="A17" s="2" t="inlineStr">
        <is>
          <t>S02</t>
        </is>
      </c>
      <c r="B17" s="2" t="inlineStr">
        <is>
          <t>Humes (Holcim)</t>
        </is>
      </c>
      <c r="C17" s="2" t="inlineStr">
        <is>
          <t>Tender &amp; Contract Terms (April 2026)</t>
        </is>
      </c>
      <c r="D17" s="2" t="inlineStr">
        <is>
          <t>-</t>
        </is>
      </c>
      <c r="E17" s="2" t="inlineStr">
        <is>
          <t>Supporting document</t>
        </is>
      </c>
      <c r="F17" s="2" t="inlineStr">
        <is>
          <t>Apr 2026</t>
        </is>
      </c>
      <c r="G17" s="2" t="inlineStr">
        <is>
          <t>-</t>
        </is>
      </c>
      <c r="H17" s="2" t="inlineStr">
        <is>
          <t>-</t>
        </is>
      </c>
      <c r="I17" s="2" t="inlineStr">
        <is>
          <t>-</t>
        </is>
      </c>
      <c r="J17" s="2" t="inlineStr">
        <is>
          <t>Supporting document</t>
        </is>
      </c>
      <c r="K17" s="2" t="inlineStr">
        <is>
          <t>-</t>
        </is>
      </c>
      <c r="L17" s="2" t="inlineStr">
        <is>
          <t>-</t>
        </is>
      </c>
      <c r="M17" s="2" t="inlineStr">
        <is>
          <t>No retentions/bank guarantees/parent guarantees; no LDs; liability cap + consequential loss exclusion required; fitness-for-purpose limited to common use; risk passes at commencement of unloading, title on payment; PI $10m / PL $20m; fuel levy regime may be required</t>
        </is>
      </c>
      <c r="N17" s="2" t="inlineStr">
        <is>
          <t>-</t>
        </is>
      </c>
      <c r="O17" s="2" t="inlineStr">
        <is>
          <t>Flags future fuel/steel escalation risk on Humes supply</t>
        </is>
      </c>
      <c r="P17" s="2" t="inlineStr">
        <is>
          <t>n/a</t>
        </is>
      </c>
      <c r="Q17" s="2" t="inlineStr">
        <is>
          <t>Key commercial departures Humes will seek if awarded.</t>
        </is>
      </c>
      <c r="R17" s="2" t="inlineStr">
        <is>
          <t>Civil SW supply terms</t>
        </is>
      </c>
      <c r="S17" s="2" t="inlineStr">
        <is>
          <t>Filed twice: project + NAS Humes folders</t>
        </is>
      </c>
    </row>
    <row r="18">
      <c r="A18" s="2" t="inlineStr">
        <is>
          <t>S03</t>
        </is>
      </c>
      <c r="B18" s="2" t="inlineStr">
        <is>
          <t>Humes (Holcim)</t>
        </is>
      </c>
      <c r="C18" s="2" t="inlineStr">
        <is>
          <t>Humes Terms of Sale (standard conditions)</t>
        </is>
      </c>
      <c r="D18" s="2" t="inlineStr">
        <is>
          <t>-</t>
        </is>
      </c>
      <c r="E18" s="2" t="inlineStr">
        <is>
          <t>Supporting document</t>
        </is>
      </c>
      <c r="F18" s="2" t="inlineStr">
        <is>
          <t>-</t>
        </is>
      </c>
      <c r="G18" s="2" t="inlineStr">
        <is>
          <t>-</t>
        </is>
      </c>
      <c r="H18" s="2" t="inlineStr">
        <is>
          <t>-</t>
        </is>
      </c>
      <c r="I18" s="2" t="inlineStr">
        <is>
          <t>-</t>
        </is>
      </c>
      <c r="J18" s="2" t="inlineStr">
        <is>
          <t>Supporting document</t>
        </is>
      </c>
      <c r="K18" s="2" t="inlineStr">
        <is>
          <t>Ex GST basis in cl.</t>
        </is>
      </c>
      <c r="L18" s="2" t="inlineStr">
        <is>
          <t>-</t>
        </is>
      </c>
      <c r="M18" s="2" t="inlineStr">
        <is>
          <t>Standard Holcim terms incl PPSA, returns at Humes discretion + service fees, title retention</t>
        </is>
      </c>
      <c r="N18" s="2" t="inlineStr">
        <is>
          <t>-</t>
        </is>
      </c>
      <c r="O18" s="2" t="inlineStr">
        <is>
          <t>-</t>
        </is>
      </c>
      <c r="P18" s="2" t="inlineStr">
        <is>
          <t>n/a</t>
        </is>
      </c>
      <c r="Q18" s="2" t="inlineStr">
        <is>
          <t>Standard conditions of sale referenced by quotes.</t>
        </is>
      </c>
      <c r="R18" s="2" t="inlineStr">
        <is>
          <t>-</t>
        </is>
      </c>
      <c r="S18" s="2" t="inlineStr">
        <is>
          <t>Filed twice: project + NAS Humes folders</t>
        </is>
      </c>
    </row>
    <row r="19">
      <c r="A19" s="2" t="inlineStr">
        <is>
          <t>S04</t>
        </is>
      </c>
      <c r="B19" s="2" t="inlineStr">
        <is>
          <t>Humes (Holcim)</t>
        </is>
      </c>
      <c r="C19" s="2" t="inlineStr">
        <is>
          <t>Direct deposit (bank) details</t>
        </is>
      </c>
      <c r="D19" s="2" t="inlineStr">
        <is>
          <t>-</t>
        </is>
      </c>
      <c r="E19" s="2" t="inlineStr">
        <is>
          <t>Supporting document</t>
        </is>
      </c>
      <c r="F19" s="2" t="inlineStr">
        <is>
          <t>-</t>
        </is>
      </c>
      <c r="G19" s="2" t="inlineStr">
        <is>
          <t>-</t>
        </is>
      </c>
      <c r="H19" s="2" t="inlineStr">
        <is>
          <t>-</t>
        </is>
      </c>
      <c r="I19" s="2" t="inlineStr">
        <is>
          <t>-</t>
        </is>
      </c>
      <c r="J19" s="2" t="inlineStr">
        <is>
          <t>Supporting document</t>
        </is>
      </c>
      <c r="K19" s="2" t="inlineStr">
        <is>
          <t>-</t>
        </is>
      </c>
      <c r="L19" s="2" t="inlineStr">
        <is>
          <t>-</t>
        </is>
      </c>
      <c r="M19" s="2" t="inlineStr">
        <is>
          <t>-</t>
        </is>
      </c>
      <c r="N19" s="2" t="inlineStr">
        <is>
          <t>-</t>
        </is>
      </c>
      <c r="O19" s="2" t="inlineStr">
        <is>
          <t>-</t>
        </is>
      </c>
      <c r="P19" s="2" t="inlineStr">
        <is>
          <t>n/a</t>
        </is>
      </c>
      <c r="Q19" s="2" t="inlineStr">
        <is>
          <t>ANZ account details for payments (BSB 014002).</t>
        </is>
      </c>
      <c r="R19" s="2" t="inlineStr">
        <is>
          <t>-</t>
        </is>
      </c>
      <c r="S19" s="2" t="inlineStr">
        <is>
          <t>02\NAS_Material\...\humes\DIRECT DEPOSIT DETAILS .pdf</t>
        </is>
      </c>
    </row>
    <row r="20">
      <c r="A20" s="2" t="inlineStr">
        <is>
          <t>C01</t>
        </is>
      </c>
      <c r="B20" s="2" t="inlineStr">
        <is>
          <t>Tradelink</t>
        </is>
      </c>
      <c r="C20" s="2" t="inlineStr">
        <is>
          <t>1057751 SP (CQU Rockhampton TAFE Consolidation Stage 2)</t>
        </is>
      </c>
      <c r="D20" s="2" t="inlineStr">
        <is>
          <t>Rev 20/04/26</t>
        </is>
      </c>
      <c r="E20" s="2" t="inlineStr">
        <is>
          <t>Quote (comparable) - EXPIRED (2 identical copies)</t>
        </is>
      </c>
      <c r="F20" s="2" t="inlineStr">
        <is>
          <t>21/04/26</t>
        </is>
      </c>
      <c r="G20" s="2" t="inlineStr">
        <is>
          <t>Deliveries by 20/05/26 - EXPIRED</t>
        </is>
      </c>
      <c r="H20" s="2" t="inlineStr">
        <is>
          <t>TPS</t>
        </is>
      </c>
      <c r="I20" s="2" t="inlineStr">
        <is>
          <t>Header site '554/700 YAAMBA ROAD NORMAN GARDENS' = SAME precinct as TEN16699 (CQU TAFE job 27922524) - good locational comparability; job/date differ</t>
        </is>
      </c>
      <c r="J20" s="2" t="inlineStr">
        <is>
          <t>Comparable-project reference</t>
        </is>
      </c>
      <c r="K20" s="2" t="inlineStr">
        <is>
          <t>Ex GST</t>
        </is>
      </c>
      <c r="L20" s="2" t="inlineStr">
        <is>
          <t>$31.82+GST per delivery</t>
        </is>
      </c>
      <c r="M20" s="2" t="inlineStr">
        <is>
          <t>Package basis</t>
        </is>
      </c>
      <c r="N20" s="2" t="inlineStr">
        <is>
          <t>Not stated</t>
        </is>
      </c>
      <c r="O20" s="2" t="inlineStr">
        <is>
          <t>No freight/escalation in rates; EXPIRED Apr-26 rates - escalate before any use</t>
        </is>
      </c>
      <c r="P20" s="2" t="inlineStr">
        <is>
          <t>4,402.45 (rate set)</t>
        </is>
      </c>
      <c r="Q20" s="2" t="inlineStr">
        <is>
          <t>Copper rate schedule (Kembla/KemPress) 15-100mm: Type-B tube per 6m len: 100 @735.21, 80 @535.60, 65 @335.20, 50 @278.50, 40 @229.28, 32 @189.39, 25 @128.50, 20 @81.71, 15 @46.50 + press fittings each size.</t>
        </is>
      </c>
      <c r="R20" s="2" t="inlineStr">
        <is>
          <t>Building rough-in copper benchmark (&lt;=DN100)</t>
        </is>
      </c>
      <c r="S20" s="2" t="inlineStr">
        <is>
          <t>01 - Project Specific\Material\quote reference from previous or other project\tlink copper\ + 02\CQUTafe_Material\...\tradelink\ (copy)</t>
        </is>
      </c>
    </row>
    <row r="21">
      <c r="A21" s="2" t="inlineStr">
        <is>
          <t>C02</t>
        </is>
      </c>
      <c r="B21" s="2" t="inlineStr">
        <is>
          <t>Reece Australia</t>
        </is>
      </c>
      <c r="C21" s="2" t="inlineStr">
        <is>
          <t>Q-459012370 ('ANACONDA')</t>
        </is>
      </c>
      <c r="D21" s="2" t="inlineStr">
        <is>
          <t>-</t>
        </is>
      </c>
      <c r="E21" s="2" t="inlineStr">
        <is>
          <t>Quote (comparable) - EXPIRED</t>
        </is>
      </c>
      <c r="F21" s="2" t="inlineStr">
        <is>
          <t>10/02/26</t>
        </is>
      </c>
      <c r="G21" s="2" t="inlineStr">
        <is>
          <t>Expiry 10/03/2026 - EXPIRED</t>
        </is>
      </c>
      <c r="H21" s="2" t="inlineStr">
        <is>
          <t>TCS</t>
        </is>
      </c>
      <c r="I21" s="2" t="inlineStr">
        <is>
          <t>Anaconda project, 337-341 Yaamba Rd Nth Rockhampton</t>
        </is>
      </c>
      <c r="J21" s="2" t="inlineStr">
        <is>
          <t>Comparable-project reference</t>
        </is>
      </c>
      <c r="K21" s="2" t="inlineStr">
        <is>
          <t>Ex GST</t>
        </is>
      </c>
      <c r="L21" s="2" t="inlineStr">
        <is>
          <t>Pump station freight line 1,729 included; $40 delivery fee</t>
        </is>
      </c>
      <c r="M21" s="2" t="inlineStr">
        <is>
          <t>SAP non-returnable</t>
        </is>
      </c>
      <c r="N21" s="2" t="inlineStr">
        <is>
          <t>Not stated</t>
        </is>
      </c>
      <c r="O21" s="2" t="inlineStr">
        <is>
          <t>Freight lines included per item; Feb-26 rates - escalate before use</t>
        </is>
      </c>
      <c r="P21" s="2" t="inlineStr">
        <is>
          <t>80,200.13</t>
        </is>
      </c>
      <c r="Q21" s="2" t="inlineStr">
        <is>
          <t>Aline fibreglass holding well 1800x3000 w/ valves &amp; auto-coupling @44,110 + freight 1,729; 4x Zip Hydrotap G5 BCHA20 @6,371.70; Everhot Pro 50L @1,551.58; meters/backflow: RPZ 40 @858.67, DCV 25 @430.67, meter cage @480.93.</t>
        </is>
      </c>
      <c r="R21" s="2" t="inlineStr">
        <is>
          <t>Pump station (small) + equipment benchmark</t>
        </is>
      </c>
      <c r="S21" s="2" t="inlineStr">
        <is>
          <t>02\Anaconda_Material\big ticket item\reece\Q-459012370-...pdf</t>
        </is>
      </c>
    </row>
    <row r="22">
      <c r="A22" s="2" t="inlineStr">
        <is>
          <t>C03</t>
        </is>
      </c>
      <c r="B22" s="2" t="inlineStr">
        <is>
          <t>Reece Australia</t>
        </is>
      </c>
      <c r="C22" s="2" t="inlineStr">
        <is>
          <t>Q-459012377 ('ANACONDA')</t>
        </is>
      </c>
      <c r="D22" s="2" t="inlineStr">
        <is>
          <t>-</t>
        </is>
      </c>
      <c r="E22" s="2" t="inlineStr">
        <is>
          <t>Quote (comparable) - EXPIRED</t>
        </is>
      </c>
      <c r="F22" s="2" t="inlineStr">
        <is>
          <t>10/02/26</t>
        </is>
      </c>
      <c r="G22" s="2" t="inlineStr">
        <is>
          <t>Expiry 10/03/2026 - EXPIRED</t>
        </is>
      </c>
      <c r="H22" s="2" t="inlineStr">
        <is>
          <t>TCS</t>
        </is>
      </c>
      <c r="I22" s="2" t="inlineStr">
        <is>
          <t>Anaconda project</t>
        </is>
      </c>
      <c r="J22" s="2" t="inlineStr">
        <is>
          <t>Comparable-project reference</t>
        </is>
      </c>
      <c r="K22" s="2" t="inlineStr">
        <is>
          <t>Ex GST</t>
        </is>
      </c>
      <c r="L22" s="2" t="inlineStr">
        <is>
          <t>'Delivery To Site Customer To Unload' 10 loads @877.80 included; $40 fee</t>
        </is>
      </c>
      <c r="M22" s="2" t="inlineStr">
        <is>
          <t>SAP non-returnable</t>
        </is>
      </c>
      <c r="N22" s="2" t="inlineStr">
        <is>
          <t>Not stated</t>
        </is>
      </c>
      <c r="O22" s="2" t="inlineStr">
        <is>
          <t>Freight in total; Feb-26 rates - escalate; NOTE 375 RCP is 2.34m lengths (not 2.44m) - normalise per metre before comparing</t>
        </is>
      </c>
      <c r="P22" s="2" t="inlineStr">
        <is>
          <t>67,812.09</t>
        </is>
      </c>
      <c r="Q22" s="2" t="inlineStr">
        <is>
          <t>Civil SW: 40x DWV PVC 225 SN8 @235.68/6m; 100x RCP Cl4 375x2.34 @209.80 (=89.7/m vs P04 Humes 105.0/m, P07 Reece 134.6/m); 22x RCP Cl4 450x2.44 @321.49; 25x RCP Cl4 600x2.44 @526.79; GMS trench grate D 300x2000 @368.75; BC 900x450x2.4 @1,782.41; BC crown 900x450x1.2 @953.49; freight 10x877.80.</t>
        </is>
      </c>
      <c r="R22" s="2" t="inlineStr">
        <is>
          <t>Civil SW pipe benchmark</t>
        </is>
      </c>
      <c r="S22" s="2" t="inlineStr">
        <is>
          <t>02\Anaconda_Material\civil sw pipe\Reece\Q-459012377-...pdf</t>
        </is>
      </c>
    </row>
    <row r="23">
      <c r="A23" s="2" t="inlineStr">
        <is>
          <t>C04</t>
        </is>
      </c>
      <c r="B23" s="2" t="inlineStr">
        <is>
          <t>Ocean Protect</t>
        </is>
      </c>
      <c r="C23" s="2" t="inlineStr">
        <is>
          <t>19901 (337-341 Yaamba Rd Nth Rockhampton - Anaconda)</t>
        </is>
      </c>
      <c r="D23" s="2" t="inlineStr">
        <is>
          <t>-</t>
        </is>
      </c>
      <c r="E23" s="2" t="inlineStr">
        <is>
          <t>Quote (comparable) - EXPIRED</t>
        </is>
      </c>
      <c r="F23" s="2" t="inlineStr">
        <is>
          <t>05/03/26</t>
        </is>
      </c>
      <c r="G23" s="2" t="inlineStr">
        <is>
          <t>'Validity Period: 30 Days' - EXPIRED ~04/04/26</t>
        </is>
      </c>
      <c r="H23" s="2" t="inlineStr">
        <is>
          <t>Tricore Civil Services P/L (Mitch Hannan)</t>
        </is>
      </c>
      <c r="I23" s="2" t="inlineStr">
        <is>
          <t>Anaconda project - different site/scope/quantities; Rockhampton Regional council</t>
        </is>
      </c>
      <c r="J23" s="2" t="inlineStr">
        <is>
          <t>Comparable-project reference</t>
        </is>
      </c>
      <c r="K23" s="2" t="inlineStr">
        <is>
          <t>Ex GST (subtotal + GST shown)</t>
        </is>
      </c>
      <c r="L23" s="2" t="inlineStr">
        <is>
          <t>'Quoted freight prices based on units delivered Free on Truck (unloading by others), Mon-Fri'; precast freight line 8,000 + OceanGuard freight 1,200 included; 1 hr truck waiting then charges; special lifters returnable (else $400-$1,000+GST)</t>
        </is>
      </c>
      <c r="M23" s="2" t="inlineStr">
        <is>
          <t>EXCLUDES: unloading &amp; installation of tanks/modules; installation of cartridges &amp; OceanGuards; cleaning/dewatering before fit-out; internal weir walls; risers/ladders/orifice plates/trash racks; inlet/outlet pipe connections; cranage &amp; lifting equipment; site earthworks; joint sealing application</t>
        </is>
      </c>
      <c r="N23" s="2" t="inlineStr">
        <is>
          <t>Confirmed after signed shop drawings &amp; order acceptance</t>
        </is>
      </c>
      <c r="O23" s="2" t="inlineStr">
        <is>
          <t>Freight lines included; Mar-26 rates, EXPIRED - re-quote/escalate; precast non-stock, made-to-order, non-refundable</t>
        </is>
      </c>
      <c r="P23" s="2" t="inlineStr">
        <is>
          <t>608,720.00</t>
        </is>
      </c>
      <c r="Q23" s="2" t="inlineStr">
        <is>
          <t>18-cart 690mm PSORB StormFilter DN3300 manhole @70,060; 13-cart 690mm PSORB DN3300 @60,460; precast freight @8,000; 22x OceanGuard 200 (to suit 900x900) @500 = 11,000 + freight 1,200; UrbanPond modular OSD 185kL @128,000; UrbanPond OSD 395kL @330,000. Implied cartridge increment (18 vs 13-cart) = 1,920/cartridge; manhole base ~35,500.</t>
        </is>
      </c>
      <c r="R23" s="2" t="inlineStr">
        <is>
          <t>WSUD/filtration + OSD detention benchmark (basis for deriving 22-cartridge check estimate)</t>
        </is>
      </c>
      <c r="S23" s="2" t="inlineStr">
        <is>
          <t>02\Anaconda_Material\stormack...\ocean protect\19901 - ...pdf</t>
        </is>
      </c>
    </row>
    <row r="24">
      <c r="A24" s="2" t="inlineStr">
        <is>
          <t>C05</t>
        </is>
      </c>
      <c r="B24" s="2" t="inlineStr">
        <is>
          <t>Ocean Protect</t>
        </is>
      </c>
      <c r="C24" s="2" t="inlineStr">
        <is>
          <t>13C-DN3300-OP-SD</t>
        </is>
      </c>
      <c r="D24" s="2" t="inlineStr">
        <is>
          <t>-</t>
        </is>
      </c>
      <c r="E24" s="2" t="inlineStr">
        <is>
          <t>Technical reference</t>
        </is>
      </c>
      <c r="F24" s="2" t="inlineStr">
        <is>
          <t>-</t>
        </is>
      </c>
      <c r="G24" s="2" t="inlineStr">
        <is>
          <t>-</t>
        </is>
      </c>
      <c r="H24" s="2" t="inlineStr">
        <is>
          <t>-</t>
        </is>
      </c>
      <c r="I24" s="2" t="inlineStr">
        <is>
          <t>-</t>
        </is>
      </c>
      <c r="J24" s="2" t="inlineStr">
        <is>
          <t>Comparable-project reference</t>
        </is>
      </c>
      <c r="K24" s="2" t="inlineStr">
        <is>
          <t>-</t>
        </is>
      </c>
      <c r="L24" s="2" t="inlineStr">
        <is>
          <t>-</t>
        </is>
      </c>
      <c r="M24" s="2" t="inlineStr">
        <is>
          <t>-</t>
        </is>
      </c>
      <c r="N24" s="2" t="inlineStr">
        <is>
          <t>-</t>
        </is>
      </c>
      <c r="O24" s="2" t="inlineStr">
        <is>
          <t>-</t>
        </is>
      </c>
      <c r="P24" s="2" t="inlineStr">
        <is>
          <t>n/a</t>
        </is>
      </c>
      <c r="Q24" s="2" t="inlineStr">
        <is>
          <t>Ocean Protect standard drawing: 13-cartridge StormFilter DN3300 manhole (design parameters, W80 rating, 690 PSORB SQIDEP 0.86 L/s/cartridge)</t>
        </is>
      </c>
      <c r="R24" s="2" t="inlineStr">
        <is>
          <t>WSUD/OSD technical basis</t>
        </is>
      </c>
      <c r="S24" s="2" t="inlineStr">
        <is>
          <t>02\Anaconda_Material\stormack...\ocean protect\</t>
        </is>
      </c>
    </row>
    <row r="25">
      <c r="A25" s="2" t="inlineStr">
        <is>
          <t>C06</t>
        </is>
      </c>
      <c r="B25" s="2" t="inlineStr">
        <is>
          <t>Ocean Protect</t>
        </is>
      </c>
      <c r="C25" s="2" t="inlineStr">
        <is>
          <t>20C-DN3300-OP-SD</t>
        </is>
      </c>
      <c r="D25" s="2" t="inlineStr">
        <is>
          <t>-</t>
        </is>
      </c>
      <c r="E25" s="2" t="inlineStr">
        <is>
          <t>Technical reference</t>
        </is>
      </c>
      <c r="F25" s="2" t="inlineStr">
        <is>
          <t>-</t>
        </is>
      </c>
      <c r="G25" s="2" t="inlineStr">
        <is>
          <t>-</t>
        </is>
      </c>
      <c r="H25" s="2" t="inlineStr">
        <is>
          <t>-</t>
        </is>
      </c>
      <c r="I25" s="2" t="inlineStr">
        <is>
          <t>-</t>
        </is>
      </c>
      <c r="J25" s="2" t="inlineStr">
        <is>
          <t>Comparable-project reference</t>
        </is>
      </c>
      <c r="K25" s="2" t="inlineStr">
        <is>
          <t>-</t>
        </is>
      </c>
      <c r="L25" s="2" t="inlineStr">
        <is>
          <t>-</t>
        </is>
      </c>
      <c r="M25" s="2" t="inlineStr">
        <is>
          <t>-</t>
        </is>
      </c>
      <c r="N25" s="2" t="inlineStr">
        <is>
          <t>-</t>
        </is>
      </c>
      <c r="O25" s="2" t="inlineStr">
        <is>
          <t>-</t>
        </is>
      </c>
      <c r="P25" s="2" t="inlineStr">
        <is>
          <t>n/a</t>
        </is>
      </c>
      <c r="Q25" s="2" t="inlineStr">
        <is>
          <t>Ocean Protect standard drawing: 20-cartridge StormFilter DN3300 manhole - closest published config to the 22-cartridge project requirement</t>
        </is>
      </c>
      <c r="R25" s="2" t="inlineStr">
        <is>
          <t>WSUD/OSD technical basis</t>
        </is>
      </c>
      <c r="S25" s="2" t="inlineStr">
        <is>
          <t>02\Anaconda_Material\stormack...\ocean protect\</t>
        </is>
      </c>
    </row>
    <row r="26">
      <c r="A26" s="2" t="inlineStr">
        <is>
          <t>C07</t>
        </is>
      </c>
      <c r="B26" s="2" t="inlineStr">
        <is>
          <t>Ocean Protect</t>
        </is>
      </c>
      <c r="C26" s="2" t="inlineStr">
        <is>
          <t>OceanGuard Installation Guide 07/24</t>
        </is>
      </c>
      <c r="D26" s="2" t="inlineStr">
        <is>
          <t>-</t>
        </is>
      </c>
      <c r="E26" s="2" t="inlineStr">
        <is>
          <t>Technical reference</t>
        </is>
      </c>
      <c r="F26" s="2" t="inlineStr">
        <is>
          <t>-</t>
        </is>
      </c>
      <c r="G26" s="2" t="inlineStr">
        <is>
          <t>-</t>
        </is>
      </c>
      <c r="H26" s="2" t="inlineStr">
        <is>
          <t>-</t>
        </is>
      </c>
      <c r="I26" s="2" t="inlineStr">
        <is>
          <t>-</t>
        </is>
      </c>
      <c r="J26" s="2" t="inlineStr">
        <is>
          <t>Comparable-project reference</t>
        </is>
      </c>
      <c r="K26" s="2" t="inlineStr">
        <is>
          <t>-</t>
        </is>
      </c>
      <c r="L26" s="2" t="inlineStr">
        <is>
          <t>-</t>
        </is>
      </c>
      <c r="M26" s="2" t="inlineStr">
        <is>
          <t>-</t>
        </is>
      </c>
      <c r="N26" s="2" t="inlineStr">
        <is>
          <t>-</t>
        </is>
      </c>
      <c r="O26" s="2" t="inlineStr">
        <is>
          <t>-</t>
        </is>
      </c>
      <c r="P26" s="2" t="inlineStr">
        <is>
          <t>n/a</t>
        </is>
      </c>
      <c r="Q26" s="2" t="inlineStr">
        <is>
          <t>Pit-insert installation methodology (install labour benchmark input)</t>
        </is>
      </c>
      <c r="R26" s="2" t="inlineStr">
        <is>
          <t>WSUD/OSD technical basis</t>
        </is>
      </c>
      <c r="S26" s="2" t="inlineStr">
        <is>
          <t>02\Anaconda_Material\stormack...\ocean protect\</t>
        </is>
      </c>
    </row>
    <row r="27">
      <c r="A27" s="2" t="inlineStr">
        <is>
          <t>C08</t>
        </is>
      </c>
      <c r="B27" s="2" t="inlineStr">
        <is>
          <t>Ocean Protect</t>
        </is>
      </c>
      <c r="C27" s="2" t="inlineStr">
        <is>
          <t>StormFilter Installation Guide 09/22</t>
        </is>
      </c>
      <c r="D27" s="2" t="inlineStr">
        <is>
          <t>-</t>
        </is>
      </c>
      <c r="E27" s="2" t="inlineStr">
        <is>
          <t>Technical reference</t>
        </is>
      </c>
      <c r="F27" s="2" t="inlineStr">
        <is>
          <t>-</t>
        </is>
      </c>
      <c r="G27" s="2" t="inlineStr">
        <is>
          <t>-</t>
        </is>
      </c>
      <c r="H27" s="2" t="inlineStr">
        <is>
          <t>-</t>
        </is>
      </c>
      <c r="I27" s="2" t="inlineStr">
        <is>
          <t>-</t>
        </is>
      </c>
      <c r="J27" s="2" t="inlineStr">
        <is>
          <t>Comparable-project reference</t>
        </is>
      </c>
      <c r="K27" s="2" t="inlineStr">
        <is>
          <t>-</t>
        </is>
      </c>
      <c r="L27" s="2" t="inlineStr">
        <is>
          <t>-</t>
        </is>
      </c>
      <c r="M27" s="2" t="inlineStr">
        <is>
          <t>-</t>
        </is>
      </c>
      <c r="N27" s="2" t="inlineStr">
        <is>
          <t>-</t>
        </is>
      </c>
      <c r="O27" s="2" t="inlineStr">
        <is>
          <t>-</t>
        </is>
      </c>
      <c r="P27" s="2" t="inlineStr">
        <is>
          <t>n/a</t>
        </is>
      </c>
      <c r="Q27" s="2" t="inlineStr">
        <is>
          <t>Cartridge/manhole installation methodology - contractor grouting, sealant, false floor duties</t>
        </is>
      </c>
      <c r="R27" s="2" t="inlineStr">
        <is>
          <t>WSUD/OSD technical basis</t>
        </is>
      </c>
      <c r="S27" s="2" t="inlineStr">
        <is>
          <t>02\Anaconda_Material\stormack...\ocean protect\</t>
        </is>
      </c>
    </row>
    <row r="28">
      <c r="A28" s="2" t="inlineStr">
        <is>
          <t>C09</t>
        </is>
      </c>
      <c r="B28" s="2" t="inlineStr">
        <is>
          <t>Ocean Protect</t>
        </is>
      </c>
      <c r="C28" s="2" t="inlineStr">
        <is>
          <t>UrbanPond Flyer 2024</t>
        </is>
      </c>
      <c r="D28" s="2" t="inlineStr">
        <is>
          <t>-</t>
        </is>
      </c>
      <c r="E28" s="2" t="inlineStr">
        <is>
          <t>Technical reference</t>
        </is>
      </c>
      <c r="F28" s="2" t="inlineStr">
        <is>
          <t>-</t>
        </is>
      </c>
      <c r="G28" s="2" t="inlineStr">
        <is>
          <t>-</t>
        </is>
      </c>
      <c r="H28" s="2" t="inlineStr">
        <is>
          <t>-</t>
        </is>
      </c>
      <c r="I28" s="2" t="inlineStr">
        <is>
          <t>-</t>
        </is>
      </c>
      <c r="J28" s="2" t="inlineStr">
        <is>
          <t>Comparable-project reference</t>
        </is>
      </c>
      <c r="K28" s="2" t="inlineStr">
        <is>
          <t>-</t>
        </is>
      </c>
      <c r="L28" s="2" t="inlineStr">
        <is>
          <t>-</t>
        </is>
      </c>
      <c r="M28" s="2" t="inlineStr">
        <is>
          <t>-</t>
        </is>
      </c>
      <c r="N28" s="2" t="inlineStr">
        <is>
          <t>-</t>
        </is>
      </c>
      <c r="O28" s="2" t="inlineStr">
        <is>
          <t>-</t>
        </is>
      </c>
      <c r="P28" s="2" t="inlineStr">
        <is>
          <t>n/a</t>
        </is>
      </c>
      <c r="Q28" s="2" t="inlineStr">
        <is>
          <t>Marketing/technical overview of modular OSD</t>
        </is>
      </c>
      <c r="R28" s="2" t="inlineStr">
        <is>
          <t>WSUD/OSD technical basis</t>
        </is>
      </c>
      <c r="S28" s="2" t="inlineStr">
        <is>
          <t>02\Anaconda_Material\stormack...\ocean protect\</t>
        </is>
      </c>
    </row>
    <row r="29">
      <c r="A29" s="2" t="inlineStr">
        <is>
          <t>C10</t>
        </is>
      </c>
      <c r="B29" s="2" t="inlineStr">
        <is>
          <t>Ocean Protect</t>
        </is>
      </c>
      <c r="C29" s="2" t="inlineStr">
        <is>
          <t>UrbanPond Installation Manual 2024</t>
        </is>
      </c>
      <c r="D29" s="2" t="inlineStr">
        <is>
          <t>-</t>
        </is>
      </c>
      <c r="E29" s="2" t="inlineStr">
        <is>
          <t>Technical reference</t>
        </is>
      </c>
      <c r="F29" s="2" t="inlineStr">
        <is>
          <t>-</t>
        </is>
      </c>
      <c r="G29" s="2" t="inlineStr">
        <is>
          <t>-</t>
        </is>
      </c>
      <c r="H29" s="2" t="inlineStr">
        <is>
          <t>-</t>
        </is>
      </c>
      <c r="I29" s="2" t="inlineStr">
        <is>
          <t>-</t>
        </is>
      </c>
      <c r="J29" s="2" t="inlineStr">
        <is>
          <t>Comparable-project reference</t>
        </is>
      </c>
      <c r="K29" s="2" t="inlineStr">
        <is>
          <t>-</t>
        </is>
      </c>
      <c r="L29" s="2" t="inlineStr">
        <is>
          <t>-</t>
        </is>
      </c>
      <c r="M29" s="2" t="inlineStr">
        <is>
          <t>-</t>
        </is>
      </c>
      <c r="N29" s="2" t="inlineStr">
        <is>
          <t>-</t>
        </is>
      </c>
      <c r="O29" s="2" t="inlineStr">
        <is>
          <t>-</t>
        </is>
      </c>
      <c r="P29" s="2" t="inlineStr">
        <is>
          <t>n/a</t>
        </is>
      </c>
      <c r="Q29" s="2" t="inlineStr">
        <is>
          <t>Install duties by others: bedding, backfill, sealing, cranage - scope items to price in install labour</t>
        </is>
      </c>
      <c r="R29" s="2" t="inlineStr">
        <is>
          <t>WSUD/OSD technical basis</t>
        </is>
      </c>
      <c r="S29" s="2" t="inlineStr">
        <is>
          <t>02\Anaconda_Material\stormack...\ocean protect\</t>
        </is>
      </c>
    </row>
    <row r="30">
      <c r="A30" s="2" t="inlineStr">
        <is>
          <t>C11</t>
        </is>
      </c>
      <c r="B30" s="2" t="inlineStr">
        <is>
          <t>Ocean Protect</t>
        </is>
      </c>
      <c r="C30" s="2" t="inlineStr">
        <is>
          <t>UrbanPond-OP-WO_OUTLET drawing</t>
        </is>
      </c>
      <c r="D30" s="2" t="inlineStr">
        <is>
          <t>-</t>
        </is>
      </c>
      <c r="E30" s="2" t="inlineStr">
        <is>
          <t>Technical reference</t>
        </is>
      </c>
      <c r="F30" s="2" t="inlineStr">
        <is>
          <t>-</t>
        </is>
      </c>
      <c r="G30" s="2" t="inlineStr">
        <is>
          <t>-</t>
        </is>
      </c>
      <c r="H30" s="2" t="inlineStr">
        <is>
          <t>-</t>
        </is>
      </c>
      <c r="I30" s="2" t="inlineStr">
        <is>
          <t>-</t>
        </is>
      </c>
      <c r="J30" s="2" t="inlineStr">
        <is>
          <t>Comparable-project reference</t>
        </is>
      </c>
      <c r="K30" s="2" t="inlineStr">
        <is>
          <t>-</t>
        </is>
      </c>
      <c r="L30" s="2" t="inlineStr">
        <is>
          <t>-</t>
        </is>
      </c>
      <c r="M30" s="2" t="inlineStr">
        <is>
          <t>-</t>
        </is>
      </c>
      <c r="N30" s="2" t="inlineStr">
        <is>
          <t>-</t>
        </is>
      </c>
      <c r="O30" s="2" t="inlineStr">
        <is>
          <t>-</t>
        </is>
      </c>
      <c r="P30" s="2" t="inlineStr">
        <is>
          <t>n/a</t>
        </is>
      </c>
      <c r="Q30" s="2" t="inlineStr">
        <is>
          <t>Spec drawing: min bearing 150kPa, Class D covers, anti-flotation by others, S50 concrete</t>
        </is>
      </c>
      <c r="R30" s="2" t="inlineStr">
        <is>
          <t>WSUD/OSD technical basis</t>
        </is>
      </c>
      <c r="S30" s="2" t="inlineStr">
        <is>
          <t>02\Anaconda_Material\stormack...\ocean protect\</t>
        </is>
      </c>
    </row>
    <row r="31">
      <c r="A31" s="2" t="inlineStr">
        <is>
          <t>C12</t>
        </is>
      </c>
      <c r="B31" s="2" t="inlineStr">
        <is>
          <t>Reece Australia</t>
        </is>
      </c>
      <c r="C31" s="2" t="inlineStr">
        <is>
          <t>Q-459013148 (CQU)</t>
        </is>
      </c>
      <c r="D31" s="2" t="inlineStr">
        <is>
          <t>-</t>
        </is>
      </c>
      <c r="E31" s="2" t="inlineStr">
        <is>
          <t>Quote (comparable) - EXPIRED</t>
        </is>
      </c>
      <c r="F31" s="2" t="inlineStr">
        <is>
          <t>14/04/26</t>
        </is>
      </c>
      <c r="G31" s="2" t="inlineStr">
        <is>
          <t>Expiry 13/05/2026 - EXPIRED</t>
        </is>
      </c>
      <c r="H31" s="2" t="inlineStr">
        <is>
          <t>TCS</t>
        </is>
      </c>
      <c r="I31" s="2" t="inlineStr">
        <is>
          <t>CQU Rockhampton TAFE</t>
        </is>
      </c>
      <c r="J31" s="2" t="inlineStr">
        <is>
          <t>Comparable-project reference</t>
        </is>
      </c>
      <c r="K31" s="2" t="inlineStr">
        <is>
          <t>Ex GST</t>
        </is>
      </c>
      <c r="L31" s="2" t="inlineStr">
        <is>
          <t>Tank freight lines included (both tanks 4,279.94; Bushmans 1,995); $40 fee</t>
        </is>
      </c>
      <c r="M31" s="2" t="inlineStr">
        <is>
          <t>SAP non-returnable</t>
        </is>
      </c>
      <c r="N31" s="2" t="inlineStr">
        <is>
          <t>Not stated</t>
        </is>
      </c>
      <c r="O31" s="2" t="inlineStr">
        <is>
          <t>Freight per line; Apr-26 rates - escalate</t>
        </is>
      </c>
      <c r="P31" s="2" t="inlineStr">
        <is>
          <t>376,063.66</t>
        </is>
      </c>
      <c r="Q31" s="2" t="inlineStr">
        <is>
          <t>Halgan 5000L grease trap Cl D @12,055.68; OWHS 5000 @14,874.55; 30,000L Bushman tank @211,120; 2x 15,000L @19,604; PRV Bermad-type 720 rate set 50-200mm (2,471.18-10,813.53); full RPZ/DCV rate set 15-50; Zip Hydrotaps @8,365-8,368; Rheem 613/315 @3,354.49; Grundfos UPS20-60N dual @6,126.09; Stiebel instantaneous HWUs.</t>
        </is>
      </c>
      <c r="R31" s="2" t="inlineStr">
        <is>
          <t>Trade waste / tanks / valves / equipment benchmark</t>
        </is>
      </c>
      <c r="S31" s="2" t="inlineStr">
        <is>
          <t>02\CQUTafe_Material\big ticket and misc\Reece\Q-459013148-...pdf</t>
        </is>
      </c>
    </row>
    <row r="32">
      <c r="A32" s="2" t="inlineStr">
        <is>
          <t>C13</t>
        </is>
      </c>
      <c r="B32" s="2" t="inlineStr">
        <is>
          <t>Australian Pump Solutions (APS)</t>
        </is>
      </c>
      <c r="C32" s="2" t="inlineStr">
        <is>
          <t>Quote No 13825 (CQU Rockhampton)</t>
        </is>
      </c>
      <c r="D32" s="2" t="inlineStr">
        <is>
          <t>-</t>
        </is>
      </c>
      <c r="E32" s="2" t="inlineStr">
        <is>
          <t>Quote (comparable; PDF owner-encrypted, blank password)</t>
        </is>
      </c>
      <c r="F32" s="2" t="inlineStr">
        <is>
          <t>15/04/26</t>
        </is>
      </c>
      <c r="G32" s="2" t="inlineStr">
        <is>
          <t>None stated</t>
        </is>
      </c>
      <c r="H32" s="2" t="inlineStr">
        <is>
          <t>Tricore Plumbing Services (TPS)</t>
        </is>
      </c>
      <c r="I32" s="2" t="inlineStr">
        <is>
          <t>CQU project</t>
        </is>
      </c>
      <c r="J32" s="2" t="inlineStr">
        <is>
          <t>Comparable-project reference</t>
        </is>
      </c>
      <c r="K32" s="2" t="inlineStr">
        <is>
          <t>Ex GST</t>
        </is>
      </c>
      <c r="L32" s="2" t="inlineStr">
        <is>
          <t>Freight lines per pump set included ('delivery to site - unloading by others'; freight pricing must be confirmed at time of order); 30 min unload allowance</t>
        </is>
      </c>
      <c r="M32" s="2" t="inlineStr">
        <is>
          <t>SDPS excludes delivery-lift-off, commissioning-after-install-by-others wording varies per section; excludes incoming power, mech/elec site installation, cable extensions</t>
        </is>
      </c>
      <c r="N32" s="2" t="inlineStr">
        <is>
          <t>Not stated</t>
        </is>
      </c>
      <c r="O32" s="2" t="inlineStr">
        <is>
          <t>Freight included per line but 'must be confirmed at time of order'; commissioning priced separately @9,065 - avoid double-carry</t>
        </is>
      </c>
      <c r="P32" s="2" t="inlineStr">
        <is>
          <t>84,745.16</t>
        </is>
      </c>
      <c r="Q32" s="2" t="inlineStr">
        <is>
          <t>SDPS 3 L/s @35m FRP 2400x2800 dual Grundfos SEG40 @35,563 + freight 8,965; HW primary pump @3,560; 2x HWC pump sets @4,845; 2x rainwater pumps @2,092; rainwater filters @4,135.88; ice machine filters @4,258; commissioning @9,065.</t>
        </is>
      </c>
      <c r="R32" s="2" t="inlineStr">
        <is>
          <t>Pump/equipment benchmark</t>
        </is>
      </c>
      <c r="S32" s="2" t="inlineStr">
        <is>
          <t>02\CQUTafe_Material\big ticket and misc\aps pumps\Quote_No_13825 - CQU Rockhampton.pdf</t>
        </is>
      </c>
    </row>
    <row r="33">
      <c r="A33" s="2" t="inlineStr">
        <is>
          <t>C14</t>
        </is>
      </c>
      <c r="B33" s="2" t="inlineStr">
        <is>
          <t>Jaybro Group</t>
        </is>
      </c>
      <c r="C33" s="2" t="inlineStr">
        <is>
          <t>20024961 ('Pits &amp; Grates')</t>
        </is>
      </c>
      <c r="D33" s="2" t="inlineStr">
        <is>
          <t>-</t>
        </is>
      </c>
      <c r="E33" s="2" t="inlineStr">
        <is>
          <t>Quote (comparable) - EXPIRED</t>
        </is>
      </c>
      <c r="F33" s="2" t="inlineStr">
        <is>
          <t>13/04/26</t>
        </is>
      </c>
      <c r="G33" s="2" t="inlineStr">
        <is>
          <t>Quote Expiry 04/05/2026 - EXPIRED</t>
        </is>
      </c>
      <c r="H33" s="2" t="inlineStr">
        <is>
          <t>Tricore Civil Services Pty Ltd ATF The Tricore Services Trust</t>
        </is>
      </c>
      <c r="I33" s="2" t="inlineStr">
        <is>
          <t>Ship-to Moores Creek Road (CQU)</t>
        </is>
      </c>
      <c r="J33" s="2" t="inlineStr">
        <is>
          <t>Comparable-project reference</t>
        </is>
      </c>
      <c r="K33" s="2" t="inlineStr">
        <is>
          <t>Ex GST (net + GST shown)</t>
        </is>
      </c>
      <c r="L33" s="2" t="inlineStr">
        <is>
          <t>Shipping cond. 'Reg &amp; InSt Bulk'; no freight line</t>
        </is>
      </c>
      <c r="M33" s="2" t="inlineStr">
        <is>
          <t>Starred items non-returnable</t>
        </is>
      </c>
      <c r="N33" s="2" t="inlineStr">
        <is>
          <t>Not stated</t>
        </is>
      </c>
      <c r="O33" s="2" t="inlineStr">
        <is>
          <t>No freight line - add freight; Apr-26 rates</t>
        </is>
      </c>
      <c r="P33" s="2" t="inlineStr">
        <is>
          <t>1,418.06</t>
        </is>
      </c>
      <c r="Q33" s="2" t="inlineStr">
        <is>
          <t>Poly pit rate set: P30 300x300x450 @89.62 + grate @37.92; P45 450x450x600 @165.02 + riser @94.32 + grate @83.53; P60 600x600x600 @227.23 + riser @129.97 + grate @146.58; AS2000 SS-edge polymer channel @157.41/unit + 223mm Cl B SS heelguard grate @242.46.</t>
        </is>
      </c>
      <c r="R33" s="2" t="inlineStr">
        <is>
          <t>Civil SW pits benchmark (poly)</t>
        </is>
      </c>
      <c r="S33" s="2" t="inlineStr">
        <is>
          <t>02\CQUTafe_Material\big ticket and misc\jaybro\Tricore Civil - Pits.pdf</t>
        </is>
      </c>
    </row>
    <row r="34">
      <c r="A34" s="2" t="inlineStr">
        <is>
          <t>C15</t>
        </is>
      </c>
      <c r="B34" s="2" t="inlineStr">
        <is>
          <t>Tradelink</t>
        </is>
      </c>
      <c r="C34" s="2" t="inlineStr">
        <is>
          <t>1057331 SP (CQU)</t>
        </is>
      </c>
      <c r="D34" s="2" t="inlineStr">
        <is>
          <t>Rev 20/04/26</t>
        </is>
      </c>
      <c r="E34" s="2" t="inlineStr">
        <is>
          <t>Quote (comparable) - EXPIRED</t>
        </is>
      </c>
      <c r="F34" s="2" t="inlineStr">
        <is>
          <t>20/04/26</t>
        </is>
      </c>
      <c r="G34" s="2" t="inlineStr">
        <is>
          <t>Deliveries by 15/05/26 - EXPIRED</t>
        </is>
      </c>
      <c r="H34" s="2" t="inlineStr">
        <is>
          <t>TPS</t>
        </is>
      </c>
      <c r="I34" s="2" t="inlineStr">
        <is>
          <t>CQU project</t>
        </is>
      </c>
      <c r="J34" s="2" t="inlineStr">
        <is>
          <t>Comparable-project reference</t>
        </is>
      </c>
      <c r="K34" s="2" t="inlineStr">
        <is>
          <t>Ex GST</t>
        </is>
      </c>
      <c r="L34" s="2" t="inlineStr">
        <is>
          <t>$31.82+GST per delivery</t>
        </is>
      </c>
      <c r="M34" s="2" t="inlineStr">
        <is>
          <t>Package basis</t>
        </is>
      </c>
      <c r="N34" s="2" t="inlineStr">
        <is>
          <t>Not stated</t>
        </is>
      </c>
      <c r="O34" s="2" t="inlineStr">
        <is>
          <t>No freight/escalation in rates; Apr-26 - escalate</t>
        </is>
      </c>
      <c r="P34" s="2" t="inlineStr">
        <is>
          <t>156,578.63</t>
        </is>
      </c>
      <c r="Q34" s="2" t="inlineStr">
        <is>
          <t>Valve/backflow/TMV rate schedule: AGA lever ball valves 10-80; sluice valves 80-200 (246.50-795.60); butterfly valves; Aquablend 1000/2500 TMVs + SS cabinets; Valvcheq RPZ complete 15-50 (412.30-926.50); DCV 007 sets 15-50; Zip Flushmaster sensor @1,056.30; trap primer @475.60.</t>
        </is>
      </c>
      <c r="R34" s="2" t="inlineStr">
        <is>
          <t>Water valves/TMV/backflow benchmark</t>
        </is>
      </c>
      <c r="S34" s="2" t="inlineStr">
        <is>
          <t>02\CQUTafe_Material\big ticket and misc\tradelink\1057331_...260420.pdf</t>
        </is>
      </c>
    </row>
    <row r="35">
      <c r="A35" s="2" t="inlineStr">
        <is>
          <t>C16</t>
        </is>
      </c>
      <c r="B35" s="2" t="inlineStr">
        <is>
          <t>Tradelink</t>
        </is>
      </c>
      <c r="C35" s="2" t="inlineStr">
        <is>
          <t>1057331 SP (CQU)</t>
        </is>
      </c>
      <c r="D35" s="2" t="inlineStr">
        <is>
          <t>Orig 15/04/26</t>
        </is>
      </c>
      <c r="E35" s="2" t="inlineStr">
        <is>
          <t>Quote (comparable) - SUPERSEDED by 20/04 rev</t>
        </is>
      </c>
      <c r="F35" s="2" t="inlineStr">
        <is>
          <t>15/04/26</t>
        </is>
      </c>
      <c r="G35" s="2" t="inlineStr">
        <is>
          <t>Deliveries by 15/05/26</t>
        </is>
      </c>
      <c r="H35" s="2" t="inlineStr">
        <is>
          <t>TPS</t>
        </is>
      </c>
      <c r="I35" s="2" t="inlineStr">
        <is>
          <t>CQU project</t>
        </is>
      </c>
      <c r="J35" s="2" t="inlineStr">
        <is>
          <t>Comparable - SUPERSEDED</t>
        </is>
      </c>
      <c r="K35" s="2" t="inlineStr">
        <is>
          <t>Ex GST</t>
        </is>
      </c>
      <c r="L35" s="2" t="inlineStr">
        <is>
          <t>As C15</t>
        </is>
      </c>
      <c r="M35" s="2" t="inlineStr">
        <is>
          <t>As C15</t>
        </is>
      </c>
      <c r="N35" s="2" t="inlineStr">
        <is>
          <t>-</t>
        </is>
      </c>
      <c r="O35" s="2" t="inlineStr">
        <is>
          <t>As C15</t>
        </is>
      </c>
      <c r="P35" s="2" t="inlineStr">
        <is>
          <t>130,709.71</t>
        </is>
      </c>
      <c r="Q35" s="2" t="inlineStr">
        <is>
          <t>Earlier smaller cut of the same schedule. Use C15.</t>
        </is>
      </c>
      <c r="R35" s="2" t="inlineStr">
        <is>
          <t>Water valves benchmark</t>
        </is>
      </c>
      <c r="S35" s="2" t="inlineStr">
        <is>
          <t>02\CQUTafe_Material\...\tradelink\1057331_...pdf</t>
        </is>
      </c>
    </row>
    <row r="36">
      <c r="A36" s="2" t="inlineStr">
        <is>
          <t>C17</t>
        </is>
      </c>
      <c r="B36" s="2" t="inlineStr">
        <is>
          <t>Tradelink</t>
        </is>
      </c>
      <c r="C36" s="2" t="inlineStr">
        <is>
          <t>1060158 SP (NAS-Rockhampton Warehouse)</t>
        </is>
      </c>
      <c r="D36" s="2" t="inlineStr">
        <is>
          <t>-</t>
        </is>
      </c>
      <c r="E36" s="2" t="inlineStr">
        <is>
          <t>Quote (comparable) - EXPIRED</t>
        </is>
      </c>
      <c r="F36" s="2" t="inlineStr">
        <is>
          <t>14/05/26</t>
        </is>
      </c>
      <c r="G36" s="2" t="inlineStr">
        <is>
          <t>Deliveries by 13/06/26 - EXPIRED</t>
        </is>
      </c>
      <c r="H36" s="2" t="inlineStr">
        <is>
          <t>TPS</t>
        </is>
      </c>
      <c r="I36" s="2" t="inlineStr">
        <is>
          <t>NAS warehouse project</t>
        </is>
      </c>
      <c r="J36" s="2" t="inlineStr">
        <is>
          <t>Comparable-project reference</t>
        </is>
      </c>
      <c r="K36" s="2" t="inlineStr">
        <is>
          <t>Ex GST (care items GST-free)</t>
        </is>
      </c>
      <c r="L36" s="2" t="inlineStr">
        <is>
          <t>$31.82+GST per delivery</t>
        </is>
      </c>
      <c r="M36" s="2" t="inlineStr">
        <is>
          <t>Package basis</t>
        </is>
      </c>
      <c r="N36" s="2" t="inlineStr">
        <is>
          <t>Not stated</t>
        </is>
      </c>
      <c r="O36" s="2" t="inlineStr">
        <is>
          <t>No freight/escalation in rates</t>
        </is>
      </c>
      <c r="P36" s="2" t="inlineStr">
        <is>
          <t>29,533.84</t>
        </is>
      </c>
      <c r="Q36" s="2" t="inlineStr">
        <is>
          <t>Fixture set: Care 400 suite @737.10; 4x Opal CleanFlush suite @827.27; Cube 500 basins @443.54; care mixers @221.24; urinal kit @723.81; showers/rails.</t>
        </is>
      </c>
      <c r="R36" s="2" t="inlineStr">
        <is>
          <t>Fixtures benchmark (small commercial)</t>
        </is>
      </c>
      <c r="S36" s="2" t="inlineStr">
        <is>
          <t>02\NAS_Material\Fixtures\1060158_NAS-ROCKHAMPTON_WAREHOUSE.pdf</t>
        </is>
      </c>
    </row>
    <row r="37">
      <c r="A37" s="2" t="inlineStr">
        <is>
          <t>C18</t>
        </is>
      </c>
      <c r="B37" s="2" t="inlineStr">
        <is>
          <t>Tradelink</t>
        </is>
      </c>
      <c r="C37" s="2" t="inlineStr">
        <is>
          <t>1067047 SP (NAS Office &amp; Warehouse - 26608534)</t>
        </is>
      </c>
      <c r="D37" s="2" t="inlineStr">
        <is>
          <t>-</t>
        </is>
      </c>
      <c r="E37" s="2" t="inlineStr">
        <is>
          <t>Quote (comparable)</t>
        </is>
      </c>
      <c r="F37" s="2" t="inlineStr">
        <is>
          <t>24/07/26</t>
        </is>
      </c>
      <c r="G37" s="2" t="inlineStr">
        <is>
          <t>Printed 'deliveries made by 13/09/25' (as printed - apparent misprint; quote dated 24/07/26)</t>
        </is>
      </c>
      <c r="H37" s="2" t="inlineStr">
        <is>
          <t>TPS</t>
        </is>
      </c>
      <c r="I37" s="2" t="inlineStr">
        <is>
          <t>737 Yamba Road Parkhurst; 'PRODUCTS AND QUANTITIES TO BE CONFIRMED'</t>
        </is>
      </c>
      <c r="J37" s="2" t="inlineStr">
        <is>
          <t>Comparable-project reference</t>
        </is>
      </c>
      <c r="K37" s="2" t="inlineStr">
        <is>
          <t>Ex GST</t>
        </is>
      </c>
      <c r="L37" s="2" t="inlineStr">
        <is>
          <t>Standard Delivery Fee $22.72+GST per delivery (&lt;$100 = $45.45+GST)</t>
        </is>
      </c>
      <c r="M37" s="2" t="inlineStr">
        <is>
          <t>Products &amp; quantities TBC</t>
        </is>
      </c>
      <c r="N37" s="2" t="inlineStr">
        <is>
          <t>Not stated</t>
        </is>
      </c>
      <c r="O37" s="2" t="inlineStr">
        <is>
          <t>No freight/escalation in rates</t>
        </is>
      </c>
      <c r="P37" s="2" t="inlineStr">
        <is>
          <t>21,643.27</t>
        </is>
      </c>
      <c r="Q37" s="2" t="inlineStr">
        <is>
          <t>NAS fixture package (current pricing basis for similar Caroma/Stoddart items).</t>
        </is>
      </c>
      <c r="R37" s="2" t="inlineStr">
        <is>
          <t>Fixtures benchmark</t>
        </is>
      </c>
      <c r="S37" s="2" t="inlineStr">
        <is>
          <t>02\NAS_Material\Fixtures\1067047_NAS_OFFICE_&amp;_WAREHOUSE_-_26608534.pdf</t>
        </is>
      </c>
    </row>
    <row r="38">
      <c r="A38" s="2" t="inlineStr">
        <is>
          <t>C19</t>
        </is>
      </c>
      <c r="B38" s="2" t="inlineStr">
        <is>
          <t>Nitren (client schedule) / Tradelink prices</t>
        </is>
      </c>
      <c r="C38" s="2" t="inlineStr">
        <is>
          <t>NAS OF Nitren fixture schedule.xlsx (2 versions, minor rate diffs)</t>
        </is>
      </c>
      <c r="D38" s="2" t="inlineStr">
        <is>
          <t>-</t>
        </is>
      </c>
      <c r="E38" s="2" t="inlineStr">
        <is>
          <t>Fixture schedule (xlsx)</t>
        </is>
      </c>
      <c r="F38" s="2" t="inlineStr">
        <is>
          <t>-</t>
        </is>
      </c>
      <c r="G38" s="2" t="inlineStr">
        <is>
          <t>-</t>
        </is>
      </c>
      <c r="H38" s="2" t="inlineStr">
        <is>
          <t>-</t>
        </is>
      </c>
      <c r="I38" s="2" t="inlineStr">
        <is>
          <t>Two versions on file: 'Copy' totals 14,651.71; 'ss_' version has slightly different rates (e.g. 987919BAG 737.10 vs 729.07; 631010W 547.24 vs 421.37)</t>
        </is>
      </c>
      <c r="J38" s="2" t="inlineStr">
        <is>
          <t>Comparable-project reference</t>
        </is>
      </c>
      <c r="K38" s="2" t="inlineStr">
        <is>
          <t>Rates appear ex GST</t>
        </is>
      </c>
      <c r="L38" s="2" t="inlineStr">
        <is>
          <t>-</t>
        </is>
      </c>
      <c r="M38" s="2" t="inlineStr">
        <is>
          <t>-</t>
        </is>
      </c>
      <c r="N38" s="2" t="inlineStr">
        <is>
          <t>-</t>
        </is>
      </c>
      <c r="O38" s="2" t="inlineStr">
        <is>
          <t>Client-side schedule with rates keyed from Tradelink quotes - NOT a supplier offer</t>
        </is>
      </c>
      <c r="P38" s="2" t="inlineStr">
        <is>
          <t>14,651.71 (Copy version)</t>
        </is>
      </c>
      <c r="Q38" s="2" t="inlineStr">
        <is>
          <t>FF&amp;E schedule w/ marks (F20-F42): Cosmo Sovereign Care suite 729.07; Opal suites 806.67; Cube 500 461.71; Hydrotap G5 BCS20 5,698.16; urinal 1,150.12.</t>
        </is>
      </c>
      <c r="R38" s="2" t="inlineStr">
        <is>
          <t>Fixtures schedule format reference</t>
        </is>
      </c>
      <c r="S38" s="2" t="inlineStr">
        <is>
          <t>02\NAS_Material\Fixtures\NAS OF Nitren fixture schedule - Copy.xlsx + ss_ version</t>
        </is>
      </c>
    </row>
    <row r="39">
      <c r="A39" s="2" t="inlineStr">
        <is>
          <t>C20</t>
        </is>
      </c>
      <c r="B39" s="2" t="inlineStr">
        <is>
          <t>Reece Australia</t>
        </is>
      </c>
      <c r="C39" s="2" t="inlineStr">
        <is>
          <t>Q-459014437 (NAS)</t>
        </is>
      </c>
      <c r="D39" s="2" t="inlineStr">
        <is>
          <t>-</t>
        </is>
      </c>
      <c r="E39" s="2" t="inlineStr">
        <is>
          <t>Quote (comparable) - CURRENT</t>
        </is>
      </c>
      <c r="F39" s="2" t="inlineStr">
        <is>
          <t>16/07/26</t>
        </is>
      </c>
      <c r="G39" s="2" t="inlineStr">
        <is>
          <t>Expiry 16/08/2026</t>
        </is>
      </c>
      <c r="H39" s="2" t="inlineStr">
        <is>
          <t>TCS</t>
        </is>
      </c>
      <c r="I39" s="2" t="inlineStr">
        <is>
          <t>NAS project</t>
        </is>
      </c>
      <c r="J39" s="2" t="inlineStr">
        <is>
          <t>Comparable-project reference</t>
        </is>
      </c>
      <c r="K39" s="2" t="inlineStr">
        <is>
          <t>Ex GST</t>
        </is>
      </c>
      <c r="L39" s="2" t="inlineStr">
        <is>
          <t>$40+GST per delivery ground floor</t>
        </is>
      </c>
      <c r="M39" s="2" t="inlineStr">
        <is>
          <t>SAP terms</t>
        </is>
      </c>
      <c r="N39" s="2" t="inlineStr">
        <is>
          <t>Not stated</t>
        </is>
      </c>
      <c r="O39" s="2" t="inlineStr">
        <is>
          <t>No freight/escalation in rates; current Jul-26 pricing - best PE100 benchmark on file</t>
        </is>
      </c>
      <c r="P39" s="2" t="inlineStr">
        <is>
          <t>35,011.65</t>
        </is>
      </c>
      <c r="Q39" s="2" t="inlineStr">
        <is>
          <t>Water/fire main rates: PE100 PN16 blue-stripe 125 @186.65/6m (31.1/m); 50 coils @802/150m; 40 @241.42/50m; Friatec EF couplers 125 @36.28, tap tees 125x40 @173.53; hydrant riser twin @399.13; Cu rough-in: Ardent HD 25 @147.13/len; sewer/underslab DWV rates; Evopex PEX rates; TMV/RPZ singles.</t>
        </is>
      </c>
      <c r="R39" s="2" t="inlineStr">
        <is>
          <t>Water/fire mains (PE100) + rough-in benchmark</t>
        </is>
      </c>
      <c r="S39" s="2" t="inlineStr">
        <is>
          <t>02\NAS_Material\Material\hydraluic material\reece\Q-459014437-...pdf</t>
        </is>
      </c>
    </row>
    <row r="40">
      <c r="A40" s="2" t="inlineStr">
        <is>
          <t>C21</t>
        </is>
      </c>
      <c r="B40" s="2" t="inlineStr">
        <is>
          <t>Tradelink</t>
        </is>
      </c>
      <c r="C40" s="2" t="inlineStr">
        <is>
          <t>1066369 SP (NAS)</t>
        </is>
      </c>
      <c r="D40" s="2" t="inlineStr">
        <is>
          <t>-</t>
        </is>
      </c>
      <c r="E40" s="2" t="inlineStr">
        <is>
          <t>Quote (comparable) - CURRENT</t>
        </is>
      </c>
      <c r="F40" s="2" t="inlineStr">
        <is>
          <t>17/07/26</t>
        </is>
      </c>
      <c r="G40" s="2" t="inlineStr">
        <is>
          <t>Deliveries by 16/08/26</t>
        </is>
      </c>
      <c r="H40" s="2" t="inlineStr">
        <is>
          <t>TCS</t>
        </is>
      </c>
      <c r="I40" s="2" t="inlineStr">
        <is>
          <t>NAS project</t>
        </is>
      </c>
      <c r="J40" s="2" t="inlineStr">
        <is>
          <t>Comparable-project reference</t>
        </is>
      </c>
      <c r="K40" s="2" t="inlineStr">
        <is>
          <t>Ex GST</t>
        </is>
      </c>
      <c r="L40" s="2" t="inlineStr">
        <is>
          <t>$31.82+GST per delivery</t>
        </is>
      </c>
      <c r="M40" s="2" t="inlineStr">
        <is>
          <t>Package basis</t>
        </is>
      </c>
      <c r="N40" s="2" t="inlineStr">
        <is>
          <t>Not stated</t>
        </is>
      </c>
      <c r="O40" s="2" t="inlineStr">
        <is>
          <t>No freight/escalation in rates</t>
        </is>
      </c>
      <c r="P40" s="2" t="inlineStr">
        <is>
          <t>20,520.51</t>
        </is>
      </c>
      <c r="Q40" s="2" t="inlineStr">
        <is>
          <t>Hydraulic DWV/PE/copper smalls: DWV multilayer SN6 100 @29.00/6m; PE 125 PN16 @198.50/6m; EF fittings; Cu 20 @96.94/6m; tundish @68.50.</t>
        </is>
      </c>
      <c r="R40" s="2" t="inlineStr">
        <is>
          <t>Sewer/water rough-in benchmark</t>
        </is>
      </c>
      <c r="S40" s="2" t="inlineStr">
        <is>
          <t>02\NAS_Material\Material\hydraluic material\tradelink\1066369_...pdf</t>
        </is>
      </c>
    </row>
    <row r="41">
      <c r="A41" s="2" t="inlineStr">
        <is>
          <t>C22</t>
        </is>
      </c>
      <c r="B41" s="2" t="inlineStr">
        <is>
          <t>Humes (Holcim)</t>
        </is>
      </c>
      <c r="C41" s="2" t="inlineStr">
        <is>
          <t>Q21641195</t>
        </is>
      </c>
      <c r="D41" s="2" t="inlineStr">
        <is>
          <t>REV1 (06.07.26)</t>
        </is>
      </c>
      <c r="E41" s="2" t="inlineStr">
        <is>
          <t>Quote (comparable) - CURRENT</t>
        </is>
      </c>
      <c r="F41" s="2" t="inlineStr">
        <is>
          <t>06/07/26</t>
        </is>
      </c>
      <c r="G41" s="2" t="inlineStr">
        <is>
          <t>Valid to 06.08.2026</t>
        </is>
      </c>
      <c r="H41" s="2" t="inlineStr">
        <is>
          <t>TRICORE PLUMBING (TPS)</t>
        </is>
      </c>
      <c r="I41" s="2" t="inlineStr">
        <is>
          <t>NAS project 787 Yaamba Rd Parkhurst</t>
        </is>
      </c>
      <c r="J41" s="2" t="inlineStr">
        <is>
          <t>Comparable-project reference</t>
        </is>
      </c>
      <c r="K41" s="2" t="inlineStr">
        <is>
          <t>Ex GST</t>
        </is>
      </c>
      <c r="L41" s="2" t="inlineStr">
        <is>
          <t>Freight FOT to site customer-to-unload &lt;24km @710/load included; same Humes terms as P04</t>
        </is>
      </c>
      <c r="M41" s="2" t="inlineStr">
        <is>
          <t>Same Humes standard clauses (no LDs, schedule of rates, quantities client-checked)</t>
        </is>
      </c>
      <c r="N41" s="2" t="inlineStr">
        <is>
          <t>Based on mould availability</t>
        </is>
      </c>
      <c r="O41" s="2" t="inlineStr">
        <is>
          <t>Freight line in total; current Jul-26 pricing</t>
        </is>
      </c>
      <c r="P41" s="2" t="inlineStr">
        <is>
          <t>6,155.53</t>
        </is>
      </c>
      <c r="Q41" s="2" t="inlineStr">
        <is>
          <t>Precast pits: 600x600x600 base @423.20; riser 600x600x300 @228.45; 600 Cl D drop-in grate @325.45; headwall 375 AS @399.73; freight @710.</t>
        </is>
      </c>
      <c r="R41" s="2" t="inlineStr">
        <is>
          <t>Civil SW pits/headwall benchmark (Humes vs Jaybro/Tradelink cross-check)</t>
        </is>
      </c>
      <c r="S41" s="2" t="inlineStr">
        <is>
          <t>02\NAS_Material\Material\pit and headwall\humes\HUMES_Q21641195_REV1_...pdf</t>
        </is>
      </c>
    </row>
    <row r="42">
      <c r="A42" s="2" t="inlineStr">
        <is>
          <t>C23</t>
        </is>
      </c>
      <c r="B42" s="2" t="inlineStr">
        <is>
          <t>Jaybro Group</t>
        </is>
      </c>
      <c r="C42" s="2" t="inlineStr">
        <is>
          <t>20043160</t>
        </is>
      </c>
      <c r="D42" s="2" t="inlineStr">
        <is>
          <t>-</t>
        </is>
      </c>
      <c r="E42" s="2" t="inlineStr">
        <is>
          <t>Quote (comparable) - just expired</t>
        </is>
      </c>
      <c r="F42" s="2" t="inlineStr">
        <is>
          <t>02/07/26</t>
        </is>
      </c>
      <c r="G42" s="2" t="inlineStr">
        <is>
          <t>Quote Expiry 22/07/2026 - EXPIRED</t>
        </is>
      </c>
      <c r="H42" s="2" t="inlineStr">
        <is>
          <t>Tricore Civil Services Pty Ltd ATF The Tricore Services Trust</t>
        </is>
      </c>
      <c r="I42" s="2" t="inlineStr">
        <is>
          <t>NAS 787 Yaamba Rd Parkhurst</t>
        </is>
      </c>
      <c r="J42" s="2" t="inlineStr">
        <is>
          <t>Comparable-project reference</t>
        </is>
      </c>
      <c r="K42" s="2" t="inlineStr">
        <is>
          <t>Ex GST</t>
        </is>
      </c>
      <c r="L42" s="2" t="inlineStr">
        <is>
          <t>FREIGHT-REGIONAL line 1,250 included</t>
        </is>
      </c>
      <c r="M42" s="2" t="inlineStr">
        <is>
          <t>Starred items non-returnable</t>
        </is>
      </c>
      <c r="N42" s="2" t="inlineStr">
        <is>
          <t>Not stated</t>
        </is>
      </c>
      <c r="O42" s="2" t="inlineStr">
        <is>
          <t>Freight line in total (regional freight to Rockhampton 1,250/lot benchmark)</t>
        </is>
      </c>
      <c r="P42" s="2" t="inlineStr">
        <is>
          <t>10,719.00</t>
        </is>
      </c>
      <c r="Q42" s="2" t="inlineStr">
        <is>
          <t>Concrete pit rate set: 450x450x450 base @151; 600x600x600 base @205; risers 107-146; hinged G&amp;F Cl D 450 @475 / 600 @583; drop-in G&amp;F Cl D 450 @144 / 600 @193; HW 300 SRC @352; HW small 100-225 @280; mini HW @130; freight 1,250.</t>
        </is>
      </c>
      <c r="R42" s="2" t="inlineStr">
        <is>
          <t>Civil SW pits/grates/headwalls benchmark</t>
        </is>
      </c>
      <c r="S42" s="2" t="inlineStr">
        <is>
          <t>02\NAS_Material\Material\pit and headwall\jaybro\tricore 20043160.pdf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44" customWidth="1" min="3" max="3"/>
    <col width="11" customWidth="1" min="4" max="4"/>
    <col width="12" customWidth="1" min="5" max="5"/>
    <col width="7" customWidth="1" min="6" max="6"/>
    <col width="20" customWidth="1" min="7" max="7"/>
    <col width="18" customWidth="1" min="8" max="8"/>
    <col width="16" customWidth="1" min="9" max="9"/>
    <col width="18" customWidth="1" min="10" max="10"/>
    <col width="55" customWidth="1" min="11" max="11"/>
  </cols>
  <sheetData>
    <row r="1" ht="30" customHeight="1">
      <c r="A1" s="1" t="inlineStr">
        <is>
          <t>Supplier</t>
        </is>
      </c>
      <c r="B1" s="1" t="inlineStr">
        <is>
          <t>Quote ref</t>
        </is>
      </c>
      <c r="C1" s="1" t="inlineStr">
        <is>
          <t>Item</t>
        </is>
      </c>
      <c r="D1" s="1" t="inlineStr">
        <is>
          <t>Unit</t>
        </is>
      </c>
      <c r="E1" s="1" t="inlineStr">
        <is>
          <t>Rate ex GST</t>
        </is>
      </c>
      <c r="F1" s="1" t="inlineStr">
        <is>
          <t>Ex GST?</t>
        </is>
      </c>
      <c r="G1" s="1" t="inlineStr">
        <is>
          <t>Freight included in rate?</t>
        </is>
      </c>
      <c r="H1" s="1" t="inlineStr">
        <is>
          <t>Escalation embedded?</t>
        </is>
      </c>
      <c r="I1" s="1" t="inlineStr">
        <is>
          <t>Safe to x1.18 contingency?</t>
        </is>
      </c>
      <c r="J1" s="1" t="inlineStr">
        <is>
          <t>Safe to x1.38 escalation-to-2027?</t>
        </is>
      </c>
      <c r="K1" s="1" t="inlineStr">
        <is>
          <t>Notes / double-count flags</t>
        </is>
      </c>
    </row>
    <row r="2">
      <c r="A2" s="2" t="inlineStr">
        <is>
          <t>Humes</t>
        </is>
      </c>
      <c r="B2" s="2" t="inlineStr">
        <is>
          <t>Q21642316 R2</t>
        </is>
      </c>
      <c r="C2" s="2" t="inlineStr">
        <is>
          <t>RCP 375 Class 4 RJ MRTS (2.44m eff.)</t>
        </is>
      </c>
      <c r="D2" s="2" t="inlineStr">
        <is>
          <t>len (2.44m)</t>
        </is>
      </c>
      <c r="E2" s="3" t="n">
        <v>256.2</v>
      </c>
      <c r="F2" s="2" t="inlineStr">
        <is>
          <t>Y</t>
        </is>
      </c>
      <c r="G2" s="2" t="inlineStr">
        <is>
          <t>N (freight is separate line)</t>
        </is>
      </c>
      <c r="H2" s="2" t="inlineStr">
        <is>
          <t>N</t>
        </is>
      </c>
      <c r="I2" s="2" t="inlineStr">
        <is>
          <t>Y</t>
        </is>
      </c>
      <c r="J2" s="2" t="inlineStr">
        <is>
          <t>Y - needed once</t>
        </is>
      </c>
      <c r="K2" s="2" t="inlineStr">
        <is>
          <t>Supply-only rate; unloading/cranage by others; add crane. Made-to-order, non-returnable.</t>
        </is>
      </c>
    </row>
    <row r="3">
      <c r="A3" s="2" t="inlineStr">
        <is>
          <t>Humes</t>
        </is>
      </c>
      <c r="B3" s="2" t="inlineStr">
        <is>
          <t>Q21642316 R2</t>
        </is>
      </c>
      <c r="C3" s="2" t="inlineStr">
        <is>
          <t>375 rubber ring</t>
        </is>
      </c>
      <c r="D3" s="2" t="inlineStr">
        <is>
          <t>ea</t>
        </is>
      </c>
      <c r="E3" s="3" t="n">
        <v>4.8</v>
      </c>
      <c r="F3" s="2" t="inlineStr">
        <is>
          <t>Y</t>
        </is>
      </c>
      <c r="G3" s="2" t="inlineStr">
        <is>
          <t>N (freight is separate line)</t>
        </is>
      </c>
      <c r="H3" s="2" t="inlineStr">
        <is>
          <t>N</t>
        </is>
      </c>
      <c r="I3" s="2" t="inlineStr">
        <is>
          <t>Y</t>
        </is>
      </c>
      <c r="J3" s="2" t="inlineStr">
        <is>
          <t>Y - needed once</t>
        </is>
      </c>
      <c r="K3" s="2" t="inlineStr">
        <is>
          <t>Supply-only rate; unloading/cranage by others; add crane. Made-to-order, non-returnable.</t>
        </is>
      </c>
    </row>
    <row r="4">
      <c r="A4" s="2" t="inlineStr">
        <is>
          <t>Humes</t>
        </is>
      </c>
      <c r="B4" s="2" t="inlineStr">
        <is>
          <t>Q21642316 R2</t>
        </is>
      </c>
      <c r="C4" s="2" t="inlineStr">
        <is>
          <t>RCP 600 Class 3 (2.44m)</t>
        </is>
      </c>
      <c r="D4" s="2" t="inlineStr">
        <is>
          <t>len</t>
        </is>
      </c>
      <c r="E4" s="3" t="n">
        <v>447.9</v>
      </c>
      <c r="F4" s="2" t="inlineStr">
        <is>
          <t>Y</t>
        </is>
      </c>
      <c r="G4" s="2" t="inlineStr">
        <is>
          <t>N (freight is separate line)</t>
        </is>
      </c>
      <c r="H4" s="2" t="inlineStr">
        <is>
          <t>N</t>
        </is>
      </c>
      <c r="I4" s="2" t="inlineStr">
        <is>
          <t>Y</t>
        </is>
      </c>
      <c r="J4" s="2" t="inlineStr">
        <is>
          <t>Y - needed once</t>
        </is>
      </c>
      <c r="K4" s="2" t="inlineStr">
        <is>
          <t>Supply-only rate; unloading/cranage by others; add crane. Made-to-order, non-returnable.</t>
        </is>
      </c>
    </row>
    <row r="5">
      <c r="A5" s="2" t="inlineStr">
        <is>
          <t>Humes</t>
        </is>
      </c>
      <c r="B5" s="2" t="inlineStr">
        <is>
          <t>Q21642316 R2</t>
        </is>
      </c>
      <c r="C5" s="2" t="inlineStr">
        <is>
          <t>Headwall 375mm</t>
        </is>
      </c>
      <c r="D5" s="2" t="inlineStr">
        <is>
          <t>ea</t>
        </is>
      </c>
      <c r="E5" s="3" t="n">
        <v>380.8</v>
      </c>
      <c r="F5" s="2" t="inlineStr">
        <is>
          <t>Y</t>
        </is>
      </c>
      <c r="G5" s="2" t="inlineStr">
        <is>
          <t>N (freight is separate line)</t>
        </is>
      </c>
      <c r="H5" s="2" t="inlineStr">
        <is>
          <t>N</t>
        </is>
      </c>
      <c r="I5" s="2" t="inlineStr">
        <is>
          <t>Y</t>
        </is>
      </c>
      <c r="J5" s="2" t="inlineStr">
        <is>
          <t>Y - needed once</t>
        </is>
      </c>
      <c r="K5" s="2" t="inlineStr">
        <is>
          <t>Supply-only rate; unloading/cranage by others; add crane. Made-to-order, non-returnable.</t>
        </is>
      </c>
    </row>
    <row r="6">
      <c r="A6" s="2" t="inlineStr">
        <is>
          <t>Humes</t>
        </is>
      </c>
      <c r="B6" s="2" t="inlineStr">
        <is>
          <t>Q21642316 R2</t>
        </is>
      </c>
      <c r="C6" s="2" t="inlineStr">
        <is>
          <t>Headwall 375mm twin cell</t>
        </is>
      </c>
      <c r="D6" s="2" t="inlineStr">
        <is>
          <t>ea</t>
        </is>
      </c>
      <c r="E6" s="3" t="n">
        <v>588.8</v>
      </c>
      <c r="F6" s="2" t="inlineStr">
        <is>
          <t>Y</t>
        </is>
      </c>
      <c r="G6" s="2" t="inlineStr">
        <is>
          <t>N (freight is separate line)</t>
        </is>
      </c>
      <c r="H6" s="2" t="inlineStr">
        <is>
          <t>N</t>
        </is>
      </c>
      <c r="I6" s="2" t="inlineStr">
        <is>
          <t>Y</t>
        </is>
      </c>
      <c r="J6" s="2" t="inlineStr">
        <is>
          <t>Y - needed once</t>
        </is>
      </c>
      <c r="K6" s="2" t="inlineStr">
        <is>
          <t>Supply-only rate; unloading/cranage by others; add crane. Made-to-order, non-returnable.</t>
        </is>
      </c>
    </row>
    <row r="7">
      <c r="A7" s="2" t="inlineStr">
        <is>
          <t>Humes</t>
        </is>
      </c>
      <c r="B7" s="2" t="inlineStr">
        <is>
          <t>Q21642316 R2</t>
        </is>
      </c>
      <c r="C7" s="2" t="inlineStr">
        <is>
          <t>BC crown 900x450x2.4 MRTS</t>
        </is>
      </c>
      <c r="D7" s="2" t="inlineStr">
        <is>
          <t>ea</t>
        </is>
      </c>
      <c r="E7" s="3" t="n">
        <v>1404.8</v>
      </c>
      <c r="F7" s="2" t="inlineStr">
        <is>
          <t>Y</t>
        </is>
      </c>
      <c r="G7" s="2" t="inlineStr">
        <is>
          <t>N (freight is separate line)</t>
        </is>
      </c>
      <c r="H7" s="2" t="inlineStr">
        <is>
          <t>N</t>
        </is>
      </c>
      <c r="I7" s="2" t="inlineStr">
        <is>
          <t>Y</t>
        </is>
      </c>
      <c r="J7" s="2" t="inlineStr">
        <is>
          <t>Y - needed once</t>
        </is>
      </c>
      <c r="K7" s="2" t="inlineStr">
        <is>
          <t>Supply-only rate; unloading/cranage by others; add crane. Made-to-order, non-returnable.</t>
        </is>
      </c>
    </row>
    <row r="8">
      <c r="A8" s="2" t="inlineStr">
        <is>
          <t>Humes</t>
        </is>
      </c>
      <c r="B8" s="2" t="inlineStr">
        <is>
          <t>Q21642316 R2</t>
        </is>
      </c>
      <c r="C8" s="2" t="inlineStr">
        <is>
          <t>BCC headwall 900x450 AS</t>
        </is>
      </c>
      <c r="D8" s="2" t="inlineStr">
        <is>
          <t>ea</t>
        </is>
      </c>
      <c r="E8" s="3" t="n">
        <v>2425.63</v>
      </c>
      <c r="F8" s="2" t="inlineStr">
        <is>
          <t>Y</t>
        </is>
      </c>
      <c r="G8" s="2" t="inlineStr">
        <is>
          <t>N (freight is separate line)</t>
        </is>
      </c>
      <c r="H8" s="2" t="inlineStr">
        <is>
          <t>N</t>
        </is>
      </c>
      <c r="I8" s="2" t="inlineStr">
        <is>
          <t>Y</t>
        </is>
      </c>
      <c r="J8" s="2" t="inlineStr">
        <is>
          <t>Y - needed once</t>
        </is>
      </c>
      <c r="K8" s="2" t="inlineStr">
        <is>
          <t>Supply-only rate; unloading/cranage by others; add crane. Made-to-order, non-returnable.</t>
        </is>
      </c>
    </row>
    <row r="9">
      <c r="A9" s="2" t="inlineStr">
        <is>
          <t>Humes</t>
        </is>
      </c>
      <c r="B9" s="2" t="inlineStr">
        <is>
          <t>Q21642316 R2</t>
        </is>
      </c>
      <c r="C9" s="2" t="inlineStr">
        <is>
          <t>BC crown 1200x600x2.4 MRTS</t>
        </is>
      </c>
      <c r="D9" s="2" t="inlineStr">
        <is>
          <t>ea</t>
        </is>
      </c>
      <c r="E9" s="3" t="n">
        <v>1718.4</v>
      </c>
      <c r="F9" s="2" t="inlineStr">
        <is>
          <t>Y</t>
        </is>
      </c>
      <c r="G9" s="2" t="inlineStr">
        <is>
          <t>N (freight is separate line)</t>
        </is>
      </c>
      <c r="H9" s="2" t="inlineStr">
        <is>
          <t>N</t>
        </is>
      </c>
      <c r="I9" s="2" t="inlineStr">
        <is>
          <t>Y</t>
        </is>
      </c>
      <c r="J9" s="2" t="inlineStr">
        <is>
          <t>Y - needed once</t>
        </is>
      </c>
      <c r="K9" s="2" t="inlineStr">
        <is>
          <t>Supply-only rate; unloading/cranage by others; add crane. Made-to-order, non-returnable.</t>
        </is>
      </c>
    </row>
    <row r="10">
      <c r="A10" s="2" t="inlineStr">
        <is>
          <t>Humes</t>
        </is>
      </c>
      <c r="B10" s="2" t="inlineStr">
        <is>
          <t>Q21642316 R2</t>
        </is>
      </c>
      <c r="C10" s="2" t="inlineStr">
        <is>
          <t>BCC headwall 1200x600 AS</t>
        </is>
      </c>
      <c r="D10" s="2" t="inlineStr">
        <is>
          <t>ea</t>
        </is>
      </c>
      <c r="E10" s="3" t="n">
        <v>3322.45</v>
      </c>
      <c r="F10" s="2" t="inlineStr">
        <is>
          <t>Y</t>
        </is>
      </c>
      <c r="G10" s="2" t="inlineStr">
        <is>
          <t>N (freight is separate line)</t>
        </is>
      </c>
      <c r="H10" s="2" t="inlineStr">
        <is>
          <t>N</t>
        </is>
      </c>
      <c r="I10" s="2" t="inlineStr">
        <is>
          <t>Y</t>
        </is>
      </c>
      <c r="J10" s="2" t="inlineStr">
        <is>
          <t>Y - needed once</t>
        </is>
      </c>
      <c r="K10" s="2" t="inlineStr">
        <is>
          <t>Supply-only rate; unloading/cranage by others; add crane. Made-to-order, non-returnable.</t>
        </is>
      </c>
    </row>
    <row r="11">
      <c r="A11" s="2" t="inlineStr">
        <is>
          <t>Humes</t>
        </is>
      </c>
      <c r="B11" s="2" t="inlineStr">
        <is>
          <t>Q21642316 R2</t>
        </is>
      </c>
      <c r="C11" s="2" t="inlineStr">
        <is>
          <t>BC crown 750x300x2.4 MRTS</t>
        </is>
      </c>
      <c r="D11" s="2" t="inlineStr">
        <is>
          <t>ea</t>
        </is>
      </c>
      <c r="E11" s="3" t="n">
        <v>1171.2</v>
      </c>
      <c r="F11" s="2" t="inlineStr">
        <is>
          <t>Y</t>
        </is>
      </c>
      <c r="G11" s="2" t="inlineStr">
        <is>
          <t>N (freight is separate line)</t>
        </is>
      </c>
      <c r="H11" s="2" t="inlineStr">
        <is>
          <t>N</t>
        </is>
      </c>
      <c r="I11" s="2" t="inlineStr">
        <is>
          <t>Y</t>
        </is>
      </c>
      <c r="J11" s="2" t="inlineStr">
        <is>
          <t>Y - needed once</t>
        </is>
      </c>
      <c r="K11" s="2" t="inlineStr">
        <is>
          <t>Supply-only rate; unloading/cranage by others; add crane. Made-to-order, non-returnable.</t>
        </is>
      </c>
    </row>
    <row r="12">
      <c r="A12" s="2" t="inlineStr">
        <is>
          <t>Humes</t>
        </is>
      </c>
      <c r="B12" s="2" t="inlineStr">
        <is>
          <t>Q21642316 R2</t>
        </is>
      </c>
      <c r="C12" s="2" t="inlineStr">
        <is>
          <t>BCC headwall 750x300 AS</t>
        </is>
      </c>
      <c r="D12" s="2" t="inlineStr">
        <is>
          <t>ea</t>
        </is>
      </c>
      <c r="E12" s="3" t="n">
        <v>2162.6</v>
      </c>
      <c r="F12" s="2" t="inlineStr">
        <is>
          <t>Y</t>
        </is>
      </c>
      <c r="G12" s="2" t="inlineStr">
        <is>
          <t>N (freight is separate line)</t>
        </is>
      </c>
      <c r="H12" s="2" t="inlineStr">
        <is>
          <t>N</t>
        </is>
      </c>
      <c r="I12" s="2" t="inlineStr">
        <is>
          <t>Y</t>
        </is>
      </c>
      <c r="J12" s="2" t="inlineStr">
        <is>
          <t>Y - needed once</t>
        </is>
      </c>
      <c r="K12" s="2" t="inlineStr">
        <is>
          <t>Supply-only rate; unloading/cranage by others; add crane. Made-to-order, non-returnable.</t>
        </is>
      </c>
    </row>
    <row r="13">
      <c r="A13" s="2" t="inlineStr">
        <is>
          <t>Humes</t>
        </is>
      </c>
      <c r="B13" s="2" t="inlineStr">
        <is>
          <t>Q21642316 R2</t>
        </is>
      </c>
      <c r="C13" s="2" t="inlineStr">
        <is>
          <t>BC crown 600x300x2.4 MRTS</t>
        </is>
      </c>
      <c r="D13" s="2" t="inlineStr">
        <is>
          <t>ea</t>
        </is>
      </c>
      <c r="E13" s="3" t="n">
        <v>1095</v>
      </c>
      <c r="F13" s="2" t="inlineStr">
        <is>
          <t>Y</t>
        </is>
      </c>
      <c r="G13" s="2" t="inlineStr">
        <is>
          <t>N (freight is separate line)</t>
        </is>
      </c>
      <c r="H13" s="2" t="inlineStr">
        <is>
          <t>N</t>
        </is>
      </c>
      <c r="I13" s="2" t="inlineStr">
        <is>
          <t>Y</t>
        </is>
      </c>
      <c r="J13" s="2" t="inlineStr">
        <is>
          <t>Y - needed once</t>
        </is>
      </c>
      <c r="K13" s="2" t="inlineStr">
        <is>
          <t>Supply-only rate; unloading/cranage by others; add crane. Made-to-order, non-returnable.</t>
        </is>
      </c>
    </row>
    <row r="14">
      <c r="A14" s="2" t="inlineStr">
        <is>
          <t>Humes</t>
        </is>
      </c>
      <c r="B14" s="2" t="inlineStr">
        <is>
          <t>Q21642316 R2</t>
        </is>
      </c>
      <c r="C14" s="2" t="inlineStr">
        <is>
          <t>BCC headwall 600x300 AS</t>
        </is>
      </c>
      <c r="D14" s="2" t="inlineStr">
        <is>
          <t>ea</t>
        </is>
      </c>
      <c r="E14" s="3" t="n">
        <v>1800.63</v>
      </c>
      <c r="F14" s="2" t="inlineStr">
        <is>
          <t>Y</t>
        </is>
      </c>
      <c r="G14" s="2" t="inlineStr">
        <is>
          <t>N (freight is separate line)</t>
        </is>
      </c>
      <c r="H14" s="2" t="inlineStr">
        <is>
          <t>N</t>
        </is>
      </c>
      <c r="I14" s="2" t="inlineStr">
        <is>
          <t>Y</t>
        </is>
      </c>
      <c r="J14" s="2" t="inlineStr">
        <is>
          <t>Y - needed once</t>
        </is>
      </c>
      <c r="K14" s="2" t="inlineStr">
        <is>
          <t>Supply-only rate; unloading/cranage by others; add crane. Made-to-order, non-returnable.</t>
        </is>
      </c>
    </row>
    <row r="15">
      <c r="A15" s="2" t="inlineStr">
        <is>
          <t>Humes</t>
        </is>
      </c>
      <c r="B15" s="2" t="inlineStr">
        <is>
          <t>Q21642316 R2</t>
        </is>
      </c>
      <c r="C15" s="2" t="inlineStr">
        <is>
          <t>Large box culvert 1500x600x2.4 AS1597.2</t>
        </is>
      </c>
      <c r="D15" s="2" t="inlineStr">
        <is>
          <t>ea</t>
        </is>
      </c>
      <c r="E15" s="3" t="n">
        <v>3065.72</v>
      </c>
      <c r="F15" s="2" t="inlineStr">
        <is>
          <t>Y</t>
        </is>
      </c>
      <c r="G15" s="2" t="inlineStr">
        <is>
          <t>N (freight is separate line)</t>
        </is>
      </c>
      <c r="H15" s="2" t="inlineStr">
        <is>
          <t>N</t>
        </is>
      </c>
      <c r="I15" s="2" t="inlineStr">
        <is>
          <t>Y</t>
        </is>
      </c>
      <c r="J15" s="2" t="inlineStr">
        <is>
          <t>Y - needed once</t>
        </is>
      </c>
      <c r="K15" s="2" t="inlineStr">
        <is>
          <t>Supply-only rate; unloading/cranage by others; add crane. Made-to-order, non-returnable.</t>
        </is>
      </c>
    </row>
    <row r="16">
      <c r="A16" s="2" t="inlineStr">
        <is>
          <t>Humes</t>
        </is>
      </c>
      <c r="B16" s="2" t="inlineStr">
        <is>
          <t>Q21642316 R2</t>
        </is>
      </c>
      <c r="C16" s="2" t="inlineStr">
        <is>
          <t>BCC headwall 1500x600 AS</t>
        </is>
      </c>
      <c r="D16" s="2" t="inlineStr">
        <is>
          <t>ea</t>
        </is>
      </c>
      <c r="E16" s="3" t="n">
        <v>4222.78</v>
      </c>
      <c r="F16" s="2" t="inlineStr">
        <is>
          <t>Y</t>
        </is>
      </c>
      <c r="G16" s="2" t="inlineStr">
        <is>
          <t>N (freight is separate line)</t>
        </is>
      </c>
      <c r="H16" s="2" t="inlineStr">
        <is>
          <t>N</t>
        </is>
      </c>
      <c r="I16" s="2" t="inlineStr">
        <is>
          <t>Y</t>
        </is>
      </c>
      <c r="J16" s="2" t="inlineStr">
        <is>
          <t>Y - needed once</t>
        </is>
      </c>
      <c r="K16" s="2" t="inlineStr">
        <is>
          <t>Supply-only rate; unloading/cranage by others; add crane. Made-to-order, non-returnable.</t>
        </is>
      </c>
    </row>
    <row r="17">
      <c r="A17" s="2" t="inlineStr">
        <is>
          <t>Humes</t>
        </is>
      </c>
      <c r="B17" s="2" t="inlineStr">
        <is>
          <t>Q21642316 R2</t>
        </is>
      </c>
      <c r="C17" s="2" t="inlineStr">
        <is>
          <t>Large box culvert 2700x1200x2.4 AS1597.2</t>
        </is>
      </c>
      <c r="D17" s="2" t="inlineStr">
        <is>
          <t>ea</t>
        </is>
      </c>
      <c r="E17" s="3" t="n">
        <v>5891.95</v>
      </c>
      <c r="F17" s="2" t="inlineStr">
        <is>
          <t>Y</t>
        </is>
      </c>
      <c r="G17" s="2" t="inlineStr">
        <is>
          <t>N (freight is separate line)</t>
        </is>
      </c>
      <c r="H17" s="2" t="inlineStr">
        <is>
          <t>N</t>
        </is>
      </c>
      <c r="I17" s="2" t="inlineStr">
        <is>
          <t>Y</t>
        </is>
      </c>
      <c r="J17" s="2" t="inlineStr">
        <is>
          <t>Y - needed once</t>
        </is>
      </c>
      <c r="K17" s="2" t="inlineStr">
        <is>
          <t>Supply-only rate; unloading/cranage by others; add crane. Made-to-order, non-returnable.</t>
        </is>
      </c>
    </row>
    <row r="18">
      <c r="A18" s="2" t="inlineStr">
        <is>
          <t>Humes</t>
        </is>
      </c>
      <c r="B18" s="2" t="inlineStr">
        <is>
          <t>Q21642316 R2</t>
        </is>
      </c>
      <c r="C18" s="2" t="inlineStr">
        <is>
          <t>BCC headwall 2700x1200 AS</t>
        </is>
      </c>
      <c r="D18" s="2" t="inlineStr">
        <is>
          <t>ea</t>
        </is>
      </c>
      <c r="E18" s="3" t="n">
        <v>5241.45</v>
      </c>
      <c r="F18" s="2" t="inlineStr">
        <is>
          <t>Y</t>
        </is>
      </c>
      <c r="G18" s="2" t="inlineStr">
        <is>
          <t>N (freight is separate line)</t>
        </is>
      </c>
      <c r="H18" s="2" t="inlineStr">
        <is>
          <t>N</t>
        </is>
      </c>
      <c r="I18" s="2" t="inlineStr">
        <is>
          <t>Y</t>
        </is>
      </c>
      <c r="J18" s="2" t="inlineStr">
        <is>
          <t>Y - needed once</t>
        </is>
      </c>
      <c r="K18" s="2" t="inlineStr">
        <is>
          <t>Supply-only rate; unloading/cranage by others; add crane. Made-to-order, non-returnable.</t>
        </is>
      </c>
    </row>
    <row r="19">
      <c r="A19" s="2" t="inlineStr">
        <is>
          <t>Humes</t>
        </is>
      </c>
      <c r="B19" s="2" t="inlineStr">
        <is>
          <t>Q21642316 R2</t>
        </is>
      </c>
      <c r="C19" s="2" t="inlineStr">
        <is>
          <t>Freight to site FOT &lt;24km (customer to unload)</t>
        </is>
      </c>
      <c r="D19" s="2" t="inlineStr">
        <is>
          <t>load</t>
        </is>
      </c>
      <c r="E19" s="3" t="n">
        <v>710</v>
      </c>
      <c r="F19" s="2" t="inlineStr">
        <is>
          <t>Y</t>
        </is>
      </c>
      <c r="G19" s="2" t="inlineStr">
        <is>
          <t>is freight</t>
        </is>
      </c>
      <c r="H19" s="2" t="inlineStr">
        <is>
          <t>N</t>
        </is>
      </c>
      <c r="I19" s="2" t="inlineStr">
        <is>
          <t>Y</t>
        </is>
      </c>
      <c r="J19" s="2" t="inlineStr">
        <is>
          <t>Y</t>
        </is>
      </c>
      <c r="K19" s="2" t="inlineStr">
        <is>
          <t>Do NOT add a second freight allowance on top of quote total - 35 loads already in the $296,267.24.</t>
        </is>
      </c>
    </row>
    <row r="20">
      <c r="A20" s="2" t="inlineStr">
        <is>
          <t>Reece</t>
        </is>
      </c>
      <c r="B20" s="2" t="inlineStr">
        <is>
          <t>Q-459014445</t>
        </is>
      </c>
      <c r="C20" s="2" t="inlineStr">
        <is>
          <t>RCP 375 Class 4 (2.44m)</t>
        </is>
      </c>
      <c r="D20" s="2" t="inlineStr">
        <is>
          <t>len</t>
        </is>
      </c>
      <c r="E20" s="3" t="n">
        <v>328.46</v>
      </c>
      <c r="F20" s="2" t="inlineStr">
        <is>
          <t>Y</t>
        </is>
      </c>
      <c r="G20" s="2" t="inlineStr">
        <is>
          <t>N (freight separate line)</t>
        </is>
      </c>
      <c r="H20" s="2" t="inlineStr">
        <is>
          <t>N</t>
        </is>
      </c>
      <c r="I20" s="2" t="inlineStr">
        <is>
          <t>Y</t>
        </is>
      </c>
      <c r="J20" s="2" t="inlineStr">
        <is>
          <t>Y</t>
        </is>
      </c>
      <c r="K20" s="2" t="inlineStr">
        <is>
          <t>Supply-only, SAP non-returnable. vs Humes 256.20 - Humes cheaper by 72.26/len (~21.6k over 299)</t>
        </is>
      </c>
    </row>
    <row r="21">
      <c r="A21" s="2" t="inlineStr">
        <is>
          <t>Reece</t>
        </is>
      </c>
      <c r="B21" s="2" t="inlineStr">
        <is>
          <t>Q-459014445</t>
        </is>
      </c>
      <c r="C21" s="2" t="inlineStr">
        <is>
          <t>RCP 450 Class 4 (2.44m)</t>
        </is>
      </c>
      <c r="D21" s="2" t="inlineStr">
        <is>
          <t>len</t>
        </is>
      </c>
      <c r="E21" s="3" t="n">
        <v>424.62</v>
      </c>
      <c r="F21" s="2" t="inlineStr">
        <is>
          <t>Y</t>
        </is>
      </c>
      <c r="G21" s="2" t="inlineStr">
        <is>
          <t>N (freight separate line)</t>
        </is>
      </c>
      <c r="H21" s="2" t="inlineStr">
        <is>
          <t>N</t>
        </is>
      </c>
      <c r="I21" s="2" t="inlineStr">
        <is>
          <t>Y</t>
        </is>
      </c>
      <c r="J21" s="2" t="inlineStr">
        <is>
          <t>Y</t>
        </is>
      </c>
      <c r="K21" s="2" t="inlineStr">
        <is>
          <t>Supply-only, SAP non-returnable. No Humes equivalent on P04 - only source for DN450 RCP</t>
        </is>
      </c>
    </row>
    <row r="22">
      <c r="A22" s="2" t="inlineStr">
        <is>
          <t>Reece</t>
        </is>
      </c>
      <c r="B22" s="2" t="inlineStr">
        <is>
          <t>Q-459014445</t>
        </is>
      </c>
      <c r="C22" s="2" t="inlineStr">
        <is>
          <t>RCP 600 Class 3 (2.44m)</t>
        </is>
      </c>
      <c r="D22" s="2" t="inlineStr">
        <is>
          <t>len</t>
        </is>
      </c>
      <c r="E22" s="3" t="n">
        <v>574.23</v>
      </c>
      <c r="F22" s="2" t="inlineStr">
        <is>
          <t>Y</t>
        </is>
      </c>
      <c r="G22" s="2" t="inlineStr">
        <is>
          <t>N (freight separate line)</t>
        </is>
      </c>
      <c r="H22" s="2" t="inlineStr">
        <is>
          <t>N</t>
        </is>
      </c>
      <c r="I22" s="2" t="inlineStr">
        <is>
          <t>Y</t>
        </is>
      </c>
      <c r="J22" s="2" t="inlineStr">
        <is>
          <t>Y</t>
        </is>
      </c>
      <c r="K22" s="2" t="inlineStr">
        <is>
          <t>Supply-only, SAP non-returnable. vs Humes 447.90</t>
        </is>
      </c>
    </row>
    <row r="23">
      <c r="A23" s="2" t="inlineStr">
        <is>
          <t>Reece</t>
        </is>
      </c>
      <c r="B23" s="2" t="inlineStr">
        <is>
          <t>Q-459014445</t>
        </is>
      </c>
      <c r="C23" s="2" t="inlineStr">
        <is>
          <t>Stormpro poly SN8 225 (5.99m)</t>
        </is>
      </c>
      <c r="D23" s="2" t="inlineStr">
        <is>
          <t>len</t>
        </is>
      </c>
      <c r="E23" s="3" t="n">
        <v>216.1</v>
      </c>
      <c r="F23" s="2" t="inlineStr">
        <is>
          <t>Y</t>
        </is>
      </c>
      <c r="G23" s="2" t="inlineStr">
        <is>
          <t>N (freight separate line)</t>
        </is>
      </c>
      <c r="H23" s="2" t="inlineStr">
        <is>
          <t>N</t>
        </is>
      </c>
      <c r="I23" s="2" t="inlineStr">
        <is>
          <t>Y</t>
        </is>
      </c>
      <c r="J23" s="2" t="inlineStr">
        <is>
          <t>Y</t>
        </is>
      </c>
      <c r="K23" s="2" t="inlineStr">
        <is>
          <t>Supply-only, SAP non-returnable. vs Atlan DN225 SN8 151.00/6.28m - Atlan cheaper/m</t>
        </is>
      </c>
    </row>
    <row r="24">
      <c r="A24" s="2" t="inlineStr">
        <is>
          <t>Reece</t>
        </is>
      </c>
      <c r="B24" s="2" t="inlineStr">
        <is>
          <t>Q-459014445</t>
        </is>
      </c>
      <c r="C24" s="2" t="inlineStr">
        <is>
          <t>Stormpro poly SN8 375 (5.93m)</t>
        </is>
      </c>
      <c r="D24" s="2" t="inlineStr">
        <is>
          <t>len</t>
        </is>
      </c>
      <c r="E24" s="3" t="n">
        <v>545.62</v>
      </c>
      <c r="F24" s="2" t="inlineStr">
        <is>
          <t>Y</t>
        </is>
      </c>
      <c r="G24" s="2" t="inlineStr">
        <is>
          <t>N (freight separate line)</t>
        </is>
      </c>
      <c r="H24" s="2" t="inlineStr">
        <is>
          <t>N</t>
        </is>
      </c>
      <c r="I24" s="2" t="inlineStr">
        <is>
          <t>Y</t>
        </is>
      </c>
      <c r="J24" s="2" t="inlineStr">
        <is>
          <t>Y</t>
        </is>
      </c>
      <c r="K24" s="2" t="inlineStr">
        <is>
          <t>Supply-only, SAP non-returnable. vs Atlan DN375 353.00/6.181m - Atlan cheaper/m</t>
        </is>
      </c>
    </row>
    <row r="25">
      <c r="A25" s="2" t="inlineStr">
        <is>
          <t>Reece</t>
        </is>
      </c>
      <c r="B25" s="2" t="inlineStr">
        <is>
          <t>Q-459014445</t>
        </is>
      </c>
      <c r="C25" s="2" t="inlineStr">
        <is>
          <t>Stormpro poly SN8 600 (5.85m)</t>
        </is>
      </c>
      <c r="D25" s="2" t="inlineStr">
        <is>
          <t>len</t>
        </is>
      </c>
      <c r="E25" s="3" t="n">
        <v>1322.3</v>
      </c>
      <c r="F25" s="2" t="inlineStr">
        <is>
          <t>Y</t>
        </is>
      </c>
      <c r="G25" s="2" t="inlineStr">
        <is>
          <t>N (freight separate line)</t>
        </is>
      </c>
      <c r="H25" s="2" t="inlineStr">
        <is>
          <t>N</t>
        </is>
      </c>
      <c r="I25" s="2" t="inlineStr">
        <is>
          <t>Y</t>
        </is>
      </c>
      <c r="J25" s="2" t="inlineStr">
        <is>
          <t>Y</t>
        </is>
      </c>
      <c r="K25" s="2" t="inlineStr">
        <is>
          <t>Supply-only, SAP non-returnable. vs Atlan DN600 829.00/5.9m - Atlan cheaper/m</t>
        </is>
      </c>
    </row>
    <row r="26">
      <c r="A26" s="2" t="inlineStr">
        <is>
          <t>Reece</t>
        </is>
      </c>
      <c r="B26" s="2" t="inlineStr">
        <is>
          <t>Q-459014445</t>
        </is>
      </c>
      <c r="C26" s="2" t="inlineStr">
        <is>
          <t>DWV PVC 100 SN6 SWJ (6m)</t>
        </is>
      </c>
      <c r="D26" s="2" t="inlineStr">
        <is>
          <t>len</t>
        </is>
      </c>
      <c r="E26" s="3" t="n">
        <v>43.07</v>
      </c>
      <c r="F26" s="2" t="inlineStr">
        <is>
          <t>Y</t>
        </is>
      </c>
      <c r="G26" s="2" t="inlineStr">
        <is>
          <t>N (freight separate line)</t>
        </is>
      </c>
      <c r="H26" s="2" t="inlineStr">
        <is>
          <t>N</t>
        </is>
      </c>
      <c r="I26" s="2" t="inlineStr">
        <is>
          <t>Y</t>
        </is>
      </c>
      <c r="J26" s="2" t="inlineStr">
        <is>
          <t>Y</t>
        </is>
      </c>
      <c r="K26" s="2" t="inlineStr">
        <is>
          <t>Supply-only, SAP non-returnable.</t>
        </is>
      </c>
    </row>
    <row r="27">
      <c r="A27" s="2" t="inlineStr">
        <is>
          <t>Reece</t>
        </is>
      </c>
      <c r="B27" s="2" t="inlineStr">
        <is>
          <t>Q-459014445</t>
        </is>
      </c>
      <c r="C27" s="2" t="inlineStr">
        <is>
          <t>BC crown 900x450x2.4</t>
        </is>
      </c>
      <c r="D27" s="2" t="inlineStr">
        <is>
          <t>ea</t>
        </is>
      </c>
      <c r="E27" s="3" t="n">
        <v>1599.77</v>
      </c>
      <c r="F27" s="2" t="inlineStr">
        <is>
          <t>Y</t>
        </is>
      </c>
      <c r="G27" s="2" t="inlineStr">
        <is>
          <t>N (freight separate line)</t>
        </is>
      </c>
      <c r="H27" s="2" t="inlineStr">
        <is>
          <t>N</t>
        </is>
      </c>
      <c r="I27" s="2" t="inlineStr">
        <is>
          <t>Y</t>
        </is>
      </c>
      <c r="J27" s="2" t="inlineStr">
        <is>
          <t>Y</t>
        </is>
      </c>
      <c r="K27" s="2" t="inlineStr">
        <is>
          <t>Supply-only, SAP non-returnable. vs Humes 1404.80</t>
        </is>
      </c>
    </row>
    <row r="28">
      <c r="A28" s="2" t="inlineStr">
        <is>
          <t>Reece</t>
        </is>
      </c>
      <c r="B28" s="2" t="inlineStr">
        <is>
          <t>Q-459014445</t>
        </is>
      </c>
      <c r="C28" s="2" t="inlineStr">
        <is>
          <t>BC crown 600x300x2.4</t>
        </is>
      </c>
      <c r="D28" s="2" t="inlineStr">
        <is>
          <t>ea</t>
        </is>
      </c>
      <c r="E28" s="3" t="n">
        <v>1136.36</v>
      </c>
      <c r="F28" s="2" t="inlineStr">
        <is>
          <t>Y</t>
        </is>
      </c>
      <c r="G28" s="2" t="inlineStr">
        <is>
          <t>N (freight separate line)</t>
        </is>
      </c>
      <c r="H28" s="2" t="inlineStr">
        <is>
          <t>N</t>
        </is>
      </c>
      <c r="I28" s="2" t="inlineStr">
        <is>
          <t>Y</t>
        </is>
      </c>
      <c r="J28" s="2" t="inlineStr">
        <is>
          <t>Y</t>
        </is>
      </c>
      <c r="K28" s="2" t="inlineStr">
        <is>
          <t>Supply-only, SAP non-returnable. vs Humes 1095.00</t>
        </is>
      </c>
    </row>
    <row r="29">
      <c r="A29" s="2" t="inlineStr">
        <is>
          <t>Reece</t>
        </is>
      </c>
      <c r="B29" s="2" t="inlineStr">
        <is>
          <t>Q-459014445</t>
        </is>
      </c>
      <c r="C29" s="2" t="inlineStr">
        <is>
          <t>BC crown 750x300x2.4</t>
        </is>
      </c>
      <c r="D29" s="2" t="inlineStr">
        <is>
          <t>ea</t>
        </is>
      </c>
      <c r="E29" s="3" t="n">
        <v>1330.91</v>
      </c>
      <c r="F29" s="2" t="inlineStr">
        <is>
          <t>Y</t>
        </is>
      </c>
      <c r="G29" s="2" t="inlineStr">
        <is>
          <t>N (freight separate line)</t>
        </is>
      </c>
      <c r="H29" s="2" t="inlineStr">
        <is>
          <t>N</t>
        </is>
      </c>
      <c r="I29" s="2" t="inlineStr">
        <is>
          <t>Y</t>
        </is>
      </c>
      <c r="J29" s="2" t="inlineStr">
        <is>
          <t>Y</t>
        </is>
      </c>
      <c r="K29" s="2" t="inlineStr">
        <is>
          <t>Supply-only, SAP non-returnable. vs Humes 1171.20</t>
        </is>
      </c>
    </row>
    <row r="30">
      <c r="A30" s="2" t="inlineStr">
        <is>
          <t>Reece</t>
        </is>
      </c>
      <c r="B30" s="2" t="inlineStr">
        <is>
          <t>Q-459014445</t>
        </is>
      </c>
      <c r="C30" s="2" t="inlineStr">
        <is>
          <t>LBC 1500x600x2.4</t>
        </is>
      </c>
      <c r="D30" s="2" t="inlineStr">
        <is>
          <t>ea</t>
        </is>
      </c>
      <c r="E30" s="3" t="n">
        <v>3483.77</v>
      </c>
      <c r="F30" s="2" t="inlineStr">
        <is>
          <t>Y</t>
        </is>
      </c>
      <c r="G30" s="2" t="inlineStr">
        <is>
          <t>N (freight separate line)</t>
        </is>
      </c>
      <c r="H30" s="2" t="inlineStr">
        <is>
          <t>N</t>
        </is>
      </c>
      <c r="I30" s="2" t="inlineStr">
        <is>
          <t>Y</t>
        </is>
      </c>
      <c r="J30" s="2" t="inlineStr">
        <is>
          <t>Y</t>
        </is>
      </c>
      <c r="K30" s="2" t="inlineStr">
        <is>
          <t>Supply-only, SAP non-returnable. vs Humes 3065.72; qty 8 vs Humes 13 - reconcile take-off</t>
        </is>
      </c>
    </row>
    <row r="31">
      <c r="A31" s="2" t="inlineStr">
        <is>
          <t>Reece</t>
        </is>
      </c>
      <c r="B31" s="2" t="inlineStr">
        <is>
          <t>Q-459014445</t>
        </is>
      </c>
      <c r="C31" s="2" t="inlineStr">
        <is>
          <t>LBC 2700x1200x2.4</t>
        </is>
      </c>
      <c r="D31" s="2" t="inlineStr">
        <is>
          <t>ea</t>
        </is>
      </c>
      <c r="E31" s="3" t="n">
        <v>6797.67</v>
      </c>
      <c r="F31" s="2" t="inlineStr">
        <is>
          <t>Y</t>
        </is>
      </c>
      <c r="G31" s="2" t="inlineStr">
        <is>
          <t>N (freight separate line)</t>
        </is>
      </c>
      <c r="H31" s="2" t="inlineStr">
        <is>
          <t>N</t>
        </is>
      </c>
      <c r="I31" s="2" t="inlineStr">
        <is>
          <t>Y</t>
        </is>
      </c>
      <c r="J31" s="2" t="inlineStr">
        <is>
          <t>Y</t>
        </is>
      </c>
      <c r="K31" s="2" t="inlineStr">
        <is>
          <t>Supply-only, SAP non-returnable. vs Humes 5891.95</t>
        </is>
      </c>
    </row>
    <row r="32">
      <c r="A32" s="2" t="inlineStr">
        <is>
          <t>Reece</t>
        </is>
      </c>
      <c r="B32" s="2" t="inlineStr">
        <is>
          <t>Q-459014445</t>
        </is>
      </c>
      <c r="C32" s="2" t="inlineStr">
        <is>
          <t>Winged concrete headwall 375</t>
        </is>
      </c>
      <c r="D32" s="2" t="inlineStr">
        <is>
          <t>ea</t>
        </is>
      </c>
      <c r="E32" s="3" t="n">
        <v>317.05</v>
      </c>
      <c r="F32" s="2" t="inlineStr">
        <is>
          <t>Y</t>
        </is>
      </c>
      <c r="G32" s="2" t="inlineStr">
        <is>
          <t>N (freight separate line)</t>
        </is>
      </c>
      <c r="H32" s="2" t="inlineStr">
        <is>
          <t>N</t>
        </is>
      </c>
      <c r="I32" s="2" t="inlineStr">
        <is>
          <t>Y</t>
        </is>
      </c>
      <c r="J32" s="2" t="inlineStr">
        <is>
          <t>Y</t>
        </is>
      </c>
      <c r="K32" s="2" t="inlineStr">
        <is>
          <t>Supply-only, SAP non-returnable. vs Humes 380.80 / Jaybro 372.00</t>
        </is>
      </c>
    </row>
    <row r="33">
      <c r="A33" s="2" t="inlineStr">
        <is>
          <t>Reece</t>
        </is>
      </c>
      <c r="B33" s="2" t="inlineStr">
        <is>
          <t>Q-459014445</t>
        </is>
      </c>
      <c r="C33" s="2" t="inlineStr">
        <is>
          <t>Freight for concrete (customer to unload)</t>
        </is>
      </c>
      <c r="D33" s="2" t="inlineStr">
        <is>
          <t>load</t>
        </is>
      </c>
      <c r="E33" s="3" t="n">
        <v>944.3</v>
      </c>
      <c r="F33" s="2" t="inlineStr">
        <is>
          <t>Y</t>
        </is>
      </c>
      <c r="G33" s="2" t="inlineStr">
        <is>
          <t>is freight</t>
        </is>
      </c>
      <c r="H33" s="2" t="inlineStr">
        <is>
          <t>N</t>
        </is>
      </c>
      <c r="I33" s="2" t="inlineStr">
        <is>
          <t>Y</t>
        </is>
      </c>
      <c r="J33" s="2" t="inlineStr">
        <is>
          <t>Y</t>
        </is>
      </c>
      <c r="K33" s="2" t="inlineStr">
        <is>
          <t>25 loads in total; do not double-add freight.</t>
        </is>
      </c>
    </row>
    <row r="34">
      <c r="A34" s="2" t="inlineStr">
        <is>
          <t>Reece</t>
        </is>
      </c>
      <c r="B34" s="2" t="inlineStr">
        <is>
          <t>Q-459014445 (Hauraton)</t>
        </is>
      </c>
      <c r="C34" s="2" t="inlineStr">
        <is>
          <t>Hauraton Recyfix PRO200 T010 + G-tec ductile iron grate (Cl D)</t>
        </is>
      </c>
      <c r="D34" s="2" t="inlineStr">
        <is>
          <t>m</t>
        </is>
      </c>
      <c r="E34" s="3" t="n">
        <v>280.89</v>
      </c>
      <c r="F34" s="2" t="inlineStr">
        <is>
          <t>Y</t>
        </is>
      </c>
      <c r="G34" s="2" t="inlineStr">
        <is>
          <t>N</t>
        </is>
      </c>
      <c r="H34" s="2" t="inlineStr">
        <is>
          <t>N</t>
        </is>
      </c>
      <c r="I34" s="2" t="inlineStr">
        <is>
          <t>Y</t>
        </is>
      </c>
      <c r="J34" s="2" t="inlineStr">
        <is>
          <t>Y</t>
        </is>
      </c>
      <c r="K34" s="2" t="inlineStr">
        <is>
          <t>GT-schedule: check GT6 needs PRO100 D400 G-tec (code 47245) - NOT this Pro200 line; qty 32m aligns with GT6 31.4m - VERIFY substitution accepted</t>
        </is>
      </c>
    </row>
    <row r="35">
      <c r="A35" s="2" t="inlineStr">
        <is>
          <t>Reece</t>
        </is>
      </c>
      <c r="B35" s="2" t="inlineStr">
        <is>
          <t>Q-459014445 (Hauraton)</t>
        </is>
      </c>
      <c r="C35" s="2" t="inlineStr">
        <is>
          <t>Hauraton Recyfix PRO200 T010 + Fibretec slotted grate B125 (47246)</t>
        </is>
      </c>
      <c r="D35" s="2" t="inlineStr">
        <is>
          <t>m</t>
        </is>
      </c>
      <c r="E35" s="3" t="n">
        <v>232.94</v>
      </c>
      <c r="F35" s="2" t="inlineStr">
        <is>
          <t>Y</t>
        </is>
      </c>
      <c r="G35" s="2" t="inlineStr">
        <is>
          <t>N</t>
        </is>
      </c>
      <c r="H35" s="2" t="inlineStr">
        <is>
          <t>N</t>
        </is>
      </c>
      <c r="I35" s="2" t="inlineStr">
        <is>
          <t>Y</t>
        </is>
      </c>
      <c r="J35" s="2" t="inlineStr">
        <is>
          <t>Y</t>
        </is>
      </c>
      <c r="K35" s="2" t="inlineStr">
        <is>
          <t>550m; embedded annotation '$198.00 / $108,900.00' suggests a negotiated alternative rate - confirm with Reece before pricing</t>
        </is>
      </c>
    </row>
    <row r="36">
      <c r="A36" s="2" t="inlineStr">
        <is>
          <t>Reece</t>
        </is>
      </c>
      <c r="B36" s="2" t="inlineStr">
        <is>
          <t>Q-459014445 (Hauraton)</t>
        </is>
      </c>
      <c r="C36" s="2" t="inlineStr">
        <is>
          <t>Hauraton Recyfix PRO100 T010 + SS304 heelguard wedgewire grate, 200 deep</t>
        </is>
      </c>
      <c r="D36" s="2" t="inlineStr">
        <is>
          <t>m</t>
        </is>
      </c>
      <c r="E36" s="3" t="n">
        <v>368.24</v>
      </c>
      <c r="F36" s="2" t="inlineStr">
        <is>
          <t>Y</t>
        </is>
      </c>
      <c r="G36" s="2" t="inlineStr">
        <is>
          <t>N</t>
        </is>
      </c>
      <c r="H36" s="2" t="inlineStr">
        <is>
          <t>N</t>
        </is>
      </c>
      <c r="I36" s="2" t="inlineStr">
        <is>
          <t>Y</t>
        </is>
      </c>
      <c r="J36" s="2" t="inlineStr">
        <is>
          <t>Y</t>
        </is>
      </c>
      <c r="K36" s="2" t="inlineStr">
        <is>
          <t>29m for GT5/7/8/9</t>
        </is>
      </c>
    </row>
    <row r="37">
      <c r="A37" s="2" t="inlineStr">
        <is>
          <t>Reece</t>
        </is>
      </c>
      <c r="B37" s="2" t="inlineStr">
        <is>
          <t>Q-459014445 (Hauraton)</t>
        </is>
      </c>
      <c r="C37" s="2" t="inlineStr">
        <is>
          <t>PRO200 trash box w/ galv mud bucket + Fibretec grate</t>
        </is>
      </c>
      <c r="D37" s="2" t="inlineStr">
        <is>
          <t>ea</t>
        </is>
      </c>
      <c r="E37" s="3" t="n">
        <v>535.29</v>
      </c>
      <c r="F37" s="2" t="inlineStr">
        <is>
          <t>Y</t>
        </is>
      </c>
      <c r="G37" s="2" t="inlineStr">
        <is>
          <t>N</t>
        </is>
      </c>
      <c r="H37" s="2" t="inlineStr">
        <is>
          <t>N</t>
        </is>
      </c>
      <c r="I37" s="2" t="inlineStr">
        <is>
          <t>Y</t>
        </is>
      </c>
      <c r="J37" s="2" t="inlineStr">
        <is>
          <t>Y</t>
        </is>
      </c>
      <c r="K37" s="2" t="inlineStr">
        <is>
          <t>24 off</t>
        </is>
      </c>
    </row>
    <row r="38">
      <c r="A38" s="2" t="inlineStr">
        <is>
          <t>Reece</t>
        </is>
      </c>
      <c r="B38" s="2" t="inlineStr">
        <is>
          <t>Q-459014445 (Hauraton)</t>
        </is>
      </c>
      <c r="C38" s="2" t="inlineStr">
        <is>
          <t>PRO100 trash box w/ PE mud bucket + Fibretec grate</t>
        </is>
      </c>
      <c r="D38" s="2" t="inlineStr">
        <is>
          <t>ea</t>
        </is>
      </c>
      <c r="E38" s="3" t="n">
        <v>214.12</v>
      </c>
      <c r="F38" s="2" t="inlineStr">
        <is>
          <t>Y</t>
        </is>
      </c>
      <c r="G38" s="2" t="inlineStr">
        <is>
          <t>N</t>
        </is>
      </c>
      <c r="H38" s="2" t="inlineStr">
        <is>
          <t>N</t>
        </is>
      </c>
      <c r="I38" s="2" t="inlineStr">
        <is>
          <t>Y</t>
        </is>
      </c>
      <c r="J38" s="2" t="inlineStr">
        <is>
          <t>Y</t>
        </is>
      </c>
      <c r="K38" s="2" t="inlineStr">
        <is>
          <t>4 off</t>
        </is>
      </c>
    </row>
    <row r="39">
      <c r="A39" s="2" t="inlineStr">
        <is>
          <t>Reece</t>
        </is>
      </c>
      <c r="B39" s="2" t="inlineStr">
        <is>
          <t>Q-459014445 (Hauraton)</t>
        </is>
      </c>
      <c r="C39" s="2" t="inlineStr">
        <is>
          <t>PRO200 trash box w/ G-tec ductile grate D400</t>
        </is>
      </c>
      <c r="D39" s="2" t="inlineStr">
        <is>
          <t>ea</t>
        </is>
      </c>
      <c r="E39" s="3" t="n">
        <v>550.59</v>
      </c>
      <c r="F39" s="2" t="inlineStr">
        <is>
          <t>Y</t>
        </is>
      </c>
      <c r="G39" s="2" t="inlineStr">
        <is>
          <t>N</t>
        </is>
      </c>
      <c r="H39" s="2" t="inlineStr">
        <is>
          <t>N</t>
        </is>
      </c>
      <c r="I39" s="2" t="inlineStr">
        <is>
          <t>Y</t>
        </is>
      </c>
      <c r="J39" s="2" t="inlineStr">
        <is>
          <t>Y</t>
        </is>
      </c>
      <c r="K39" s="2" t="inlineStr">
        <is>
          <t>1 off</t>
        </is>
      </c>
    </row>
    <row r="40">
      <c r="A40" s="2" t="inlineStr">
        <is>
          <t>Reece</t>
        </is>
      </c>
      <c r="B40" s="2" t="inlineStr">
        <is>
          <t>Q-459014445 (Hauraton)</t>
        </is>
      </c>
      <c r="C40" s="2" t="inlineStr">
        <is>
          <t>End cap PRO/NC200 T010 w/ DN100 PVC outlet</t>
        </is>
      </c>
      <c r="D40" s="2" t="inlineStr">
        <is>
          <t>ea</t>
        </is>
      </c>
      <c r="E40" s="3" t="n">
        <v>23.53</v>
      </c>
      <c r="F40" s="2" t="inlineStr">
        <is>
          <t>Y</t>
        </is>
      </c>
      <c r="G40" s="2" t="inlineStr">
        <is>
          <t>N</t>
        </is>
      </c>
      <c r="H40" s="2" t="inlineStr">
        <is>
          <t>N</t>
        </is>
      </c>
      <c r="I40" s="2" t="inlineStr">
        <is>
          <t>Y</t>
        </is>
      </c>
      <c r="J40" s="2" t="inlineStr">
        <is>
          <t>Y</t>
        </is>
      </c>
      <c r="K40" s="2" t="inlineStr"/>
    </row>
    <row r="41">
      <c r="A41" s="2" t="inlineStr">
        <is>
          <t>Reece</t>
        </is>
      </c>
      <c r="B41" s="2" t="inlineStr">
        <is>
          <t>Q-459014445 (Hauraton)</t>
        </is>
      </c>
      <c r="C41" s="2" t="inlineStr">
        <is>
          <t>End cap closed PRO100 T010 200 deep</t>
        </is>
      </c>
      <c r="D41" s="2" t="inlineStr">
        <is>
          <t>ea</t>
        </is>
      </c>
      <c r="E41" s="3" t="n">
        <v>9.41</v>
      </c>
      <c r="F41" s="2" t="inlineStr">
        <is>
          <t>Y</t>
        </is>
      </c>
      <c r="G41" s="2" t="inlineStr">
        <is>
          <t>N</t>
        </is>
      </c>
      <c r="H41" s="2" t="inlineStr">
        <is>
          <t>N</t>
        </is>
      </c>
      <c r="I41" s="2" t="inlineStr">
        <is>
          <t>Y</t>
        </is>
      </c>
      <c r="J41" s="2" t="inlineStr">
        <is>
          <t>Y</t>
        </is>
      </c>
      <c r="K41" s="2" t="inlineStr"/>
    </row>
    <row r="42">
      <c r="A42" s="2" t="inlineStr">
        <is>
          <t>Atlan</t>
        </is>
      </c>
      <c r="B42" s="2" t="inlineStr">
        <is>
          <t>26-87004-1</t>
        </is>
      </c>
      <c r="C42" s="2" t="inlineStr">
        <is>
          <t>AtlanFlow DN225 SN8 pipe &amp; seal (6.28m)</t>
        </is>
      </c>
      <c r="D42" s="2" t="inlineStr">
        <is>
          <t>len</t>
        </is>
      </c>
      <c r="E42" s="3" t="n">
        <v>151</v>
      </c>
      <c r="F42" s="2" t="inlineStr">
        <is>
          <t>Y</t>
        </is>
      </c>
      <c r="G42" s="2" t="inlineStr">
        <is>
          <t>N (freight separate line 2,950/lot)</t>
        </is>
      </c>
      <c r="H42" s="2" t="inlineStr">
        <is>
          <t>N</t>
        </is>
      </c>
      <c r="I42" s="2" t="inlineStr">
        <is>
          <t>Caution - price valid day of issue only</t>
        </is>
      </c>
      <c r="J42" s="2" t="inlineStr">
        <is>
          <t>Y - but re-quote first</t>
        </is>
      </c>
      <c r="K42" s="2" t="inlineStr">
        <is>
          <t>Same-day validity: treat as indicative; re-confirm before submission.</t>
        </is>
      </c>
    </row>
    <row r="43">
      <c r="A43" s="2" t="inlineStr">
        <is>
          <t>Atlan</t>
        </is>
      </c>
      <c r="B43" s="2" t="inlineStr">
        <is>
          <t>26-87004-1</t>
        </is>
      </c>
      <c r="C43" s="2" t="inlineStr">
        <is>
          <t>AtlanFlow DN375 SN8 (6.181m)</t>
        </is>
      </c>
      <c r="D43" s="2" t="inlineStr">
        <is>
          <t>len</t>
        </is>
      </c>
      <c r="E43" s="3" t="n">
        <v>353</v>
      </c>
      <c r="F43" s="2" t="inlineStr">
        <is>
          <t>Y</t>
        </is>
      </c>
      <c r="G43" s="2" t="inlineStr">
        <is>
          <t>N (freight separate line 2,950/lot)</t>
        </is>
      </c>
      <c r="H43" s="2" t="inlineStr">
        <is>
          <t>N</t>
        </is>
      </c>
      <c r="I43" s="2" t="inlineStr">
        <is>
          <t>Caution - price valid day of issue only</t>
        </is>
      </c>
      <c r="J43" s="2" t="inlineStr">
        <is>
          <t>Y - but re-quote first</t>
        </is>
      </c>
      <c r="K43" s="2" t="inlineStr">
        <is>
          <t>Same-day validity: treat as indicative; re-confirm before submission.</t>
        </is>
      </c>
    </row>
    <row r="44">
      <c r="A44" s="2" t="inlineStr">
        <is>
          <t>Atlan</t>
        </is>
      </c>
      <c r="B44" s="2" t="inlineStr">
        <is>
          <t>26-87004-1</t>
        </is>
      </c>
      <c r="C44" s="2" t="inlineStr">
        <is>
          <t>AtlanFlow DN450 SN8 (6.121m)</t>
        </is>
      </c>
      <c r="D44" s="2" t="inlineStr">
        <is>
          <t>len</t>
        </is>
      </c>
      <c r="E44" s="3" t="n">
        <v>532</v>
      </c>
      <c r="F44" s="2" t="inlineStr">
        <is>
          <t>Y</t>
        </is>
      </c>
      <c r="G44" s="2" t="inlineStr">
        <is>
          <t>N (freight separate line 2,950/lot)</t>
        </is>
      </c>
      <c r="H44" s="2" t="inlineStr">
        <is>
          <t>N</t>
        </is>
      </c>
      <c r="I44" s="2" t="inlineStr">
        <is>
          <t>Caution - price valid day of issue only</t>
        </is>
      </c>
      <c r="J44" s="2" t="inlineStr">
        <is>
          <t>Y - but re-quote first</t>
        </is>
      </c>
      <c r="K44" s="2" t="inlineStr">
        <is>
          <t>Same-day validity: treat as indicative; re-confirm before submission.</t>
        </is>
      </c>
    </row>
    <row r="45">
      <c r="A45" s="2" t="inlineStr">
        <is>
          <t>Atlan</t>
        </is>
      </c>
      <c r="B45" s="2" t="inlineStr">
        <is>
          <t>26-87004-1</t>
        </is>
      </c>
      <c r="C45" s="2" t="inlineStr">
        <is>
          <t>AtlanFlow DN600 SN8 (5.9m)</t>
        </is>
      </c>
      <c r="D45" s="2" t="inlineStr">
        <is>
          <t>len</t>
        </is>
      </c>
      <c r="E45" s="3" t="n">
        <v>829</v>
      </c>
      <c r="F45" s="2" t="inlineStr">
        <is>
          <t>Y</t>
        </is>
      </c>
      <c r="G45" s="2" t="inlineStr">
        <is>
          <t>N (freight separate line 2,950/lot)</t>
        </is>
      </c>
      <c r="H45" s="2" t="inlineStr">
        <is>
          <t>N</t>
        </is>
      </c>
      <c r="I45" s="2" t="inlineStr">
        <is>
          <t>Caution - price valid day of issue only</t>
        </is>
      </c>
      <c r="J45" s="2" t="inlineStr">
        <is>
          <t>Y - but re-quote first</t>
        </is>
      </c>
      <c r="K45" s="2" t="inlineStr">
        <is>
          <t>Same-day validity: treat as indicative; re-confirm before submission.</t>
        </is>
      </c>
    </row>
    <row r="46">
      <c r="A46" s="2" t="inlineStr">
        <is>
          <t>Atlan</t>
        </is>
      </c>
      <c r="B46" s="2" t="inlineStr">
        <is>
          <t>26-87004</t>
        </is>
      </c>
      <c r="C46" s="2" t="inlineStr">
        <is>
          <t>WSUD/detention package (38 Stormsack + 10 FIL-3.0 + 14.9kL tank + cover + freight + commissioning)</t>
        </is>
      </c>
      <c r="D46" s="2" t="inlineStr">
        <is>
          <t>lot</t>
        </is>
      </c>
      <c r="E46" s="3" t="n">
        <v>88838</v>
      </c>
      <c r="F46" s="2" t="inlineStr">
        <is>
          <t>Y</t>
        </is>
      </c>
      <c r="G46" s="2" t="inlineStr">
        <is>
          <t>Y (freight in lump sum; fuel levy extra)</t>
        </is>
      </c>
      <c r="H46" s="2" t="inlineStr">
        <is>
          <t>Caution - day-of-issue validity</t>
        </is>
      </c>
      <c r="I46" s="2" t="inlineStr">
        <is>
          <t>N - do not add freight or commissioning again; add fuel levy + cranage</t>
        </is>
      </c>
      <c r="J46" s="2" t="inlineStr">
        <is>
          <t>Y - but re-quote on MUSIC model</t>
        </is>
      </c>
      <c r="K46" s="2" t="inlineStr">
        <is>
          <t>'High level estimate only' pending MUSIC model - must be re-proposed.</t>
        </is>
      </c>
    </row>
    <row r="47">
      <c r="A47" s="2" t="inlineStr">
        <is>
          <t>Jaybro</t>
        </is>
      </c>
      <c r="B47" s="2" t="inlineStr">
        <is>
          <t>Email 16/07/26</t>
        </is>
      </c>
      <c r="C47" s="2" t="inlineStr">
        <is>
          <t>Headwall to suit 225 PVC</t>
        </is>
      </c>
      <c r="D47" s="2" t="inlineStr">
        <is>
          <t>ea</t>
        </is>
      </c>
      <c r="E47" s="3" t="n">
        <v>280</v>
      </c>
      <c r="F47" s="2" t="inlineStr">
        <is>
          <t>Y</t>
        </is>
      </c>
      <c r="G47" s="2" t="inlineStr">
        <is>
          <t>N - 'No allowance for freight'</t>
        </is>
      </c>
      <c r="H47" s="2" t="inlineStr">
        <is>
          <t>N</t>
        </is>
      </c>
      <c r="I47" s="2" t="inlineStr">
        <is>
          <t>Y - AFTER adding freight</t>
        </is>
      </c>
      <c r="J47" s="2" t="inlineStr">
        <is>
          <t>Y</t>
        </is>
      </c>
      <c r="K47" s="2" t="inlineStr">
        <is>
          <t>Email quote; RCBC box culvert headwalls DECLINED ('We don't do rcbc box culvert headwalls'). Twin 375 @1,670 vs Humes 588.80 - use Humes.</t>
        </is>
      </c>
    </row>
    <row r="48">
      <c r="A48" s="2" t="inlineStr">
        <is>
          <t>Jaybro</t>
        </is>
      </c>
      <c r="B48" s="2" t="inlineStr">
        <is>
          <t>Email 16/07/26</t>
        </is>
      </c>
      <c r="C48" s="2" t="inlineStr">
        <is>
          <t>Headwall to suit 375 RCP</t>
        </is>
      </c>
      <c r="D48" s="2" t="inlineStr">
        <is>
          <t>ea</t>
        </is>
      </c>
      <c r="E48" s="3" t="n">
        <v>372</v>
      </c>
      <c r="F48" s="2" t="inlineStr">
        <is>
          <t>Y</t>
        </is>
      </c>
      <c r="G48" s="2" t="inlineStr">
        <is>
          <t>N - 'No allowance for freight'</t>
        </is>
      </c>
      <c r="H48" s="2" t="inlineStr">
        <is>
          <t>N</t>
        </is>
      </c>
      <c r="I48" s="2" t="inlineStr">
        <is>
          <t>Y - AFTER adding freight</t>
        </is>
      </c>
      <c r="J48" s="2" t="inlineStr">
        <is>
          <t>Y</t>
        </is>
      </c>
      <c r="K48" s="2" t="inlineStr">
        <is>
          <t>Email quote; RCBC box culvert headwalls DECLINED ('We don't do rcbc box culvert headwalls'). Twin 375 @1,670 vs Humes 588.80 - use Humes.</t>
        </is>
      </c>
    </row>
    <row r="49">
      <c r="A49" s="2" t="inlineStr">
        <is>
          <t>Jaybro</t>
        </is>
      </c>
      <c r="B49" s="2" t="inlineStr">
        <is>
          <t>Email 16/07/26</t>
        </is>
      </c>
      <c r="C49" s="2" t="inlineStr">
        <is>
          <t>Headwall to suit 150 PVC</t>
        </is>
      </c>
      <c r="D49" s="2" t="inlineStr">
        <is>
          <t>ea</t>
        </is>
      </c>
      <c r="E49" s="3" t="n">
        <v>158</v>
      </c>
      <c r="F49" s="2" t="inlineStr">
        <is>
          <t>Y</t>
        </is>
      </c>
      <c r="G49" s="2" t="inlineStr">
        <is>
          <t>N - 'No allowance for freight'</t>
        </is>
      </c>
      <c r="H49" s="2" t="inlineStr">
        <is>
          <t>N</t>
        </is>
      </c>
      <c r="I49" s="2" t="inlineStr">
        <is>
          <t>Y - AFTER adding freight</t>
        </is>
      </c>
      <c r="J49" s="2" t="inlineStr">
        <is>
          <t>Y</t>
        </is>
      </c>
      <c r="K49" s="2" t="inlineStr">
        <is>
          <t>Email quote; RCBC box culvert headwalls DECLINED ('We don't do rcbc box culvert headwalls'). Twin 375 @1,670 vs Humes 588.80 - use Humes.</t>
        </is>
      </c>
    </row>
    <row r="50">
      <c r="A50" s="2" t="inlineStr">
        <is>
          <t>Jaybro</t>
        </is>
      </c>
      <c r="B50" s="2" t="inlineStr">
        <is>
          <t>Email 16/07/26</t>
        </is>
      </c>
      <c r="C50" s="2" t="inlineStr">
        <is>
          <t>Headwall to suit 2x375 RCP (twin)</t>
        </is>
      </c>
      <c r="D50" s="2" t="inlineStr">
        <is>
          <t>ea</t>
        </is>
      </c>
      <c r="E50" s="3" t="n">
        <v>1670</v>
      </c>
      <c r="F50" s="2" t="inlineStr">
        <is>
          <t>Y</t>
        </is>
      </c>
      <c r="G50" s="2" t="inlineStr">
        <is>
          <t>N - 'No allowance for freight'</t>
        </is>
      </c>
      <c r="H50" s="2" t="inlineStr">
        <is>
          <t>N</t>
        </is>
      </c>
      <c r="I50" s="2" t="inlineStr">
        <is>
          <t>Y - AFTER adding freight</t>
        </is>
      </c>
      <c r="J50" s="2" t="inlineStr">
        <is>
          <t>Y</t>
        </is>
      </c>
      <c r="K50" s="2" t="inlineStr">
        <is>
          <t>Email quote; RCBC box culvert headwalls DECLINED ('We don't do rcbc box culvert headwalls'). Twin 375 @1,670 vs Humes 588.80 - use Humes.</t>
        </is>
      </c>
    </row>
    <row r="51">
      <c r="A51" s="2" t="inlineStr">
        <is>
          <t>Jaybro</t>
        </is>
      </c>
      <c r="B51" s="2" t="inlineStr">
        <is>
          <t>Email 16/07/26</t>
        </is>
      </c>
      <c r="C51" s="2" t="inlineStr">
        <is>
          <t>Headwall to suit 300 HDPE</t>
        </is>
      </c>
      <c r="D51" s="2" t="inlineStr">
        <is>
          <t>ea</t>
        </is>
      </c>
      <c r="E51" s="3" t="n">
        <v>352</v>
      </c>
      <c r="F51" s="2" t="inlineStr">
        <is>
          <t>Y</t>
        </is>
      </c>
      <c r="G51" s="2" t="inlineStr">
        <is>
          <t>N - 'No allowance for freight'</t>
        </is>
      </c>
      <c r="H51" s="2" t="inlineStr">
        <is>
          <t>N</t>
        </is>
      </c>
      <c r="I51" s="2" t="inlineStr">
        <is>
          <t>Y - AFTER adding freight</t>
        </is>
      </c>
      <c r="J51" s="2" t="inlineStr">
        <is>
          <t>Y</t>
        </is>
      </c>
      <c r="K51" s="2" t="inlineStr">
        <is>
          <t>Email quote; RCBC box culvert headwalls DECLINED ('We don't do rcbc box culvert headwalls'). Twin 375 @1,670 vs Humes 588.80 - use Humes.</t>
        </is>
      </c>
    </row>
    <row r="52">
      <c r="A52" s="2" t="inlineStr">
        <is>
          <t>Tradelink</t>
        </is>
      </c>
      <c r="B52" s="2" t="inlineStr">
        <is>
          <t>1065005 R1</t>
        </is>
      </c>
      <c r="C52" s="2" t="inlineStr">
        <is>
          <t>450x450x450 concrete pit</t>
        </is>
      </c>
      <c r="D52" s="2" t="inlineStr">
        <is>
          <t>ea</t>
        </is>
      </c>
      <c r="E52" s="3" t="n">
        <v>168.5</v>
      </c>
      <c r="F52" s="2" t="inlineStr">
        <is>
          <t>Y</t>
        </is>
      </c>
      <c r="G52" s="2" t="inlineStr">
        <is>
          <t>N (delivery fees / SF lines separate)</t>
        </is>
      </c>
      <c r="H52" s="2" t="inlineStr">
        <is>
          <t>N</t>
        </is>
      </c>
      <c r="I52" s="2" t="inlineStr">
        <is>
          <t>Y</t>
        </is>
      </c>
      <c r="J52" s="2" t="inlineStr">
        <is>
          <t>Y</t>
        </is>
      </c>
      <c r="K52" s="2" t="inlineStr">
        <is>
          <t>vs Jaybro 151.00 / Humes n/a</t>
        </is>
      </c>
    </row>
    <row r="53">
      <c r="A53" s="2" t="inlineStr">
        <is>
          <t>Tradelink</t>
        </is>
      </c>
      <c r="B53" s="2" t="inlineStr">
        <is>
          <t>1065005 R1</t>
        </is>
      </c>
      <c r="C53" s="2" t="inlineStr">
        <is>
          <t>600x600x600 HD concrete pit (80 wall)</t>
        </is>
      </c>
      <c r="D53" s="2" t="inlineStr">
        <is>
          <t>ea</t>
        </is>
      </c>
      <c r="E53" s="3" t="n">
        <v>229.5</v>
      </c>
      <c r="F53" s="2" t="inlineStr">
        <is>
          <t>Y</t>
        </is>
      </c>
      <c r="G53" s="2" t="inlineStr">
        <is>
          <t>N (delivery fees / SF lines separate)</t>
        </is>
      </c>
      <c r="H53" s="2" t="inlineStr">
        <is>
          <t>N</t>
        </is>
      </c>
      <c r="I53" s="2" t="inlineStr">
        <is>
          <t>Y</t>
        </is>
      </c>
      <c r="J53" s="2" t="inlineStr">
        <is>
          <t>Y</t>
        </is>
      </c>
      <c r="K53" s="2" t="inlineStr">
        <is>
          <t>vs Jaybro 205.00 / Humes 423.20</t>
        </is>
      </c>
    </row>
    <row r="54">
      <c r="A54" s="2" t="inlineStr">
        <is>
          <t>Tradelink</t>
        </is>
      </c>
      <c r="B54" s="2" t="inlineStr">
        <is>
          <t>1065005 R1</t>
        </is>
      </c>
      <c r="C54" s="2" t="inlineStr">
        <is>
          <t>600x600 Cl D grate &amp; frame (HD)</t>
        </is>
      </c>
      <c r="D54" s="2" t="inlineStr">
        <is>
          <t>ea</t>
        </is>
      </c>
      <c r="E54" s="3" t="n">
        <v>365.2</v>
      </c>
      <c r="F54" s="2" t="inlineStr">
        <is>
          <t>Y</t>
        </is>
      </c>
      <c r="G54" s="2" t="inlineStr">
        <is>
          <t>N (delivery fees / SF lines separate)</t>
        </is>
      </c>
      <c r="H54" s="2" t="inlineStr">
        <is>
          <t>N</t>
        </is>
      </c>
      <c r="I54" s="2" t="inlineStr">
        <is>
          <t>Y</t>
        </is>
      </c>
      <c r="J54" s="2" t="inlineStr">
        <is>
          <t>Y</t>
        </is>
      </c>
      <c r="K54" s="2" t="inlineStr">
        <is>
          <t>vs Jaybro hinged 583 / drop-in 193 / Humes drop-in 325.45</t>
        </is>
      </c>
    </row>
    <row r="55">
      <c r="A55" s="2" t="inlineStr">
        <is>
          <t>Tradelink</t>
        </is>
      </c>
      <c r="B55" s="2" t="inlineStr">
        <is>
          <t>1065005 R1</t>
        </is>
      </c>
      <c r="C55" s="2" t="inlineStr">
        <is>
          <t>PVC SN8 DWV 225 SWJ (6m)</t>
        </is>
      </c>
      <c r="D55" s="2" t="inlineStr">
        <is>
          <t>len</t>
        </is>
      </c>
      <c r="E55" s="3" t="n">
        <v>776.5</v>
      </c>
      <c r="F55" s="2" t="inlineStr">
        <is>
          <t>Y</t>
        </is>
      </c>
      <c r="G55" s="2" t="inlineStr">
        <is>
          <t>N (delivery fees / SF lines separate)</t>
        </is>
      </c>
      <c r="H55" s="2" t="inlineStr">
        <is>
          <t>N</t>
        </is>
      </c>
      <c r="I55" s="2" t="inlineStr">
        <is>
          <t>Y</t>
        </is>
      </c>
      <c r="J55" s="2" t="inlineStr">
        <is>
          <t>Y</t>
        </is>
      </c>
      <c r="K55" s="2" t="inlineStr">
        <is>
          <t>vs Reece Stormpro 225 216.10 &amp; Atlan 151.00 - PVC vs PP/HDPE class check before comparing</t>
        </is>
      </c>
    </row>
    <row r="56">
      <c r="A56" s="2" t="inlineStr">
        <is>
          <t>Tradelink</t>
        </is>
      </c>
      <c r="B56" s="2" t="inlineStr">
        <is>
          <t>1065005 R1</t>
        </is>
      </c>
      <c r="C56" s="2" t="inlineStr">
        <is>
          <t>PVC SN8 DWV 150 SWJ (6m)</t>
        </is>
      </c>
      <c r="D56" s="2" t="inlineStr">
        <is>
          <t>len</t>
        </is>
      </c>
      <c r="E56" s="3" t="n">
        <v>220.1</v>
      </c>
      <c r="F56" s="2" t="inlineStr">
        <is>
          <t>Y</t>
        </is>
      </c>
      <c r="G56" s="2" t="inlineStr">
        <is>
          <t>N (delivery fees / SF lines separate)</t>
        </is>
      </c>
      <c r="H56" s="2" t="inlineStr">
        <is>
          <t>N</t>
        </is>
      </c>
      <c r="I56" s="2" t="inlineStr">
        <is>
          <t>Y</t>
        </is>
      </c>
      <c r="J56" s="2" t="inlineStr">
        <is>
          <t>Y</t>
        </is>
      </c>
      <c r="K56" s="2" t="inlineStr"/>
    </row>
    <row r="57">
      <c r="A57" s="2" t="inlineStr">
        <is>
          <t>Tradelink</t>
        </is>
      </c>
      <c r="B57" s="2" t="inlineStr">
        <is>
          <t>1065005 R1</t>
        </is>
      </c>
      <c r="C57" s="2" t="inlineStr">
        <is>
          <t>Supplier freight/handling (lot)</t>
        </is>
      </c>
      <c r="D57" s="2" t="inlineStr">
        <is>
          <t>lot</t>
        </is>
      </c>
      <c r="E57" s="3" t="n">
        <v>3750</v>
      </c>
      <c r="F57" s="2" t="inlineStr">
        <is>
          <t>Y</t>
        </is>
      </c>
      <c r="G57" s="2" t="inlineStr">
        <is>
          <t>N (delivery fees / SF lines separate)</t>
        </is>
      </c>
      <c r="H57" s="2" t="inlineStr">
        <is>
          <t>N</t>
        </is>
      </c>
      <c r="I57" s="2" t="inlineStr">
        <is>
          <t>Y</t>
        </is>
      </c>
      <c r="J57" s="2" t="inlineStr">
        <is>
          <t>Y</t>
        </is>
      </c>
      <c r="K57" s="2" t="inlineStr">
        <is>
          <t>Already inside the 33,117.57 total - do not add again</t>
        </is>
      </c>
    </row>
    <row r="58">
      <c r="A58" s="2" t="inlineStr">
        <is>
          <t>Tradelink</t>
        </is>
      </c>
      <c r="B58" s="2" t="inlineStr">
        <is>
          <t>6595064</t>
        </is>
      </c>
      <c r="C58" s="2" t="inlineStr">
        <is>
          <t>CU tube Type-B DN200 (203.2 OD 14G, 6m)</t>
        </is>
      </c>
      <c r="D58" s="2" t="inlineStr">
        <is>
          <t>len</t>
        </is>
      </c>
      <c r="E58" s="3" t="n">
        <v>2015</v>
      </c>
      <c r="F58" s="2" t="inlineStr">
        <is>
          <t>Y</t>
        </is>
      </c>
      <c r="G58" s="2" t="inlineStr">
        <is>
          <t>N (delivery fees / SF lines separate)</t>
        </is>
      </c>
      <c r="H58" s="2" t="inlineStr">
        <is>
          <t>N</t>
        </is>
      </c>
      <c r="I58" s="2" t="inlineStr">
        <is>
          <t>Y</t>
        </is>
      </c>
      <c r="J58" s="2" t="inlineStr">
        <is>
          <t>Y</t>
        </is>
      </c>
      <c r="K58" s="2">
        <f> 335.83/m; copper basis for potable main; HDPE PE100 SDR11 O250 alternative NOT yet priced</f>
        <v/>
      </c>
    </row>
    <row r="59">
      <c r="A59" s="2" t="inlineStr">
        <is>
          <t>Tradelink</t>
        </is>
      </c>
      <c r="B59" s="2" t="inlineStr">
        <is>
          <t>1066143</t>
        </is>
      </c>
      <c r="C59" s="2" t="inlineStr">
        <is>
          <t>Urban CF400-PREMIUM wall-mount chilled fountain DFCF400P</t>
        </is>
      </c>
      <c r="D59" s="2" t="inlineStr">
        <is>
          <t>ea</t>
        </is>
      </c>
      <c r="E59" s="3" t="n">
        <v>11050</v>
      </c>
      <c r="F59" s="2" t="inlineStr">
        <is>
          <t>Y</t>
        </is>
      </c>
      <c r="G59" s="2" t="inlineStr">
        <is>
          <t>N (delivery fees / SF lines separate)</t>
        </is>
      </c>
      <c r="H59" s="2" t="inlineStr">
        <is>
          <t>N</t>
        </is>
      </c>
      <c r="I59" s="2" t="inlineStr">
        <is>
          <t>Y</t>
        </is>
      </c>
      <c r="J59" s="2" t="inlineStr">
        <is>
          <t>Y</t>
        </is>
      </c>
      <c r="K59" s="2" t="inlineStr">
        <is>
          <t>4 off (2 clubhouse + 2 amenities); signage extra; NON-chilled CF400 variant NOT quoted - gap</t>
        </is>
      </c>
    </row>
    <row r="60">
      <c r="A60" s="2" t="inlineStr">
        <is>
          <t>Tradelink</t>
        </is>
      </c>
      <c r="B60" s="2" t="inlineStr">
        <is>
          <t>1066143</t>
        </is>
      </c>
      <c r="C60" s="2" t="inlineStr">
        <is>
          <t>Billi Quadra 4180 boil/chill unit</t>
        </is>
      </c>
      <c r="D60" s="2" t="inlineStr">
        <is>
          <t>ea</t>
        </is>
      </c>
      <c r="E60" s="3" t="n">
        <v>7652.2</v>
      </c>
      <c r="F60" s="2" t="inlineStr">
        <is>
          <t>Y</t>
        </is>
      </c>
      <c r="G60" s="2" t="inlineStr">
        <is>
          <t>N (delivery fees / SF lines separate)</t>
        </is>
      </c>
      <c r="H60" s="2" t="inlineStr">
        <is>
          <t>N</t>
        </is>
      </c>
      <c r="I60" s="2" t="inlineStr">
        <is>
          <t>Y</t>
        </is>
      </c>
      <c r="J60" s="2" t="inlineStr">
        <is>
          <t>Y</t>
        </is>
      </c>
      <c r="K60" s="2" t="inlineStr">
        <is>
          <t>5 off</t>
        </is>
      </c>
    </row>
    <row r="61">
      <c r="A61" s="2" t="inlineStr">
        <is>
          <t>Tradelink</t>
        </is>
      </c>
      <c r="B61" s="2" t="inlineStr">
        <is>
          <t>1066143</t>
        </is>
      </c>
      <c r="C61" s="2" t="inlineStr">
        <is>
          <t>Custom L-shaped SS bench SPPL.BE.1925.700.2290.600</t>
        </is>
      </c>
      <c r="D61" s="2" t="inlineStr">
        <is>
          <t>ea</t>
        </is>
      </c>
      <c r="E61" s="3" t="n">
        <v>4986.5</v>
      </c>
      <c r="F61" s="2" t="inlineStr">
        <is>
          <t>Y</t>
        </is>
      </c>
      <c r="G61" s="2" t="inlineStr">
        <is>
          <t>N (delivery fees / SF lines separate)</t>
        </is>
      </c>
      <c r="H61" s="2" t="inlineStr">
        <is>
          <t>N</t>
        </is>
      </c>
      <c r="I61" s="2" t="inlineStr">
        <is>
          <t>Y</t>
        </is>
      </c>
      <c r="J61" s="2" t="inlineStr">
        <is>
          <t>Y</t>
        </is>
      </c>
      <c r="K61" s="2" t="inlineStr">
        <is>
          <t>5 off - custom order form required</t>
        </is>
      </c>
    </row>
    <row r="62">
      <c r="A62" s="2" t="inlineStr">
        <is>
          <t>Tradelink</t>
        </is>
      </c>
      <c r="B62" s="2" t="inlineStr">
        <is>
          <t>1066143</t>
        </is>
      </c>
      <c r="C62" s="2" t="inlineStr">
        <is>
          <t>SS ambulant toilet suite w/ seat</t>
        </is>
      </c>
      <c r="D62" s="2" t="inlineStr">
        <is>
          <t>ea</t>
        </is>
      </c>
      <c r="E62" s="3" t="n">
        <v>3450.1</v>
      </c>
      <c r="F62" s="2" t="inlineStr">
        <is>
          <t>Y</t>
        </is>
      </c>
      <c r="G62" s="2" t="inlineStr">
        <is>
          <t>N (delivery fees / SF lines separate)</t>
        </is>
      </c>
      <c r="H62" s="2" t="inlineStr">
        <is>
          <t>N</t>
        </is>
      </c>
      <c r="I62" s="2" t="inlineStr">
        <is>
          <t>Y</t>
        </is>
      </c>
      <c r="J62" s="2" t="inlineStr">
        <is>
          <t>Y</t>
        </is>
      </c>
      <c r="K62" s="2" t="inlineStr">
        <is>
          <t>5 off</t>
        </is>
      </c>
    </row>
    <row r="63">
      <c r="A63" s="2" t="inlineStr">
        <is>
          <t>Tradelink</t>
        </is>
      </c>
      <c r="B63" s="2" t="inlineStr">
        <is>
          <t>1066334</t>
        </is>
      </c>
      <c r="C63" s="2" t="inlineStr">
        <is>
          <t>QMax Fortis vessel + dual Sulzer XFP80C (supply)</t>
        </is>
      </c>
      <c r="D63" s="2" t="inlineStr">
        <is>
          <t>ea</t>
        </is>
      </c>
      <c r="E63" s="3" t="n">
        <v>281000</v>
      </c>
      <c r="F63" s="2" t="inlineStr">
        <is>
          <t>Y</t>
        </is>
      </c>
      <c r="G63" s="2" t="inlineStr">
        <is>
          <t>N (delivery fees / SF lines separate)</t>
        </is>
      </c>
      <c r="H63" s="2" t="inlineStr">
        <is>
          <t>N</t>
        </is>
      </c>
      <c r="I63" s="2" t="inlineStr">
        <is>
          <t>Y</t>
        </is>
      </c>
      <c r="J63" s="2" t="inlineStr">
        <is>
          <t>Y</t>
        </is>
      </c>
      <c r="K63" s="2" t="inlineStr">
        <is>
          <t>EXCLUDED SCOPE (Addendum 2) - interface evidence only</t>
        </is>
      </c>
    </row>
    <row r="64">
      <c r="A64" s="2" t="inlineStr">
        <is>
          <t>Tradelink</t>
        </is>
      </c>
      <c r="B64" s="2" t="inlineStr">
        <is>
          <t>1066334</t>
        </is>
      </c>
      <c r="C64" s="2" t="inlineStr">
        <is>
          <t>Mechanical &amp; electrical installation (pump stn)</t>
        </is>
      </c>
      <c r="D64" s="2" t="inlineStr">
        <is>
          <t>lot</t>
        </is>
      </c>
      <c r="E64" s="3" t="n">
        <v>115000</v>
      </c>
      <c r="F64" s="2" t="inlineStr">
        <is>
          <t>Y</t>
        </is>
      </c>
      <c r="G64" s="2" t="inlineStr">
        <is>
          <t>N (delivery fees / SF lines separate)</t>
        </is>
      </c>
      <c r="H64" s="2" t="inlineStr">
        <is>
          <t>N</t>
        </is>
      </c>
      <c r="I64" s="2" t="inlineStr">
        <is>
          <t>Y</t>
        </is>
      </c>
      <c r="J64" s="2" t="inlineStr">
        <is>
          <t>Y</t>
        </is>
      </c>
      <c r="K64" s="2" t="inlineStr">
        <is>
          <t>INSTALL LABOUR in a material quote - never multiply as material</t>
        </is>
      </c>
    </row>
    <row r="65">
      <c r="A65" s="2" t="inlineStr">
        <is>
          <t>Tradelink</t>
        </is>
      </c>
      <c r="B65" s="2" t="inlineStr">
        <is>
          <t>1066334</t>
        </is>
      </c>
      <c r="C65" s="2" t="inlineStr">
        <is>
          <t>1500L underground grease trap</t>
        </is>
      </c>
      <c r="D65" s="2" t="inlineStr">
        <is>
          <t>ea</t>
        </is>
      </c>
      <c r="E65" s="3" t="n">
        <v>6110</v>
      </c>
      <c r="F65" s="2" t="inlineStr">
        <is>
          <t>Y</t>
        </is>
      </c>
      <c r="G65" s="2" t="inlineStr">
        <is>
          <t>N (delivery fees / SF lines separate)</t>
        </is>
      </c>
      <c r="H65" s="2" t="inlineStr">
        <is>
          <t>N</t>
        </is>
      </c>
      <c r="I65" s="2" t="inlineStr">
        <is>
          <t>Y</t>
        </is>
      </c>
      <c r="J65" s="2" t="inlineStr">
        <is>
          <t>Y</t>
        </is>
      </c>
      <c r="K65" s="2" t="inlineStr">
        <is>
          <t>vs Reece Graf 1500L 4,010.30 - Reece cheaper</t>
        </is>
      </c>
    </row>
    <row r="66">
      <c r="A66" s="2" t="inlineStr">
        <is>
          <t>Tradelink</t>
        </is>
      </c>
      <c r="B66" s="2" t="inlineStr">
        <is>
          <t>1066334</t>
        </is>
      </c>
      <c r="C66" s="2" t="inlineStr">
        <is>
          <t>Rheem 613/315 HWU 3x3.6kW</t>
        </is>
      </c>
      <c r="D66" s="2" t="inlineStr">
        <is>
          <t>ea</t>
        </is>
      </c>
      <c r="E66" s="3" t="n">
        <v>3100</v>
      </c>
      <c r="F66" s="2" t="inlineStr">
        <is>
          <t>Y</t>
        </is>
      </c>
      <c r="G66" s="2" t="inlineStr">
        <is>
          <t>N (delivery fees / SF lines separate)</t>
        </is>
      </c>
      <c r="H66" s="2" t="inlineStr">
        <is>
          <t>N</t>
        </is>
      </c>
      <c r="I66" s="2" t="inlineStr">
        <is>
          <t>Y</t>
        </is>
      </c>
      <c r="J66" s="2" t="inlineStr">
        <is>
          <t>Y</t>
        </is>
      </c>
      <c r="K66" s="2" t="inlineStr">
        <is>
          <t>vs Reece 3,438.29 - Tradelink cheaper</t>
        </is>
      </c>
    </row>
    <row r="67">
      <c r="A67" s="2" t="inlineStr">
        <is>
          <t>Tradelink</t>
        </is>
      </c>
      <c r="B67" s="2" t="inlineStr">
        <is>
          <t>1066334</t>
        </is>
      </c>
      <c r="C67" s="2" t="inlineStr">
        <is>
          <t>TMV AVG w/ SS cabinet TMV15-PIB</t>
        </is>
      </c>
      <c r="D67" s="2" t="inlineStr">
        <is>
          <t>ea</t>
        </is>
      </c>
      <c r="E67" s="3" t="n">
        <v>503.77</v>
      </c>
      <c r="F67" s="2" t="inlineStr">
        <is>
          <t>Y</t>
        </is>
      </c>
      <c r="G67" s="2" t="inlineStr">
        <is>
          <t>N (delivery fees / SF lines separate)</t>
        </is>
      </c>
      <c r="H67" s="2" t="inlineStr">
        <is>
          <t>N</t>
        </is>
      </c>
      <c r="I67" s="2" t="inlineStr">
        <is>
          <t>Y</t>
        </is>
      </c>
      <c r="J67" s="2" t="inlineStr">
        <is>
          <t>Y</t>
        </is>
      </c>
      <c r="K67" s="2" t="inlineStr">
        <is>
          <t>6 off</t>
        </is>
      </c>
    </row>
    <row r="68">
      <c r="A68" s="2" t="inlineStr">
        <is>
          <t>Tradelink</t>
        </is>
      </c>
      <c r="B68" s="2" t="inlineStr">
        <is>
          <t>1066334</t>
        </is>
      </c>
      <c r="C68" s="2" t="inlineStr">
        <is>
          <t>RPZ device 100mm complete</t>
        </is>
      </c>
      <c r="D68" s="2" t="inlineStr">
        <is>
          <t>ea</t>
        </is>
      </c>
      <c r="E68" s="3" t="n">
        <v>2103</v>
      </c>
      <c r="F68" s="2" t="inlineStr">
        <is>
          <t>Y</t>
        </is>
      </c>
      <c r="G68" s="2" t="inlineStr">
        <is>
          <t>N (delivery fees / SF lines separate)</t>
        </is>
      </c>
      <c r="H68" s="2" t="inlineStr">
        <is>
          <t>N</t>
        </is>
      </c>
      <c r="I68" s="2" t="inlineStr">
        <is>
          <t>Y</t>
        </is>
      </c>
      <c r="J68" s="2" t="inlineStr">
        <is>
          <t>Y</t>
        </is>
      </c>
      <c r="K68" s="2" t="inlineStr"/>
    </row>
    <row r="69">
      <c r="A69" s="2" t="inlineStr">
        <is>
          <t>Reece</t>
        </is>
      </c>
      <c r="B69" s="2" t="inlineStr">
        <is>
          <t>Q-459014431</t>
        </is>
      </c>
      <c r="C69" s="2" t="inlineStr">
        <is>
          <t>22-cartridge 690mm PSorb StormFilter manhole (supply)</t>
        </is>
      </c>
      <c r="D69" s="2" t="inlineStr">
        <is>
          <t>ea</t>
        </is>
      </c>
      <c r="E69" s="3" t="n">
        <v>90064.63</v>
      </c>
      <c r="F69" s="2" t="inlineStr">
        <is>
          <t>Y</t>
        </is>
      </c>
      <c r="G69" s="2" t="inlineStr">
        <is>
          <t>N unless noted</t>
        </is>
      </c>
      <c r="H69" s="2" t="inlineStr">
        <is>
          <t>N</t>
        </is>
      </c>
      <c r="I69" s="2" t="inlineStr">
        <is>
          <t>Y (except excluded/lump lines)</t>
        </is>
      </c>
      <c r="J69" s="2" t="inlineStr">
        <is>
          <t>Y (except excluded/lump lines)</t>
        </is>
      </c>
      <c r="K69" s="2" t="inlineStr">
        <is>
          <t>PROJECT-SPECIFIC price for the 22x Tall 690 PSorb + DN3300 - single lump SAP line; verify vs direct Ocean Protect quote (OP 19901 derivation ~52-57k+esc for 22-cart excl freight - large gap, interrogate scope)</t>
        </is>
      </c>
    </row>
    <row r="70">
      <c r="A70" s="2" t="inlineStr">
        <is>
          <t>Reece</t>
        </is>
      </c>
      <c r="B70" s="2" t="inlineStr">
        <is>
          <t>Q-459014431</t>
        </is>
      </c>
      <c r="C70" s="2" t="inlineStr">
        <is>
          <t>Freight - StormFilter manhole</t>
        </is>
      </c>
      <c r="D70" s="2" t="inlineStr">
        <is>
          <t>lot</t>
        </is>
      </c>
      <c r="E70" s="3" t="n">
        <v>7142.1</v>
      </c>
      <c r="F70" s="2" t="inlineStr">
        <is>
          <t>Y</t>
        </is>
      </c>
      <c r="G70" s="2" t="inlineStr">
        <is>
          <t>N unless noted</t>
        </is>
      </c>
      <c r="H70" s="2" t="inlineStr">
        <is>
          <t>N</t>
        </is>
      </c>
      <c r="I70" s="2" t="inlineStr">
        <is>
          <t>Y (except excluded/lump lines)</t>
        </is>
      </c>
      <c r="J70" s="2" t="inlineStr">
        <is>
          <t>Y (except excluded/lump lines)</t>
        </is>
      </c>
      <c r="K70" s="2" t="inlineStr">
        <is>
          <t>Already in quote total - no second freight</t>
        </is>
      </c>
    </row>
    <row r="71">
      <c r="A71" s="2" t="inlineStr">
        <is>
          <t>Reece</t>
        </is>
      </c>
      <c r="B71" s="2" t="inlineStr">
        <is>
          <t>Q-459014431</t>
        </is>
      </c>
      <c r="C71" s="2" t="inlineStr">
        <is>
          <t>QMax Fortis 3200x6700 dual pump station incl INSTALLATION AND COMMISSIONING</t>
        </is>
      </c>
      <c r="D71" s="2" t="inlineStr">
        <is>
          <t>lot</t>
        </is>
      </c>
      <c r="E71" s="3" t="n">
        <v>523170.73</v>
      </c>
      <c r="F71" s="2" t="inlineStr">
        <is>
          <t>Y</t>
        </is>
      </c>
      <c r="G71" s="2" t="inlineStr">
        <is>
          <t>N unless noted</t>
        </is>
      </c>
      <c r="H71" s="2" t="inlineStr">
        <is>
          <t>N</t>
        </is>
      </c>
      <c r="I71" s="2" t="inlineStr">
        <is>
          <t>Y (except excluded/lump lines)</t>
        </is>
      </c>
      <c r="J71" s="2" t="inlineStr">
        <is>
          <t>Y (except excluded/lump lines)</t>
        </is>
      </c>
      <c r="K71" s="2" t="inlineStr">
        <is>
          <t>Supply+install lump sum; EXCLUDED SCOPE - evidence only; do not multiply</t>
        </is>
      </c>
    </row>
    <row r="72">
      <c r="A72" s="2" t="inlineStr">
        <is>
          <t>Reece</t>
        </is>
      </c>
      <c r="B72" s="2" t="inlineStr">
        <is>
          <t>Q-459014431</t>
        </is>
      </c>
      <c r="C72" s="2" t="inlineStr">
        <is>
          <t>Graf 1500L grease trap w/ CI lid Cl D</t>
        </is>
      </c>
      <c r="D72" s="2" t="inlineStr">
        <is>
          <t>ea</t>
        </is>
      </c>
      <c r="E72" s="3" t="n">
        <v>4010.3</v>
      </c>
      <c r="F72" s="2" t="inlineStr">
        <is>
          <t>Y</t>
        </is>
      </c>
      <c r="G72" s="2" t="inlineStr">
        <is>
          <t>N unless noted</t>
        </is>
      </c>
      <c r="H72" s="2" t="inlineStr">
        <is>
          <t>N</t>
        </is>
      </c>
      <c r="I72" s="2" t="inlineStr">
        <is>
          <t>Y (except excluded/lump lines)</t>
        </is>
      </c>
      <c r="J72" s="2" t="inlineStr">
        <is>
          <t>Y (except excluded/lump lines)</t>
        </is>
      </c>
      <c r="K72" s="2" t="inlineStr"/>
    </row>
    <row r="73">
      <c r="A73" s="2" t="inlineStr">
        <is>
          <t>Reece</t>
        </is>
      </c>
      <c r="B73" s="2" t="inlineStr">
        <is>
          <t>Q-459014431</t>
        </is>
      </c>
      <c r="C73" s="2" t="inlineStr">
        <is>
          <t>Rheem 613/315 HWU</t>
        </is>
      </c>
      <c r="D73" s="2" t="inlineStr">
        <is>
          <t>ea</t>
        </is>
      </c>
      <c r="E73" s="3" t="n">
        <v>3438.29</v>
      </c>
      <c r="F73" s="2" t="inlineStr">
        <is>
          <t>Y</t>
        </is>
      </c>
      <c r="G73" s="2" t="inlineStr">
        <is>
          <t>N unless noted</t>
        </is>
      </c>
      <c r="H73" s="2" t="inlineStr">
        <is>
          <t>N</t>
        </is>
      </c>
      <c r="I73" s="2" t="inlineStr">
        <is>
          <t>Y (except excluded/lump lines)</t>
        </is>
      </c>
      <c r="J73" s="2" t="inlineStr">
        <is>
          <t>Y (except excluded/lump lines)</t>
        </is>
      </c>
      <c r="K73" s="2" t="inlineStr"/>
    </row>
    <row r="74">
      <c r="A74" s="2" t="inlineStr">
        <is>
          <t>Reece</t>
        </is>
      </c>
      <c r="B74" s="2" t="inlineStr">
        <is>
          <t>Q-459014431</t>
        </is>
      </c>
      <c r="C74" s="2" t="inlineStr">
        <is>
          <t>Rheem 613/050 HWU</t>
        </is>
      </c>
      <c r="D74" s="2" t="inlineStr">
        <is>
          <t>ea</t>
        </is>
      </c>
      <c r="E74" s="3" t="n">
        <v>2016.08</v>
      </c>
      <c r="F74" s="2" t="inlineStr">
        <is>
          <t>Y</t>
        </is>
      </c>
      <c r="G74" s="2" t="inlineStr">
        <is>
          <t>N unless noted</t>
        </is>
      </c>
      <c r="H74" s="2" t="inlineStr">
        <is>
          <t>N</t>
        </is>
      </c>
      <c r="I74" s="2" t="inlineStr">
        <is>
          <t>Y (except excluded/lump lines)</t>
        </is>
      </c>
      <c r="J74" s="2" t="inlineStr">
        <is>
          <t>Y (except excluded/lump lines)</t>
        </is>
      </c>
      <c r="K74" s="2" t="inlineStr"/>
    </row>
    <row r="75">
      <c r="A75" s="2" t="inlineStr">
        <is>
          <t>Reece</t>
        </is>
      </c>
      <c r="B75" s="2" t="inlineStr">
        <is>
          <t>Q-459014431</t>
        </is>
      </c>
      <c r="C75" s="2" t="inlineStr">
        <is>
          <t>Grundfos UPS32-80N dual SS HWC deluxe</t>
        </is>
      </c>
      <c r="D75" s="2" t="inlineStr">
        <is>
          <t>ea</t>
        </is>
      </c>
      <c r="E75" s="3" t="n">
        <v>6775.83</v>
      </c>
      <c r="F75" s="2" t="inlineStr">
        <is>
          <t>Y</t>
        </is>
      </c>
      <c r="G75" s="2" t="inlineStr">
        <is>
          <t>N unless noted</t>
        </is>
      </c>
      <c r="H75" s="2" t="inlineStr">
        <is>
          <t>N</t>
        </is>
      </c>
      <c r="I75" s="2" t="inlineStr">
        <is>
          <t>Y (except excluded/lump lines)</t>
        </is>
      </c>
      <c r="J75" s="2" t="inlineStr">
        <is>
          <t>Y (except excluded/lump lines)</t>
        </is>
      </c>
      <c r="K75" s="2" t="inlineStr">
        <is>
          <t>vs Tradelink UPS20-60N 4,700 - different models, check spec</t>
        </is>
      </c>
    </row>
    <row r="76">
      <c r="A76" s="2" t="inlineStr">
        <is>
          <t>Reece</t>
        </is>
      </c>
      <c r="B76" s="2" t="inlineStr">
        <is>
          <t>Q-459014431</t>
        </is>
      </c>
      <c r="C76" s="2" t="inlineStr">
        <is>
          <t>Press-fit 316 SS tube 22mm (6m)</t>
        </is>
      </c>
      <c r="D76" s="2" t="inlineStr">
        <is>
          <t>len</t>
        </is>
      </c>
      <c r="E76" s="3" t="n">
        <v>64.68000000000001</v>
      </c>
      <c r="F76" s="2" t="inlineStr">
        <is>
          <t>Y</t>
        </is>
      </c>
      <c r="G76" s="2" t="inlineStr">
        <is>
          <t>N unless noted</t>
        </is>
      </c>
      <c r="H76" s="2" t="inlineStr">
        <is>
          <t>N</t>
        </is>
      </c>
      <c r="I76" s="2" t="inlineStr">
        <is>
          <t>Y (except excluded/lump lines)</t>
        </is>
      </c>
      <c r="J76" s="2" t="inlineStr">
        <is>
          <t>Y (except excluded/lump lines)</t>
        </is>
      </c>
      <c r="K76" s="2" t="inlineStr">
        <is>
          <t>Rate-only line; &gt;35mm NOT priced by anyone; Tradelink refused - GAP</t>
        </is>
      </c>
    </row>
    <row r="77">
      <c r="A77" s="2" t="inlineStr">
        <is>
          <t>Reece</t>
        </is>
      </c>
      <c r="B77" s="2" t="inlineStr">
        <is>
          <t>Q-459014431</t>
        </is>
      </c>
      <c r="C77" s="2" t="inlineStr">
        <is>
          <t>Press-fit 316 SS tube 28mm (6m)</t>
        </is>
      </c>
      <c r="D77" s="2" t="inlineStr">
        <is>
          <t>len</t>
        </is>
      </c>
      <c r="E77" s="3" t="n">
        <v>80.63</v>
      </c>
      <c r="F77" s="2" t="inlineStr">
        <is>
          <t>Y</t>
        </is>
      </c>
      <c r="G77" s="2" t="inlineStr">
        <is>
          <t>N unless noted</t>
        </is>
      </c>
      <c r="H77" s="2" t="inlineStr">
        <is>
          <t>N</t>
        </is>
      </c>
      <c r="I77" s="2" t="inlineStr">
        <is>
          <t>Y (except excluded/lump lines)</t>
        </is>
      </c>
      <c r="J77" s="2" t="inlineStr">
        <is>
          <t>Y (except excluded/lump lines)</t>
        </is>
      </c>
      <c r="K77" s="2" t="inlineStr"/>
    </row>
    <row r="78">
      <c r="A78" s="2" t="inlineStr">
        <is>
          <t>Reece</t>
        </is>
      </c>
      <c r="B78" s="2" t="inlineStr">
        <is>
          <t>Q-459014431</t>
        </is>
      </c>
      <c r="C78" s="2" t="inlineStr">
        <is>
          <t>Press-fit 316 SS tube 35mm (6m)</t>
        </is>
      </c>
      <c r="D78" s="2" t="inlineStr">
        <is>
          <t>len</t>
        </is>
      </c>
      <c r="E78" s="3" t="n">
        <v>132.03</v>
      </c>
      <c r="F78" s="2" t="inlineStr">
        <is>
          <t>Y</t>
        </is>
      </c>
      <c r="G78" s="2" t="inlineStr">
        <is>
          <t>N unless noted</t>
        </is>
      </c>
      <c r="H78" s="2" t="inlineStr">
        <is>
          <t>N</t>
        </is>
      </c>
      <c r="I78" s="2" t="inlineStr">
        <is>
          <t>Y (except excluded/lump lines)</t>
        </is>
      </c>
      <c r="J78" s="2" t="inlineStr">
        <is>
          <t>Y (except excluded/lump lines)</t>
        </is>
      </c>
      <c r="K78" s="2" t="inlineStr"/>
    </row>
    <row r="79">
      <c r="A79" s="2" t="inlineStr">
        <is>
          <t>Reece</t>
        </is>
      </c>
      <c r="B79" s="2" t="inlineStr">
        <is>
          <t>Q-459014431</t>
        </is>
      </c>
      <c r="C79" s="2" t="inlineStr">
        <is>
          <t>Tomson TMV T160 20mm LF</t>
        </is>
      </c>
      <c r="D79" s="2" t="inlineStr">
        <is>
          <t>ea</t>
        </is>
      </c>
      <c r="E79" s="3" t="n">
        <v>248.86</v>
      </c>
      <c r="F79" s="2" t="inlineStr">
        <is>
          <t>Y</t>
        </is>
      </c>
      <c r="G79" s="2" t="inlineStr">
        <is>
          <t>N unless noted</t>
        </is>
      </c>
      <c r="H79" s="2" t="inlineStr">
        <is>
          <t>N</t>
        </is>
      </c>
      <c r="I79" s="2" t="inlineStr">
        <is>
          <t>Y (except excluded/lump lines)</t>
        </is>
      </c>
      <c r="J79" s="2" t="inlineStr">
        <is>
          <t>Y (except excluded/lump lines)</t>
        </is>
      </c>
      <c r="K79" s="2" t="inlineStr"/>
    </row>
    <row r="80">
      <c r="A80" s="2" t="inlineStr">
        <is>
          <t>Reece</t>
        </is>
      </c>
      <c r="B80" s="2" t="inlineStr">
        <is>
          <t>Q-459014431</t>
        </is>
      </c>
      <c r="C80" s="2" t="inlineStr">
        <is>
          <t>Valvcheq RPZ w/ ball valves 20mm</t>
        </is>
      </c>
      <c r="D80" s="2" t="inlineStr">
        <is>
          <t>ea</t>
        </is>
      </c>
      <c r="E80" s="3" t="n">
        <v>453.85</v>
      </c>
      <c r="F80" s="2" t="inlineStr">
        <is>
          <t>Y</t>
        </is>
      </c>
      <c r="G80" s="2" t="inlineStr">
        <is>
          <t>N unless noted</t>
        </is>
      </c>
      <c r="H80" s="2" t="inlineStr">
        <is>
          <t>N</t>
        </is>
      </c>
      <c r="I80" s="2" t="inlineStr">
        <is>
          <t>Y (except excluded/lump lines)</t>
        </is>
      </c>
      <c r="J80" s="2" t="inlineStr">
        <is>
          <t>Y (except excluded/lump lines)</t>
        </is>
      </c>
      <c r="K80" s="2" t="inlineStr"/>
    </row>
    <row r="81">
      <c r="A81" s="2" t="inlineStr">
        <is>
          <t>Ocean Protect</t>
        </is>
      </c>
      <c r="B81" s="2" t="inlineStr">
        <is>
          <t>19901 (comparable, EXPIRED)</t>
        </is>
      </c>
      <c r="C81" s="2" t="inlineStr">
        <is>
          <t>18-cartridge 690 PSORB StormFilter DN3300 manhole</t>
        </is>
      </c>
      <c r="D81" s="2" t="inlineStr">
        <is>
          <t>ea</t>
        </is>
      </c>
      <c r="E81" s="3" t="n">
        <v>70060</v>
      </c>
      <c r="F81" s="2" t="inlineStr">
        <is>
          <t>Y</t>
        </is>
      </c>
      <c r="G81" s="2" t="inlineStr">
        <is>
          <t>see note</t>
        </is>
      </c>
      <c r="H81" s="2" t="inlineStr">
        <is>
          <t>N</t>
        </is>
      </c>
      <c r="I81" s="2" t="inlineStr">
        <is>
          <t>Benchmark only - re-base + escalate</t>
        </is>
      </c>
      <c r="J81" s="2" t="inlineStr">
        <is>
          <t>Benchmark only</t>
        </is>
      </c>
      <c r="K81" s="2" t="inlineStr">
        <is>
          <t>COMPARABLE reference - record scope/date/location/spec/freight/qty deltas before any use. Mar-26 Anaconda; FOT unloading by others</t>
        </is>
      </c>
    </row>
    <row r="82">
      <c r="A82" s="2" t="inlineStr">
        <is>
          <t>Ocean Protect</t>
        </is>
      </c>
      <c r="B82" s="2" t="inlineStr">
        <is>
          <t>19901</t>
        </is>
      </c>
      <c r="C82" s="2" t="inlineStr">
        <is>
          <t>13-cartridge 690 PSORB StormFilter DN3300 manhole</t>
        </is>
      </c>
      <c r="D82" s="2" t="inlineStr">
        <is>
          <t>ea</t>
        </is>
      </c>
      <c r="E82" s="3" t="n">
        <v>60460</v>
      </c>
      <c r="F82" s="2" t="inlineStr">
        <is>
          <t>Y</t>
        </is>
      </c>
      <c r="G82" s="2" t="inlineStr">
        <is>
          <t>see note</t>
        </is>
      </c>
      <c r="H82" s="2" t="inlineStr">
        <is>
          <t>N</t>
        </is>
      </c>
      <c r="I82" s="2" t="inlineStr">
        <is>
          <t>Benchmark only - re-base + escalate</t>
        </is>
      </c>
      <c r="J82" s="2" t="inlineStr">
        <is>
          <t>Benchmark only</t>
        </is>
      </c>
      <c r="K82" s="2" t="inlineStr">
        <is>
          <t>COMPARABLE reference - record scope/date/location/spec/freight/qty deltas before any use. Implies ~1,920/cartridge increment + ~35.5k manhole base</t>
        </is>
      </c>
    </row>
    <row r="83">
      <c r="A83" s="2" t="inlineStr">
        <is>
          <t>Ocean Protect</t>
        </is>
      </c>
      <c r="B83" s="2" t="inlineStr">
        <is>
          <t>19901</t>
        </is>
      </c>
      <c r="C83" s="2" t="inlineStr">
        <is>
          <t>OceanGuard 200 pit insert (to 900x900)</t>
        </is>
      </c>
      <c r="D83" s="2" t="inlineStr">
        <is>
          <t>ea</t>
        </is>
      </c>
      <c r="E83" s="3" t="n">
        <v>500</v>
      </c>
      <c r="F83" s="2" t="inlineStr">
        <is>
          <t>Y</t>
        </is>
      </c>
      <c r="G83" s="2" t="inlineStr">
        <is>
          <t>see note</t>
        </is>
      </c>
      <c r="H83" s="2" t="inlineStr">
        <is>
          <t>N</t>
        </is>
      </c>
      <c r="I83" s="2" t="inlineStr">
        <is>
          <t>Benchmark only - re-base + escalate</t>
        </is>
      </c>
      <c r="J83" s="2" t="inlineStr">
        <is>
          <t>Benchmark only</t>
        </is>
      </c>
      <c r="K83" s="2" t="inlineStr">
        <is>
          <t>COMPARABLE reference - record scope/date/location/spec/freight/qty deltas before any use. 22 off on Anaconda</t>
        </is>
      </c>
    </row>
    <row r="84">
      <c r="A84" s="2" t="inlineStr">
        <is>
          <t>Ocean Protect</t>
        </is>
      </c>
      <c r="B84" s="2" t="inlineStr">
        <is>
          <t>19901</t>
        </is>
      </c>
      <c r="C84" s="2" t="inlineStr">
        <is>
          <t>UrbanPond modular OSD 185kL</t>
        </is>
      </c>
      <c r="D84" s="2" t="inlineStr">
        <is>
          <t>lot</t>
        </is>
      </c>
      <c r="E84" s="3" t="n">
        <v>128000</v>
      </c>
      <c r="F84" s="2" t="inlineStr">
        <is>
          <t>Y</t>
        </is>
      </c>
      <c r="G84" s="2" t="inlineStr">
        <is>
          <t>see note</t>
        </is>
      </c>
      <c r="H84" s="2" t="inlineStr">
        <is>
          <t>N</t>
        </is>
      </c>
      <c r="I84" s="2" t="inlineStr">
        <is>
          <t>Benchmark only - re-base + escalate</t>
        </is>
      </c>
      <c r="J84" s="2" t="inlineStr">
        <is>
          <t>Benchmark only</t>
        </is>
      </c>
      <c r="K84" s="2" t="inlineStr">
        <is>
          <t>COMPARABLE reference - record scope/date/location/spec/freight/qty deltas before any use. ~692/kL</t>
        </is>
      </c>
    </row>
    <row r="85">
      <c r="A85" s="2" t="inlineStr">
        <is>
          <t>Ocean Protect</t>
        </is>
      </c>
      <c r="B85" s="2" t="inlineStr">
        <is>
          <t>19901</t>
        </is>
      </c>
      <c r="C85" s="2" t="inlineStr">
        <is>
          <t>UrbanPond modular OSD 395kL</t>
        </is>
      </c>
      <c r="D85" s="2" t="inlineStr">
        <is>
          <t>lot</t>
        </is>
      </c>
      <c r="E85" s="3" t="n">
        <v>330000</v>
      </c>
      <c r="F85" s="2" t="inlineStr">
        <is>
          <t>Y</t>
        </is>
      </c>
      <c r="G85" s="2" t="inlineStr">
        <is>
          <t>see note</t>
        </is>
      </c>
      <c r="H85" s="2" t="inlineStr">
        <is>
          <t>N</t>
        </is>
      </c>
      <c r="I85" s="2" t="inlineStr">
        <is>
          <t>Benchmark only - re-base + escalate</t>
        </is>
      </c>
      <c r="J85" s="2" t="inlineStr">
        <is>
          <t>Benchmark only</t>
        </is>
      </c>
      <c r="K85" s="2" t="inlineStr">
        <is>
          <t>COMPARABLE reference - record scope/date/location/spec/freight/qty deltas before any use. ~835/kL</t>
        </is>
      </c>
    </row>
    <row r="86">
      <c r="A86" s="2" t="inlineStr">
        <is>
          <t>Ocean Protect</t>
        </is>
      </c>
      <c r="B86" s="2" t="inlineStr">
        <is>
          <t>19901</t>
        </is>
      </c>
      <c r="C86" s="2" t="inlineStr">
        <is>
          <t>Freight precast to site (Rockhampton)</t>
        </is>
      </c>
      <c r="D86" s="2" t="inlineStr">
        <is>
          <t>lot</t>
        </is>
      </c>
      <c r="E86" s="3" t="n">
        <v>8000</v>
      </c>
      <c r="F86" s="2" t="inlineStr">
        <is>
          <t>Y</t>
        </is>
      </c>
      <c r="G86" s="2" t="inlineStr">
        <is>
          <t>see note</t>
        </is>
      </c>
      <c r="H86" s="2" t="inlineStr">
        <is>
          <t>N</t>
        </is>
      </c>
      <c r="I86" s="2" t="inlineStr">
        <is>
          <t>Benchmark only - re-base + escalate</t>
        </is>
      </c>
      <c r="J86" s="2" t="inlineStr">
        <is>
          <t>Benchmark only</t>
        </is>
      </c>
      <c r="K86" s="2" t="inlineStr">
        <is>
          <t>COMPARABLE reference - record scope/date/location/spec/freight/qty deltas before any use. Mar-26 freight benchmark</t>
        </is>
      </c>
    </row>
    <row r="87">
      <c r="A87" s="2" t="inlineStr">
        <is>
          <t>Reece</t>
        </is>
      </c>
      <c r="B87" s="2" t="inlineStr">
        <is>
          <t>Q-459012377 (comparable, EXPIRED)</t>
        </is>
      </c>
      <c r="C87" s="2" t="inlineStr">
        <is>
          <t>RCP 375 Class 4 (2.34m! not 2.44m)</t>
        </is>
      </c>
      <c r="D87" s="2" t="inlineStr">
        <is>
          <t>len</t>
        </is>
      </c>
      <c r="E87" s="3" t="n">
        <v>209.8</v>
      </c>
      <c r="F87" s="2" t="inlineStr">
        <is>
          <t>Y</t>
        </is>
      </c>
      <c r="G87" s="2" t="inlineStr">
        <is>
          <t>see note</t>
        </is>
      </c>
      <c r="H87" s="2" t="inlineStr">
        <is>
          <t>N</t>
        </is>
      </c>
      <c r="I87" s="2" t="inlineStr">
        <is>
          <t>Benchmark only - re-base + escalate</t>
        </is>
      </c>
      <c r="J87" s="2" t="inlineStr">
        <is>
          <t>Benchmark only</t>
        </is>
      </c>
      <c r="K87" s="2" t="inlineStr">
        <is>
          <t>COMPARABLE reference - record scope/date/location/spec/freight/qty deltas before any use. = 89.7/m Feb-26; normalise lengths before trending</t>
        </is>
      </c>
    </row>
    <row r="88">
      <c r="A88" s="2" t="inlineStr">
        <is>
          <t>Reece</t>
        </is>
      </c>
      <c r="B88" s="2" t="inlineStr">
        <is>
          <t>Q-459014437 (NAS, current)</t>
        </is>
      </c>
      <c r="C88" s="2" t="inlineStr">
        <is>
          <t>PE100 PN16 blue-stripe 125mm (6m)</t>
        </is>
      </c>
      <c r="D88" s="2" t="inlineStr">
        <is>
          <t>len</t>
        </is>
      </c>
      <c r="E88" s="3" t="n">
        <v>186.65</v>
      </c>
      <c r="F88" s="2" t="inlineStr">
        <is>
          <t>Y</t>
        </is>
      </c>
      <c r="G88" s="2" t="inlineStr">
        <is>
          <t>see note</t>
        </is>
      </c>
      <c r="H88" s="2" t="inlineStr">
        <is>
          <t>N</t>
        </is>
      </c>
      <c r="I88" s="2" t="inlineStr">
        <is>
          <t>Benchmark only - re-base + escalate</t>
        </is>
      </c>
      <c r="J88" s="2" t="inlineStr">
        <is>
          <t>Benchmark only</t>
        </is>
      </c>
      <c r="K88" s="2" t="inlineStr">
        <is>
          <t>COMPARABLE reference - record scope/date/location/spec/freight/qty deltas before any use. = 31.1/m; closest current PE benchmark for deriving O250 SDR11</t>
        </is>
      </c>
    </row>
    <row r="89">
      <c r="A89" s="2" t="inlineStr">
        <is>
          <t>Tradelink</t>
        </is>
      </c>
      <c r="B89" s="2" t="inlineStr">
        <is>
          <t>1057751 (CQU, EXPIRED)</t>
        </is>
      </c>
      <c r="C89" s="2" t="inlineStr">
        <is>
          <t>CU tube Type-B 100mm (6m)</t>
        </is>
      </c>
      <c r="D89" s="2" t="inlineStr">
        <is>
          <t>len</t>
        </is>
      </c>
      <c r="E89" s="3" t="n">
        <v>735.21</v>
      </c>
      <c r="F89" s="2" t="inlineStr">
        <is>
          <t>Y</t>
        </is>
      </c>
      <c r="G89" s="2" t="inlineStr">
        <is>
          <t>see note</t>
        </is>
      </c>
      <c r="H89" s="2" t="inlineStr">
        <is>
          <t>N</t>
        </is>
      </c>
      <c r="I89" s="2" t="inlineStr">
        <is>
          <t>Benchmark only - re-base + escalate</t>
        </is>
      </c>
      <c r="J89" s="2" t="inlineStr">
        <is>
          <t>Benchmark only</t>
        </is>
      </c>
      <c r="K89" s="2" t="inlineStr">
        <is>
          <t>COMPARABLE reference - record scope/date/location/spec/freight/qty deltas before any use. Copper curve 15-100mm on file for rough-in benchmarking</t>
        </is>
      </c>
    </row>
    <row r="90">
      <c r="A90" s="2" t="inlineStr">
        <is>
          <t>Humes</t>
        </is>
      </c>
      <c r="B90" s="2" t="inlineStr">
        <is>
          <t>Q21641195 (NAS, current)</t>
        </is>
      </c>
      <c r="C90" s="2" t="inlineStr">
        <is>
          <t>600x600x600 pit base</t>
        </is>
      </c>
      <c r="D90" s="2" t="inlineStr">
        <is>
          <t>ea</t>
        </is>
      </c>
      <c r="E90" s="3" t="n">
        <v>423.2</v>
      </c>
      <c r="F90" s="2" t="inlineStr">
        <is>
          <t>Y</t>
        </is>
      </c>
      <c r="G90" s="2" t="inlineStr">
        <is>
          <t>see note</t>
        </is>
      </c>
      <c r="H90" s="2" t="inlineStr">
        <is>
          <t>N</t>
        </is>
      </c>
      <c r="I90" s="2" t="inlineStr">
        <is>
          <t>Benchmark only - re-base + escalate</t>
        </is>
      </c>
      <c r="J90" s="2" t="inlineStr">
        <is>
          <t>Benchmark only</t>
        </is>
      </c>
      <c r="K90" s="2" t="inlineStr">
        <is>
          <t>COMPARABLE reference - record scope/date/location/spec/freight/qty deltas before any use. vs Tradelink 229.50 / Jaybro 205</t>
        </is>
      </c>
    </row>
    <row r="91">
      <c r="A91" s="2" t="inlineStr">
        <is>
          <t>Jaybro</t>
        </is>
      </c>
      <c r="B91" s="2" t="inlineStr">
        <is>
          <t>20043160 (NAS)</t>
        </is>
      </c>
      <c r="C91" s="2" t="inlineStr">
        <is>
          <t>Hinged grate &amp; frame 600x600 Cl D</t>
        </is>
      </c>
      <c r="D91" s="2" t="inlineStr">
        <is>
          <t>ea</t>
        </is>
      </c>
      <c r="E91" s="3" t="n">
        <v>583</v>
      </c>
      <c r="F91" s="2" t="inlineStr">
        <is>
          <t>Y</t>
        </is>
      </c>
      <c r="G91" s="2" t="inlineStr">
        <is>
          <t>see note</t>
        </is>
      </c>
      <c r="H91" s="2" t="inlineStr">
        <is>
          <t>N</t>
        </is>
      </c>
      <c r="I91" s="2" t="inlineStr">
        <is>
          <t>Benchmark only - re-base + escalate</t>
        </is>
      </c>
      <c r="J91" s="2" t="inlineStr">
        <is>
          <t>Benchmark only</t>
        </is>
      </c>
      <c r="K91" s="2" t="inlineStr">
        <is>
          <t>COMPARABLE reference - record scope/date/location/spec/freight/qty deltas before any use. Hinged vs drop-in price gap 583 vs 193</t>
        </is>
      </c>
    </row>
    <row r="92">
      <c r="A92" s="2" t="inlineStr">
        <is>
          <t>Jaybro</t>
        </is>
      </c>
      <c r="B92" s="2" t="inlineStr">
        <is>
          <t>20043160 (NAS)</t>
        </is>
      </c>
      <c r="C92" s="2" t="inlineStr">
        <is>
          <t>Regional freight to Rockhampton</t>
        </is>
      </c>
      <c r="D92" s="2" t="inlineStr">
        <is>
          <t>lot</t>
        </is>
      </c>
      <c r="E92" s="3" t="n">
        <v>1250</v>
      </c>
      <c r="F92" s="2" t="inlineStr">
        <is>
          <t>Y</t>
        </is>
      </c>
      <c r="G92" s="2" t="inlineStr">
        <is>
          <t>see note</t>
        </is>
      </c>
      <c r="H92" s="2" t="inlineStr">
        <is>
          <t>N</t>
        </is>
      </c>
      <c r="I92" s="2" t="inlineStr">
        <is>
          <t>Benchmark only - re-base + escalate</t>
        </is>
      </c>
      <c r="J92" s="2" t="inlineStr">
        <is>
          <t>Benchmark only</t>
        </is>
      </c>
      <c r="K92" s="2" t="inlineStr">
        <is>
          <t>COMPARABLE reference - record scope/date/location/spec/freight/qty deltas before any use. Benchmark for adding freight to Jaybro email rates (P06)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4" customWidth="1" min="2" max="2"/>
    <col width="44" customWidth="1" min="3" max="3"/>
    <col width="44" customWidth="1" min="4" max="4"/>
    <col width="60" customWidth="1" min="5" max="5"/>
  </cols>
  <sheetData>
    <row r="1" ht="30" customHeight="1">
      <c r="A1" s="1" t="inlineStr">
        <is>
          <t>#</t>
        </is>
      </c>
      <c r="B1" s="1" t="inlineStr">
        <is>
          <t>Scope element</t>
        </is>
      </c>
      <c r="C1" s="1" t="inlineStr">
        <is>
          <t>Status</t>
        </is>
      </c>
      <c r="D1" s="1" t="inlineStr">
        <is>
          <t>Closest evidence on file</t>
        </is>
      </c>
      <c r="E1" s="1" t="inlineStr">
        <is>
          <t>Recommended sourcing action</t>
        </is>
      </c>
    </row>
    <row r="2">
      <c r="A2" s="2" t="inlineStr">
        <is>
          <t>1</t>
        </is>
      </c>
      <c r="B2" s="2" t="inlineStr">
        <is>
          <t>Ocean Protect StormFilter: 22x Tall (690mm) PSorb cartridges + DN3300 manhole - THIS project</t>
        </is>
      </c>
      <c r="C2" s="2" t="inlineStr">
        <is>
          <t>PARTIALLY COVERED - no direct Ocean Protect quote. Reece Q-459014431 carries a project-specific lump line '22-cartridge 690mm Psorb Stormfilter Manhole' @ 90,064.63 + 7,142.10 freight (SAP, no spec/drawing basis stated).</t>
        </is>
      </c>
      <c r="D2" s="2" t="inlineStr">
        <is>
          <t>Reece P13 line; Anaconda OP 19901 (EXPIRED 04/26): 18-cart 70,060 / 13-cart 60,460 / freight 8,000; OP 20C-DN3300 standard drawing (closest published config)</t>
        </is>
      </c>
      <c r="E2" s="2" t="inlineStr">
        <is>
          <t>RE-QUOTE direct with Ocean Protect for this site (they will want the MUSIC model). Cross-check: OP 19901 derivation for 22-cart = approx 35.5k base + 22 x 1.92k = approx 77.7k + freight, pre-escalation - the Reece lump at 90.1k is plausible but unverified; interrogate what the Reece line includes (cartridges? false floor? install?) before adoption.</t>
        </is>
      </c>
    </row>
    <row r="3">
      <c r="A3" s="2" t="inlineStr">
        <is>
          <t>2</t>
        </is>
      </c>
      <c r="B3" s="2" t="inlineStr">
        <is>
          <t>316 stainless press-fit pipe &gt;DN22 (through DN35+ / larger sizes)</t>
        </is>
      </c>
      <c r="C3" s="2" t="inlineStr">
        <is>
          <t>OPEN - Tradelink refused a rate. Reece Q-459014431 gives rate-only lines at 22/28/35mm; nothing larger priced by anyone.</t>
        </is>
      </c>
      <c r="D3" s="2" t="inlineStr">
        <is>
          <t>Reece 316 tube 22 @64.68, 28 @80.63, 35 @132.03 per 6m + fittings</t>
        </is>
      </c>
      <c r="E3" s="2" t="inlineStr">
        <is>
          <t>RE-QUOTE larger sizes (Reece special order, Auspress, AllValve, Kembla KemPress 316). Interim: benchmark-derive &gt;35mm from the Reece 22-35 curve (state basis + % uplift assumption in quals).</t>
        </is>
      </c>
    </row>
    <row r="4">
      <c r="A4" s="2" t="inlineStr">
        <is>
          <t>3</t>
        </is>
      </c>
      <c r="B4" s="2" t="inlineStr">
        <is>
          <t>Seismic bracing hardware (AS1170.4 restraint of services)</t>
        </is>
      </c>
      <c r="C4" s="2" t="inlineStr">
        <is>
          <t>OPEN - no quote in any folder.</t>
        </is>
      </c>
      <c r="D4" s="2" t="inlineStr">
        <is>
          <t>None</t>
        </is>
      </c>
      <c r="E4" s="2" t="inlineStr">
        <is>
          <t>RFQ nVent CADDY / Unistrut / Hilti seismic channel &amp; brace kits. Interim: benchmark-derive as % of rough-in material value with stated basis; carry as qualification.</t>
        </is>
      </c>
    </row>
    <row r="5">
      <c r="A5" s="2" t="inlineStr">
        <is>
          <t>4</t>
        </is>
      </c>
      <c r="B5" s="2" t="inlineStr">
        <is>
          <t>Articulation / expansion joints (Storm Plastics)</t>
        </is>
      </c>
      <c r="C5" s="2" t="inlineStr">
        <is>
          <t>OPEN - no quote.</t>
        </is>
      </c>
      <c r="D5" s="2" t="inlineStr">
        <is>
          <t>None (Reece DWV expansion couplings priced on NAS quote are not the spec item)</t>
        </is>
      </c>
      <c r="E5" s="2" t="inlineStr">
        <is>
          <t>RFQ Storm Plastics direct (note lead time). Interim: allowance per joint from prior invoices, stated basis.</t>
        </is>
      </c>
    </row>
    <row r="6">
      <c r="A6" s="2" t="inlineStr">
        <is>
          <t>5</t>
        </is>
      </c>
      <c r="B6" s="2" t="inlineStr">
        <is>
          <t>HDPE PE100 SDR11 O250 potable main (copper-replacement alternative)</t>
        </is>
      </c>
      <c r="C6" s="2" t="inlineStr">
        <is>
          <t>OPEN - only the DN200 copper basis is priced (Tradelink 6595064: 2,015/6m len).</t>
        </is>
      </c>
      <c r="D6" s="2" t="inlineStr">
        <is>
          <t>NAS Reece Q-459014437 PE100 PN16 125 @186.65/6m (current) as nearest PE curve point</t>
        </is>
      </c>
      <c r="E6" s="2" t="inlineStr">
        <is>
          <t>RFQ Acu-Tech / Vinidex / Atlan for PE100 SDR11 PN16 O250 pipe + EF couplers/stub flanges. Keep copper quote as conforming basis; price PE as alternative with derivation stated.</t>
        </is>
      </c>
    </row>
    <row r="7">
      <c r="A7" s="2" t="inlineStr">
        <is>
          <t>6</t>
        </is>
      </c>
      <c r="B7" s="2" t="inlineStr">
        <is>
          <t>Drinking fountains CF400 - chilled AND non-chilled</t>
        </is>
      </c>
      <c r="C7" s="2" t="inlineStr">
        <is>
          <t>PARTIAL - chilled priced: 4x Urban CF400-PREMIUM wall-mount chiller DFCF400P @11,050 (Tradelink 1066143); NON-chilled CF400 variant not priced anywhere; signage explicitly extra.</t>
        </is>
      </c>
      <c r="D7" s="2" t="inlineStr">
        <is>
          <t>Tradelink 1066143</t>
        </is>
      </c>
      <c r="E7" s="2" t="inlineStr">
        <is>
          <t>Confirm chilled/non-chilled split from fixture schedule; RE-QUOTE non-chilled CF400 (Civiq/Urban via Tradelink) + signage price if required.</t>
        </is>
      </c>
    </row>
    <row r="8">
      <c r="A8" s="2" t="inlineStr">
        <is>
          <t>7</t>
        </is>
      </c>
      <c r="B8" s="2" t="inlineStr">
        <is>
          <t>Trench drain GT6 - RECYFIX PRO100 Class D400 w/ heelguard G-TEC ductile grate (code 47245, 31.4m amenities)</t>
        </is>
      </c>
      <c r="C8" s="2" t="inlineStr">
        <is>
          <t>VERIFY - Reece quote prices PRO200 G-tec (32m) and PRO100 B125 SS heelguard, but the schedule's 47245 PRO100 D400 G-tec line as such does not appear.</t>
        </is>
      </c>
      <c r="D8" s="2" t="inlineStr">
        <is>
          <t>Reece Q-459014445 lines 21/23</t>
        </is>
      </c>
      <c r="E8" s="2" t="inlineStr">
        <is>
          <t>Confirm with Reece whether the 32m Pro200 G-tec line was their GT6 offer (or approved equivalent); otherwise re-quote 47245.</t>
        </is>
      </c>
    </row>
    <row r="9">
      <c r="A9" s="2" t="inlineStr">
        <is>
          <t>8</t>
        </is>
      </c>
      <c r="B9" s="2" t="inlineStr">
        <is>
          <t>Sewer pump station (EXCLUDED scope per Addendum 2)</t>
        </is>
      </c>
      <c r="C9" s="2" t="inlineStr">
        <is>
          <t>COVERED AS INTERFACE/ADD-PRICE EVIDENCE ONLY - three competing references: APS 14065 as-spec S+I 468,000 (+option supply-only 85,950); Tradelink 1066334 pack approx 416,000 (incl 115,000 install); Reece Q-459014431 S+I 523,170.73.</t>
        </is>
      </c>
      <c r="D9" s="2" t="inlineStr">
        <is>
          <t>P08 / P11 / P13</t>
        </is>
      </c>
      <c r="E9" s="2" t="inlineStr">
        <is>
          <t>Carry as excluded with a clear interface qualification (civils, conduits, power, cranage by others). If an add-price is requested, base it on APS 14065 as-specified and state validity risk.</t>
        </is>
      </c>
    </row>
    <row r="10">
      <c r="A10" s="2" t="inlineStr">
        <is>
          <t>9</t>
        </is>
      </c>
      <c r="B10" s="2" t="inlineStr">
        <is>
          <t>Ocean Protect OceanGuard / Stormsack pit inserts + WSUD certification for THIS project</t>
        </is>
      </c>
      <c r="C10" s="2" t="inlineStr">
        <is>
          <t>PARTIAL - Atlan 26-87004 lump sum covers 38 Stormsacks + 10 FIL-3.0 + tank + commissioning BUT is a 'high level estimate only' pending MUSIC model, valid day-of-issue only.</t>
        </is>
      </c>
      <c r="D10" s="2" t="inlineStr">
        <is>
          <t>Atlan P02; OP OceanGuard benchmark 500 ea (Anaconda)</t>
        </is>
      </c>
      <c r="E10" s="2" t="inlineStr">
        <is>
          <t>RE-QUOTE Atlan once MUSIC model is released (they request it in the quote); obtain competing Ocean Protect offer for the same duty as a check.</t>
        </is>
      </c>
    </row>
    <row r="11">
      <c r="A11" s="2" t="inlineStr">
        <is>
          <t>10</t>
        </is>
      </c>
      <c r="B11" s="2" t="inlineStr">
        <is>
          <t>Quantity reconciliation - Humes vs Reece civil take-offs</t>
        </is>
      </c>
      <c r="C11" s="2" t="inlineStr">
        <is>
          <t>DISCREPANCIES: RCP375 299 (Humes) vs 262 (Reece); LBC 1500x600 13 vs 8; BC600x300 15 vs 16; BC750x300 3 vs 2; freight 35 vs 25 loads.</t>
        </is>
      </c>
      <c r="D11" s="2" t="inlineStr">
        <is>
          <t>P04 vs P07</t>
        </is>
      </c>
      <c r="E11" s="2" t="inlineStr">
        <is>
          <t>Reconcile both take-offs against the drainage schedule (04_Quantity_Reconciliation) before selecting supplier; both quotes are schedule-of-rates so quantity risk stays with us.</t>
        </is>
      </c>
    </row>
    <row r="12">
      <c r="A12" s="2" t="inlineStr">
        <is>
          <t>11</t>
        </is>
      </c>
      <c r="B12" s="2" t="inlineStr">
        <is>
          <t>Copper building rough-in &lt;=DN100 (current pricing)</t>
        </is>
      </c>
      <c r="C12" s="2" t="inlineStr">
        <is>
          <t>STALE - only CQU 1057751 copper schedule (Apr-26, EXPIRED) covers 15-100mm; project quotes only cover DN200.</t>
        </is>
      </c>
      <c r="D12" s="2" t="inlineStr">
        <is>
          <t>C01 rate curve; NAS Reece Ardent Cu lines (current)</t>
        </is>
      </c>
      <c r="E12" s="2" t="inlineStr">
        <is>
          <t>RE-QUOTE 15-100mm copper schedule from Tradelink/Reece for tender-stage pricing, or escalate C01 with stated % and date basis.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2026-07-26T01:28:49Z</dcterms:created>
  <dcterms:modified xsi:type="dcterms:W3CDTF">2026-07-26T01:28:49Z</dcterms:modified>
</cp:coreProperties>
</file>