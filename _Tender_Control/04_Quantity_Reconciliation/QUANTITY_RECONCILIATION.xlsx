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S_Civil" sheetId="1" state="visible" r:id="rId1"/>
    <sheet xmlns:r="http://schemas.openxmlformats.org/officeDocument/2006/relationships" name="TPS_Site" sheetId="2" state="visible" r:id="rId2"/>
    <sheet xmlns:r="http://schemas.openxmlformats.org/officeDocument/2006/relationships" name="TPS_NBC" sheetId="3" state="visible" r:id="rId3"/>
    <sheet xmlns:r="http://schemas.openxmlformats.org/officeDocument/2006/relationships" name="TPS_PAM" sheetId="4" state="visible" r:id="rId4"/>
    <sheet xmlns:r="http://schemas.openxmlformats.org/officeDocument/2006/relationships" name="Fixtures" sheetId="5" state="visible" r:id="rId5"/>
    <sheet xmlns:r="http://schemas.openxmlformats.org/officeDocument/2006/relationships" name="NewItems" sheetId="6" state="visible" r:id="rId6"/>
    <sheet xmlns:r="http://schemas.openxmlformats.org/officeDocument/2006/relationships" name="Ope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13" customWidth="1" min="3" max="3"/>
    <col width="15" customWidth="1" min="4" max="4"/>
    <col width="38" customWidth="1" min="5" max="5"/>
    <col width="14" customWidth="1" min="6" max="6"/>
    <col width="36" customWidth="1" min="7" max="7"/>
    <col width="13" customWidth="1" min="8" max="8"/>
    <col width="11" customWidth="1" min="9" max="9"/>
    <col width="62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Denis qty</t>
        </is>
      </c>
      <c r="D1" s="1" t="inlineStr">
        <is>
          <t>Independent qty</t>
        </is>
      </c>
      <c r="E1" s="1" t="inlineStr">
        <is>
          <t>Independent source (doc + sheet ref)</t>
        </is>
      </c>
      <c r="F1" s="1" t="inlineStr">
        <is>
          <t>Variance (Adopted - Denis)</t>
        </is>
      </c>
      <c r="G1" s="1" t="inlineStr">
        <is>
          <t>Variance reason</t>
        </is>
      </c>
      <c r="H1" s="1" t="inlineStr">
        <is>
          <t>ADOPTED qty</t>
        </is>
      </c>
      <c r="I1" s="1" t="inlineStr">
        <is>
          <t>Confidence (H/M/L)</t>
        </is>
      </c>
      <c r="J1" s="1" t="inlineStr">
        <is>
          <t>Notes</t>
        </is>
      </c>
    </row>
    <row r="2">
      <c r="A2" s="2" t="inlineStr">
        <is>
          <t>PIPELINES (Rule 2: printed long-section chainages govern where Groundplan exceeds them)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100 PVC DWV SN8 (subsoil outlets / building DP laterals)</t>
        </is>
      </c>
      <c r="B3" s="4" t="inlineStr">
        <is>
          <t>m</t>
        </is>
      </c>
      <c r="C3" s="5" t="n">
        <v>283.71</v>
      </c>
      <c r="D3" s="4" t="inlineStr">
        <is>
          <t>n/a</t>
        </is>
      </c>
      <c r="E3" s="4" t="inlineStr">
        <is>
          <t>No printed design total exists for 100 dia (layouts F1300-F1305 graphical only)</t>
        </is>
      </c>
      <c r="F3" s="5" t="n">
        <v>0</v>
      </c>
      <c r="G3" s="4" t="inlineStr">
        <is>
          <t>No independent total available</t>
        </is>
      </c>
      <c r="H3" s="5" t="n">
        <v>283.71</v>
      </c>
      <c r="I3" s="4" t="inlineStr">
        <is>
          <t>M</t>
        </is>
      </c>
      <c r="J3" s="4" t="inlineStr">
        <is>
          <t>Accepted as measured (legends p1/p3/p4). Shown as subsoil outlets @600 cover + DP laterals.</t>
        </is>
      </c>
    </row>
    <row r="4">
      <c r="A4" s="4" t="inlineStr">
        <is>
          <t>150 PVC DWV SN8</t>
        </is>
      </c>
      <c r="B4" s="4" t="inlineStr">
        <is>
          <t>m</t>
        </is>
      </c>
      <c r="C4" s="5" t="n">
        <v>62.85</v>
      </c>
      <c r="D4" s="5" t="n">
        <v>62</v>
      </c>
      <c r="E4" s="4" t="inlineStr">
        <is>
          <t>F1350-F1363 long sections - trash-box laterals lines 30-53/60/61/83/87</t>
        </is>
      </c>
      <c r="F4" s="5" t="n">
        <v>0</v>
      </c>
      <c r="G4" s="4" t="inlineStr">
        <is>
          <t>Within tolerance (+0.9 m / +1.4%)</t>
        </is>
      </c>
      <c r="H4" s="5" t="n">
        <v>62.85</v>
      </c>
      <c r="I4" s="4" t="inlineStr">
        <is>
          <t>H</t>
        </is>
      </c>
      <c r="J4" s="4" t="inlineStr">
        <is>
          <t>Steep laterals to 29.21% grade; connects Hauraton trash boxes.</t>
        </is>
      </c>
    </row>
    <row r="5">
      <c r="A5" s="4" t="inlineStr">
        <is>
          <t>225 PVC DWV SN8 (line 81, building drainage collector)</t>
        </is>
      </c>
      <c r="B5" s="4" t="inlineStr">
        <is>
          <t>m</t>
        </is>
      </c>
      <c r="C5" s="5" t="n">
        <v>180.93</v>
      </c>
      <c r="D5" s="5" t="n">
        <v>115.45</v>
      </c>
      <c r="E5" s="4" t="inlineStr">
        <is>
          <t>F1360/F1361 line 81 printed chainages (115.447 m)</t>
        </is>
      </c>
      <c r="F5" s="5" t="n">
        <v>-65.48</v>
      </c>
      <c r="G5" s="4" t="inlineStr">
        <is>
          <t>Continuation-line double-measure (printed design data governs)</t>
        </is>
      </c>
      <c r="H5" s="5" t="n">
        <v>115.45</v>
      </c>
      <c r="I5" s="4" t="inlineStr">
        <is>
          <t>M</t>
        </is>
      </c>
      <c r="J5" s="4" t="inlineStr">
        <is>
          <t>Denis's extra ~65.5 m unidentified (possibly building cut-off drains / bi-fold outlets measured as 225) - Opens #1. Adopted printed line-81 total per Rule 2.</t>
        </is>
      </c>
    </row>
    <row r="6">
      <c r="A6" s="4" t="inlineStr">
        <is>
          <t>RCP 375 CL3 (incl. C09 twin barrels 12.03 m)</t>
        </is>
      </c>
      <c r="B6" s="4" t="inlineStr">
        <is>
          <t>m</t>
        </is>
      </c>
      <c r="C6" s="5" t="n">
        <v>695.0700000000001</v>
      </c>
      <c r="D6" s="5" t="n">
        <v>702.9</v>
      </c>
      <c r="E6" s="4" t="inlineStr">
        <is>
          <t>F1350-F1363 run-by-run printed chainage sums (long-sections note derived totals)</t>
        </is>
      </c>
      <c r="F6" s="5" t="n">
        <v>7.83</v>
      </c>
      <c r="G6" s="4" t="inlineStr">
        <is>
          <t>Class re-split: part of Denis's 30.40 m CL4 belongs in CL3; lines 06/11 continuation overlap nets off</t>
        </is>
      </c>
      <c r="H6" s="5" t="n">
        <v>702.9</v>
      </c>
      <c r="I6" s="4" t="inlineStr">
        <is>
          <t>H</t>
        </is>
      </c>
      <c r="J6" s="4" t="inlineStr">
        <is>
          <t>Combined 375 adopted 714.9 m vs Denis 725.47 m (-10.6 m). Rule 2's '~+35 m' traces to a mis-sum in the take-off note (design ~690.4 dropped line-06 start ch -24.498 = 24.5 m); printed run sums govern - Opens #3.</t>
        </is>
      </c>
    </row>
    <row r="7">
      <c r="A7" s="4" t="inlineStr">
        <is>
          <t>RCP 375 CL4</t>
        </is>
      </c>
      <c r="B7" s="4" t="inlineStr">
        <is>
          <t>m</t>
        </is>
      </c>
      <c r="C7" s="5" t="n">
        <v>30.4</v>
      </c>
      <c r="D7" s="5" t="n">
        <v>12</v>
      </c>
      <c r="E7" s="4" t="inlineStr">
        <is>
          <t>F1350 line 05 (05-01 to 06-03, 11.988 m - only run printed CL4)</t>
        </is>
      </c>
      <c r="F7" s="5" t="n">
        <v>-18.4</v>
      </c>
      <c r="G7" s="4" t="inlineStr">
        <is>
          <t>Only line 05 is printed CL4; Denis's CL4 extent unverified</t>
        </is>
      </c>
      <c r="H7" s="5" t="n">
        <v>12</v>
      </c>
      <c r="I7" s="4" t="inlineStr">
        <is>
          <t>M</t>
        </is>
      </c>
      <c r="J7" s="4" t="inlineStr">
        <is>
          <t>Class split affects supply rate only; total 375 length held at 714.9 m - Opens #2.</t>
        </is>
      </c>
    </row>
    <row r="8">
      <c r="A8" s="4" t="inlineStr">
        <is>
          <t>RCP 600 CL3 (legend typo 'RPC')</t>
        </is>
      </c>
      <c r="B8" s="4" t="inlineStr">
        <is>
          <t>m</t>
        </is>
      </c>
      <c r="C8" s="5" t="n">
        <v>3.31</v>
      </c>
      <c r="D8" s="5" t="n">
        <v>3.12</v>
      </c>
      <c r="E8" s="4" t="inlineStr">
        <is>
          <t>F1355/F1356 line 26 (26-03 to 26-02) - 1 in 500 grade</t>
        </is>
      </c>
      <c r="F8" s="5" t="n">
        <v>0</v>
      </c>
      <c r="G8" s="4" t="inlineStr">
        <is>
          <t>Within tolerance (+0.19 m)</t>
        </is>
      </c>
      <c r="H8" s="5" t="n">
        <v>3.31</v>
      </c>
      <c r="I8" s="4" t="inlineStr">
        <is>
          <t>H</t>
        </is>
      </c>
      <c r="J8" s="4" t="inlineStr">
        <is>
          <t>Netball court drainage outlet stub; tight laser control obligation at 0.20% grade.</t>
        </is>
      </c>
    </row>
    <row r="9">
      <c r="A9" s="4" t="inlineStr">
        <is>
          <t>225 PP (Denis: '225mm HDPE PN100 SN8')</t>
        </is>
      </c>
      <c r="B9" s="4" t="inlineStr">
        <is>
          <t>m</t>
        </is>
      </c>
      <c r="C9" s="5" t="n">
        <v>137.67</v>
      </c>
      <c r="D9" s="5" t="n">
        <v>139</v>
      </c>
      <c r="E9" s="4" t="inlineStr">
        <is>
          <t>Long sections lines 26/27/28/29 (~138.9-139.0 m)</t>
        </is>
      </c>
      <c r="F9" s="5" t="n">
        <v>0</v>
      </c>
      <c r="G9" s="4" t="inlineStr">
        <is>
          <t>Within tolerance (-1.3 m)</t>
        </is>
      </c>
      <c r="H9" s="5" t="n">
        <v>137.67</v>
      </c>
      <c r="I9" s="4" t="inlineStr">
        <is>
          <t>H</t>
        </is>
      </c>
      <c r="J9" s="4" t="inlineStr">
        <is>
          <t>Drawings label PP - price as PP (StormPRO or equal), not HDPE PN100 (not a real class) - Opens #5.</t>
        </is>
      </c>
    </row>
    <row r="10">
      <c r="A10" s="4" t="inlineStr">
        <is>
          <t>300 PP</t>
        </is>
      </c>
      <c r="B10" s="4" t="inlineStr">
        <is>
          <t>m</t>
        </is>
      </c>
      <c r="C10" s="5" t="n">
        <v>58.56</v>
      </c>
      <c r="D10" s="5" t="n">
        <v>61.3</v>
      </c>
      <c r="E10" s="4" t="inlineStr">
        <is>
          <t>Long sections lines 25/29 (~61.3 m)</t>
        </is>
      </c>
      <c r="F10" s="5" t="n">
        <v>0</v>
      </c>
      <c r="G10" s="4" t="inlineStr">
        <is>
          <t>Within tolerance (-2.8 m / -4.6%)</t>
        </is>
      </c>
      <c r="H10" s="5" t="n">
        <v>58.56</v>
      </c>
      <c r="I10" s="4" t="inlineStr">
        <is>
          <t>H</t>
        </is>
      </c>
      <c r="J10" s="4" t="inlineStr">
        <is>
          <t>Slightly under design; immaterial. Line 25 (tank line) is the deepest pipework on site (1.57-1.67 m).</t>
        </is>
      </c>
    </row>
    <row r="11">
      <c r="A11" s="4" t="inlineStr">
        <is>
          <t>375 PP</t>
        </is>
      </c>
      <c r="B11" s="4" t="inlineStr">
        <is>
          <t>m</t>
        </is>
      </c>
      <c r="C11" s="5" t="n">
        <v>210.43</v>
      </c>
      <c r="D11" s="5" t="n">
        <v>201.8</v>
      </c>
      <c r="E11" s="4" t="inlineStr">
        <is>
          <t>Long sections lines 27/28/29 (3 x ~67.25 m collectors)</t>
        </is>
      </c>
      <c r="F11" s="5" t="n">
        <v>0</v>
      </c>
      <c r="G11" s="4" t="inlineStr">
        <is>
          <t>+8.7 m (+4.3%) probable sheet-continuation over-measure; Denis retained (H002 n.15 larger-quantity regime)</t>
        </is>
      </c>
      <c r="H11" s="5" t="n">
        <v>210.43</v>
      </c>
      <c r="I11" s="4" t="inlineStr">
        <is>
          <t>M</t>
        </is>
      </c>
      <c r="J11" s="4" t="inlineStr">
        <is>
          <t>Not in Rule 2's named overage list - retained conservatively.</t>
        </is>
      </c>
    </row>
    <row r="12">
      <c r="A12" s="4" t="inlineStr">
        <is>
          <t>450 PP</t>
        </is>
      </c>
      <c r="B12" s="4" t="inlineStr">
        <is>
          <t>m</t>
        </is>
      </c>
      <c r="C12" s="5" t="n">
        <v>41.47</v>
      </c>
      <c r="D12" s="5" t="n">
        <v>42.3</v>
      </c>
      <c r="E12" s="4" t="inlineStr">
        <is>
          <t>F1356 line 26 (26-06/26-07/26-08)</t>
        </is>
      </c>
      <c r="F12" s="5" t="n">
        <v>0</v>
      </c>
      <c r="G12" s="4" t="inlineStr">
        <is>
          <t>Within tolerance (-0.8 m)</t>
        </is>
      </c>
      <c r="H12" s="5" t="n">
        <v>41.47</v>
      </c>
      <c r="I12" s="4" t="inlineStr">
        <is>
          <t>H</t>
        </is>
      </c>
      <c r="J12" s="4" t="inlineStr"/>
    </row>
    <row r="13">
      <c r="A13" s="4" t="inlineStr">
        <is>
          <t>600 PP</t>
        </is>
      </c>
      <c r="B13" s="4" t="inlineStr">
        <is>
          <t>m</t>
        </is>
      </c>
      <c r="C13" s="5" t="n">
        <v>38.47</v>
      </c>
      <c r="D13" s="5" t="n">
        <v>38.7</v>
      </c>
      <c r="E13" s="4" t="inlineStr">
        <is>
          <t>F1356 line 26 (26-04/26-05)</t>
        </is>
      </c>
      <c r="F13" s="5" t="n">
        <v>0</v>
      </c>
      <c r="G13" s="4" t="inlineStr">
        <is>
          <t>Within tolerance (-0.2 m)</t>
        </is>
      </c>
      <c r="H13" s="5" t="n">
        <v>38.47</v>
      </c>
      <c r="I13" s="4" t="inlineStr">
        <is>
          <t>H</t>
        </is>
      </c>
      <c r="J13" s="4" t="inlineStr"/>
    </row>
    <row r="14">
      <c r="A14" s="2" t="inlineStr">
        <is>
          <t>CULVERTS (all verified vs F1362/F1363 printed lengths within 0.3 m)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4" t="inlineStr">
        <is>
          <t>RCBC 600x300 (C05-C08)</t>
        </is>
      </c>
      <c r="B15" s="4" t="inlineStr">
        <is>
          <t>m</t>
        </is>
      </c>
      <c r="C15" s="5" t="n">
        <v>33.39</v>
      </c>
      <c r="D15" s="5" t="n">
        <v>33.12</v>
      </c>
      <c r="E15" s="4" t="inlineStr">
        <is>
          <t>F1362 (6.851 + 8.565 + 8.000 + 9.708)</t>
        </is>
      </c>
      <c r="F15" s="5" t="n">
        <v>0</v>
      </c>
      <c r="G15" s="4" t="inlineStr">
        <is>
          <t>Within tolerance (+0.27 m)</t>
        </is>
      </c>
      <c r="H15" s="5" t="n">
        <v>33.39</v>
      </c>
      <c r="I15" s="4" t="inlineStr">
        <is>
          <t>H</t>
        </is>
      </c>
      <c r="J15" s="4" t="inlineStr">
        <is>
          <t>Zero/negative cover at headwalls - excavation/bedding extra-over in NewItems #2.</t>
        </is>
      </c>
    </row>
    <row r="16">
      <c r="A16" s="4" t="inlineStr">
        <is>
          <t>RCBC 750x300 (26-01 to 26-02, WSUD high-flow bypass)</t>
        </is>
      </c>
      <c r="B16" s="4" t="inlineStr">
        <is>
          <t>m</t>
        </is>
      </c>
      <c r="C16" s="5" t="n">
        <v>5.17</v>
      </c>
      <c r="D16" s="5" t="n">
        <v>5.24</v>
      </c>
      <c r="E16" s="4" t="inlineStr">
        <is>
          <t>F1355/F1356 line 26 (5.241 m)</t>
        </is>
      </c>
      <c r="F16" s="5" t="n">
        <v>0</v>
      </c>
      <c r="G16" s="4" t="inlineStr">
        <is>
          <t>Within tolerance (-0.07 m)</t>
        </is>
      </c>
      <c r="H16" s="5" t="n">
        <v>5.17</v>
      </c>
      <c r="I16" s="4" t="inlineStr">
        <is>
          <t>H</t>
        </is>
      </c>
      <c r="J16" s="4" t="inlineStr"/>
    </row>
    <row r="17">
      <c r="A17" s="4" t="inlineStr">
        <is>
          <t>RCBC 900x450 (C01, C02)</t>
        </is>
      </c>
      <c r="B17" s="4" t="inlineStr">
        <is>
          <t>m</t>
        </is>
      </c>
      <c r="C17" s="5" t="n">
        <v>27.86</v>
      </c>
      <c r="D17" s="5" t="n">
        <v>28</v>
      </c>
      <c r="E17" s="4" t="inlineStr">
        <is>
          <t>F1362 (22.996 + 5.000)</t>
        </is>
      </c>
      <c r="F17" s="5" t="n">
        <v>0</v>
      </c>
      <c r="G17" s="4" t="inlineStr">
        <is>
          <t>Within tolerance (-0.14 m)</t>
        </is>
      </c>
      <c r="H17" s="5" t="n">
        <v>27.86</v>
      </c>
      <c r="I17" s="4" t="inlineStr">
        <is>
          <t>H</t>
        </is>
      </c>
      <c r="J17" s="4" t="inlineStr"/>
    </row>
    <row r="18">
      <c r="A18" s="4" t="inlineStr">
        <is>
          <t>RCBC 1200x600 (C03)</t>
        </is>
      </c>
      <c r="B18" s="4" t="inlineStr">
        <is>
          <t>m</t>
        </is>
      </c>
      <c r="C18" s="5" t="n">
        <v>17.77</v>
      </c>
      <c r="D18" s="5" t="n">
        <v>17.7</v>
      </c>
      <c r="E18" s="4" t="inlineStr">
        <is>
          <t>F1362 (17.700 m)</t>
        </is>
      </c>
      <c r="F18" s="5" t="n">
        <v>0</v>
      </c>
      <c r="G18" s="4" t="inlineStr">
        <is>
          <t>Within tolerance (+0.07 m)</t>
        </is>
      </c>
      <c r="H18" s="5" t="n">
        <v>17.77</v>
      </c>
      <c r="I18" s="4" t="inlineStr">
        <is>
          <t>H</t>
        </is>
      </c>
      <c r="J18" s="4" t="inlineStr"/>
    </row>
    <row r="19">
      <c r="A19" s="4" t="inlineStr">
        <is>
          <t>RCBC 1500x600 (C04)</t>
        </is>
      </c>
      <c r="B19" s="4" t="inlineStr">
        <is>
          <t>m</t>
        </is>
      </c>
      <c r="C19" s="5" t="n">
        <v>29.04</v>
      </c>
      <c r="D19" s="5" t="n">
        <v>29.15</v>
      </c>
      <c r="E19" s="4" t="inlineStr">
        <is>
          <t>F1362 (29.148 m)</t>
        </is>
      </c>
      <c r="F19" s="5" t="n">
        <v>0</v>
      </c>
      <c r="G19" s="4" t="inlineStr">
        <is>
          <t>Within tolerance (-0.11 m)</t>
        </is>
      </c>
      <c r="H19" s="5" t="n">
        <v>29.04</v>
      </c>
      <c r="I19" s="4" t="inlineStr">
        <is>
          <t>H</t>
        </is>
      </c>
      <c r="J19" s="4" t="inlineStr">
        <is>
          <t>Cover over obvert only ~0.17/0.37 m at headwalls.</t>
        </is>
      </c>
    </row>
    <row r="20">
      <c r="A20" s="4" t="inlineStr">
        <is>
          <t>RCBC 2700x1200 (C10, basin controlled-discharge outlet)</t>
        </is>
      </c>
      <c r="B20" s="4" t="inlineStr">
        <is>
          <t>m</t>
        </is>
      </c>
      <c r="C20" s="5" t="n">
        <v>17.53</v>
      </c>
      <c r="D20" s="5" t="n">
        <v>17.28</v>
      </c>
      <c r="E20" s="4" t="inlineStr">
        <is>
          <t>F1363 (17.276 m)</t>
        </is>
      </c>
      <c r="F20" s="5" t="n">
        <v>0</v>
      </c>
      <c r="G20" s="4" t="inlineStr">
        <is>
          <t>Within tolerance (+0.25 m)</t>
        </is>
      </c>
      <c r="H20" s="5" t="n">
        <v>17.53</v>
      </c>
      <c r="I20" s="4" t="inlineStr">
        <is>
          <t>H</t>
        </is>
      </c>
      <c r="J20" s="4" t="inlineStr">
        <is>
          <t>Heavy lift; ~0.11-0.15 m cover at headwalls; embankment over mid-length (height not annotated).</t>
        </is>
      </c>
    </row>
    <row r="21">
      <c r="A21" s="2" t="inlineStr">
        <is>
          <t>SUBSOIL DRAINAGE (record only - scope excluded)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inlineStr">
        <is>
          <t>Subsoil / type 2 strip filter drain (100 dia)</t>
        </is>
      </c>
      <c r="B22" s="4" t="inlineStr">
        <is>
          <t>m</t>
        </is>
      </c>
      <c r="C22" s="5" t="n">
        <v>2172.4</v>
      </c>
      <c r="D22" s="4" t="inlineStr">
        <is>
          <t>n/a</t>
        </is>
      </c>
      <c r="E22" s="4" t="inlineStr">
        <is>
          <t>No schedule exists (CMDG-D-040/041, IPWEA RSD-802 details only)</t>
        </is>
      </c>
      <c r="F22" s="5" t="n">
        <v>0</v>
      </c>
      <c r="G22" s="4" t="inlineStr">
        <is>
          <t>No independent total available</t>
        </is>
      </c>
      <c r="H22" s="5" t="n">
        <v>2172.4</v>
      </c>
      <c r="I22" s="4" t="inlineStr">
        <is>
          <t>M</t>
        </is>
      </c>
      <c r="J22" s="4" t="inlineStr">
        <is>
          <t>RECORD ONLY - EXCLUDED 'by others' per SCOPE_MATRIX 2.3-x2 / 2.5-x3 (locked 5.3); interface = TCS collector-pit wall penetration; Design Report re-shape to type 2 strip filters qualified (CL F5).</t>
        </is>
      </c>
    </row>
    <row r="23">
      <c r="A23" s="2" t="inlineStr">
        <is>
          <t>GRATED TRENCH DRAINS (Rule 2: F1320 schedule 608.5 m adopted; GT1-GT4 overage = sheet-continuation double-measure)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4" t="inlineStr">
        <is>
          <t>GT1 Recyfix Pro 200 B125 Fibretec (code 47246)</t>
        </is>
      </c>
      <c r="B24" s="4" t="inlineStr">
        <is>
          <t>m</t>
        </is>
      </c>
      <c r="C24" s="5" t="n">
        <v>128.73</v>
      </c>
      <c r="D24" s="5" t="n">
        <v>125.2</v>
      </c>
      <c r="E24" s="4" t="inlineStr">
        <is>
          <t>F1320 Grated Trench Schedule</t>
        </is>
      </c>
      <c r="F24" s="5" t="n">
        <v>-3.53</v>
      </c>
      <c r="G24" s="4" t="inlineStr">
        <is>
          <t>Continuation-line double-measure (measured across F1300 + F1302)</t>
        </is>
      </c>
      <c r="H24" s="5" t="n">
        <v>125.2</v>
      </c>
      <c r="I24" s="4" t="inlineStr">
        <is>
          <t>H</t>
        </is>
      </c>
      <c r="J24" s="4" t="inlineStr">
        <is>
          <t>Stage 1A (Sch 1A 3.5, TCS per locked 5.1).</t>
        </is>
      </c>
    </row>
    <row r="25">
      <c r="A25" s="4" t="inlineStr">
        <is>
          <t>GT2 Recyfix Pro 200 B125 Fibretec</t>
        </is>
      </c>
      <c r="B25" s="4" t="inlineStr">
        <is>
          <t>m</t>
        </is>
      </c>
      <c r="C25" s="5" t="n">
        <v>143.78</v>
      </c>
      <c r="D25" s="5" t="n">
        <v>141.2</v>
      </c>
      <c r="E25" s="4" t="inlineStr">
        <is>
          <t>F1320 schedule</t>
        </is>
      </c>
      <c r="F25" s="5" t="n">
        <v>-2.58</v>
      </c>
      <c r="G25" s="4" t="inlineStr">
        <is>
          <t>Continuation-line double-measure (F1302 + F1303)</t>
        </is>
      </c>
      <c r="H25" s="5" t="n">
        <v>141.2</v>
      </c>
      <c r="I25" s="4" t="inlineStr">
        <is>
          <t>H</t>
        </is>
      </c>
      <c r="J25" s="4" t="inlineStr">
        <is>
          <t>Schedule 'NO. PITS = 4' does not reconcile with layouts - RFI (Opens #7).</t>
        </is>
      </c>
    </row>
    <row r="26">
      <c r="A26" s="4" t="inlineStr">
        <is>
          <t>GT3 Recyfix Pro 200 B125 Fibretec</t>
        </is>
      </c>
      <c r="B26" s="4" t="inlineStr">
        <is>
          <t>m</t>
        </is>
      </c>
      <c r="C26" s="5" t="n">
        <v>145.42</v>
      </c>
      <c r="D26" s="5" t="n">
        <v>141.2</v>
      </c>
      <c r="E26" s="4" t="inlineStr">
        <is>
          <t>F1320 schedule</t>
        </is>
      </c>
      <c r="F26" s="5" t="n">
        <v>-4.22</v>
      </c>
      <c r="G26" s="4" t="inlineStr">
        <is>
          <t>Continuation-line double-measure (F1302 + F1304)</t>
        </is>
      </c>
      <c r="H26" s="5" t="n">
        <v>141.2</v>
      </c>
      <c r="I26" s="4" t="inlineStr">
        <is>
          <t>H</t>
        </is>
      </c>
      <c r="J26" s="4" t="inlineStr"/>
    </row>
    <row r="27">
      <c r="A27" s="4" t="inlineStr">
        <is>
          <t>GT4 Recyfix Pro 200 B125 Fibretec</t>
        </is>
      </c>
      <c r="B27" s="4" t="inlineStr">
        <is>
          <t>m</t>
        </is>
      </c>
      <c r="C27" s="5" t="n">
        <v>143.96</v>
      </c>
      <c r="D27" s="5" t="n">
        <v>141.2</v>
      </c>
      <c r="E27" s="4" t="inlineStr">
        <is>
          <t>F1320 schedule</t>
        </is>
      </c>
      <c r="F27" s="5" t="n">
        <v>-2.76</v>
      </c>
      <c r="G27" s="4" t="inlineStr">
        <is>
          <t>Continuation-line double-measure (F1302 + F1304)</t>
        </is>
      </c>
      <c r="H27" s="5" t="n">
        <v>141.2</v>
      </c>
      <c r="I27" s="4" t="inlineStr">
        <is>
          <t>H</t>
        </is>
      </c>
      <c r="J27" s="4" t="inlineStr"/>
    </row>
    <row r="28">
      <c r="A28" s="4" t="inlineStr">
        <is>
          <t>GT5 Recyfix Pro 100 B125 SS heelguard (47307) - multi-use court</t>
        </is>
      </c>
      <c r="B28" s="4" t="inlineStr">
        <is>
          <t>m</t>
        </is>
      </c>
      <c r="C28" s="5" t="n">
        <v>15.21</v>
      </c>
      <c r="D28" s="5" t="n">
        <v>15.2</v>
      </c>
      <c r="E28" s="4" t="inlineStr">
        <is>
          <t>F1320 schedule</t>
        </is>
      </c>
      <c r="F28" s="5" t="n">
        <v>-0.01</v>
      </c>
      <c r="G28" s="4" t="inlineStr">
        <is>
          <t>Rounding</t>
        </is>
      </c>
      <c r="H28" s="5" t="n">
        <v>15.2</v>
      </c>
      <c r="I28" s="4" t="inlineStr">
        <is>
          <t>H</t>
        </is>
      </c>
      <c r="J28" s="4" t="inlineStr">
        <is>
          <t>Stage 1B (2.3-a) per adopted stage basis (interface L10).</t>
        </is>
      </c>
    </row>
    <row r="29">
      <c r="A29" s="4" t="inlineStr">
        <is>
          <t>GT6 Recyfix Pro 200 D400 ductile (47245) - amenities bldg</t>
        </is>
      </c>
      <c r="B29" s="4" t="inlineStr">
        <is>
          <t>m</t>
        </is>
      </c>
      <c r="C29" s="5" t="n">
        <v>31.75</v>
      </c>
      <c r="D29" s="5" t="n">
        <v>31.4</v>
      </c>
      <c r="E29" s="4" t="inlineStr">
        <is>
          <t>F1320 schedule</t>
        </is>
      </c>
      <c r="F29" s="5" t="n">
        <v>-0.35</v>
      </c>
      <c r="G29" s="4" t="inlineStr">
        <is>
          <t>Minor over-measure</t>
        </is>
      </c>
      <c r="H29" s="5" t="n">
        <v>31.4</v>
      </c>
      <c r="I29" s="4" t="inlineStr">
        <is>
          <t>H</t>
        </is>
      </c>
      <c r="J29" s="4" t="inlineStr">
        <is>
          <t>Class D400 outlier (all others B125). Stage 1B.</t>
        </is>
      </c>
    </row>
    <row r="30">
      <c r="A30" s="4" t="inlineStr">
        <is>
          <t>GT7 Recyfix Pro 100 B125 - netball walkway</t>
        </is>
      </c>
      <c r="B30" s="4" t="inlineStr">
        <is>
          <t>m</t>
        </is>
      </c>
      <c r="C30" s="5" t="n">
        <v>3.58</v>
      </c>
      <c r="D30" s="5" t="n">
        <v>3.6</v>
      </c>
      <c r="E30" s="4" t="inlineStr">
        <is>
          <t>F1320 schedule</t>
        </is>
      </c>
      <c r="F30" s="5" t="n">
        <v>0.02</v>
      </c>
      <c r="G30" s="4" t="inlineStr">
        <is>
          <t>Rounding</t>
        </is>
      </c>
      <c r="H30" s="5" t="n">
        <v>3.6</v>
      </c>
      <c r="I30" s="4" t="inlineStr">
        <is>
          <t>H</t>
        </is>
      </c>
      <c r="J30" s="4" t="inlineStr"/>
    </row>
    <row r="31">
      <c r="A31" s="4" t="inlineStr">
        <is>
          <t>GT8 Recyfix Pro 100 B125 - netball stairs</t>
        </is>
      </c>
      <c r="B31" s="4" t="inlineStr">
        <is>
          <t>m</t>
        </is>
      </c>
      <c r="C31" s="5" t="n">
        <v>6.01</v>
      </c>
      <c r="D31" s="5" t="n">
        <v>6</v>
      </c>
      <c r="E31" s="4" t="inlineStr">
        <is>
          <t>F1320 schedule</t>
        </is>
      </c>
      <c r="F31" s="5" t="n">
        <v>-0.01</v>
      </c>
      <c r="G31" s="4" t="inlineStr">
        <is>
          <t>Rounding</t>
        </is>
      </c>
      <c r="H31" s="5" t="n">
        <v>6</v>
      </c>
      <c r="I31" s="4" t="inlineStr">
        <is>
          <t>H</t>
        </is>
      </c>
      <c r="J31" s="4" t="inlineStr"/>
    </row>
    <row r="32">
      <c r="A32" s="4" t="inlineStr">
        <is>
          <t>GT9 Recyfix Pro 100 B125 - netball walkway</t>
        </is>
      </c>
      <c r="B32" s="4" t="inlineStr">
        <is>
          <t>m</t>
        </is>
      </c>
      <c r="C32" s="5" t="n">
        <v>3.65</v>
      </c>
      <c r="D32" s="5" t="n">
        <v>3.5</v>
      </c>
      <c r="E32" s="4" t="inlineStr">
        <is>
          <t>F1320 schedule</t>
        </is>
      </c>
      <c r="F32" s="5" t="n">
        <v>-0.15</v>
      </c>
      <c r="G32" s="4" t="inlineStr">
        <is>
          <t>Minor over-measure</t>
        </is>
      </c>
      <c r="H32" s="5" t="n">
        <v>3.5</v>
      </c>
      <c r="I32" s="4" t="inlineStr">
        <is>
          <t>H</t>
        </is>
      </c>
      <c r="J32" s="4" t="inlineStr"/>
    </row>
    <row r="33">
      <c r="A33" s="4" t="inlineStr">
        <is>
          <t>GT TOTAL (adopted basis Rule 2)</t>
        </is>
      </c>
      <c r="B33" s="4" t="inlineStr">
        <is>
          <t>m</t>
        </is>
      </c>
      <c r="C33" s="5" t="n">
        <v>622.09</v>
      </c>
      <c r="D33" s="5" t="n">
        <v>608.5</v>
      </c>
      <c r="E33" s="4" t="inlineStr">
        <is>
          <t>F1320 schedule sum (125.2+141.2x3+15.2+31.4+3.6+6.0+3.5)</t>
        </is>
      </c>
      <c r="F33" s="5" t="n">
        <v>-13.59</v>
      </c>
      <c r="G33" s="4" t="inlineStr">
        <is>
          <t>Continuation-line double-measure concentrated on GT1-GT4</t>
        </is>
      </c>
      <c r="H33" s="5" t="n">
        <v>608.5</v>
      </c>
      <c r="I33" s="4" t="inlineStr">
        <is>
          <t>H</t>
        </is>
      </c>
      <c r="J33" s="4" t="inlineStr">
        <is>
          <t>ADOPTED = 608.5 m + 29 trash boxes (25 x TB200 + 4 x TB100) + 28 GT pits per schedule. Split: GT1-4 + GT7-9 = 561.9 m to 1A 3.5; GT5 + GT6 = 46.6 m to 1B 2.3-a.</t>
        </is>
      </c>
    </row>
    <row r="34">
      <c r="A34" s="2" t="inlineStr">
        <is>
          <t>ROCK PADS / EROSION PROTECTION (areas - no independent totals; F1321/F1325 dims allow Phase 6 check)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4" t="inlineStr">
        <is>
          <t>Kerb chute rock D100/180 thick + erosion control matting</t>
        </is>
      </c>
      <c r="B35" s="4" t="inlineStr">
        <is>
          <t>m2</t>
        </is>
      </c>
      <c r="C35" s="5" t="n">
        <v>55.67</v>
      </c>
      <c r="D35" s="4" t="inlineStr">
        <is>
          <t>n/a</t>
        </is>
      </c>
      <c r="E35" s="4" t="inlineStr">
        <is>
          <t>F1325 kerb outlet detail (dims only, no schedule)</t>
        </is>
      </c>
      <c r="F35" s="5" t="n">
        <v>0</v>
      </c>
      <c r="G35" s="4" t="inlineStr">
        <is>
          <t>No independent total</t>
        </is>
      </c>
      <c r="H35" s="5" t="n">
        <v>55.67</v>
      </c>
      <c r="I35" s="4" t="inlineStr">
        <is>
          <t>M</t>
        </is>
      </c>
      <c r="J35" s="4" t="inlineStr">
        <is>
          <t>Subject to Director decision D6-F1 (full exclusion vs rock+mat only) - both positions costed.</t>
        </is>
      </c>
    </row>
    <row r="36">
      <c r="A36" s="4" t="inlineStr">
        <is>
          <t>Culvert headwall rock D50=200, depth 360</t>
        </is>
      </c>
      <c r="B36" s="4" t="inlineStr">
        <is>
          <t>m2</t>
        </is>
      </c>
      <c r="C36" s="5" t="n">
        <v>70.40000000000001</v>
      </c>
      <c r="D36" s="4" t="inlineStr">
        <is>
          <t>n/a</t>
        </is>
      </c>
      <c r="E36" s="4" t="inlineStr">
        <is>
          <t>F1300/F1302 notes; F1321 pad dimension tables</t>
        </is>
      </c>
      <c r="F36" s="5" t="n">
        <v>0</v>
      </c>
      <c r="G36" s="4" t="inlineStr">
        <is>
          <t>No independent total</t>
        </is>
      </c>
      <c r="H36" s="5" t="n">
        <v>70.40000000000001</v>
      </c>
      <c r="I36" s="4" t="inlineStr">
        <is>
          <t>M</t>
        </is>
      </c>
      <c r="J36" s="4" t="inlineStr">
        <is>
          <t>F1321 pad dims (e.g. C03 5.88x7.20) permit Phase 6 arithmetic check.</t>
        </is>
      </c>
    </row>
    <row r="37">
      <c r="A37" s="4" t="inlineStr">
        <is>
          <t>Culvert headwall rock d50=100, 180 thick</t>
        </is>
      </c>
      <c r="B37" s="4" t="inlineStr">
        <is>
          <t>m2</t>
        </is>
      </c>
      <c r="C37" s="5" t="n">
        <v>179.56</v>
      </c>
      <c r="D37" s="4" t="inlineStr">
        <is>
          <t>n/a</t>
        </is>
      </c>
      <c r="E37" s="4" t="inlineStr">
        <is>
          <t>F1321/F1325 details</t>
        </is>
      </c>
      <c r="F37" s="5" t="n">
        <v>0</v>
      </c>
      <c r="G37" s="4" t="inlineStr">
        <is>
          <t>No independent total</t>
        </is>
      </c>
      <c r="H37" s="5" t="n">
        <v>179.56</v>
      </c>
      <c r="I37" s="4" t="inlineStr">
        <is>
          <t>M</t>
        </is>
      </c>
      <c r="J37" s="4" t="inlineStr"/>
    </row>
    <row r="38">
      <c r="A38" s="4" t="inlineStr">
        <is>
          <t>Basin rock D50=500, depth 900 (C10 inlet+outlet)</t>
        </is>
      </c>
      <c r="B38" s="4" t="inlineStr">
        <is>
          <t>m2</t>
        </is>
      </c>
      <c r="C38" s="5" t="n">
        <v>263.33</v>
      </c>
      <c r="D38" s="4" t="inlineStr">
        <is>
          <t>n/a</t>
        </is>
      </c>
      <c r="E38" s="4" t="inlineStr">
        <is>
          <t>F1305 basin rock pad notes</t>
        </is>
      </c>
      <c r="F38" s="5" t="n">
        <v>0</v>
      </c>
      <c r="G38" s="4" t="inlineStr">
        <is>
          <t>No independent total</t>
        </is>
      </c>
      <c r="H38" s="5" t="n">
        <v>263.33</v>
      </c>
      <c r="I38" s="4" t="inlineStr">
        <is>
          <t>M</t>
        </is>
      </c>
      <c r="J38" s="4" t="inlineStr"/>
    </row>
    <row r="39">
      <c r="A39" s="2" t="inlineStr">
        <is>
          <t>FITTINGS / IN-LINE ITEMS (legend counts - no independent source)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4" t="inlineStr">
        <is>
          <t>100 PVC 90 deg bend</t>
        </is>
      </c>
      <c r="B40" s="4" t="inlineStr">
        <is>
          <t>EA</t>
        </is>
      </c>
      <c r="C40" s="5" t="n">
        <v>17</v>
      </c>
      <c r="D40" s="4" t="inlineStr">
        <is>
          <t>n/a</t>
        </is>
      </c>
      <c r="E40" s="4" t="inlineStr">
        <is>
          <t>Legends p1/p4</t>
        </is>
      </c>
      <c r="F40" s="5" t="n">
        <v>0</v>
      </c>
      <c r="G40" s="4" t="inlineStr">
        <is>
          <t>-</t>
        </is>
      </c>
      <c r="H40" s="5" t="n">
        <v>17</v>
      </c>
      <c r="I40" s="4" t="inlineStr">
        <is>
          <t>M</t>
        </is>
      </c>
      <c r="J40" s="4" t="inlineStr"/>
    </row>
    <row r="41">
      <c r="A41" s="4" t="inlineStr">
        <is>
          <t>100 PVC 45 deg bend</t>
        </is>
      </c>
      <c r="B41" s="4" t="inlineStr">
        <is>
          <t>EA</t>
        </is>
      </c>
      <c r="C41" s="5" t="n">
        <v>9</v>
      </c>
      <c r="D41" s="4" t="inlineStr">
        <is>
          <t>n/a</t>
        </is>
      </c>
      <c r="E41" s="4" t="inlineStr">
        <is>
          <t>Legends p1/p4</t>
        </is>
      </c>
      <c r="F41" s="5" t="n">
        <v>0</v>
      </c>
      <c r="G41" s="4" t="inlineStr">
        <is>
          <t>-</t>
        </is>
      </c>
      <c r="H41" s="5" t="n">
        <v>9</v>
      </c>
      <c r="I41" s="4" t="inlineStr">
        <is>
          <t>M</t>
        </is>
      </c>
      <c r="J41" s="4" t="inlineStr"/>
    </row>
    <row r="42">
      <c r="A42" s="4" t="inlineStr">
        <is>
          <t>225 PVC 90 deg bend</t>
        </is>
      </c>
      <c r="B42" s="4" t="inlineStr">
        <is>
          <t>EA</t>
        </is>
      </c>
      <c r="C42" s="5" t="n">
        <v>1</v>
      </c>
      <c r="D42" s="4" t="inlineStr">
        <is>
          <t>n/a</t>
        </is>
      </c>
      <c r="E42" s="4" t="inlineStr">
        <is>
          <t>Legend p4</t>
        </is>
      </c>
      <c r="F42" s="5" t="n">
        <v>0</v>
      </c>
      <c r="G42" s="4" t="inlineStr">
        <is>
          <t>-</t>
        </is>
      </c>
      <c r="H42" s="5" t="n">
        <v>1</v>
      </c>
      <c r="I42" s="4" t="inlineStr">
        <is>
          <t>M</t>
        </is>
      </c>
      <c r="J42" s="4" t="inlineStr"/>
    </row>
    <row r="43">
      <c r="A43" s="4" t="inlineStr">
        <is>
          <t>100 PVC 45 deg junction</t>
        </is>
      </c>
      <c r="B43" s="4" t="inlineStr">
        <is>
          <t>EA</t>
        </is>
      </c>
      <c r="C43" s="5" t="n">
        <v>26</v>
      </c>
      <c r="D43" s="4" t="inlineStr">
        <is>
          <t>n/a</t>
        </is>
      </c>
      <c r="E43" s="4" t="inlineStr">
        <is>
          <t>Legends p1/p3/p4</t>
        </is>
      </c>
      <c r="F43" s="5" t="n">
        <v>0</v>
      </c>
      <c r="G43" s="4" t="inlineStr">
        <is>
          <t>-</t>
        </is>
      </c>
      <c r="H43" s="5" t="n">
        <v>26</v>
      </c>
      <c r="I43" s="4" t="inlineStr">
        <is>
          <t>M</t>
        </is>
      </c>
      <c r="J43" s="4" t="inlineStr"/>
    </row>
    <row r="44">
      <c r="A44" s="4" t="inlineStr">
        <is>
          <t>225 PVC 45 deg junction</t>
        </is>
      </c>
      <c r="B44" s="4" t="inlineStr">
        <is>
          <t>EA</t>
        </is>
      </c>
      <c r="C44" s="5" t="n">
        <v>1</v>
      </c>
      <c r="D44" s="4" t="inlineStr">
        <is>
          <t>n/a</t>
        </is>
      </c>
      <c r="E44" s="4" t="inlineStr">
        <is>
          <t>Legend p4</t>
        </is>
      </c>
      <c r="F44" s="5" t="n">
        <v>0</v>
      </c>
      <c r="G44" s="4" t="inlineStr">
        <is>
          <t>-</t>
        </is>
      </c>
      <c r="H44" s="5" t="n">
        <v>1</v>
      </c>
      <c r="I44" s="4" t="inlineStr">
        <is>
          <t>M</t>
        </is>
      </c>
      <c r="J44" s="4" t="inlineStr"/>
    </row>
    <row r="45">
      <c r="A45" s="4" t="inlineStr">
        <is>
          <t>225x100 PVC 45 deg junction</t>
        </is>
      </c>
      <c r="B45" s="4" t="inlineStr">
        <is>
          <t>EA</t>
        </is>
      </c>
      <c r="C45" s="5" t="n">
        <v>11</v>
      </c>
      <c r="D45" s="4" t="inlineStr">
        <is>
          <t>n/a</t>
        </is>
      </c>
      <c r="E45" s="4" t="inlineStr">
        <is>
          <t>Legend p4</t>
        </is>
      </c>
      <c r="F45" s="5" t="n">
        <v>0</v>
      </c>
      <c r="G45" s="4" t="inlineStr">
        <is>
          <t>-</t>
        </is>
      </c>
      <c r="H45" s="5" t="n">
        <v>11</v>
      </c>
      <c r="I45" s="4" t="inlineStr">
        <is>
          <t>M</t>
        </is>
      </c>
      <c r="J45" s="4" t="inlineStr"/>
    </row>
    <row r="46">
      <c r="A46" s="4" t="inlineStr">
        <is>
          <t>Inspection opening, galvanised cover flush with surface</t>
        </is>
      </c>
      <c r="B46" s="4" t="inlineStr">
        <is>
          <t>EA</t>
        </is>
      </c>
      <c r="C46" s="5" t="n">
        <v>3</v>
      </c>
      <c r="D46" s="4" t="inlineStr">
        <is>
          <t>n/a</t>
        </is>
      </c>
      <c r="E46" s="4" t="inlineStr">
        <is>
          <t>Legend p4 (F1303 'IO flush with surface (TYP.)')</t>
        </is>
      </c>
      <c r="F46" s="5" t="n">
        <v>0</v>
      </c>
      <c r="G46" s="4" t="inlineStr">
        <is>
          <t>-</t>
        </is>
      </c>
      <c r="H46" s="5" t="n">
        <v>3</v>
      </c>
      <c r="I46" s="4" t="inlineStr">
        <is>
          <t>M</t>
        </is>
      </c>
      <c r="J46" s="4" t="inlineStr"/>
    </row>
    <row r="47">
      <c r="A47" s="2" t="inlineStr">
        <is>
          <t>STRUCTURES (Rule 3: adopt F1310 121 unique + 20 C-series end structures = 141)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4" t="inlineStr">
        <is>
          <t>Headwall to suit 375 RCP</t>
        </is>
      </c>
      <c r="B48" s="4" t="inlineStr">
        <is>
          <t>EA</t>
        </is>
      </c>
      <c r="C48" s="5" t="n">
        <v>5</v>
      </c>
      <c r="D48" s="5" t="n">
        <v>5</v>
      </c>
      <c r="E48" s="4" t="inlineStr">
        <is>
          <t>F1310 (01-01, 10-01, 11-01, 12-01, 19-01)</t>
        </is>
      </c>
      <c r="F48" s="5" t="n">
        <v>0</v>
      </c>
      <c r="G48" s="4" t="inlineStr">
        <is>
          <t>Match</t>
        </is>
      </c>
      <c r="H48" s="5" t="n">
        <v>5</v>
      </c>
      <c r="I48" s="4" t="inlineStr">
        <is>
          <t>H</t>
        </is>
      </c>
      <c r="J48" s="4" t="inlineStr">
        <is>
          <t>Precast headwall with inlet screen.</t>
        </is>
      </c>
    </row>
    <row r="49">
      <c r="A49" s="4" t="inlineStr">
        <is>
          <t>Headwall to suit 2x375 RCP (C09A/C09B)</t>
        </is>
      </c>
      <c r="B49" s="4" t="inlineStr">
        <is>
          <t>EA</t>
        </is>
      </c>
      <c r="C49" s="5" t="n">
        <v>2</v>
      </c>
      <c r="D49" s="5" t="n">
        <v>2</v>
      </c>
      <c r="E49" s="4" t="inlineStr">
        <is>
          <t>F1362/F1363 + F1304 layout</t>
        </is>
      </c>
      <c r="F49" s="5" t="n">
        <v>0</v>
      </c>
      <c r="G49" s="4" t="inlineStr">
        <is>
          <t>Match</t>
        </is>
      </c>
      <c r="H49" s="5" t="n">
        <v>2</v>
      </c>
      <c r="I49" s="4" t="inlineStr">
        <is>
          <t>M</t>
        </is>
      </c>
      <c r="J49" s="4" t="inlineStr">
        <is>
          <t>Details in NEITHER F1310 nor F1321; both ends labelled 'HEADWALL OUTLET'; C09B IL above C09A - RFI (Opens #8).</t>
        </is>
      </c>
    </row>
    <row r="50">
      <c r="A50" s="4" t="inlineStr">
        <is>
          <t>Headwall to suit 150 PVC (87-01)</t>
        </is>
      </c>
      <c r="B50" s="4" t="inlineStr">
        <is>
          <t>EA</t>
        </is>
      </c>
      <c r="C50" s="5" t="n">
        <v>1</v>
      </c>
      <c r="D50" s="5" t="n">
        <v>1</v>
      </c>
      <c r="E50" s="4" t="inlineStr">
        <is>
          <t>F1310</t>
        </is>
      </c>
      <c r="F50" s="5" t="n">
        <v>0</v>
      </c>
      <c r="G50" s="4" t="inlineStr">
        <is>
          <t>Match</t>
        </is>
      </c>
      <c r="H50" s="5" t="n">
        <v>1</v>
      </c>
      <c r="I50" s="4" t="inlineStr">
        <is>
          <t>H</t>
        </is>
      </c>
      <c r="J50" s="4" t="inlineStr"/>
    </row>
    <row r="51">
      <c r="A51" s="4" t="inlineStr">
        <is>
          <t>Headwall to suit 225 PVC</t>
        </is>
      </c>
      <c r="B51" s="4" t="inlineStr">
        <is>
          <t>EA</t>
        </is>
      </c>
      <c r="C51" s="5" t="n">
        <v>2</v>
      </c>
      <c r="D51" s="5" t="n">
        <v>1</v>
      </c>
      <c r="E51" s="4" t="inlineStr">
        <is>
          <t>F1310 (81-01 only)</t>
        </is>
      </c>
      <c r="F51" s="5" t="n">
        <v>-1</v>
      </c>
      <c r="G51" s="4" t="inlineStr">
        <is>
          <t>Schedule basis - only 81-01 exists; Denis's second symbol unmatched</t>
        </is>
      </c>
      <c r="H51" s="5" t="n">
        <v>1</v>
      </c>
      <c r="I51" s="4" t="inlineStr">
        <is>
          <t>H</t>
        </is>
      </c>
      <c r="J51" s="4" t="inlineStr"/>
    </row>
    <row r="52">
      <c r="A52" s="4" t="inlineStr">
        <is>
          <t>Headwall to suit 300 PP (25-01)</t>
        </is>
      </c>
      <c r="B52" s="4" t="inlineStr">
        <is>
          <t>EA</t>
        </is>
      </c>
      <c r="C52" s="5" t="n">
        <v>1</v>
      </c>
      <c r="D52" s="5" t="n">
        <v>1</v>
      </c>
      <c r="E52" s="4" t="inlineStr">
        <is>
          <t>F1310</t>
        </is>
      </c>
      <c r="F52" s="5" t="n">
        <v>0</v>
      </c>
      <c r="G52" s="4" t="inlineStr">
        <is>
          <t>Match</t>
        </is>
      </c>
      <c r="H52" s="5" t="n">
        <v>1</v>
      </c>
      <c r="I52" s="4" t="inlineStr">
        <is>
          <t>H</t>
        </is>
      </c>
      <c r="J52" s="4" t="inlineStr"/>
    </row>
    <row r="53">
      <c r="A53" s="4" t="inlineStr">
        <is>
          <t>Headwall to suit RCBC 600x300 (C05A/B-C08A/B)</t>
        </is>
      </c>
      <c r="B53" s="4" t="inlineStr">
        <is>
          <t>EA</t>
        </is>
      </c>
      <c r="C53" s="5" t="n">
        <v>8</v>
      </c>
      <c r="D53" s="5" t="n">
        <v>8</v>
      </c>
      <c r="E53" s="4" t="inlineStr">
        <is>
          <t>F1321 Table 1 + layouts</t>
        </is>
      </c>
      <c r="F53" s="5" t="n">
        <v>0</v>
      </c>
      <c r="G53" s="4" t="inlineStr">
        <is>
          <t>Match</t>
        </is>
      </c>
      <c r="H53" s="5" t="n">
        <v>8</v>
      </c>
      <c r="I53" s="4" t="inlineStr">
        <is>
          <t>H</t>
        </is>
      </c>
      <c r="J53" s="4" t="inlineStr"/>
    </row>
    <row r="54">
      <c r="A54" s="4" t="inlineStr">
        <is>
          <t>Headwall to suit RCBC 750x300 (26-01)</t>
        </is>
      </c>
      <c r="B54" s="4" t="inlineStr">
        <is>
          <t>EA</t>
        </is>
      </c>
      <c r="C54" s="5" t="n">
        <v>1</v>
      </c>
      <c r="D54" s="5" t="n">
        <v>1</v>
      </c>
      <c r="E54" s="4" t="inlineStr">
        <is>
          <t>F1310</t>
        </is>
      </c>
      <c r="F54" s="5" t="n">
        <v>0</v>
      </c>
      <c r="G54" s="4" t="inlineStr">
        <is>
          <t>Match</t>
        </is>
      </c>
      <c r="H54" s="5" t="n">
        <v>1</v>
      </c>
      <c r="I54" s="4" t="inlineStr">
        <is>
          <t>H</t>
        </is>
      </c>
      <c r="J54" s="4" t="inlineStr"/>
    </row>
    <row r="55">
      <c r="A55" s="4" t="inlineStr">
        <is>
          <t>Headwall to suit RCBC 900x450 (C01A/B, C02A/B)</t>
        </is>
      </c>
      <c r="B55" s="4" t="inlineStr">
        <is>
          <t>EA</t>
        </is>
      </c>
      <c r="C55" s="5" t="n">
        <v>4</v>
      </c>
      <c r="D55" s="5" t="n">
        <v>4</v>
      </c>
      <c r="E55" s="4" t="inlineStr">
        <is>
          <t>F1321 Table 1</t>
        </is>
      </c>
      <c r="F55" s="5" t="n">
        <v>0</v>
      </c>
      <c r="G55" s="4" t="inlineStr">
        <is>
          <t>Match</t>
        </is>
      </c>
      <c r="H55" s="5" t="n">
        <v>4</v>
      </c>
      <c r="I55" s="4" t="inlineStr">
        <is>
          <t>H</t>
        </is>
      </c>
      <c r="J55" s="4" t="inlineStr"/>
    </row>
    <row r="56">
      <c r="A56" s="4" t="inlineStr">
        <is>
          <t>Headwall to suit RCBC 1200x600 (C03A/B)</t>
        </is>
      </c>
      <c r="B56" s="4" t="inlineStr">
        <is>
          <t>EA</t>
        </is>
      </c>
      <c r="C56" s="5" t="n">
        <v>2</v>
      </c>
      <c r="D56" s="5" t="n">
        <v>2</v>
      </c>
      <c r="E56" s="4" t="inlineStr">
        <is>
          <t>F1321 Table 1</t>
        </is>
      </c>
      <c r="F56" s="5" t="n">
        <v>0</v>
      </c>
      <c r="G56" s="4" t="inlineStr">
        <is>
          <t>Match</t>
        </is>
      </c>
      <c r="H56" s="5" t="n">
        <v>2</v>
      </c>
      <c r="I56" s="4" t="inlineStr">
        <is>
          <t>H</t>
        </is>
      </c>
      <c r="J56" s="4" t="inlineStr"/>
    </row>
    <row r="57">
      <c r="A57" s="4" t="inlineStr">
        <is>
          <t>Headwall to suit RCBC 1500x600 (C04A/B)</t>
        </is>
      </c>
      <c r="B57" s="4" t="inlineStr">
        <is>
          <t>EA</t>
        </is>
      </c>
      <c r="C57" s="5" t="n">
        <v>2</v>
      </c>
      <c r="D57" s="5" t="n">
        <v>2</v>
      </c>
      <c r="E57" s="4" t="inlineStr">
        <is>
          <t>F1321 Table 2 (TMR SD1250, C04A skew 22 deg)</t>
        </is>
      </c>
      <c r="F57" s="5" t="n">
        <v>0</v>
      </c>
      <c r="G57" s="4" t="inlineStr">
        <is>
          <t>Match</t>
        </is>
      </c>
      <c r="H57" s="5" t="n">
        <v>2</v>
      </c>
      <c r="I57" s="4" t="inlineStr">
        <is>
          <t>H</t>
        </is>
      </c>
      <c r="J57" s="4" t="inlineStr"/>
    </row>
    <row r="58">
      <c r="A58" s="4" t="inlineStr">
        <is>
          <t>Headwall to suit RCBC 2700x1200 (C10A/B)</t>
        </is>
      </c>
      <c r="B58" s="4" t="inlineStr">
        <is>
          <t>EA</t>
        </is>
      </c>
      <c r="C58" s="5" t="n">
        <v>2</v>
      </c>
      <c r="D58" s="5" t="n">
        <v>2</v>
      </c>
      <c r="E58" s="4" t="inlineStr">
        <is>
          <t>F1321 Table 2</t>
        </is>
      </c>
      <c r="F58" s="5" t="n">
        <v>0</v>
      </c>
      <c r="G58" s="4" t="inlineStr">
        <is>
          <t>Match</t>
        </is>
      </c>
      <c r="H58" s="5" t="n">
        <v>2</v>
      </c>
      <c r="I58" s="4" t="inlineStr">
        <is>
          <t>H</t>
        </is>
      </c>
      <c r="J58" s="4" t="inlineStr"/>
    </row>
    <row r="59">
      <c r="A59" s="4" t="inlineStr">
        <is>
          <t>Inlet (on-grade, 2.4 m RGU) CMDG-D-020</t>
        </is>
      </c>
      <c r="B59" s="4" t="inlineStr">
        <is>
          <t>EA</t>
        </is>
      </c>
      <c r="C59" s="5" t="n">
        <v>28</v>
      </c>
      <c r="D59" s="5" t="n">
        <v>28</v>
      </c>
      <c r="E59" s="4" t="inlineStr">
        <is>
          <t>F1310</t>
        </is>
      </c>
      <c r="F59" s="5" t="n">
        <v>0</v>
      </c>
      <c r="G59" s="4" t="inlineStr">
        <is>
          <t>Match</t>
        </is>
      </c>
      <c r="H59" s="5" t="n">
        <v>28</v>
      </c>
      <c r="I59" s="4" t="inlineStr">
        <is>
          <t>H</t>
        </is>
      </c>
      <c r="J59" s="4" t="inlineStr"/>
    </row>
    <row r="60">
      <c r="A60" s="4" t="inlineStr">
        <is>
          <t>Inlet (sag, 2.4 m RGU)</t>
        </is>
      </c>
      <c r="B60" s="4" t="inlineStr">
        <is>
          <t>EA</t>
        </is>
      </c>
      <c r="C60" s="5" t="n">
        <v>5</v>
      </c>
      <c r="D60" s="5" t="n">
        <v>5</v>
      </c>
      <c r="E60" s="4" t="inlineStr">
        <is>
          <t>F1310</t>
        </is>
      </c>
      <c r="F60" s="5" t="n">
        <v>0</v>
      </c>
      <c r="G60" s="4" t="inlineStr">
        <is>
          <t>Match</t>
        </is>
      </c>
      <c r="H60" s="5" t="n">
        <v>5</v>
      </c>
      <c r="I60" s="4" t="inlineStr">
        <is>
          <t>H</t>
        </is>
      </c>
      <c r="J60" s="4" t="inlineStr"/>
    </row>
    <row r="61">
      <c r="A61" s="4" t="inlineStr">
        <is>
          <t>1050 access chamber CMDG-D-030</t>
        </is>
      </c>
      <c r="B61" s="4" t="inlineStr">
        <is>
          <t>EA</t>
        </is>
      </c>
      <c r="C61" s="5" t="n">
        <v>13</v>
      </c>
      <c r="D61" s="5" t="n">
        <v>13</v>
      </c>
      <c r="E61" s="4" t="inlineStr">
        <is>
          <t>F1310</t>
        </is>
      </c>
      <c r="F61" s="5" t="n">
        <v>0</v>
      </c>
      <c r="G61" s="4" t="inlineStr">
        <is>
          <t>Match</t>
        </is>
      </c>
      <c r="H61" s="5" t="n">
        <v>13</v>
      </c>
      <c r="I61" s="4" t="inlineStr">
        <is>
          <t>H</t>
        </is>
      </c>
      <c r="J61" s="4" t="inlineStr"/>
    </row>
    <row r="62">
      <c r="A62" s="4" t="inlineStr">
        <is>
          <t>1200 access chamber</t>
        </is>
      </c>
      <c r="B62" s="4" t="inlineStr">
        <is>
          <t>EA</t>
        </is>
      </c>
      <c r="C62" s="5" t="n">
        <v>3</v>
      </c>
      <c r="D62" s="5" t="n">
        <v>4</v>
      </c>
      <c r="E62" s="4" t="inlineStr">
        <is>
          <t>F1310 (25-03, 26-02, 26-03, 26-05)</t>
        </is>
      </c>
      <c r="F62" s="5" t="n">
        <v>1</v>
      </c>
      <c r="G62" s="4" t="inlineStr">
        <is>
          <t>Schedule governs - Denis -1 (which one missed not identified)</t>
        </is>
      </c>
      <c r="H62" s="5" t="n">
        <v>4</v>
      </c>
      <c r="I62" s="4" t="inlineStr">
        <is>
          <t>H</t>
        </is>
      </c>
      <c r="J62" s="4" t="inlineStr">
        <is>
          <t>Opens #4. 26-02 carries the 0.467 m internal upstand (tank outlet control).</t>
        </is>
      </c>
    </row>
    <row r="63">
      <c r="A63" s="4" t="inlineStr">
        <is>
          <t>600x600 field inlet Type 2 CMDG-D-022</t>
        </is>
      </c>
      <c r="B63" s="4" t="inlineStr">
        <is>
          <t>EA</t>
        </is>
      </c>
      <c r="C63" s="5" t="n">
        <v>3</v>
      </c>
      <c r="D63" s="5" t="n">
        <v>3</v>
      </c>
      <c r="E63" s="4" t="inlineStr">
        <is>
          <t>F1310 (81-02, 81-07, 87-02)</t>
        </is>
      </c>
      <c r="F63" s="5" t="n">
        <v>0</v>
      </c>
      <c r="G63" s="4" t="inlineStr">
        <is>
          <t>Match</t>
        </is>
      </c>
      <c r="H63" s="5" t="n">
        <v>3</v>
      </c>
      <c r="I63" s="4" t="inlineStr">
        <is>
          <t>H</t>
        </is>
      </c>
      <c r="J63" s="4" t="inlineStr">
        <is>
          <t>87-02 duplicated in schedule; long section labels '81-08' vs schedule 81-07 - RFI (Opens #9).</t>
        </is>
      </c>
    </row>
    <row r="64">
      <c r="A64" s="4" t="inlineStr">
        <is>
          <t>Pipe-to-pipe connection (all types)</t>
        </is>
      </c>
      <c r="B64" s="4" t="inlineStr">
        <is>
          <t>EA</t>
        </is>
      </c>
      <c r="C64" s="5" t="n">
        <v>19</v>
      </c>
      <c r="D64" s="5" t="n">
        <v>20</v>
      </c>
      <c r="E64" s="4" t="inlineStr">
        <is>
          <t>F1310 (20 P2P)</t>
        </is>
      </c>
      <c r="F64" s="5" t="n">
        <v>1</v>
      </c>
      <c r="G64" s="4" t="inlineStr">
        <is>
          <t>Schedule governs - Denis -1 (60-02 or 81-04 uncounted)</t>
        </is>
      </c>
      <c r="H64" s="5" t="n">
        <v>20</v>
      </c>
      <c r="I64" s="4" t="inlineStr">
        <is>
          <t>H</t>
        </is>
      </c>
      <c r="J64" s="4" t="inlineStr">
        <is>
          <t>Opens #4. Denis's 'P2P (375 RPC, 100 PVC)' matches no schedule P2P.</t>
        </is>
      </c>
    </row>
    <row r="65">
      <c r="A65" s="4" t="inlineStr">
        <is>
          <t>WSUD treatment tank 25-02 (DN3300 manhole, 22 StormFilter cartridges)</t>
        </is>
      </c>
      <c r="B65" s="4" t="inlineStr">
        <is>
          <t>EA</t>
        </is>
      </c>
      <c r="C65" s="5" t="n">
        <v>1</v>
      </c>
      <c r="D65" s="5" t="n">
        <v>1</v>
      </c>
      <c r="E65" s="4" t="inlineStr">
        <is>
          <t>F1310 (25-02 TANK) + F1324</t>
        </is>
      </c>
      <c r="F65" s="5" t="n">
        <v>0</v>
      </c>
      <c r="G65" s="4" t="inlineStr">
        <is>
          <t>Match</t>
        </is>
      </c>
      <c r="H65" s="5" t="n">
        <v>1</v>
      </c>
      <c r="I65" s="4" t="inlineStr">
        <is>
          <t>H</t>
        </is>
      </c>
      <c r="J65" s="4" t="inlineStr">
        <is>
          <t>Cartridges/internals supply+delivery = PC Sum +15%; install in TCS lump sum (interface L3); Ocean Protect re-quote - Opens #10. Tank founding depth not shown (deepest excavation risk, refusal band).</t>
        </is>
      </c>
    </row>
    <row r="66">
      <c r="A66" s="4" t="inlineStr">
        <is>
          <t>Hauraton Trash Box 200</t>
        </is>
      </c>
      <c r="B66" s="4" t="inlineStr">
        <is>
          <t>EA</t>
        </is>
      </c>
      <c r="C66" s="5" t="n">
        <v>25</v>
      </c>
      <c r="D66" s="5" t="n">
        <v>25</v>
      </c>
      <c r="E66" s="4" t="inlineStr">
        <is>
          <t>F1310</t>
        </is>
      </c>
      <c r="F66" s="5" t="n">
        <v>0</v>
      </c>
      <c r="G66" s="4" t="inlineStr">
        <is>
          <t>Match</t>
        </is>
      </c>
      <c r="H66" s="5" t="n">
        <v>25</v>
      </c>
      <c r="I66" s="4" t="inlineStr">
        <is>
          <t>H</t>
        </is>
      </c>
      <c r="J66" s="4" t="inlineStr">
        <is>
          <t>Part of Rule 2 GT adopted basis (608.5 m + 29 boxes).</t>
        </is>
      </c>
    </row>
    <row r="67">
      <c r="A67" s="4" t="inlineStr">
        <is>
          <t>Hauraton Trash Box 100</t>
        </is>
      </c>
      <c r="B67" s="4" t="inlineStr">
        <is>
          <t>EA</t>
        </is>
      </c>
      <c r="C67" s="5" t="n">
        <v>4</v>
      </c>
      <c r="D67" s="5" t="n">
        <v>4</v>
      </c>
      <c r="E67" s="4" t="inlineStr">
        <is>
          <t>F1310 (60-01, 60-03, 61-01, 83-01)</t>
        </is>
      </c>
      <c r="F67" s="5" t="n">
        <v>0</v>
      </c>
      <c r="G67" s="4" t="inlineStr">
        <is>
          <t>Match</t>
        </is>
      </c>
      <c r="H67" s="5" t="n">
        <v>4</v>
      </c>
      <c r="I67" s="4" t="inlineStr">
        <is>
          <t>H</t>
        </is>
      </c>
      <c r="J67" s="4" t="inlineStr"/>
    </row>
    <row r="68">
      <c r="A68" s="4" t="inlineStr">
        <is>
          <t>Kerb chute (structure: concrete invert, kerb returns, R1000)</t>
        </is>
      </c>
      <c r="B68" s="4" t="inlineStr">
        <is>
          <t>EA</t>
        </is>
      </c>
      <c r="C68" s="4" t="inlineStr">
        <is>
          <t>- (not counted)</t>
        </is>
      </c>
      <c r="D68" s="5" t="n">
        <v>9</v>
      </c>
      <c r="E68" s="4" t="inlineStr">
        <is>
          <t>F1310 (03-02, 03-03, 04-02, 13-02 to 18-02) + F1325 detail</t>
        </is>
      </c>
      <c r="F68" s="4" t="inlineStr">
        <is>
          <t>+9 (new)</t>
        </is>
      </c>
      <c r="G68" s="4" t="inlineStr">
        <is>
          <t>Never counted as EA - only rock/matting area measured (55.67 m2)</t>
        </is>
      </c>
      <c r="H68" s="5" t="n">
        <v>9</v>
      </c>
      <c r="I68" s="4" t="inlineStr">
        <is>
          <t>H (count)</t>
        </is>
      </c>
      <c r="J68" s="4" t="inlineStr">
        <is>
          <t>Director decision D6-F1 pending (excluded vs rock+mat) - do not close either way; both positions costed in EBC register.</t>
        </is>
      </c>
    </row>
    <row r="69">
      <c r="A69" s="4" t="inlineStr">
        <is>
          <t>TOTAL STRUCTURES</t>
        </is>
      </c>
      <c r="B69" s="4" t="inlineStr">
        <is>
          <t>EA</t>
        </is>
      </c>
      <c r="C69" s="5" t="n">
        <v>131</v>
      </c>
      <c r="D69" s="5" t="n">
        <v>141</v>
      </c>
      <c r="E69" s="4" t="inlineStr">
        <is>
          <t>F1310 121 unique (122 rows less 87-02 duplicate) + 20 C-series end structures (F1362/F1363)</t>
        </is>
      </c>
      <c r="F69" s="5" t="n">
        <v>10</v>
      </c>
      <c r="G69" s="4" t="inlineStr">
        <is>
          <t>Rule 3 adoption: item-level deltas 1200AC +1, P2P +1, 225 headwall -1, kerb chutes +9</t>
        </is>
      </c>
      <c r="H69" s="5" t="n">
        <v>141</v>
      </c>
      <c r="I69" s="4" t="inlineStr">
        <is>
          <t>H</t>
        </is>
      </c>
      <c r="J69" s="4" t="inlineStr">
        <is>
          <t>F1310 defects (duplicate row, remarks shifted one row for 5 pits) noted - RFI (Opens #9).</t>
        </is>
      </c>
    </row>
  </sheetData>
  <mergeCells count="7">
    <mergeCell ref="A47:J47"/>
    <mergeCell ref="A23:J23"/>
    <mergeCell ref="A14:J14"/>
    <mergeCell ref="A21:J21"/>
    <mergeCell ref="A39:J39"/>
    <mergeCell ref="A34:J3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13" customWidth="1" min="3" max="3"/>
    <col width="15" customWidth="1" min="4" max="4"/>
    <col width="38" customWidth="1" min="5" max="5"/>
    <col width="14" customWidth="1" min="6" max="6"/>
    <col width="36" customWidth="1" min="7" max="7"/>
    <col width="13" customWidth="1" min="8" max="8"/>
    <col width="11" customWidth="1" min="9" max="9"/>
    <col width="62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Denis qty</t>
        </is>
      </c>
      <c r="D1" s="1" t="inlineStr">
        <is>
          <t>Independent qty</t>
        </is>
      </c>
      <c r="E1" s="1" t="inlineStr">
        <is>
          <t>Independent source (doc + sheet ref)</t>
        </is>
      </c>
      <c r="F1" s="1" t="inlineStr">
        <is>
          <t>Variance (Adopted - Denis)</t>
        </is>
      </c>
      <c r="G1" s="1" t="inlineStr">
        <is>
          <t>Variance reason</t>
        </is>
      </c>
      <c r="H1" s="1" t="inlineStr">
        <is>
          <t>ADOPTED qty</t>
        </is>
      </c>
      <c r="I1" s="1" t="inlineStr">
        <is>
          <t>Confidence (H/M/L)</t>
        </is>
      </c>
      <c r="J1" s="1" t="inlineStr">
        <is>
          <t>Notes</t>
        </is>
      </c>
    </row>
    <row r="2">
      <c r="A2" s="2" t="inlineStr">
        <is>
          <t>MEASURED LENGTHS (Rule 1: vector-verified = Denis's legend, within 0.01 m; scale proven exact vs 30.5 m netball courts)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Ø200 Kembla copper Type B main (tapping to meter slab)</t>
        </is>
      </c>
      <c r="B3" s="4" t="inlineStr">
        <is>
          <t>m</t>
        </is>
      </c>
      <c r="C3" s="5" t="n">
        <v>134.63</v>
      </c>
      <c r="D3" s="5" t="n">
        <v>134.63</v>
      </c>
      <c r="E3" s="4" t="inlineStr">
        <is>
          <t>H003 25015-H003 T1 - independent PDF vector re-measure @1:500</t>
        </is>
      </c>
      <c r="F3" s="5" t="n">
        <v>0</v>
      </c>
      <c r="G3" s="4" t="inlineStr">
        <is>
          <t>Vector-verified 0.00 m</t>
        </is>
      </c>
      <c r="H3" s="5" t="n">
        <v>134.63</v>
      </c>
      <c r="I3" s="4" t="inlineStr">
        <is>
          <t>H</t>
        </is>
      </c>
      <c r="J3" s="4" t="inlineStr">
        <is>
          <t>Length firm. Locked 5.5 base offer = Ø200 ID HDPE PE100 SDR11 - re-rate material at Phase 6 (Opens #12).</t>
        </is>
      </c>
    </row>
    <row r="4">
      <c r="A4" s="4" t="inlineStr">
        <is>
          <t>125 PE100 PN16 blue stripe (site CW spine, 8 runs)</t>
        </is>
      </c>
      <c r="B4" s="4" t="inlineStr">
        <is>
          <t>m</t>
        </is>
      </c>
      <c r="C4" s="5" t="n">
        <v>236.88</v>
      </c>
      <c r="D4" s="5" t="n">
        <v>236.88</v>
      </c>
      <c r="E4" s="4" t="inlineStr">
        <is>
          <t>H003 vector re-measure</t>
        </is>
      </c>
      <c r="F4" s="5" t="n">
        <v>0</v>
      </c>
      <c r="G4" s="4" t="inlineStr">
        <is>
          <t>Vector-verified 0.00 m</t>
        </is>
      </c>
      <c r="H4" s="5" t="n">
        <v>236.88</v>
      </c>
      <c r="I4" s="4" t="inlineStr">
        <is>
          <t>H</t>
        </is>
      </c>
      <c r="J4" s="4" t="inlineStr">
        <is>
          <t>Drawing labels Ø100 CW - 125 OD PE is correct DN100 substitution; 12 MaxiStubs = 6 flanged valve sets.</t>
        </is>
      </c>
    </row>
    <row r="5">
      <c r="A5" s="4" t="inlineStr">
        <is>
          <t>125 HDPE PN16 SDR11 REDLINE fire main (3 runs)</t>
        </is>
      </c>
      <c r="B5" s="4" t="inlineStr">
        <is>
          <t>m</t>
        </is>
      </c>
      <c r="C5" s="5" t="n">
        <v>217.73</v>
      </c>
      <c r="D5" s="5" t="n">
        <v>217.72</v>
      </c>
      <c r="E5" s="4" t="inlineStr">
        <is>
          <t>H003 vector re-measure</t>
        </is>
      </c>
      <c r="F5" s="5" t="n">
        <v>0</v>
      </c>
      <c r="G5" s="4" t="inlineStr">
        <is>
          <t>Vector-verified 0.01 m</t>
        </is>
      </c>
      <c r="H5" s="5" t="n">
        <v>217.73</v>
      </c>
      <c r="I5" s="4" t="inlineStr">
        <is>
          <t>H</t>
        </is>
      </c>
      <c r="J5" s="4" t="inlineStr">
        <is>
          <t>Fire extent qualification (CL C1/F3): looks light vs AS2419.1; H004 continuation missing - Opens #13.</t>
        </is>
      </c>
    </row>
    <row r="6">
      <c r="A6" s="4" t="inlineStr">
        <is>
          <t>32 PE100 PN16 blue stripe (5 runs)</t>
        </is>
      </c>
      <c r="B6" s="4" t="inlineStr">
        <is>
          <t>m</t>
        </is>
      </c>
      <c r="C6" s="5" t="n">
        <v>37.26</v>
      </c>
      <c r="D6" s="5" t="n">
        <v>37.26</v>
      </c>
      <c r="E6" s="4" t="inlineStr">
        <is>
          <t>H003 vector re-measure</t>
        </is>
      </c>
      <c r="F6" s="5" t="n">
        <v>0</v>
      </c>
      <c r="G6" s="4" t="inlineStr">
        <is>
          <t>Vector-verified 0.00 m</t>
        </is>
      </c>
      <c r="H6" s="5" t="n">
        <v>37.26</v>
      </c>
      <c r="I6" s="4" t="inlineStr">
        <is>
          <t>H</t>
        </is>
      </c>
      <c r="J6" s="4" t="inlineStr">
        <is>
          <t>Base drawing labels Ø25 - Denis upsized one size; convention retained per Rule 1 (Opens #11).</t>
        </is>
      </c>
    </row>
    <row r="7">
      <c r="A7" s="4" t="inlineStr">
        <is>
          <t>25 PE100 PN16 blue stripe (5 runs)</t>
        </is>
      </c>
      <c r="B7" s="4" t="inlineStr">
        <is>
          <t>m</t>
        </is>
      </c>
      <c r="C7" s="5" t="n">
        <v>74.25</v>
      </c>
      <c r="D7" s="5" t="n">
        <v>74.25</v>
      </c>
      <c r="E7" s="4" t="inlineStr">
        <is>
          <t>H003 vector re-measure</t>
        </is>
      </c>
      <c r="F7" s="5" t="n">
        <v>0</v>
      </c>
      <c r="G7" s="4" t="inlineStr">
        <is>
          <t>Vector-verified 0.00 m</t>
        </is>
      </c>
      <c r="H7" s="5" t="n">
        <v>74.25</v>
      </c>
      <c r="I7" s="4" t="inlineStr">
        <is>
          <t>H</t>
        </is>
      </c>
      <c r="J7" s="4" t="inlineStr">
        <is>
          <t>Base drawing labels Ø20 - upsized one size; no Ø20 item exists in take-off.</t>
        </is>
      </c>
    </row>
    <row r="8">
      <c r="A8" s="4" t="inlineStr">
        <is>
          <t>DWV PVC 150 SN6 sewer (authority connection leg)</t>
        </is>
      </c>
      <c r="B8" s="4" t="inlineStr">
        <is>
          <t>m</t>
        </is>
      </c>
      <c r="C8" s="5" t="n">
        <v>29.29</v>
      </c>
      <c r="D8" s="5" t="n">
        <v>29.29</v>
      </c>
      <c r="E8" s="4" t="inlineStr">
        <is>
          <t>H003 vector re-measure (single run, MH-1 to property connection IL 35.433)</t>
        </is>
      </c>
      <c r="F8" s="5" t="n">
        <v>0</v>
      </c>
      <c r="G8" s="4" t="inlineStr">
        <is>
          <t>Vector-verified 0.00 m</t>
        </is>
      </c>
      <c r="H8" s="5" t="n">
        <v>29.29</v>
      </c>
      <c r="I8" s="4" t="inlineStr">
        <is>
          <t>H</t>
        </is>
      </c>
      <c r="J8" s="4" t="inlineStr"/>
    </row>
    <row r="9">
      <c r="A9" s="4" t="inlineStr">
        <is>
          <t>DWV PVC 100 SN6 gravity sewer (7 runs @1:60)</t>
        </is>
      </c>
      <c r="B9" s="4" t="inlineStr">
        <is>
          <t>m</t>
        </is>
      </c>
      <c r="C9" s="5" t="n">
        <v>178.24</v>
      </c>
      <c r="D9" s="5" t="n">
        <v>178.24</v>
      </c>
      <c r="E9" s="4" t="inlineStr">
        <is>
          <t>H003 vector re-measure - runs pairwise-verified vs base sanitary lines</t>
        </is>
      </c>
      <c r="F9" s="5" t="n">
        <v>0</v>
      </c>
      <c r="G9" s="4" t="inlineStr">
        <is>
          <t>Vector-verified 0.00 m</t>
        </is>
      </c>
      <c r="H9" s="5" t="n">
        <v>178.24</v>
      </c>
      <c r="I9" s="4" t="inlineStr">
        <is>
          <t>H</t>
        </is>
      </c>
      <c r="J9" s="4" t="inlineStr"/>
    </row>
    <row r="10">
      <c r="A10" s="4" t="inlineStr">
        <is>
          <t>Geberit HDPE 110 trade waste (clubhouse/canteen run)</t>
        </is>
      </c>
      <c r="B10" s="4" t="inlineStr">
        <is>
          <t>m</t>
        </is>
      </c>
      <c r="C10" s="5" t="n">
        <v>16.28</v>
      </c>
      <c r="D10" s="5" t="n">
        <v>16.28</v>
      </c>
      <c r="E10" s="4" t="inlineStr">
        <is>
          <t>H003 vector re-measure</t>
        </is>
      </c>
      <c r="F10" s="5" t="n">
        <v>0</v>
      </c>
      <c r="G10" s="4" t="inlineStr">
        <is>
          <t>Vector-verified 0.00 m</t>
        </is>
      </c>
      <c r="H10" s="5" t="n">
        <v>16.28</v>
      </c>
      <c r="I10" s="4" t="inlineStr">
        <is>
          <t>H</t>
        </is>
      </c>
      <c r="J10" s="4" t="inlineStr"/>
    </row>
    <row r="11">
      <c r="A11" s="4" t="inlineStr">
        <is>
          <t>DWV PVC 225 SN8 storm connection stubs (10 stubs 0.49-0.98 m)</t>
        </is>
      </c>
      <c r="B11" s="4" t="inlineStr">
        <is>
          <t>m</t>
        </is>
      </c>
      <c r="C11" s="5" t="n">
        <v>6.91</v>
      </c>
      <c r="D11" s="5" t="n">
        <v>6.91</v>
      </c>
      <c r="E11" s="4" t="inlineStr">
        <is>
          <t>H003 vector re-measure</t>
        </is>
      </c>
      <c r="F11" s="5" t="n">
        <v>0</v>
      </c>
      <c r="G11" s="4" t="inlineStr">
        <is>
          <t>Vector-verified 0.00 m</t>
        </is>
      </c>
      <c r="H11" s="5" t="n">
        <v>6.91</v>
      </c>
      <c r="I11" s="4" t="inlineStr">
        <is>
          <t>H</t>
        </is>
      </c>
      <c r="J11" s="4" t="inlineStr">
        <is>
          <t>Scope note: the long PVC-U 225 storm RUNS are TCS (civil line 81, interface L2) - stubs only here; pairs with 10 x 225 bends.</t>
        </is>
      </c>
    </row>
    <row r="12">
      <c r="A12" s="2" t="inlineStr">
        <is>
          <t>WATER - CONNECTION / TAPPING CLUSTER (counts)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4" t="inlineStr">
        <is>
          <t>200 SS gasket kit EPDM DI-DI</t>
        </is>
      </c>
      <c r="B13" s="4" t="inlineStr">
        <is>
          <t>EA</t>
        </is>
      </c>
      <c r="C13" s="5" t="n">
        <v>6</v>
      </c>
      <c r="D13" s="5" t="n">
        <v>6</v>
      </c>
      <c r="E13" s="4" t="inlineStr">
        <is>
          <t>H003 Groundplan auto-legend; key symbols visually confirmed in place</t>
        </is>
      </c>
      <c r="F13" s="5" t="n">
        <v>0</v>
      </c>
      <c r="G13" s="4" t="inlineStr">
        <is>
          <t>Auto-legend authoritative (Rule 1)</t>
        </is>
      </c>
      <c r="H13" s="5" t="n">
        <v>6</v>
      </c>
      <c r="I13" s="4" t="inlineStr">
        <is>
          <t>H</t>
        </is>
      </c>
      <c r="J13" s="4" t="inlineStr"/>
    </row>
    <row r="14">
      <c r="A14" s="4" t="inlineStr">
        <is>
          <t>200mm copper tee</t>
        </is>
      </c>
      <c r="B14" s="4" t="inlineStr">
        <is>
          <t>EA</t>
        </is>
      </c>
      <c r="C14" s="5" t="n">
        <v>2</v>
      </c>
      <c r="D14" s="5" t="n">
        <v>2</v>
      </c>
      <c r="E14" s="4" t="inlineStr">
        <is>
          <t>H003 Groundplan auto-legend; key symbols visually confirmed in place</t>
        </is>
      </c>
      <c r="F14" s="5" t="n">
        <v>0</v>
      </c>
      <c r="G14" s="4" t="inlineStr">
        <is>
          <t>Auto-legend authoritative (Rule 1)</t>
        </is>
      </c>
      <c r="H14" s="5" t="n">
        <v>2</v>
      </c>
      <c r="I14" s="4" t="inlineStr">
        <is>
          <t>H</t>
        </is>
      </c>
      <c r="J14" s="4" t="inlineStr"/>
    </row>
    <row r="15">
      <c r="A15" s="4" t="inlineStr">
        <is>
          <t>200mm copper 90 deg bend</t>
        </is>
      </c>
      <c r="B15" s="4" t="inlineStr">
        <is>
          <t>EA</t>
        </is>
      </c>
      <c r="C15" s="5" t="n">
        <v>1</v>
      </c>
      <c r="D15" s="5" t="n">
        <v>1</v>
      </c>
      <c r="E15" s="4" t="inlineStr">
        <is>
          <t>H003 Groundplan auto-legend; key symbols visually confirmed in place</t>
        </is>
      </c>
      <c r="F15" s="5" t="n">
        <v>0</v>
      </c>
      <c r="G15" s="4" t="inlineStr">
        <is>
          <t>Auto-legend authoritative (Rule 1)</t>
        </is>
      </c>
      <c r="H15" s="5" t="n">
        <v>1</v>
      </c>
      <c r="I15" s="4" t="inlineStr">
        <is>
          <t>H</t>
        </is>
      </c>
      <c r="J15" s="4" t="inlineStr"/>
    </row>
    <row r="16">
      <c r="A16" s="4" t="inlineStr">
        <is>
          <t>200mm x 8in full-faced stub + SS backing ring AS4087</t>
        </is>
      </c>
      <c r="B16" s="4" t="inlineStr">
        <is>
          <t>EA</t>
        </is>
      </c>
      <c r="C16" s="5" t="n">
        <v>6</v>
      </c>
      <c r="D16" s="5" t="n">
        <v>6</v>
      </c>
      <c r="E16" s="4" t="inlineStr">
        <is>
          <t>H003 Groundplan auto-legend; key symbols visually confirmed in place</t>
        </is>
      </c>
      <c r="F16" s="5" t="n">
        <v>0</v>
      </c>
      <c r="G16" s="4" t="inlineStr">
        <is>
          <t>Auto-legend authoritative (Rule 1)</t>
        </is>
      </c>
      <c r="H16" s="5" t="n">
        <v>6</v>
      </c>
      <c r="I16" s="4" t="inlineStr">
        <is>
          <t>H</t>
        </is>
      </c>
      <c r="J16" s="4" t="inlineStr"/>
    </row>
    <row r="17">
      <c r="A17" s="4" t="inlineStr">
        <is>
          <t>200 FL DICL sluice valve</t>
        </is>
      </c>
      <c r="B17" s="4" t="inlineStr">
        <is>
          <t>EA</t>
        </is>
      </c>
      <c r="C17" s="5" t="n">
        <v>3</v>
      </c>
      <c r="D17" s="5" t="n">
        <v>3</v>
      </c>
      <c r="E17" s="4" t="inlineStr">
        <is>
          <t>H003 Groundplan auto-legend; key symbols visually confirmed in place</t>
        </is>
      </c>
      <c r="F17" s="5" t="n">
        <v>0</v>
      </c>
      <c r="G17" s="4" t="inlineStr">
        <is>
          <t>Auto-legend authoritative (Rule 1)</t>
        </is>
      </c>
      <c r="H17" s="5" t="n">
        <v>3</v>
      </c>
      <c r="I17" s="4" t="inlineStr">
        <is>
          <t>H</t>
        </is>
      </c>
      <c r="J17" s="4" t="inlineStr"/>
    </row>
    <row r="18">
      <c r="A18" s="4" t="inlineStr">
        <is>
          <t>200mm copper connection point (authority Ø300 MPVC main)</t>
        </is>
      </c>
      <c r="B18" s="4" t="inlineStr">
        <is>
          <t>EA</t>
        </is>
      </c>
      <c r="C18" s="5" t="n">
        <v>1</v>
      </c>
      <c r="D18" s="5" t="n">
        <v>1</v>
      </c>
      <c r="E18" s="4" t="inlineStr">
        <is>
          <t>H003 Groundplan auto-legend; key symbols visually confirmed in place</t>
        </is>
      </c>
      <c r="F18" s="5" t="n">
        <v>0</v>
      </c>
      <c r="G18" s="4" t="inlineStr">
        <is>
          <t>Auto-legend authoritative (Rule 1)</t>
        </is>
      </c>
      <c r="H18" s="5" t="n">
        <v>1</v>
      </c>
      <c r="I18" s="4" t="inlineStr">
        <is>
          <t>H</t>
        </is>
      </c>
      <c r="J18" s="4" t="inlineStr"/>
    </row>
    <row r="19">
      <c r="A19" s="4" t="inlineStr">
        <is>
          <t>100mm fire water meter assembly + 100mm CW assembly (single legend item)</t>
        </is>
      </c>
      <c r="B19" s="4" t="inlineStr">
        <is>
          <t>EA</t>
        </is>
      </c>
      <c r="C19" s="5" t="n">
        <v>1</v>
      </c>
      <c r="D19" s="5" t="n">
        <v>1</v>
      </c>
      <c r="E19" s="4" t="inlineStr">
        <is>
          <t>H003 Groundplan auto-legend; key symbols visually confirmed in place</t>
        </is>
      </c>
      <c r="F19" s="5" t="n">
        <v>0</v>
      </c>
      <c r="G19" s="4" t="inlineStr">
        <is>
          <t>Auto-legend authoritative (Rule 1)</t>
        </is>
      </c>
      <c r="H19" s="5" t="n">
        <v>1</v>
      </c>
      <c r="I19" s="4" t="inlineStr">
        <is>
          <t>H</t>
        </is>
      </c>
      <c r="J19" s="4" t="inlineStr">
        <is>
          <t>Price as TWO assemblies under one item (legend groups both as 1 EA).</t>
        </is>
      </c>
    </row>
    <row r="20">
      <c r="A20" s="2" t="inlineStr">
        <is>
          <t>WATER - CW SPINE TAKE-OFF SETS + PE FITTINGS (counts)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4" t="inlineStr">
        <is>
          <t>100 FL DICL sluice valve</t>
        </is>
      </c>
      <c r="B21" s="4" t="inlineStr">
        <is>
          <t>EA</t>
        </is>
      </c>
      <c r="C21" s="5" t="n">
        <v>6</v>
      </c>
      <c r="D21" s="5" t="n">
        <v>6</v>
      </c>
      <c r="E21" s="4" t="inlineStr">
        <is>
          <t>H003 Groundplan auto-legend; key symbols visually confirmed in place</t>
        </is>
      </c>
      <c r="F21" s="5" t="n">
        <v>0</v>
      </c>
      <c r="G21" s="4" t="inlineStr">
        <is>
          <t>Auto-legend authoritative (Rule 1)</t>
        </is>
      </c>
      <c r="H21" s="5" t="n">
        <v>6</v>
      </c>
      <c r="I21" s="4" t="inlineStr">
        <is>
          <t>H</t>
        </is>
      </c>
      <c r="J21" s="4" t="inlineStr"/>
    </row>
    <row r="22">
      <c r="A22" s="4" t="inlineStr">
        <is>
          <t>100mm check valve</t>
        </is>
      </c>
      <c r="B22" s="4" t="inlineStr">
        <is>
          <t>EA</t>
        </is>
      </c>
      <c r="C22" s="5" t="n">
        <v>6</v>
      </c>
      <c r="D22" s="5" t="n">
        <v>6</v>
      </c>
      <c r="E22" s="4" t="inlineStr">
        <is>
          <t>H003 Groundplan auto-legend; key symbols visually confirmed in place</t>
        </is>
      </c>
      <c r="F22" s="5" t="n">
        <v>0</v>
      </c>
      <c r="G22" s="4" t="inlineStr">
        <is>
          <t>Auto-legend authoritative (Rule 1)</t>
        </is>
      </c>
      <c r="H22" s="5" t="n">
        <v>6</v>
      </c>
      <c r="I22" s="4" t="inlineStr">
        <is>
          <t>H</t>
        </is>
      </c>
      <c r="J22" s="4" t="inlineStr"/>
    </row>
    <row r="23">
      <c r="A23" s="4" t="inlineStr">
        <is>
          <t>100 SS gasket kit EPDM DI-DI</t>
        </is>
      </c>
      <c r="B23" s="4" t="inlineStr">
        <is>
          <t>EA</t>
        </is>
      </c>
      <c r="C23" s="5" t="n">
        <v>6</v>
      </c>
      <c r="D23" s="5" t="n">
        <v>6</v>
      </c>
      <c r="E23" s="4" t="inlineStr">
        <is>
          <t>H003 Groundplan auto-legend; key symbols visually confirmed in place</t>
        </is>
      </c>
      <c r="F23" s="5" t="n">
        <v>0</v>
      </c>
      <c r="G23" s="4" t="inlineStr">
        <is>
          <t>Auto-legend authoritative (Rule 1)</t>
        </is>
      </c>
      <c r="H23" s="5" t="n">
        <v>6</v>
      </c>
      <c r="I23" s="4" t="inlineStr">
        <is>
          <t>H</t>
        </is>
      </c>
      <c r="J23" s="4" t="inlineStr"/>
    </row>
    <row r="24">
      <c r="A24" s="4" t="inlineStr">
        <is>
          <t>100mm PE*DI gasket kit complete</t>
        </is>
      </c>
      <c r="B24" s="4" t="inlineStr">
        <is>
          <t>EA</t>
        </is>
      </c>
      <c r="C24" s="5" t="n">
        <v>6</v>
      </c>
      <c r="D24" s="5" t="n">
        <v>6</v>
      </c>
      <c r="E24" s="4" t="inlineStr">
        <is>
          <t>H003 Groundplan auto-legend; key symbols visually confirmed in place</t>
        </is>
      </c>
      <c r="F24" s="5" t="n">
        <v>0</v>
      </c>
      <c r="G24" s="4" t="inlineStr">
        <is>
          <t>Auto-legend authoritative (Rule 1)</t>
        </is>
      </c>
      <c r="H24" s="5" t="n">
        <v>6</v>
      </c>
      <c r="I24" s="4" t="inlineStr">
        <is>
          <t>H</t>
        </is>
      </c>
      <c r="J24" s="4" t="inlineStr"/>
    </row>
    <row r="25">
      <c r="A25" s="4" t="inlineStr">
        <is>
          <t>125PE x 4in (100mm) MaxiStub w/ backing ring</t>
        </is>
      </c>
      <c r="B25" s="4" t="inlineStr">
        <is>
          <t>EA</t>
        </is>
      </c>
      <c r="C25" s="5" t="n">
        <v>12</v>
      </c>
      <c r="D25" s="5" t="n">
        <v>12</v>
      </c>
      <c r="E25" s="4" t="inlineStr">
        <is>
          <t>H003 Groundplan auto-legend; key symbols visually confirmed in place</t>
        </is>
      </c>
      <c r="F25" s="5" t="n">
        <v>0</v>
      </c>
      <c r="G25" s="4" t="inlineStr">
        <is>
          <t>Auto-legend authoritative (Rule 1)</t>
        </is>
      </c>
      <c r="H25" s="5" t="n">
        <v>12</v>
      </c>
      <c r="I25" s="4" t="inlineStr">
        <is>
          <t>H</t>
        </is>
      </c>
      <c r="J25" s="4">
        <f> 6 valve assemblies stub-flanged both sides.</f>
        <v/>
      </c>
    </row>
    <row r="26">
      <c r="A26" s="4" t="inlineStr">
        <is>
          <t>HDPE 125 x 90 deg elbow</t>
        </is>
      </c>
      <c r="B26" s="4" t="inlineStr">
        <is>
          <t>EA</t>
        </is>
      </c>
      <c r="C26" s="5" t="n">
        <v>5</v>
      </c>
      <c r="D26" s="5" t="n">
        <v>5</v>
      </c>
      <c r="E26" s="4" t="inlineStr">
        <is>
          <t>H003 Groundplan auto-legend; key symbols visually confirmed in place</t>
        </is>
      </c>
      <c r="F26" s="5" t="n">
        <v>0</v>
      </c>
      <c r="G26" s="4" t="inlineStr">
        <is>
          <t>Auto-legend authoritative (Rule 1)</t>
        </is>
      </c>
      <c r="H26" s="5" t="n">
        <v>5</v>
      </c>
      <c r="I26" s="4" t="inlineStr">
        <is>
          <t>H</t>
        </is>
      </c>
      <c r="J26" s="4" t="inlineStr"/>
    </row>
    <row r="27">
      <c r="A27" s="4" t="inlineStr">
        <is>
          <t>HDPE 125 x 45 deg elbow</t>
        </is>
      </c>
      <c r="B27" s="4" t="inlineStr">
        <is>
          <t>EA</t>
        </is>
      </c>
      <c r="C27" s="5" t="n">
        <v>2</v>
      </c>
      <c r="D27" s="5" t="n">
        <v>2</v>
      </c>
      <c r="E27" s="4" t="inlineStr">
        <is>
          <t>H003 Groundplan auto-legend; key symbols visually confirmed in place</t>
        </is>
      </c>
      <c r="F27" s="5" t="n">
        <v>0</v>
      </c>
      <c r="G27" s="4" t="inlineStr">
        <is>
          <t>Auto-legend authoritative (Rule 1)</t>
        </is>
      </c>
      <c r="H27" s="5" t="n">
        <v>2</v>
      </c>
      <c r="I27" s="4" t="inlineStr">
        <is>
          <t>H</t>
        </is>
      </c>
      <c r="J27" s="4" t="inlineStr"/>
    </row>
    <row r="28">
      <c r="A28" s="4" t="inlineStr">
        <is>
          <t>125mm EF tee</t>
        </is>
      </c>
      <c r="B28" s="4" t="inlineStr">
        <is>
          <t>EA</t>
        </is>
      </c>
      <c r="C28" s="5" t="n">
        <v>8</v>
      </c>
      <c r="D28" s="5" t="n">
        <v>8</v>
      </c>
      <c r="E28" s="4" t="inlineStr">
        <is>
          <t>H003 Groundplan auto-legend; key symbols visually confirmed in place</t>
        </is>
      </c>
      <c r="F28" s="5" t="n">
        <v>0</v>
      </c>
      <c r="G28" s="4" t="inlineStr">
        <is>
          <t>Auto-legend authoritative (Rule 1)</t>
        </is>
      </c>
      <c r="H28" s="5" t="n">
        <v>8</v>
      </c>
      <c r="I28" s="4" t="inlineStr">
        <is>
          <t>H</t>
        </is>
      </c>
      <c r="J28" s="4" t="inlineStr"/>
    </row>
    <row r="29">
      <c r="A29" s="4" t="inlineStr">
        <is>
          <t>125 x 32 reducing tee</t>
        </is>
      </c>
      <c r="B29" s="4" t="inlineStr">
        <is>
          <t>EA</t>
        </is>
      </c>
      <c r="C29" s="5" t="n">
        <v>3</v>
      </c>
      <c r="D29" s="5" t="n">
        <v>3</v>
      </c>
      <c r="E29" s="4" t="inlineStr">
        <is>
          <t>H003 Groundplan auto-legend; key symbols visually confirmed in place</t>
        </is>
      </c>
      <c r="F29" s="5" t="n">
        <v>0</v>
      </c>
      <c r="G29" s="4" t="inlineStr">
        <is>
          <t>Auto-legend authoritative (Rule 1)</t>
        </is>
      </c>
      <c r="H29" s="5" t="n">
        <v>3</v>
      </c>
      <c r="I29" s="4" t="inlineStr">
        <is>
          <t>H</t>
        </is>
      </c>
      <c r="J29" s="4" t="inlineStr"/>
    </row>
    <row r="30">
      <c r="A30" s="4" t="inlineStr">
        <is>
          <t>125 x 25 reducing tee</t>
        </is>
      </c>
      <c r="B30" s="4" t="inlineStr">
        <is>
          <t>EA</t>
        </is>
      </c>
      <c r="C30" s="5" t="n">
        <v>1</v>
      </c>
      <c r="D30" s="5" t="n">
        <v>1</v>
      </c>
      <c r="E30" s="4" t="inlineStr">
        <is>
          <t>H003 Groundplan auto-legend; key symbols visually confirmed in place</t>
        </is>
      </c>
      <c r="F30" s="5" t="n">
        <v>0</v>
      </c>
      <c r="G30" s="4" t="inlineStr">
        <is>
          <t>Auto-legend authoritative (Rule 1)</t>
        </is>
      </c>
      <c r="H30" s="5" t="n">
        <v>1</v>
      </c>
      <c r="I30" s="4" t="inlineStr">
        <is>
          <t>H</t>
        </is>
      </c>
      <c r="J30" s="4" t="inlineStr"/>
    </row>
    <row r="31">
      <c r="A31" s="4" t="inlineStr">
        <is>
          <t>25mm tee</t>
        </is>
      </c>
      <c r="B31" s="4" t="inlineStr">
        <is>
          <t>EA</t>
        </is>
      </c>
      <c r="C31" s="5" t="n">
        <v>2</v>
      </c>
      <c r="D31" s="5" t="n">
        <v>2</v>
      </c>
      <c r="E31" s="4" t="inlineStr">
        <is>
          <t>H003 Groundplan auto-legend; key symbols visually confirmed in place</t>
        </is>
      </c>
      <c r="F31" s="5" t="n">
        <v>0</v>
      </c>
      <c r="G31" s="4" t="inlineStr">
        <is>
          <t>Auto-legend authoritative (Rule 1)</t>
        </is>
      </c>
      <c r="H31" s="5" t="n">
        <v>2</v>
      </c>
      <c r="I31" s="4" t="inlineStr">
        <is>
          <t>H</t>
        </is>
      </c>
      <c r="J31" s="4" t="inlineStr"/>
    </row>
    <row r="32">
      <c r="A32" s="4" t="inlineStr">
        <is>
          <t>HDPE 32 x 90 deg elbow</t>
        </is>
      </c>
      <c r="B32" s="4" t="inlineStr">
        <is>
          <t>EA</t>
        </is>
      </c>
      <c r="C32" s="5" t="n">
        <v>2</v>
      </c>
      <c r="D32" s="5" t="n">
        <v>2</v>
      </c>
      <c r="E32" s="4" t="inlineStr">
        <is>
          <t>H003 Groundplan auto-legend; key symbols visually confirmed in place</t>
        </is>
      </c>
      <c r="F32" s="5" t="n">
        <v>0</v>
      </c>
      <c r="G32" s="4" t="inlineStr">
        <is>
          <t>Auto-legend authoritative (Rule 1)</t>
        </is>
      </c>
      <c r="H32" s="5" t="n">
        <v>2</v>
      </c>
      <c r="I32" s="4" t="inlineStr">
        <is>
          <t>H</t>
        </is>
      </c>
      <c r="J32" s="4" t="inlineStr"/>
    </row>
    <row r="33">
      <c r="A33" s="4" t="inlineStr">
        <is>
          <t>HDPE 25 x 90 deg elbow</t>
        </is>
      </c>
      <c r="B33" s="4" t="inlineStr">
        <is>
          <t>EA</t>
        </is>
      </c>
      <c r="C33" s="5" t="n">
        <v>1</v>
      </c>
      <c r="D33" s="5" t="n">
        <v>1</v>
      </c>
      <c r="E33" s="4" t="inlineStr">
        <is>
          <t>H003 Groundplan auto-legend; key symbols visually confirmed in place</t>
        </is>
      </c>
      <c r="F33" s="5" t="n">
        <v>0</v>
      </c>
      <c r="G33" s="4" t="inlineStr">
        <is>
          <t>Auto-legend authoritative (Rule 1)</t>
        </is>
      </c>
      <c r="H33" s="5" t="n">
        <v>1</v>
      </c>
      <c r="I33" s="4" t="inlineStr">
        <is>
          <t>H</t>
        </is>
      </c>
      <c r="J33" s="4" t="inlineStr"/>
    </row>
    <row r="34">
      <c r="A34" s="4" t="inlineStr">
        <is>
          <t>125 x 32 reducing coupler</t>
        </is>
      </c>
      <c r="B34" s="4" t="inlineStr">
        <is>
          <t>EA</t>
        </is>
      </c>
      <c r="C34" s="5" t="n">
        <v>1</v>
      </c>
      <c r="D34" s="5" t="n">
        <v>1</v>
      </c>
      <c r="E34" s="4" t="inlineStr">
        <is>
          <t>H003 Groundplan auto-legend; key symbols visually confirmed in place</t>
        </is>
      </c>
      <c r="F34" s="5" t="n">
        <v>0</v>
      </c>
      <c r="G34" s="4" t="inlineStr">
        <is>
          <t>Auto-legend authoritative (Rule 1)</t>
        </is>
      </c>
      <c r="H34" s="5" t="n">
        <v>1</v>
      </c>
      <c r="I34" s="4" t="inlineStr">
        <is>
          <t>H</t>
        </is>
      </c>
      <c r="J34" s="4" t="inlineStr"/>
    </row>
    <row r="35">
      <c r="A35" s="4" t="inlineStr">
        <is>
          <t>32 x 25 reducing coupler</t>
        </is>
      </c>
      <c r="B35" s="4" t="inlineStr">
        <is>
          <t>EA</t>
        </is>
      </c>
      <c r="C35" s="5" t="n">
        <v>2</v>
      </c>
      <c r="D35" s="5" t="n">
        <v>2</v>
      </c>
      <c r="E35" s="4" t="inlineStr">
        <is>
          <t>H003 Groundplan auto-legend; key symbols visually confirmed in place</t>
        </is>
      </c>
      <c r="F35" s="5" t="n">
        <v>0</v>
      </c>
      <c r="G35" s="4" t="inlineStr">
        <is>
          <t>Auto-legend authoritative (Rule 1)</t>
        </is>
      </c>
      <c r="H35" s="5" t="n">
        <v>2</v>
      </c>
      <c r="I35" s="4" t="inlineStr">
        <is>
          <t>H</t>
        </is>
      </c>
      <c r="J35" s="4" t="inlineStr"/>
    </row>
    <row r="36">
      <c r="A36" s="4" t="inlineStr">
        <is>
          <t>Hose tap (vandal-proof garden tap)</t>
        </is>
      </c>
      <c r="B36" s="4" t="inlineStr">
        <is>
          <t>EA</t>
        </is>
      </c>
      <c r="C36" s="5" t="n">
        <v>1</v>
      </c>
      <c r="D36" s="5" t="n">
        <v>1</v>
      </c>
      <c r="E36" s="4" t="inlineStr">
        <is>
          <t>H003 Groundplan auto-legend; key symbols visually confirmed in place</t>
        </is>
      </c>
      <c r="F36" s="5" t="n">
        <v>0</v>
      </c>
      <c r="G36" s="4" t="inlineStr">
        <is>
          <t>Auto-legend authoritative (Rule 1)</t>
        </is>
      </c>
      <c r="H36" s="5" t="n">
        <v>1</v>
      </c>
      <c r="I36" s="4" t="inlineStr">
        <is>
          <t>H</t>
        </is>
      </c>
      <c r="J36" s="4" t="inlineStr"/>
    </row>
    <row r="37">
      <c r="A37" s="4" t="inlineStr">
        <is>
          <t>25mm isolation valve</t>
        </is>
      </c>
      <c r="B37" s="4" t="inlineStr">
        <is>
          <t>EA</t>
        </is>
      </c>
      <c r="C37" s="5" t="n">
        <v>1</v>
      </c>
      <c r="D37" s="5" t="n">
        <v>1</v>
      </c>
      <c r="E37" s="4" t="inlineStr">
        <is>
          <t>H003 Groundplan auto-legend; key symbols visually confirmed in place</t>
        </is>
      </c>
      <c r="F37" s="5" t="n">
        <v>0</v>
      </c>
      <c r="G37" s="4" t="inlineStr">
        <is>
          <t>Auto-legend authoritative (Rule 1)</t>
        </is>
      </c>
      <c r="H37" s="5" t="n">
        <v>1</v>
      </c>
      <c r="I37" s="4" t="inlineStr">
        <is>
          <t>H</t>
        </is>
      </c>
      <c r="J37" s="4" t="inlineStr"/>
    </row>
    <row r="38">
      <c r="A38" s="4" t="inlineStr">
        <is>
          <t>25mm water cap</t>
        </is>
      </c>
      <c r="B38" s="4" t="inlineStr">
        <is>
          <t>EA</t>
        </is>
      </c>
      <c r="C38" s="5" t="n">
        <v>1</v>
      </c>
      <c r="D38" s="5" t="n">
        <v>1</v>
      </c>
      <c r="E38" s="4" t="inlineStr">
        <is>
          <t>H003 Groundplan auto-legend; key symbols visually confirmed in place</t>
        </is>
      </c>
      <c r="F38" s="5" t="n">
        <v>0</v>
      </c>
      <c r="G38" s="4" t="inlineStr">
        <is>
          <t>Auto-legend authoritative (Rule 1)</t>
        </is>
      </c>
      <c r="H38" s="5" t="n">
        <v>1</v>
      </c>
      <c r="I38" s="4" t="inlineStr">
        <is>
          <t>H</t>
        </is>
      </c>
      <c r="J38" s="4" t="inlineStr"/>
    </row>
    <row r="39">
      <c r="A39" s="4" t="inlineStr">
        <is>
          <t>32mm water cap</t>
        </is>
      </c>
      <c r="B39" s="4" t="inlineStr">
        <is>
          <t>EA</t>
        </is>
      </c>
      <c r="C39" s="5" t="n">
        <v>2</v>
      </c>
      <c r="D39" s="5" t="n">
        <v>2</v>
      </c>
      <c r="E39" s="4" t="inlineStr">
        <is>
          <t>H003 Groundplan auto-legend; key symbols visually confirmed in place</t>
        </is>
      </c>
      <c r="F39" s="5" t="n">
        <v>0</v>
      </c>
      <c r="G39" s="4" t="inlineStr">
        <is>
          <t>Auto-legend authoritative (Rule 1)</t>
        </is>
      </c>
      <c r="H39" s="5" t="n">
        <v>2</v>
      </c>
      <c r="I39" s="4" t="inlineStr">
        <is>
          <t>H</t>
        </is>
      </c>
      <c r="J39" s="4" t="inlineStr"/>
    </row>
    <row r="40">
      <c r="A40" s="2" t="inlineStr">
        <is>
          <t>FIRE MAIN (counts)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4" t="inlineStr">
        <is>
          <t>125 EF 45 deg bend</t>
        </is>
      </c>
      <c r="B41" s="4" t="inlineStr">
        <is>
          <t>EA</t>
        </is>
      </c>
      <c r="C41" s="5" t="n">
        <v>3</v>
      </c>
      <c r="D41" s="5" t="n">
        <v>3</v>
      </c>
      <c r="E41" s="4" t="inlineStr">
        <is>
          <t>H003 Groundplan auto-legend; key symbols visually confirmed in place</t>
        </is>
      </c>
      <c r="F41" s="5" t="n">
        <v>0</v>
      </c>
      <c r="G41" s="4" t="inlineStr">
        <is>
          <t>Auto-legend authoritative (Rule 1)</t>
        </is>
      </c>
      <c r="H41" s="5" t="n">
        <v>3</v>
      </c>
      <c r="I41" s="4" t="inlineStr">
        <is>
          <t>H</t>
        </is>
      </c>
      <c r="J41" s="4" t="inlineStr"/>
    </row>
    <row r="42">
      <c r="A42" s="4" t="inlineStr">
        <is>
          <t>125 EF 90 deg bend</t>
        </is>
      </c>
      <c r="B42" s="4" t="inlineStr">
        <is>
          <t>EA</t>
        </is>
      </c>
      <c r="C42" s="5" t="n">
        <v>6</v>
      </c>
      <c r="D42" s="5" t="n">
        <v>6</v>
      </c>
      <c r="E42" s="4" t="inlineStr">
        <is>
          <t>H003 Groundplan auto-legend; key symbols visually confirmed in place</t>
        </is>
      </c>
      <c r="F42" s="5" t="n">
        <v>0</v>
      </c>
      <c r="G42" s="4" t="inlineStr">
        <is>
          <t>Auto-legend authoritative (Rule 1)</t>
        </is>
      </c>
      <c r="H42" s="5" t="n">
        <v>6</v>
      </c>
      <c r="I42" s="4" t="inlineStr">
        <is>
          <t>H</t>
        </is>
      </c>
      <c r="J42" s="4" t="inlineStr"/>
    </row>
    <row r="43">
      <c r="A43" s="4" t="inlineStr">
        <is>
          <t>125 EF coupler</t>
        </is>
      </c>
      <c r="B43" s="4" t="inlineStr">
        <is>
          <t>EA</t>
        </is>
      </c>
      <c r="C43" s="5" t="n">
        <v>1</v>
      </c>
      <c r="D43" s="5" t="n">
        <v>1</v>
      </c>
      <c r="E43" s="4" t="inlineStr">
        <is>
          <t>H003 Groundplan auto-legend; key symbols visually confirmed in place</t>
        </is>
      </c>
      <c r="F43" s="5" t="n">
        <v>0</v>
      </c>
      <c r="G43" s="4" t="inlineStr">
        <is>
          <t>Auto-legend authoritative (Rule 1)</t>
        </is>
      </c>
      <c r="H43" s="5" t="n">
        <v>1</v>
      </c>
      <c r="I43" s="4" t="inlineStr">
        <is>
          <t>H</t>
        </is>
      </c>
      <c r="J43" s="4" t="inlineStr"/>
    </row>
    <row r="44">
      <c r="A44" s="4" t="inlineStr">
        <is>
          <t>125 EF tee</t>
        </is>
      </c>
      <c r="B44" s="4" t="inlineStr">
        <is>
          <t>EA</t>
        </is>
      </c>
      <c r="C44" s="5" t="n">
        <v>1</v>
      </c>
      <c r="D44" s="5" t="n">
        <v>1</v>
      </c>
      <c r="E44" s="4" t="inlineStr">
        <is>
          <t>H003 Groundplan auto-legend; key symbols visually confirmed in place</t>
        </is>
      </c>
      <c r="F44" s="5" t="n">
        <v>0</v>
      </c>
      <c r="G44" s="4" t="inlineStr">
        <is>
          <t>Auto-legend authoritative (Rule 1)</t>
        </is>
      </c>
      <c r="H44" s="5" t="n">
        <v>1</v>
      </c>
      <c r="I44" s="4" t="inlineStr">
        <is>
          <t>H</t>
        </is>
      </c>
      <c r="J44" s="4" t="inlineStr"/>
    </row>
    <row r="45">
      <c r="A45" s="4" t="inlineStr">
        <is>
          <t>125 PE x 100 galv adapter (Plasson)</t>
        </is>
      </c>
      <c r="B45" s="4" t="inlineStr">
        <is>
          <t>EA</t>
        </is>
      </c>
      <c r="C45" s="5" t="n">
        <v>1</v>
      </c>
      <c r="D45" s="5" t="n">
        <v>1</v>
      </c>
      <c r="E45" s="4" t="inlineStr">
        <is>
          <t>H003 Groundplan auto-legend; key symbols visually confirmed in place</t>
        </is>
      </c>
      <c r="F45" s="5" t="n">
        <v>0</v>
      </c>
      <c r="G45" s="4" t="inlineStr">
        <is>
          <t>Auto-legend authoritative (Rule 1)</t>
        </is>
      </c>
      <c r="H45" s="5" t="n">
        <v>1</v>
      </c>
      <c r="I45" s="4" t="inlineStr">
        <is>
          <t>H</t>
        </is>
      </c>
      <c r="J45" s="4" t="inlineStr"/>
    </row>
    <row r="46">
      <c r="A46" s="4" t="inlineStr">
        <is>
          <t>150mm H-pattern booster assembly complete</t>
        </is>
      </c>
      <c r="B46" s="4" t="inlineStr">
        <is>
          <t>EA</t>
        </is>
      </c>
      <c r="C46" s="5" t="n">
        <v>1</v>
      </c>
      <c r="D46" s="5" t="n">
        <v>1</v>
      </c>
      <c r="E46" s="4" t="inlineStr">
        <is>
          <t>H003 Groundplan auto-legend; key symbols visually confirmed in place</t>
        </is>
      </c>
      <c r="F46" s="5" t="n">
        <v>0</v>
      </c>
      <c r="G46" s="4" t="inlineStr">
        <is>
          <t>Auto-legend authoritative (Rule 1)</t>
        </is>
      </c>
      <c r="H46" s="5" t="n">
        <v>1</v>
      </c>
      <c r="I46" s="4" t="inlineStr">
        <is>
          <t>H</t>
        </is>
      </c>
      <c r="J46" s="4" t="inlineStr"/>
    </row>
    <row r="47">
      <c r="A47" s="4" t="inlineStr">
        <is>
          <t>Booster cabinet complete w/ doors + stickers</t>
        </is>
      </c>
      <c r="B47" s="4" t="inlineStr">
        <is>
          <t>EA</t>
        </is>
      </c>
      <c r="C47" s="5" t="n">
        <v>1</v>
      </c>
      <c r="D47" s="5" t="n">
        <v>1</v>
      </c>
      <c r="E47" s="4" t="inlineStr">
        <is>
          <t>H003 Groundplan auto-legend; key symbols visually confirmed in place</t>
        </is>
      </c>
      <c r="F47" s="5" t="n">
        <v>0</v>
      </c>
      <c r="G47" s="4" t="inlineStr">
        <is>
          <t>Auto-legend authoritative (Rule 1)</t>
        </is>
      </c>
      <c r="H47" s="5" t="n">
        <v>1</v>
      </c>
      <c r="I47" s="4" t="inlineStr">
        <is>
          <t>H</t>
        </is>
      </c>
      <c r="J47" s="4" t="inlineStr"/>
    </row>
    <row r="48">
      <c r="A48" s="4" t="inlineStr">
        <is>
          <t>100mm dual pillar hydrant complete, flanged base 1500 high</t>
        </is>
      </c>
      <c r="B48" s="4" t="inlineStr">
        <is>
          <t>EA</t>
        </is>
      </c>
      <c r="C48" s="5" t="n">
        <v>1</v>
      </c>
      <c r="D48" s="5" t="n">
        <v>1</v>
      </c>
      <c r="E48" s="4" t="inlineStr">
        <is>
          <t>H003 Groundplan auto-legend; key symbols visually confirmed in place</t>
        </is>
      </c>
      <c r="F48" s="5" t="n">
        <v>0</v>
      </c>
      <c r="G48" s="4" t="inlineStr">
        <is>
          <t>Auto-legend authoritative (Rule 1)</t>
        </is>
      </c>
      <c r="H48" s="5" t="n">
        <v>1</v>
      </c>
      <c r="I48" s="4" t="inlineStr">
        <is>
          <t>H</t>
        </is>
      </c>
      <c r="J48" s="4" t="inlineStr">
        <is>
          <t>Only hydrant on the whole site take-off - coverage RFI (Opens #13).</t>
        </is>
      </c>
    </row>
    <row r="49">
      <c r="A49" s="2" t="inlineStr">
        <is>
          <t>SEWER + STORM (counts)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4" t="inlineStr">
        <is>
          <t>Material for 150mm sewer property connection</t>
        </is>
      </c>
      <c r="B50" s="4" t="inlineStr">
        <is>
          <t>EA</t>
        </is>
      </c>
      <c r="C50" s="5" t="n">
        <v>1</v>
      </c>
      <c r="D50" s="5" t="n">
        <v>1</v>
      </c>
      <c r="E50" s="4" t="inlineStr">
        <is>
          <t>H003 Groundplan auto-legend; key symbols visually confirmed in place</t>
        </is>
      </c>
      <c r="F50" s="5" t="n">
        <v>0</v>
      </c>
      <c r="G50" s="4" t="inlineStr">
        <is>
          <t>Auto-legend authoritative (Rule 1)</t>
        </is>
      </c>
      <c r="H50" s="5" t="n">
        <v>1</v>
      </c>
      <c r="I50" s="4" t="inlineStr">
        <is>
          <t>H</t>
        </is>
      </c>
      <c r="J50" s="4" t="inlineStr">
        <is>
          <t>At existing MH, IL 35.433.</t>
        </is>
      </c>
    </row>
    <row r="51">
      <c r="A51" s="4" t="inlineStr">
        <is>
          <t>Sewer maintenance shaft (SMS-1, SMS-2)</t>
        </is>
      </c>
      <c r="B51" s="4" t="inlineStr">
        <is>
          <t>EA</t>
        </is>
      </c>
      <c r="C51" s="5" t="n">
        <v>2</v>
      </c>
      <c r="D51" s="5" t="n">
        <v>2</v>
      </c>
      <c r="E51" s="4" t="inlineStr">
        <is>
          <t>H003 Groundplan auto-legend; key symbols visually confirmed in place</t>
        </is>
      </c>
      <c r="F51" s="5" t="n">
        <v>0</v>
      </c>
      <c r="G51" s="4" t="inlineStr">
        <is>
          <t>Auto-legend authoritative (Rule 1)</t>
        </is>
      </c>
      <c r="H51" s="5" t="n">
        <v>2</v>
      </c>
      <c r="I51" s="4" t="inlineStr">
        <is>
          <t>H</t>
        </is>
      </c>
      <c r="J51" s="4" t="inlineStr"/>
    </row>
    <row r="52">
      <c r="A52" s="4" t="inlineStr">
        <is>
          <t>DWV bend 100 x 90 deg</t>
        </is>
      </c>
      <c r="B52" s="4" t="inlineStr">
        <is>
          <t>EA</t>
        </is>
      </c>
      <c r="C52" s="5" t="n">
        <v>3</v>
      </c>
      <c r="D52" s="5" t="n">
        <v>3</v>
      </c>
      <c r="E52" s="4" t="inlineStr">
        <is>
          <t>H003 Groundplan auto-legend; key symbols visually confirmed in place</t>
        </is>
      </c>
      <c r="F52" s="5" t="n">
        <v>0</v>
      </c>
      <c r="G52" s="4" t="inlineStr">
        <is>
          <t>Auto-legend authoritative (Rule 1)</t>
        </is>
      </c>
      <c r="H52" s="5" t="n">
        <v>3</v>
      </c>
      <c r="I52" s="4" t="inlineStr">
        <is>
          <t>H</t>
        </is>
      </c>
      <c r="J52" s="4" t="inlineStr"/>
    </row>
    <row r="53">
      <c r="A53" s="4" t="inlineStr">
        <is>
          <t>DWV bend 100 x 45 deg</t>
        </is>
      </c>
      <c r="B53" s="4" t="inlineStr">
        <is>
          <t>EA</t>
        </is>
      </c>
      <c r="C53" s="5" t="n">
        <v>6</v>
      </c>
      <c r="D53" s="5" t="n">
        <v>6</v>
      </c>
      <c r="E53" s="4" t="inlineStr">
        <is>
          <t>H003 Groundplan auto-legend; key symbols visually confirmed in place</t>
        </is>
      </c>
      <c r="F53" s="5" t="n">
        <v>0</v>
      </c>
      <c r="G53" s="4" t="inlineStr">
        <is>
          <t>Auto-legend authoritative (Rule 1)</t>
        </is>
      </c>
      <c r="H53" s="5" t="n">
        <v>6</v>
      </c>
      <c r="I53" s="4" t="inlineStr">
        <is>
          <t>H</t>
        </is>
      </c>
      <c r="J53" s="4" t="inlineStr"/>
    </row>
    <row r="54">
      <c r="A54" s="4" t="inlineStr">
        <is>
          <t>DWV bend 225 x 90 deg F&amp;F plain (storm stubs)</t>
        </is>
      </c>
      <c r="B54" s="4" t="inlineStr">
        <is>
          <t>EA</t>
        </is>
      </c>
      <c r="C54" s="5" t="n">
        <v>10</v>
      </c>
      <c r="D54" s="5" t="n">
        <v>10</v>
      </c>
      <c r="E54" s="4" t="inlineStr">
        <is>
          <t>H003 Groundplan auto-legend; key symbols visually confirmed in place</t>
        </is>
      </c>
      <c r="F54" s="5" t="n">
        <v>0</v>
      </c>
      <c r="G54" s="4" t="inlineStr">
        <is>
          <t>Auto-legend authoritative (Rule 1)</t>
        </is>
      </c>
      <c r="H54" s="5" t="n">
        <v>10</v>
      </c>
      <c r="I54" s="4" t="inlineStr">
        <is>
          <t>H</t>
        </is>
      </c>
      <c r="J54" s="4" t="inlineStr"/>
    </row>
  </sheetData>
  <mergeCells count="5">
    <mergeCell ref="A40:J40"/>
    <mergeCell ref="A12:J12"/>
    <mergeCell ref="A20:J20"/>
    <mergeCell ref="A2:J2"/>
    <mergeCell ref="A49:J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13" customWidth="1" min="3" max="3"/>
    <col width="15" customWidth="1" min="4" max="4"/>
    <col width="38" customWidth="1" min="5" max="5"/>
    <col width="14" customWidth="1" min="6" max="6"/>
    <col width="36" customWidth="1" min="7" max="7"/>
    <col width="13" customWidth="1" min="8" max="8"/>
    <col width="11" customWidth="1" min="9" max="9"/>
    <col width="62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Denis qty</t>
        </is>
      </c>
      <c r="D1" s="1" t="inlineStr">
        <is>
          <t>Independent qty</t>
        </is>
      </c>
      <c r="E1" s="1" t="inlineStr">
        <is>
          <t>Independent source (doc + sheet ref)</t>
        </is>
      </c>
      <c r="F1" s="1" t="inlineStr">
        <is>
          <t>Variance (Adopted - Denis)</t>
        </is>
      </c>
      <c r="G1" s="1" t="inlineStr">
        <is>
          <t>Variance reason</t>
        </is>
      </c>
      <c r="H1" s="1" t="inlineStr">
        <is>
          <t>ADOPTED qty</t>
        </is>
      </c>
      <c r="I1" s="1" t="inlineStr">
        <is>
          <t>Confidence (H/M/L)</t>
        </is>
      </c>
      <c r="J1" s="1" t="inlineStr">
        <is>
          <t>Notes</t>
        </is>
      </c>
    </row>
    <row r="2">
      <c r="A2" s="2" t="inlineStr">
        <is>
          <t>SANITARY DRAINAGE (sheets NBC-100/101/102, Sewer layer)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DWV PVC 100 SN6 sewer</t>
        </is>
      </c>
      <c r="B3" s="4" t="inlineStr">
        <is>
          <t>m</t>
        </is>
      </c>
      <c r="C3" s="5" t="n">
        <v>230.07</v>
      </c>
      <c r="D3" s="4" t="inlineStr">
        <is>
          <t>n/a</t>
        </is>
      </c>
      <c r="E3" s="4" t="inlineStr">
        <is>
          <t>NBC legends D/E/F/H/I/J (25015-H-NBC set T1) - no printed totals on drawings</t>
        </is>
      </c>
      <c r="F3" s="5" t="n">
        <v>0</v>
      </c>
      <c r="G3" s="4" t="inlineStr">
        <is>
          <t>Legend total accepted (no independent measure)</t>
        </is>
      </c>
      <c r="H3" s="5" t="n">
        <v>230.07</v>
      </c>
      <c r="I3" s="4" t="inlineStr">
        <is>
          <t>M</t>
        </is>
      </c>
      <c r="J3" s="4" t="inlineStr">
        <is>
          <t>Ø100 @1:60 per SD2; 187.38+23.63+19.06.</t>
        </is>
      </c>
    </row>
    <row r="4">
      <c r="A4" s="4" t="inlineStr">
        <is>
          <t>DWV PVC 50 SN8</t>
        </is>
      </c>
      <c r="B4" s="4" t="inlineStr">
        <is>
          <t>m</t>
        </is>
      </c>
      <c r="C4" s="5" t="n">
        <v>12.68</v>
      </c>
      <c r="D4" s="4" t="inlineStr">
        <is>
          <t>n/a</t>
        </is>
      </c>
      <c r="E4" s="4" t="inlineStr">
        <is>
          <t>NBC legends D/E/F/H/I/J (25015-H-NBC set T1) - no printed totals on drawings</t>
        </is>
      </c>
      <c r="F4" s="5" t="n">
        <v>0</v>
      </c>
      <c r="G4" s="4" t="inlineStr">
        <is>
          <t>Legend total accepted (no independent measure)</t>
        </is>
      </c>
      <c r="H4" s="5" t="n">
        <v>12.68</v>
      </c>
      <c r="I4" s="4" t="inlineStr">
        <is>
          <t>M</t>
        </is>
      </c>
      <c r="J4" s="4" t="inlineStr"/>
    </row>
    <row r="5">
      <c r="A5" s="4" t="inlineStr">
        <is>
          <t>DWV PVC 40 SN8</t>
        </is>
      </c>
      <c r="B5" s="4" t="inlineStr">
        <is>
          <t>m</t>
        </is>
      </c>
      <c r="C5" s="5" t="n">
        <v>25.61</v>
      </c>
      <c r="D5" s="4" t="inlineStr">
        <is>
          <t>n/a</t>
        </is>
      </c>
      <c r="E5" s="4" t="inlineStr">
        <is>
          <t>NBC legends D/E/F/H/I/J (25015-H-NBC set T1) - no printed totals on drawings</t>
        </is>
      </c>
      <c r="F5" s="5" t="n">
        <v>0</v>
      </c>
      <c r="G5" s="4" t="inlineStr">
        <is>
          <t>Legend total accepted (no independent measure)</t>
        </is>
      </c>
      <c r="H5" s="5" t="n">
        <v>25.61</v>
      </c>
      <c r="I5" s="4" t="inlineStr">
        <is>
          <t>M</t>
        </is>
      </c>
      <c r="J5" s="4" t="inlineStr"/>
    </row>
    <row r="6">
      <c r="A6" s="4" t="inlineStr">
        <is>
          <t>DWV bend 100x90</t>
        </is>
      </c>
      <c r="B6" s="4" t="inlineStr">
        <is>
          <t>EA</t>
        </is>
      </c>
      <c r="C6" s="5" t="n">
        <v>75</v>
      </c>
      <c r="D6" s="4" t="inlineStr">
        <is>
          <t>n/a</t>
        </is>
      </c>
      <c r="E6" s="4" t="inlineStr">
        <is>
          <t>NBC legends D/E/F/H/I/J (25015-H-NBC set T1) - no printed totals on drawings</t>
        </is>
      </c>
      <c r="F6" s="5" t="n">
        <v>0</v>
      </c>
      <c r="G6" s="4" t="inlineStr">
        <is>
          <t>Legend total accepted (no independent measure)</t>
        </is>
      </c>
      <c r="H6" s="5" t="n">
        <v>75</v>
      </c>
      <c r="I6" s="4" t="inlineStr">
        <is>
          <t>M</t>
        </is>
      </c>
      <c r="J6" s="4" t="inlineStr"/>
    </row>
    <row r="7">
      <c r="A7" s="4" t="inlineStr">
        <is>
          <t>DWV bend 100x45</t>
        </is>
      </c>
      <c r="B7" s="4" t="inlineStr">
        <is>
          <t>EA</t>
        </is>
      </c>
      <c r="C7" s="5" t="n">
        <v>66</v>
      </c>
      <c r="D7" s="4" t="inlineStr">
        <is>
          <t>n/a</t>
        </is>
      </c>
      <c r="E7" s="4" t="inlineStr">
        <is>
          <t>NBC legends D/E/F/H/I/J (25015-H-NBC set T1) - no printed totals on drawings</t>
        </is>
      </c>
      <c r="F7" s="5" t="n">
        <v>0</v>
      </c>
      <c r="G7" s="4" t="inlineStr">
        <is>
          <t>Legend total accepted (no independent measure)</t>
        </is>
      </c>
      <c r="H7" s="5" t="n">
        <v>66</v>
      </c>
      <c r="I7" s="4" t="inlineStr">
        <is>
          <t>M</t>
        </is>
      </c>
      <c r="J7" s="4" t="inlineStr"/>
    </row>
    <row r="8">
      <c r="A8" s="4" t="inlineStr">
        <is>
          <t>DWV junction 100x45</t>
        </is>
      </c>
      <c r="B8" s="4" t="inlineStr">
        <is>
          <t>EA</t>
        </is>
      </c>
      <c r="C8" s="5" t="n">
        <v>80</v>
      </c>
      <c r="D8" s="4" t="inlineStr">
        <is>
          <t>n/a</t>
        </is>
      </c>
      <c r="E8" s="4" t="inlineStr">
        <is>
          <t>NBC legends D/E/F/H/I/J (25015-H-NBC set T1) - no printed totals on drawings</t>
        </is>
      </c>
      <c r="F8" s="5" t="n">
        <v>0</v>
      </c>
      <c r="G8" s="4" t="inlineStr">
        <is>
          <t>Legend total accepted (no independent measure)</t>
        </is>
      </c>
      <c r="H8" s="5" t="n">
        <v>80</v>
      </c>
      <c r="I8" s="4" t="inlineStr">
        <is>
          <t>M</t>
        </is>
      </c>
      <c r="J8" s="4" t="inlineStr"/>
    </row>
    <row r="9">
      <c r="A9" s="4" t="inlineStr">
        <is>
          <t>DWV bend 50x85</t>
        </is>
      </c>
      <c r="B9" s="4" t="inlineStr">
        <is>
          <t>EA</t>
        </is>
      </c>
      <c r="C9" s="5" t="n">
        <v>7</v>
      </c>
      <c r="D9" s="4" t="inlineStr">
        <is>
          <t>n/a</t>
        </is>
      </c>
      <c r="E9" s="4" t="inlineStr">
        <is>
          <t>NBC legends D/E/F/H/I/J (25015-H-NBC set T1) - no printed totals on drawings</t>
        </is>
      </c>
      <c r="F9" s="5" t="n">
        <v>0</v>
      </c>
      <c r="G9" s="4" t="inlineStr">
        <is>
          <t>Legend total accepted (no independent measure)</t>
        </is>
      </c>
      <c r="H9" s="5" t="n">
        <v>7</v>
      </c>
      <c r="I9" s="4" t="inlineStr">
        <is>
          <t>M</t>
        </is>
      </c>
      <c r="J9" s="4" t="inlineStr"/>
    </row>
    <row r="10">
      <c r="A10" s="4" t="inlineStr">
        <is>
          <t>DWV bend 50x45</t>
        </is>
      </c>
      <c r="B10" s="4" t="inlineStr">
        <is>
          <t>EA</t>
        </is>
      </c>
      <c r="C10" s="5" t="n">
        <v>8</v>
      </c>
      <c r="D10" s="4" t="inlineStr">
        <is>
          <t>n/a</t>
        </is>
      </c>
      <c r="E10" s="4" t="inlineStr">
        <is>
          <t>NBC legends D/E/F/H/I/J (25015-H-NBC set T1) - no printed totals on drawings</t>
        </is>
      </c>
      <c r="F10" s="5" t="n">
        <v>0</v>
      </c>
      <c r="G10" s="4" t="inlineStr">
        <is>
          <t>Legend total accepted (no independent measure)</t>
        </is>
      </c>
      <c r="H10" s="5" t="n">
        <v>8</v>
      </c>
      <c r="I10" s="4" t="inlineStr">
        <is>
          <t>M</t>
        </is>
      </c>
      <c r="J10" s="4" t="inlineStr"/>
    </row>
    <row r="11">
      <c r="A11" s="4" t="inlineStr">
        <is>
          <t>DWV junction 100x40</t>
        </is>
      </c>
      <c r="B11" s="4" t="inlineStr">
        <is>
          <t>EA</t>
        </is>
      </c>
      <c r="C11" s="5" t="n">
        <v>2</v>
      </c>
      <c r="D11" s="4" t="inlineStr">
        <is>
          <t>n/a</t>
        </is>
      </c>
      <c r="E11" s="4" t="inlineStr">
        <is>
          <t>NBC legends D/E/F/H/I/J (25015-H-NBC set T1) - no printed totals on drawings</t>
        </is>
      </c>
      <c r="F11" s="5" t="n">
        <v>0</v>
      </c>
      <c r="G11" s="4" t="inlineStr">
        <is>
          <t>Legend total accepted (no independent measure)</t>
        </is>
      </c>
      <c r="H11" s="5" t="n">
        <v>2</v>
      </c>
      <c r="I11" s="4" t="inlineStr">
        <is>
          <t>M</t>
        </is>
      </c>
      <c r="J11" s="4" t="inlineStr"/>
    </row>
    <row r="12">
      <c r="A12" s="4" t="inlineStr">
        <is>
          <t>DWV bend 40x90</t>
        </is>
      </c>
      <c r="B12" s="4" t="inlineStr">
        <is>
          <t>EA</t>
        </is>
      </c>
      <c r="C12" s="5" t="n">
        <v>18</v>
      </c>
      <c r="D12" s="4" t="inlineStr">
        <is>
          <t>n/a</t>
        </is>
      </c>
      <c r="E12" s="4" t="inlineStr">
        <is>
          <t>NBC legends D/E/F/H/I/J (25015-H-NBC set T1) - no printed totals on drawings</t>
        </is>
      </c>
      <c r="F12" s="5" t="n">
        <v>0</v>
      </c>
      <c r="G12" s="4" t="inlineStr">
        <is>
          <t>Legend total accepted (no independent measure)</t>
        </is>
      </c>
      <c r="H12" s="5" t="n">
        <v>18</v>
      </c>
      <c r="I12" s="4" t="inlineStr">
        <is>
          <t>M</t>
        </is>
      </c>
      <c r="J12" s="4" t="inlineStr"/>
    </row>
    <row r="13">
      <c r="A13" s="4" t="inlineStr">
        <is>
          <t>DWV bend 40x45</t>
        </is>
      </c>
      <c r="B13" s="4" t="inlineStr">
        <is>
          <t>EA</t>
        </is>
      </c>
      <c r="C13" s="5" t="n">
        <v>18</v>
      </c>
      <c r="D13" s="4" t="inlineStr">
        <is>
          <t>n/a</t>
        </is>
      </c>
      <c r="E13" s="4" t="inlineStr">
        <is>
          <t>NBC legends D/E/F/H/I/J (25015-H-NBC set T1) - no printed totals on drawings</t>
        </is>
      </c>
      <c r="F13" s="5" t="n">
        <v>0</v>
      </c>
      <c r="G13" s="4" t="inlineStr">
        <is>
          <t>Legend total accepted (no independent measure)</t>
        </is>
      </c>
      <c r="H13" s="5" t="n">
        <v>18</v>
      </c>
      <c r="I13" s="4" t="inlineStr">
        <is>
          <t>M</t>
        </is>
      </c>
      <c r="J13" s="4" t="inlineStr"/>
    </row>
    <row r="14">
      <c r="A14" s="4" t="inlineStr">
        <is>
          <t>DWV reducer 100x50</t>
        </is>
      </c>
      <c r="B14" s="4" t="inlineStr">
        <is>
          <t>EA</t>
        </is>
      </c>
      <c r="C14" s="5" t="n">
        <v>3</v>
      </c>
      <c r="D14" s="4" t="inlineStr">
        <is>
          <t>n/a</t>
        </is>
      </c>
      <c r="E14" s="4" t="inlineStr">
        <is>
          <t>NBC legends D/E/F/H/I/J (25015-H-NBC set T1) - no printed totals on drawings</t>
        </is>
      </c>
      <c r="F14" s="5" t="n">
        <v>0</v>
      </c>
      <c r="G14" s="4" t="inlineStr">
        <is>
          <t>Legend total accepted (no independent measure)</t>
        </is>
      </c>
      <c r="H14" s="5" t="n">
        <v>3</v>
      </c>
      <c r="I14" s="4" t="inlineStr">
        <is>
          <t>M</t>
        </is>
      </c>
      <c r="J14" s="4" t="inlineStr"/>
    </row>
    <row r="15">
      <c r="A15" s="4" t="inlineStr">
        <is>
          <t>DWV reducer 100x40</t>
        </is>
      </c>
      <c r="B15" s="4" t="inlineStr">
        <is>
          <t>EA</t>
        </is>
      </c>
      <c r="C15" s="5" t="n">
        <v>1</v>
      </c>
      <c r="D15" s="4" t="inlineStr">
        <is>
          <t>n/a</t>
        </is>
      </c>
      <c r="E15" s="4" t="inlineStr">
        <is>
          <t>NBC legends D/E/F/H/I/J (25015-H-NBC set T1) - no printed totals on drawings</t>
        </is>
      </c>
      <c r="F15" s="5" t="n">
        <v>0</v>
      </c>
      <c r="G15" s="4" t="inlineStr">
        <is>
          <t>Legend total accepted (no independent measure)</t>
        </is>
      </c>
      <c r="H15" s="5" t="n">
        <v>1</v>
      </c>
      <c r="I15" s="4" t="inlineStr">
        <is>
          <t>M</t>
        </is>
      </c>
      <c r="J15" s="4" t="inlineStr"/>
    </row>
    <row r="16">
      <c r="A16" s="4" t="inlineStr">
        <is>
          <t>Inspection opening to surface 100 (sewer)</t>
        </is>
      </c>
      <c r="B16" s="4" t="inlineStr">
        <is>
          <t>EA</t>
        </is>
      </c>
      <c r="C16" s="5" t="n">
        <v>10</v>
      </c>
      <c r="D16" s="4" t="inlineStr">
        <is>
          <t>~11</t>
        </is>
      </c>
      <c r="E16" s="4" t="inlineStr">
        <is>
          <t>vol06_11 drawn label counts</t>
        </is>
      </c>
      <c r="F16" s="5" t="n">
        <v>0</v>
      </c>
      <c r="G16" s="4" t="inlineStr">
        <is>
          <t>Legend total accepted (no independent measure)</t>
        </is>
      </c>
      <c r="H16" s="5" t="n">
        <v>10</v>
      </c>
      <c r="I16" s="4" t="inlineStr">
        <is>
          <t>M</t>
        </is>
      </c>
      <c r="J16" s="4" t="inlineStr">
        <is>
          <t>Drawn IOS labels 9+2 (+ several on 102 n/v) - consistent.</t>
        </is>
      </c>
    </row>
    <row r="17">
      <c r="A17" s="4" t="inlineStr">
        <is>
          <t>100mm ORG</t>
        </is>
      </c>
      <c r="B17" s="4" t="inlineStr">
        <is>
          <t>EA</t>
        </is>
      </c>
      <c r="C17" s="5" t="n">
        <v>1</v>
      </c>
      <c r="D17" s="5" t="n">
        <v>1</v>
      </c>
      <c r="E17" s="4" t="inlineStr">
        <is>
          <t>H-NBC-100 drawn (1 ORG)</t>
        </is>
      </c>
      <c r="F17" s="5" t="n">
        <v>0</v>
      </c>
      <c r="G17" s="4" t="inlineStr">
        <is>
          <t>Match</t>
        </is>
      </c>
      <c r="H17" s="5" t="n">
        <v>1</v>
      </c>
      <c r="I17" s="4" t="inlineStr">
        <is>
          <t>H</t>
        </is>
      </c>
      <c r="J17" s="4" t="inlineStr"/>
    </row>
    <row r="18">
      <c r="A18" s="4" t="inlineStr">
        <is>
          <t>In-wall tundish (sewer)</t>
        </is>
      </c>
      <c r="B18" s="4" t="inlineStr">
        <is>
          <t>EA</t>
        </is>
      </c>
      <c r="C18" s="5" t="n">
        <v>2</v>
      </c>
      <c r="D18" s="4" t="inlineStr">
        <is>
          <t>n/a</t>
        </is>
      </c>
      <c r="E18" s="4" t="inlineStr">
        <is>
          <t>NBC legends D/E/F/H/I/J (25015-H-NBC set T1) - no printed totals on drawings</t>
        </is>
      </c>
      <c r="F18" s="5" t="n">
        <v>0</v>
      </c>
      <c r="G18" s="4" t="inlineStr">
        <is>
          <t>Legend total accepted (no independent measure)</t>
        </is>
      </c>
      <c r="H18" s="5" t="n">
        <v>2</v>
      </c>
      <c r="I18" s="4" t="inlineStr">
        <is>
          <t>M</t>
        </is>
      </c>
      <c r="J18" s="4" t="inlineStr">
        <is>
          <t>Mech condensate discharges to TPS tundishes - mech trade supplies drain.</t>
        </is>
      </c>
    </row>
    <row r="19">
      <c r="A19" s="4" t="inlineStr">
        <is>
          <t>100 exp/knuckle joint</t>
        </is>
      </c>
      <c r="B19" s="4" t="inlineStr">
        <is>
          <t>EA</t>
        </is>
      </c>
      <c r="C19" s="5" t="n">
        <v>1</v>
      </c>
      <c r="D19" s="4" t="inlineStr">
        <is>
          <t>n/a</t>
        </is>
      </c>
      <c r="E19" s="4" t="inlineStr">
        <is>
          <t>NBC legends D/E/F/H/I/J (25015-H-NBC set T1) - no printed totals on drawings</t>
        </is>
      </c>
      <c r="F19" s="5" t="n">
        <v>0</v>
      </c>
      <c r="G19" s="4" t="inlineStr">
        <is>
          <t>Legend total accepted (no independent measure)</t>
        </is>
      </c>
      <c r="H19" s="5" t="n">
        <v>1</v>
      </c>
      <c r="I19" s="4" t="inlineStr">
        <is>
          <t>M</t>
        </is>
      </c>
      <c r="J19" s="4" t="inlineStr">
        <is>
          <t>Articulation ALLOWANCE for H1 'P' site is additional - NewItems #12.</t>
        </is>
      </c>
    </row>
    <row r="20">
      <c r="A20" s="4" t="inlineStr">
        <is>
          <t>100 4-way riser (2x40)(2x50)</t>
        </is>
      </c>
      <c r="B20" s="4" t="inlineStr">
        <is>
          <t>EA</t>
        </is>
      </c>
      <c r="C20" s="5" t="n">
        <v>9</v>
      </c>
      <c r="D20" s="4" t="inlineStr">
        <is>
          <t>n/a</t>
        </is>
      </c>
      <c r="E20" s="4" t="inlineStr">
        <is>
          <t>NBC legends D/E/F/H/I/J (25015-H-NBC set T1) - no printed totals on drawings</t>
        </is>
      </c>
      <c r="F20" s="5" t="n">
        <v>0</v>
      </c>
      <c r="G20" s="4" t="inlineStr">
        <is>
          <t>Legend total accepted (no independent measure)</t>
        </is>
      </c>
      <c r="H20" s="5" t="n">
        <v>9</v>
      </c>
      <c r="I20" s="4" t="inlineStr">
        <is>
          <t>M</t>
        </is>
      </c>
      <c r="J20" s="4" t="inlineStr"/>
    </row>
    <row r="21">
      <c r="A21" s="4" t="inlineStr">
        <is>
          <t>100mm clear out</t>
        </is>
      </c>
      <c r="B21" s="4" t="inlineStr">
        <is>
          <t>EA</t>
        </is>
      </c>
      <c r="C21" s="5" t="n">
        <v>18</v>
      </c>
      <c r="D21" s="4" t="inlineStr">
        <is>
          <t>n/a</t>
        </is>
      </c>
      <c r="E21" s="4" t="inlineStr">
        <is>
          <t>NBC legends D/E/F/H/I/J (25015-H-NBC set T1) - no printed totals on drawings</t>
        </is>
      </c>
      <c r="F21" s="5" t="n">
        <v>0</v>
      </c>
      <c r="G21" s="4" t="inlineStr">
        <is>
          <t>Legend total accepted (no independent measure)</t>
        </is>
      </c>
      <c r="H21" s="5" t="n">
        <v>18</v>
      </c>
      <c r="I21" s="4" t="inlineStr">
        <is>
          <t>M</t>
        </is>
      </c>
      <c r="J21" s="4" t="inlineStr"/>
    </row>
    <row r="22">
      <c r="A22" s="4" t="inlineStr">
        <is>
          <t>Basket trap (floor waste, sewer layer)</t>
        </is>
      </c>
      <c r="B22" s="4" t="inlineStr">
        <is>
          <t>EA</t>
        </is>
      </c>
      <c r="C22" s="5" t="n">
        <v>12</v>
      </c>
      <c r="D22" s="4" t="inlineStr">
        <is>
          <t>~22 labels</t>
        </is>
      </c>
      <c r="E22" s="4" t="inlineStr">
        <is>
          <t>vol06_11 BT label census (14+1+~7)</t>
        </is>
      </c>
      <c r="F22" s="5" t="n">
        <v>0</v>
      </c>
      <c r="G22" s="4" t="inlineStr">
        <is>
          <t>Legend total accepted (no independent measure)</t>
        </is>
      </c>
      <c r="H22" s="5" t="n">
        <v>12</v>
      </c>
      <c r="I22" s="4" t="inlineStr">
        <is>
          <t>M</t>
        </is>
      </c>
      <c r="J22" s="4" t="inlineStr">
        <is>
          <t>Drawn BT labels ~22 incl. trade-waste zone + match-line duplicates - reconcile with floor-waste grate count at Phase 4 fixture recount (Opens #18); do NOT merge with water-layer 'basket trap' x2.</t>
        </is>
      </c>
    </row>
    <row r="23">
      <c r="A23" s="4" t="inlineStr">
        <is>
          <t>FWG</t>
        </is>
      </c>
      <c r="B23" s="4" t="inlineStr">
        <is>
          <t>EA</t>
        </is>
      </c>
      <c r="C23" s="5" t="n">
        <v>1</v>
      </c>
      <c r="D23" s="4" t="inlineStr">
        <is>
          <t>n/a</t>
        </is>
      </c>
      <c r="E23" s="4" t="inlineStr">
        <is>
          <t>NBC legends D/E/F/H/I/J (25015-H-NBC set T1) - no printed totals on drawings</t>
        </is>
      </c>
      <c r="F23" s="5" t="n">
        <v>0</v>
      </c>
      <c r="G23" s="4" t="inlineStr">
        <is>
          <t>Legend total accepted (no independent measure)</t>
        </is>
      </c>
      <c r="H23" s="5" t="n">
        <v>1</v>
      </c>
      <c r="I23" s="4" t="inlineStr">
        <is>
          <t>M</t>
        </is>
      </c>
      <c r="J23" s="4" t="inlineStr"/>
    </row>
    <row r="24">
      <c r="A24" s="2" t="inlineStr">
        <is>
          <t>VENT (DWV portion; verticals NOT included - see NewItems #7)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4" t="inlineStr">
        <is>
          <t>DWV PVC 100 SN6 vent (horizontal plan runs)</t>
        </is>
      </c>
      <c r="B25" s="4" t="inlineStr">
        <is>
          <t>m</t>
        </is>
      </c>
      <c r="C25" s="5" t="n">
        <v>17.06</v>
      </c>
      <c r="D25" s="4" t="inlineStr">
        <is>
          <t>n/a</t>
        </is>
      </c>
      <c r="E25" s="4" t="inlineStr">
        <is>
          <t>NBC legends D/E/F/H/I/J (25015-H-NBC set T1) - no printed totals on drawings</t>
        </is>
      </c>
      <c r="F25" s="5" t="n">
        <v>0</v>
      </c>
      <c r="G25" s="4" t="inlineStr">
        <is>
          <t>Legend total accepted (no independent measure)</t>
        </is>
      </c>
      <c r="H25" s="5" t="n">
        <v>17.06</v>
      </c>
      <c r="I25" s="4" t="inlineStr">
        <is>
          <t>M</t>
        </is>
      </c>
      <c r="J25" s="4" t="inlineStr">
        <is>
          <t>Plan-view only; ~13+ vertical risers unmeasured - NewItems #7.</t>
        </is>
      </c>
    </row>
    <row r="26">
      <c r="A26" s="4" t="inlineStr">
        <is>
          <t>DWV PVC 50 SN8 vent</t>
        </is>
      </c>
      <c r="B26" s="4" t="inlineStr">
        <is>
          <t>m</t>
        </is>
      </c>
      <c r="C26" s="5" t="n">
        <v>0.7</v>
      </c>
      <c r="D26" s="4" t="inlineStr">
        <is>
          <t>n/a</t>
        </is>
      </c>
      <c r="E26" s="4" t="inlineStr">
        <is>
          <t>NBC legends D/E/F/H/I/J (25015-H-NBC set T1) - no printed totals on drawings</t>
        </is>
      </c>
      <c r="F26" s="5" t="n">
        <v>0</v>
      </c>
      <c r="G26" s="4" t="inlineStr">
        <is>
          <t>Legend total accepted (no independent measure)</t>
        </is>
      </c>
      <c r="H26" s="5" t="n">
        <v>0.7</v>
      </c>
      <c r="I26" s="4" t="inlineStr">
        <is>
          <t>M</t>
        </is>
      </c>
      <c r="J26" s="4" t="inlineStr"/>
    </row>
    <row r="27">
      <c r="A27" s="4" t="inlineStr">
        <is>
          <t>Vent bend 100x90</t>
        </is>
      </c>
      <c r="B27" s="4" t="inlineStr">
        <is>
          <t>EA</t>
        </is>
      </c>
      <c r="C27" s="5" t="n">
        <v>12</v>
      </c>
      <c r="D27" s="4" t="inlineStr">
        <is>
          <t>n/a</t>
        </is>
      </c>
      <c r="E27" s="4" t="inlineStr">
        <is>
          <t>NBC legends D/E/F/H/I/J (25015-H-NBC set T1) - no printed totals on drawings</t>
        </is>
      </c>
      <c r="F27" s="5" t="n">
        <v>0</v>
      </c>
      <c r="G27" s="4" t="inlineStr">
        <is>
          <t>Legend total accepted (no independent measure)</t>
        </is>
      </c>
      <c r="H27" s="5" t="n">
        <v>12</v>
      </c>
      <c r="I27" s="4" t="inlineStr">
        <is>
          <t>M</t>
        </is>
      </c>
      <c r="J27" s="4" t="inlineStr"/>
    </row>
    <row r="28">
      <c r="A28" s="4" t="inlineStr">
        <is>
          <t>Vent bend 100x45</t>
        </is>
      </c>
      <c r="B28" s="4" t="inlineStr">
        <is>
          <t>EA</t>
        </is>
      </c>
      <c r="C28" s="5" t="n">
        <v>6</v>
      </c>
      <c r="D28" s="4" t="inlineStr">
        <is>
          <t>n/a</t>
        </is>
      </c>
      <c r="E28" s="4" t="inlineStr">
        <is>
          <t>NBC legends D/E/F/H/I/J (25015-H-NBC set T1) - no printed totals on drawings</t>
        </is>
      </c>
      <c r="F28" s="5" t="n">
        <v>0</v>
      </c>
      <c r="G28" s="4" t="inlineStr">
        <is>
          <t>Legend total accepted (no independent measure)</t>
        </is>
      </c>
      <c r="H28" s="5" t="n">
        <v>6</v>
      </c>
      <c r="I28" s="4" t="inlineStr">
        <is>
          <t>M</t>
        </is>
      </c>
      <c r="J28" s="4" t="inlineStr"/>
    </row>
    <row r="29">
      <c r="A29" s="4" t="inlineStr">
        <is>
          <t>Vent junction 100x45</t>
        </is>
      </c>
      <c r="B29" s="4" t="inlineStr">
        <is>
          <t>EA</t>
        </is>
      </c>
      <c r="C29" s="5" t="n">
        <v>1</v>
      </c>
      <c r="D29" s="4" t="inlineStr">
        <is>
          <t>n/a</t>
        </is>
      </c>
      <c r="E29" s="4" t="inlineStr">
        <is>
          <t>NBC legends D/E/F/H/I/J (25015-H-NBC set T1) - no printed totals on drawings</t>
        </is>
      </c>
      <c r="F29" s="5" t="n">
        <v>0</v>
      </c>
      <c r="G29" s="4" t="inlineStr">
        <is>
          <t>Legend total accepted (no independent measure)</t>
        </is>
      </c>
      <c r="H29" s="5" t="n">
        <v>1</v>
      </c>
      <c r="I29" s="4" t="inlineStr">
        <is>
          <t>M</t>
        </is>
      </c>
      <c r="J29" s="4" t="inlineStr"/>
    </row>
    <row r="30">
      <c r="A30" s="4" t="inlineStr">
        <is>
          <t>Vent bend 50x85</t>
        </is>
      </c>
      <c r="B30" s="4" t="inlineStr">
        <is>
          <t>EA</t>
        </is>
      </c>
      <c r="C30" s="5" t="n">
        <v>1</v>
      </c>
      <c r="D30" s="4" t="inlineStr">
        <is>
          <t>n/a</t>
        </is>
      </c>
      <c r="E30" s="4" t="inlineStr">
        <is>
          <t>NBC legends D/E/F/H/I/J (25015-H-NBC set T1) - no printed totals on drawings</t>
        </is>
      </c>
      <c r="F30" s="5" t="n">
        <v>0</v>
      </c>
      <c r="G30" s="4" t="inlineStr">
        <is>
          <t>Legend total accepted (no independent measure)</t>
        </is>
      </c>
      <c r="H30" s="5" t="n">
        <v>1</v>
      </c>
      <c r="I30" s="4" t="inlineStr">
        <is>
          <t>M</t>
        </is>
      </c>
      <c r="J30" s="4" t="inlineStr"/>
    </row>
    <row r="31">
      <c r="A31" s="4" t="inlineStr">
        <is>
          <t>Vent reducer 100x50</t>
        </is>
      </c>
      <c r="B31" s="4" t="inlineStr">
        <is>
          <t>EA</t>
        </is>
      </c>
      <c r="C31" s="5" t="n">
        <v>1</v>
      </c>
      <c r="D31" s="4" t="inlineStr">
        <is>
          <t>n/a</t>
        </is>
      </c>
      <c r="E31" s="4" t="inlineStr">
        <is>
          <t>NBC legends D/E/F/H/I/J (25015-H-NBC set T1) - no printed totals on drawings</t>
        </is>
      </c>
      <c r="F31" s="5" t="n">
        <v>0</v>
      </c>
      <c r="G31" s="4" t="inlineStr">
        <is>
          <t>Legend total accepted (no independent measure)</t>
        </is>
      </c>
      <c r="H31" s="5" t="n">
        <v>1</v>
      </c>
      <c r="I31" s="4" t="inlineStr">
        <is>
          <t>M</t>
        </is>
      </c>
      <c r="J31" s="4" t="inlineStr"/>
    </row>
    <row r="32">
      <c r="A32" s="4" t="inlineStr">
        <is>
          <t>Vent IOS 100</t>
        </is>
      </c>
      <c r="B32" s="4" t="inlineStr">
        <is>
          <t>EA</t>
        </is>
      </c>
      <c r="C32" s="5" t="n">
        <v>1</v>
      </c>
      <c r="D32" s="4" t="inlineStr">
        <is>
          <t>n/a</t>
        </is>
      </c>
      <c r="E32" s="4" t="inlineStr">
        <is>
          <t>NBC legends D/E/F/H/I/J (25015-H-NBC set T1) - no printed totals on drawings</t>
        </is>
      </c>
      <c r="F32" s="5" t="n">
        <v>0</v>
      </c>
      <c r="G32" s="4" t="inlineStr">
        <is>
          <t>Legend total accepted (no independent measure)</t>
        </is>
      </c>
      <c r="H32" s="5" t="n">
        <v>1</v>
      </c>
      <c r="I32" s="4" t="inlineStr">
        <is>
          <t>M</t>
        </is>
      </c>
      <c r="J32" s="4" t="inlineStr"/>
    </row>
    <row r="33">
      <c r="A33" s="2" t="inlineStr">
        <is>
          <t>TRADE WASTE (sheet NBC-102; incl. 1.98 m + 2 bends logged on Vent layer - merged, count once)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4" t="inlineStr">
        <is>
          <t>110 HDPE trade waste drain</t>
        </is>
      </c>
      <c r="B34" s="4" t="inlineStr">
        <is>
          <t>m</t>
        </is>
      </c>
      <c r="C34" s="5" t="n">
        <v>54.78</v>
      </c>
      <c r="D34" s="4" t="inlineStr">
        <is>
          <t>n/a</t>
        </is>
      </c>
      <c r="E34" s="4" t="inlineStr">
        <is>
          <t>NBC legends D/E/F/H/I/J (25015-H-NBC set T1) - no printed totals on drawings</t>
        </is>
      </c>
      <c r="F34" s="5" t="n">
        <v>0</v>
      </c>
      <c r="G34" s="4" t="inlineStr">
        <is>
          <t>Legend total accepted (no independent measure)</t>
        </is>
      </c>
      <c r="H34" s="5" t="n">
        <v>54.78</v>
      </c>
      <c r="I34" s="4" t="inlineStr">
        <is>
          <t>M</t>
        </is>
      </c>
      <c r="J34" s="4" t="inlineStr">
        <is>
          <t>52.80 TW layer + 1.98 vent-layer stub (layer misclassification merged - Opens #25).</t>
        </is>
      </c>
    </row>
    <row r="35">
      <c r="A35" s="4" t="inlineStr">
        <is>
          <t>Trench drain (TW, coldroom entry)</t>
        </is>
      </c>
      <c r="B35" s="4" t="inlineStr">
        <is>
          <t>m</t>
        </is>
      </c>
      <c r="C35" s="5" t="n">
        <v>0.98</v>
      </c>
      <c r="D35" s="5" t="n">
        <v>1</v>
      </c>
      <c r="E35" s="4" t="inlineStr">
        <is>
          <t>H-NBC-102 drawn (1 TRD)</t>
        </is>
      </c>
      <c r="F35" s="5" t="n">
        <v>0</v>
      </c>
      <c r="G35" s="4" t="inlineStr">
        <is>
          <t>Match</t>
        </is>
      </c>
      <c r="H35" s="5" t="n">
        <v>0.98</v>
      </c>
      <c r="I35" s="4" t="inlineStr">
        <is>
          <t>H</t>
        </is>
      </c>
      <c r="J35" s="4" t="inlineStr"/>
    </row>
    <row r="36">
      <c r="A36" s="4" t="inlineStr">
        <is>
          <t>110 HDPE 90 deg bend (TW)</t>
        </is>
      </c>
      <c r="B36" s="4" t="inlineStr">
        <is>
          <t>EA</t>
        </is>
      </c>
      <c r="C36" s="5" t="n">
        <v>8</v>
      </c>
      <c r="D36" s="4" t="inlineStr">
        <is>
          <t>n/a</t>
        </is>
      </c>
      <c r="E36" s="4" t="inlineStr">
        <is>
          <t>NBC legends D/E/F/H/I/J (25015-H-NBC set T1) - no printed totals on drawings</t>
        </is>
      </c>
      <c r="F36" s="5" t="n">
        <v>0</v>
      </c>
      <c r="G36" s="4" t="inlineStr">
        <is>
          <t>Legend total accepted (no independent measure)</t>
        </is>
      </c>
      <c r="H36" s="5" t="n">
        <v>8</v>
      </c>
      <c r="I36" s="4" t="inlineStr">
        <is>
          <t>M</t>
        </is>
      </c>
      <c r="J36" s="4" t="inlineStr"/>
    </row>
    <row r="37">
      <c r="A37" s="4" t="inlineStr">
        <is>
          <t>110 HDPE 45 deg (TW)</t>
        </is>
      </c>
      <c r="B37" s="4" t="inlineStr">
        <is>
          <t>EA</t>
        </is>
      </c>
      <c r="C37" s="5" t="n">
        <v>24</v>
      </c>
      <c r="D37" s="4" t="inlineStr">
        <is>
          <t>n/a</t>
        </is>
      </c>
      <c r="E37" s="4" t="inlineStr">
        <is>
          <t>NBC legends D/E/F/H/I/J (25015-H-NBC set T1) - no printed totals on drawings</t>
        </is>
      </c>
      <c r="F37" s="5" t="n">
        <v>0</v>
      </c>
      <c r="G37" s="4" t="inlineStr">
        <is>
          <t>Legend total accepted (no independent measure)</t>
        </is>
      </c>
      <c r="H37" s="5" t="n">
        <v>24</v>
      </c>
      <c r="I37" s="4" t="inlineStr">
        <is>
          <t>M</t>
        </is>
      </c>
      <c r="J37" s="4" t="inlineStr"/>
    </row>
    <row r="38">
      <c r="A38" s="4" t="inlineStr">
        <is>
          <t>Junction 110 HDPE x 45 deg</t>
        </is>
      </c>
      <c r="B38" s="4" t="inlineStr">
        <is>
          <t>EA</t>
        </is>
      </c>
      <c r="C38" s="5" t="n">
        <v>16</v>
      </c>
      <c r="D38" s="4" t="inlineStr">
        <is>
          <t>n/a</t>
        </is>
      </c>
      <c r="E38" s="4" t="inlineStr">
        <is>
          <t>NBC legends D/E/F/H/I/J (25015-H-NBC set T1) - no printed totals on drawings</t>
        </is>
      </c>
      <c r="F38" s="5" t="n">
        <v>0</v>
      </c>
      <c r="G38" s="4" t="inlineStr">
        <is>
          <t>Legend total accepted (no independent measure)</t>
        </is>
      </c>
      <c r="H38" s="5" t="n">
        <v>16</v>
      </c>
      <c r="I38" s="4" t="inlineStr">
        <is>
          <t>M</t>
        </is>
      </c>
      <c r="J38" s="4" t="inlineStr"/>
    </row>
    <row r="39">
      <c r="A39" s="4" t="inlineStr">
        <is>
          <t>Junction 110x50 45 deg</t>
        </is>
      </c>
      <c r="B39" s="4" t="inlineStr">
        <is>
          <t>EA</t>
        </is>
      </c>
      <c r="C39" s="5" t="n">
        <v>2</v>
      </c>
      <c r="D39" s="4" t="inlineStr">
        <is>
          <t>n/a</t>
        </is>
      </c>
      <c r="E39" s="4" t="inlineStr">
        <is>
          <t>NBC legends D/E/F/H/I/J (25015-H-NBC set T1) - no printed totals on drawings</t>
        </is>
      </c>
      <c r="F39" s="5" t="n">
        <v>0</v>
      </c>
      <c r="G39" s="4" t="inlineStr">
        <is>
          <t>Legend total accepted (no independent measure)</t>
        </is>
      </c>
      <c r="H39" s="5" t="n">
        <v>2</v>
      </c>
      <c r="I39" s="4" t="inlineStr">
        <is>
          <t>M</t>
        </is>
      </c>
      <c r="J39" s="4" t="inlineStr"/>
    </row>
    <row r="40">
      <c r="A40" s="4" t="inlineStr">
        <is>
          <t>110 HDPE to 50 HDPE reducer</t>
        </is>
      </c>
      <c r="B40" s="4" t="inlineStr">
        <is>
          <t>EA</t>
        </is>
      </c>
      <c r="C40" s="5" t="n">
        <v>5</v>
      </c>
      <c r="D40" s="4" t="inlineStr">
        <is>
          <t>n/a</t>
        </is>
      </c>
      <c r="E40" s="4" t="inlineStr">
        <is>
          <t>NBC legends D/E/F/H/I/J (25015-H-NBC set T1) - no printed totals on drawings</t>
        </is>
      </c>
      <c r="F40" s="5" t="n">
        <v>0</v>
      </c>
      <c r="G40" s="4" t="inlineStr">
        <is>
          <t>Legend total accepted (no independent measure)</t>
        </is>
      </c>
      <c r="H40" s="5" t="n">
        <v>5</v>
      </c>
      <c r="I40" s="4" t="inlineStr">
        <is>
          <t>M</t>
        </is>
      </c>
      <c r="J40" s="4" t="inlineStr"/>
    </row>
    <row r="41">
      <c r="A41" s="4" t="inlineStr">
        <is>
          <t>Geberit HDPE 50 pipe</t>
        </is>
      </c>
      <c r="B41" s="4" t="inlineStr">
        <is>
          <t>m</t>
        </is>
      </c>
      <c r="C41" s="5" t="n">
        <v>12.47</v>
      </c>
      <c r="D41" s="4" t="inlineStr">
        <is>
          <t>n/a</t>
        </is>
      </c>
      <c r="E41" s="4" t="inlineStr">
        <is>
          <t>NBC legends D/E/F/H/I/J (25015-H-NBC set T1) - no printed totals on drawings</t>
        </is>
      </c>
      <c r="F41" s="5" t="n">
        <v>0</v>
      </c>
      <c r="G41" s="4" t="inlineStr">
        <is>
          <t>Legend total accepted (no independent measure)</t>
        </is>
      </c>
      <c r="H41" s="5" t="n">
        <v>12.47</v>
      </c>
      <c r="I41" s="4" t="inlineStr">
        <is>
          <t>M</t>
        </is>
      </c>
      <c r="J41" s="4" t="inlineStr"/>
    </row>
    <row r="42">
      <c r="A42" s="4" t="inlineStr">
        <is>
          <t>Geberit bend 50x88.5</t>
        </is>
      </c>
      <c r="B42" s="4" t="inlineStr">
        <is>
          <t>EA</t>
        </is>
      </c>
      <c r="C42" s="5" t="n">
        <v>9</v>
      </c>
      <c r="D42" s="4" t="inlineStr">
        <is>
          <t>n/a</t>
        </is>
      </c>
      <c r="E42" s="4" t="inlineStr">
        <is>
          <t>NBC legends D/E/F/H/I/J (25015-H-NBC set T1) - no printed totals on drawings</t>
        </is>
      </c>
      <c r="F42" s="5" t="n">
        <v>0</v>
      </c>
      <c r="G42" s="4" t="inlineStr">
        <is>
          <t>Legend total accepted (no independent measure)</t>
        </is>
      </c>
      <c r="H42" s="5" t="n">
        <v>9</v>
      </c>
      <c r="I42" s="4" t="inlineStr">
        <is>
          <t>M</t>
        </is>
      </c>
      <c r="J42" s="4" t="inlineStr"/>
    </row>
    <row r="43">
      <c r="A43" s="4" t="inlineStr">
        <is>
          <t>Geberit bend 50x45</t>
        </is>
      </c>
      <c r="B43" s="4" t="inlineStr">
        <is>
          <t>EA</t>
        </is>
      </c>
      <c r="C43" s="5" t="n">
        <v>5</v>
      </c>
      <c r="D43" s="4" t="inlineStr">
        <is>
          <t>n/a</t>
        </is>
      </c>
      <c r="E43" s="4" t="inlineStr">
        <is>
          <t>NBC legends D/E/F/H/I/J (25015-H-NBC set T1) - no printed totals on drawings</t>
        </is>
      </c>
      <c r="F43" s="5" t="n">
        <v>0</v>
      </c>
      <c r="G43" s="4" t="inlineStr">
        <is>
          <t>Legend total accepted (no independent measure)</t>
        </is>
      </c>
      <c r="H43" s="5" t="n">
        <v>5</v>
      </c>
      <c r="I43" s="4" t="inlineStr">
        <is>
          <t>M</t>
        </is>
      </c>
      <c r="J43" s="4" t="inlineStr"/>
    </row>
    <row r="44">
      <c r="A44" s="4" t="inlineStr">
        <is>
          <t>110 TW inspection opening / CO</t>
        </is>
      </c>
      <c r="B44" s="4" t="inlineStr">
        <is>
          <t>EA</t>
        </is>
      </c>
      <c r="C44" s="5" t="n">
        <v>1</v>
      </c>
      <c r="D44" s="4" t="inlineStr">
        <is>
          <t>n/a</t>
        </is>
      </c>
      <c r="E44" s="4" t="inlineStr">
        <is>
          <t>NBC legends D/E/F/H/I/J (25015-H-NBC set T1) - no printed totals on drawings</t>
        </is>
      </c>
      <c r="F44" s="5" t="n">
        <v>0</v>
      </c>
      <c r="G44" s="4" t="inlineStr">
        <is>
          <t>Legend total accepted (no independent measure)</t>
        </is>
      </c>
      <c r="H44" s="5" t="n">
        <v>1</v>
      </c>
      <c r="I44" s="4" t="inlineStr">
        <is>
          <t>M</t>
        </is>
      </c>
      <c r="J44" s="4" t="inlineStr"/>
    </row>
    <row r="45">
      <c r="A45" s="4" t="inlineStr">
        <is>
          <t>DWV bend 50x85 (TW)</t>
        </is>
      </c>
      <c r="B45" s="4" t="inlineStr">
        <is>
          <t>EA</t>
        </is>
      </c>
      <c r="C45" s="5" t="n">
        <v>1</v>
      </c>
      <c r="D45" s="4" t="inlineStr">
        <is>
          <t>n/a</t>
        </is>
      </c>
      <c r="E45" s="4" t="inlineStr">
        <is>
          <t>NBC legends D/E/F/H/I/J (25015-H-NBC set T1) - no printed totals on drawings</t>
        </is>
      </c>
      <c r="F45" s="5" t="n">
        <v>0</v>
      </c>
      <c r="G45" s="4" t="inlineStr">
        <is>
          <t>Legend total accepted (no independent measure)</t>
        </is>
      </c>
      <c r="H45" s="5" t="n">
        <v>1</v>
      </c>
      <c r="I45" s="4" t="inlineStr">
        <is>
          <t>M</t>
        </is>
      </c>
      <c r="J45" s="4" t="inlineStr"/>
    </row>
    <row r="46">
      <c r="A46" s="4" t="inlineStr">
        <is>
          <t>Bucket trap / silt trap</t>
        </is>
      </c>
      <c r="B46" s="4" t="inlineStr">
        <is>
          <t>EA</t>
        </is>
      </c>
      <c r="C46" s="5" t="n">
        <v>1</v>
      </c>
      <c r="D46" s="4" t="inlineStr">
        <is>
          <t>n/a</t>
        </is>
      </c>
      <c r="E46" s="4" t="inlineStr">
        <is>
          <t>NBC legends D/E/F/H/I/J (25015-H-NBC set T1) - no printed totals on drawings</t>
        </is>
      </c>
      <c r="F46" s="5" t="n">
        <v>0</v>
      </c>
      <c r="G46" s="4" t="inlineStr">
        <is>
          <t>Legend total accepted (no independent measure)</t>
        </is>
      </c>
      <c r="H46" s="5" t="n">
        <v>1</v>
      </c>
      <c r="I46" s="4" t="inlineStr">
        <is>
          <t>M</t>
        </is>
      </c>
      <c r="J46" s="4" t="inlineStr"/>
    </row>
    <row r="47">
      <c r="A47" s="4" t="inlineStr">
        <is>
          <t>In-wall tundish (TW)</t>
        </is>
      </c>
      <c r="B47" s="4" t="inlineStr">
        <is>
          <t>EA</t>
        </is>
      </c>
      <c r="C47" s="5" t="n">
        <v>2</v>
      </c>
      <c r="D47" s="4" t="inlineStr">
        <is>
          <t>n/a</t>
        </is>
      </c>
      <c r="E47" s="4" t="inlineStr">
        <is>
          <t>NBC legends D/E/F/H/I/J (25015-H-NBC set T1) - no printed totals on drawings</t>
        </is>
      </c>
      <c r="F47" s="5" t="n">
        <v>0</v>
      </c>
      <c r="G47" s="4" t="inlineStr">
        <is>
          <t>Legend total accepted (no independent measure)</t>
        </is>
      </c>
      <c r="H47" s="5" t="n">
        <v>2</v>
      </c>
      <c r="I47" s="4" t="inlineStr">
        <is>
          <t>M</t>
        </is>
      </c>
      <c r="J47" s="4" t="inlineStr"/>
    </row>
    <row r="48">
      <c r="A48" s="4" t="inlineStr">
        <is>
          <t>Tundish</t>
        </is>
      </c>
      <c r="B48" s="4" t="inlineStr">
        <is>
          <t>EA</t>
        </is>
      </c>
      <c r="C48" s="5" t="n">
        <v>4</v>
      </c>
      <c r="D48" s="4" t="inlineStr">
        <is>
          <t>n/a</t>
        </is>
      </c>
      <c r="E48" s="4" t="inlineStr">
        <is>
          <t>NBC legends D/E/F/H/I/J (25015-H-NBC set T1) - no printed totals on drawings</t>
        </is>
      </c>
      <c r="F48" s="5" t="n">
        <v>0</v>
      </c>
      <c r="G48" s="4" t="inlineStr">
        <is>
          <t>Legend total accepted (no independent measure)</t>
        </is>
      </c>
      <c r="H48" s="5" t="n">
        <v>4</v>
      </c>
      <c r="I48" s="4" t="inlineStr">
        <is>
          <t>M</t>
        </is>
      </c>
      <c r="J48" s="4" t="inlineStr"/>
    </row>
    <row r="49">
      <c r="A49" s="4" t="inlineStr">
        <is>
          <t>Geberit 4-way riser 110x56</t>
        </is>
      </c>
      <c r="B49" s="4" t="inlineStr">
        <is>
          <t>EA</t>
        </is>
      </c>
      <c r="C49" s="5" t="n">
        <v>6</v>
      </c>
      <c r="D49" s="4" t="inlineStr">
        <is>
          <t>n/a</t>
        </is>
      </c>
      <c r="E49" s="4" t="inlineStr">
        <is>
          <t>NBC legends D/E/F/H/I/J (25015-H-NBC set T1) - no printed totals on drawings</t>
        </is>
      </c>
      <c r="F49" s="5" t="n">
        <v>0</v>
      </c>
      <c r="G49" s="4" t="inlineStr">
        <is>
          <t>Legend total accepted (no independent measure)</t>
        </is>
      </c>
      <c r="H49" s="5" t="n">
        <v>6</v>
      </c>
      <c r="I49" s="4" t="inlineStr">
        <is>
          <t>M</t>
        </is>
      </c>
      <c r="J49" s="4" t="inlineStr"/>
    </row>
    <row r="50">
      <c r="A50" s="4" t="inlineStr">
        <is>
          <t>Geberit exp socket 110</t>
        </is>
      </c>
      <c r="B50" s="4" t="inlineStr">
        <is>
          <t>EA</t>
        </is>
      </c>
      <c r="C50" s="5" t="n">
        <v>2</v>
      </c>
      <c r="D50" s="4" t="inlineStr">
        <is>
          <t>n/a</t>
        </is>
      </c>
      <c r="E50" s="4" t="inlineStr">
        <is>
          <t>NBC legends D/E/F/H/I/J (25015-H-NBC set T1) - no printed totals on drawings</t>
        </is>
      </c>
      <c r="F50" s="5" t="n">
        <v>0</v>
      </c>
      <c r="G50" s="4" t="inlineStr">
        <is>
          <t>Legend total accepted (no independent measure)</t>
        </is>
      </c>
      <c r="H50" s="5" t="n">
        <v>2</v>
      </c>
      <c r="I50" s="4" t="inlineStr">
        <is>
          <t>M</t>
        </is>
      </c>
      <c r="J50" s="4" t="inlineStr"/>
    </row>
    <row r="51">
      <c r="A51" s="4" t="inlineStr">
        <is>
          <t>Geberit adj DT trap bottom HDPE 110</t>
        </is>
      </c>
      <c r="B51" s="4" t="inlineStr">
        <is>
          <t>EA</t>
        </is>
      </c>
      <c r="C51" s="5" t="n">
        <v>6</v>
      </c>
      <c r="D51" s="4" t="inlineStr">
        <is>
          <t>n/a</t>
        </is>
      </c>
      <c r="E51" s="4" t="inlineStr">
        <is>
          <t>NBC legends D/E/F/H/I/J (25015-H-NBC set T1) - no printed totals on drawings</t>
        </is>
      </c>
      <c r="F51" s="5" t="n">
        <v>0</v>
      </c>
      <c r="G51" s="4" t="inlineStr">
        <is>
          <t>Legend total accepted (no independent measure)</t>
        </is>
      </c>
      <c r="H51" s="5" t="n">
        <v>6</v>
      </c>
      <c r="I51" s="4" t="inlineStr">
        <is>
          <t>M</t>
        </is>
      </c>
      <c r="J51" s="4" t="inlineStr"/>
    </row>
    <row r="52">
      <c r="A52" s="4" t="inlineStr">
        <is>
          <t>50mm RPZD</t>
        </is>
      </c>
      <c r="B52" s="4" t="inlineStr">
        <is>
          <t>EA</t>
        </is>
      </c>
      <c r="C52" s="5" t="n">
        <v>2</v>
      </c>
      <c r="D52" s="4" t="inlineStr">
        <is>
          <t>n/a</t>
        </is>
      </c>
      <c r="E52" s="4" t="inlineStr">
        <is>
          <t>NBC legends D/E/F/H/I/J (25015-H-NBC set T1) - no printed totals on drawings</t>
        </is>
      </c>
      <c r="F52" s="5" t="n">
        <v>0</v>
      </c>
      <c r="G52" s="4" t="inlineStr">
        <is>
          <t>Legend total accepted (no independent measure)</t>
        </is>
      </c>
      <c r="H52" s="5" t="n">
        <v>2</v>
      </c>
      <c r="I52" s="4" t="inlineStr">
        <is>
          <t>M</t>
        </is>
      </c>
      <c r="J52" s="4" t="inlineStr">
        <is>
          <t>Possible overlap with NBC-202 RPZD positions - verify (Opens #15).</t>
        </is>
      </c>
    </row>
    <row r="53">
      <c r="A53" s="4" t="inlineStr">
        <is>
          <t>100mm check valve (TW)</t>
        </is>
      </c>
      <c r="B53" s="4" t="inlineStr">
        <is>
          <t>EA</t>
        </is>
      </c>
      <c r="C53" s="5" t="n">
        <v>1</v>
      </c>
      <c r="D53" s="4" t="inlineStr">
        <is>
          <t>n/a</t>
        </is>
      </c>
      <c r="E53" s="4" t="inlineStr">
        <is>
          <t>NBC legends D/E/F/H/I/J (25015-H-NBC set T1) - no printed totals on drawings</t>
        </is>
      </c>
      <c r="F53" s="5" t="n">
        <v>0</v>
      </c>
      <c r="G53" s="4" t="inlineStr">
        <is>
          <t>Legend total accepted (no independent measure)</t>
        </is>
      </c>
      <c r="H53" s="5" t="n">
        <v>1</v>
      </c>
      <c r="I53" s="4" t="inlineStr">
        <is>
          <t>M</t>
        </is>
      </c>
      <c r="J53" s="4" t="inlineStr"/>
    </row>
    <row r="54">
      <c r="A54" s="4" t="inlineStr">
        <is>
          <t>Grease trap: 1500L Viking PanelTim in-ground GIT</t>
        </is>
      </c>
      <c r="B54" s="4" t="inlineStr">
        <is>
          <t>EA</t>
        </is>
      </c>
      <c r="C54" s="5" t="n">
        <v>1</v>
      </c>
      <c r="D54" s="5" t="n">
        <v>1</v>
      </c>
      <c r="E54" s="4" t="inlineStr">
        <is>
          <t>H-NBC-102 drawn (1 GIT)</t>
        </is>
      </c>
      <c r="F54" s="5" t="n">
        <v>0</v>
      </c>
      <c r="G54" s="4" t="inlineStr">
        <is>
          <t>Match</t>
        </is>
      </c>
      <c r="H54" s="5" t="n">
        <v>1</v>
      </c>
      <c r="I54" s="4" t="inlineStr">
        <is>
          <t>H</t>
        </is>
      </c>
      <c r="J54" s="4" t="inlineStr">
        <is>
          <t>Size conflict: 1500L dwg / 2000L Design Report / Halgan 550-5000L spec - PC/allowance per CL B6 (Opens #24). No GIT install detail in volume.</t>
        </is>
      </c>
    </row>
    <row r="55">
      <c r="A55" s="2" t="inlineStr">
        <is>
          <t>WATER (sheets NBC-200/201/202) - WS2 spec: &gt;DN22 = 316 SS press-fit; copper measured (price both ways per locked 5.5 / CL C9)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4" t="inlineStr">
        <is>
          <t>40 PE100 PN16 pipe</t>
        </is>
      </c>
      <c r="B56" s="4" t="inlineStr">
        <is>
          <t>m</t>
        </is>
      </c>
      <c r="C56" s="5" t="n">
        <v>27.78</v>
      </c>
      <c r="D56" s="4" t="inlineStr">
        <is>
          <t>n/a</t>
        </is>
      </c>
      <c r="E56" s="4" t="inlineStr">
        <is>
          <t>NBC legends D/E/F/H/I/J (25015-H-NBC set T1) - no printed totals on drawings</t>
        </is>
      </c>
      <c r="F56" s="5" t="n">
        <v>0</v>
      </c>
      <c r="G56" s="4" t="inlineStr">
        <is>
          <t>Legend total accepted (no independent measure)</t>
        </is>
      </c>
      <c r="H56" s="5" t="n">
        <v>27.78</v>
      </c>
      <c r="I56" s="4" t="inlineStr">
        <is>
          <t>M</t>
        </is>
      </c>
      <c r="J56" s="4" t="inlineStr"/>
    </row>
    <row r="57">
      <c r="A57" s="4" t="inlineStr">
        <is>
          <t>32 PE100 PN16 pipe</t>
        </is>
      </c>
      <c r="B57" s="4" t="inlineStr">
        <is>
          <t>m</t>
        </is>
      </c>
      <c r="C57" s="5" t="n">
        <v>21.31</v>
      </c>
      <c r="D57" s="4" t="inlineStr">
        <is>
          <t>n/a</t>
        </is>
      </c>
      <c r="E57" s="4" t="inlineStr">
        <is>
          <t>NBC legends D/E/F/H/I/J (25015-H-NBC set T1) - no printed totals on drawings</t>
        </is>
      </c>
      <c r="F57" s="5" t="n">
        <v>0</v>
      </c>
      <c r="G57" s="4" t="inlineStr">
        <is>
          <t>Legend total accepted (no independent measure)</t>
        </is>
      </c>
      <c r="H57" s="5" t="n">
        <v>21.31</v>
      </c>
      <c r="I57" s="4" t="inlineStr">
        <is>
          <t>M</t>
        </is>
      </c>
      <c r="J57" s="4" t="inlineStr"/>
    </row>
    <row r="58">
      <c r="A58" s="4" t="inlineStr">
        <is>
          <t>25 PE100 PN16 pipe</t>
        </is>
      </c>
      <c r="B58" s="4" t="inlineStr">
        <is>
          <t>m</t>
        </is>
      </c>
      <c r="C58" s="5" t="n">
        <v>15.45</v>
      </c>
      <c r="D58" s="4" t="inlineStr">
        <is>
          <t>n/a</t>
        </is>
      </c>
      <c r="E58" s="4" t="inlineStr">
        <is>
          <t>NBC legends D/E/F/H/I/J (25015-H-NBC set T1) - no printed totals on drawings</t>
        </is>
      </c>
      <c r="F58" s="5" t="n">
        <v>0</v>
      </c>
      <c r="G58" s="4" t="inlineStr">
        <is>
          <t>Legend total accepted (no independent measure)</t>
        </is>
      </c>
      <c r="H58" s="5" t="n">
        <v>15.45</v>
      </c>
      <c r="I58" s="4" t="inlineStr">
        <is>
          <t>M</t>
        </is>
      </c>
      <c r="J58" s="4" t="inlineStr"/>
    </row>
    <row r="59">
      <c r="A59" s="4" t="inlineStr">
        <is>
          <t>Copper tube Type B 32</t>
        </is>
      </c>
      <c r="B59" s="4" t="inlineStr">
        <is>
          <t>m</t>
        </is>
      </c>
      <c r="C59" s="5" t="n">
        <v>17.86</v>
      </c>
      <c r="D59" s="4" t="inlineStr">
        <is>
          <t>n/a</t>
        </is>
      </c>
      <c r="E59" s="4" t="inlineStr">
        <is>
          <t>NBC legends D/E/F/H/I/J (25015-H-NBC set T1) - no printed totals on drawings</t>
        </is>
      </c>
      <c r="F59" s="5" t="n">
        <v>0</v>
      </c>
      <c r="G59" s="4" t="inlineStr">
        <is>
          <t>Legend total accepted (no independent measure)</t>
        </is>
      </c>
      <c r="H59" s="5" t="n">
        <v>17.86</v>
      </c>
      <c r="I59" s="4" t="inlineStr">
        <is>
          <t>M</t>
        </is>
      </c>
      <c r="J59" s="4" t="inlineStr">
        <is>
          <t>WS2 deviation - stainless conforming + copper alternate (Opens #17).</t>
        </is>
      </c>
    </row>
    <row r="60">
      <c r="A60" s="4" t="inlineStr">
        <is>
          <t>Copper tube Type B 25</t>
        </is>
      </c>
      <c r="B60" s="4" t="inlineStr">
        <is>
          <t>m</t>
        </is>
      </c>
      <c r="C60" s="5" t="n">
        <v>112.72</v>
      </c>
      <c r="D60" s="4" t="inlineStr">
        <is>
          <t>n/a</t>
        </is>
      </c>
      <c r="E60" s="4" t="inlineStr">
        <is>
          <t>NBC legends D/E/F/H/I/J (25015-H-NBC set T1) - no printed totals on drawings</t>
        </is>
      </c>
      <c r="F60" s="5" t="n">
        <v>0</v>
      </c>
      <c r="G60" s="4" t="inlineStr">
        <is>
          <t>Legend total accepted (no independent measure)</t>
        </is>
      </c>
      <c r="H60" s="5" t="n">
        <v>112.72</v>
      </c>
      <c r="I60" s="4" t="inlineStr">
        <is>
          <t>M</t>
        </is>
      </c>
      <c r="J60" s="4" t="inlineStr">
        <is>
          <t>WS2 deviation - as above.</t>
        </is>
      </c>
    </row>
    <row r="61">
      <c r="A61" s="4" t="inlineStr">
        <is>
          <t>Copper tube Type B 20</t>
        </is>
      </c>
      <c r="B61" s="4" t="inlineStr">
        <is>
          <t>m</t>
        </is>
      </c>
      <c r="C61" s="5" t="n">
        <v>19.88</v>
      </c>
      <c r="D61" s="4" t="inlineStr">
        <is>
          <t>n/a</t>
        </is>
      </c>
      <c r="E61" s="4" t="inlineStr">
        <is>
          <t>NBC legends D/E/F/H/I/J (25015-H-NBC set T1) - no printed totals on drawings</t>
        </is>
      </c>
      <c r="F61" s="5" t="n">
        <v>0</v>
      </c>
      <c r="G61" s="4" t="inlineStr">
        <is>
          <t>Legend total accepted (no independent measure)</t>
        </is>
      </c>
      <c r="H61" s="5" t="n">
        <v>19.88</v>
      </c>
      <c r="I61" s="4" t="inlineStr">
        <is>
          <t>M</t>
        </is>
      </c>
      <c r="J61" s="4" t="inlineStr">
        <is>
          <t>WS2 deviation - as above.</t>
        </is>
      </c>
    </row>
    <row r="62">
      <c r="A62" s="4" t="inlineStr">
        <is>
          <t>20 PEX pipe black (cold)</t>
        </is>
      </c>
      <c r="B62" s="4" t="inlineStr">
        <is>
          <t>m</t>
        </is>
      </c>
      <c r="C62" s="5" t="n">
        <v>157.82</v>
      </c>
      <c r="D62" s="4" t="inlineStr">
        <is>
          <t>n/a</t>
        </is>
      </c>
      <c r="E62" s="4" t="inlineStr">
        <is>
          <t>NBC legends D/E/F/H/I/J (25015-H-NBC set T1) - no printed totals on drawings</t>
        </is>
      </c>
      <c r="F62" s="5" t="n">
        <v>0</v>
      </c>
      <c r="G62" s="4" t="inlineStr">
        <is>
          <t>Legend total accepted (no independent measure)</t>
        </is>
      </c>
      <c r="H62" s="5" t="n">
        <v>157.82</v>
      </c>
      <c r="I62" s="4" t="inlineStr">
        <is>
          <t>M</t>
        </is>
      </c>
      <c r="J62" s="4" t="inlineStr">
        <is>
          <t>PEX &lt;=DN22 conforms WS2.</t>
        </is>
      </c>
    </row>
    <row r="63">
      <c r="A63" s="4" t="inlineStr">
        <is>
          <t>20 PEX pipe red (hot)</t>
        </is>
      </c>
      <c r="B63" s="4" t="inlineStr">
        <is>
          <t>m</t>
        </is>
      </c>
      <c r="C63" s="5" t="n">
        <v>65.29000000000001</v>
      </c>
      <c r="D63" s="4" t="inlineStr">
        <is>
          <t>n/a</t>
        </is>
      </c>
      <c r="E63" s="4" t="inlineStr">
        <is>
          <t>NBC legends D/E/F/H/I/J (25015-H-NBC set T1) - no printed totals on drawings</t>
        </is>
      </c>
      <c r="F63" s="5" t="n">
        <v>0</v>
      </c>
      <c r="G63" s="4" t="inlineStr">
        <is>
          <t>Legend total accepted (no independent measure)</t>
        </is>
      </c>
      <c r="H63" s="5" t="n">
        <v>65.29000000000001</v>
      </c>
      <c r="I63" s="4" t="inlineStr">
        <is>
          <t>M</t>
        </is>
      </c>
      <c r="J63" s="4" t="inlineStr"/>
    </row>
    <row r="64">
      <c r="A64" s="4" t="inlineStr">
        <is>
          <t>HDPE elbow 40x90</t>
        </is>
      </c>
      <c r="B64" s="4" t="inlineStr">
        <is>
          <t>EA</t>
        </is>
      </c>
      <c r="C64" s="5" t="n">
        <v>3</v>
      </c>
      <c r="D64" s="4" t="inlineStr">
        <is>
          <t>n/a</t>
        </is>
      </c>
      <c r="E64" s="4" t="inlineStr">
        <is>
          <t>NBC legends D/E/F/H/I/J (25015-H-NBC set T1) - no printed totals on drawings</t>
        </is>
      </c>
      <c r="F64" s="5" t="n">
        <v>0</v>
      </c>
      <c r="G64" s="4" t="inlineStr">
        <is>
          <t>Legend total accepted (no independent measure)</t>
        </is>
      </c>
      <c r="H64" s="5" t="n">
        <v>3</v>
      </c>
      <c r="I64" s="4" t="inlineStr">
        <is>
          <t>M</t>
        </is>
      </c>
      <c r="J64" s="4" t="inlineStr"/>
    </row>
    <row r="65">
      <c r="A65" s="4" t="inlineStr">
        <is>
          <t>HDPE elbow 32x90</t>
        </is>
      </c>
      <c r="B65" s="4" t="inlineStr">
        <is>
          <t>EA</t>
        </is>
      </c>
      <c r="C65" s="5" t="n">
        <v>4</v>
      </c>
      <c r="D65" s="4" t="inlineStr">
        <is>
          <t>n/a</t>
        </is>
      </c>
      <c r="E65" s="4" t="inlineStr">
        <is>
          <t>NBC legends D/E/F/H/I/J (25015-H-NBC set T1) - no printed totals on drawings</t>
        </is>
      </c>
      <c r="F65" s="5" t="n">
        <v>0</v>
      </c>
      <c r="G65" s="4" t="inlineStr">
        <is>
          <t>Legend total accepted (no independent measure)</t>
        </is>
      </c>
      <c r="H65" s="5" t="n">
        <v>4</v>
      </c>
      <c r="I65" s="4" t="inlineStr">
        <is>
          <t>M</t>
        </is>
      </c>
      <c r="J65" s="4" t="inlineStr"/>
    </row>
    <row r="66">
      <c r="A66" s="4" t="inlineStr">
        <is>
          <t>HDPE elbow 25x90</t>
        </is>
      </c>
      <c r="B66" s="4" t="inlineStr">
        <is>
          <t>EA</t>
        </is>
      </c>
      <c r="C66" s="5" t="n">
        <v>5</v>
      </c>
      <c r="D66" s="4" t="inlineStr">
        <is>
          <t>n/a</t>
        </is>
      </c>
      <c r="E66" s="4" t="inlineStr">
        <is>
          <t>NBC legends D/E/F/H/I/J (25015-H-NBC set T1) - no printed totals on drawings</t>
        </is>
      </c>
      <c r="F66" s="5" t="n">
        <v>0</v>
      </c>
      <c r="G66" s="4" t="inlineStr">
        <is>
          <t>Legend total accepted (no independent measure)</t>
        </is>
      </c>
      <c r="H66" s="5" t="n">
        <v>5</v>
      </c>
      <c r="I66" s="4" t="inlineStr">
        <is>
          <t>M</t>
        </is>
      </c>
      <c r="J66" s="4" t="inlineStr"/>
    </row>
    <row r="67">
      <c r="A67" s="4" t="inlineStr">
        <is>
          <t>Isolation valve 32</t>
        </is>
      </c>
      <c r="B67" s="4" t="inlineStr">
        <is>
          <t>EA</t>
        </is>
      </c>
      <c r="C67" s="5" t="n">
        <v>1</v>
      </c>
      <c r="D67" s="4" t="inlineStr">
        <is>
          <t>n/a</t>
        </is>
      </c>
      <c r="E67" s="4" t="inlineStr">
        <is>
          <t>NBC legends D/E/F/H/I/J (25015-H-NBC set T1) - no printed totals on drawings</t>
        </is>
      </c>
      <c r="F67" s="5" t="n">
        <v>0</v>
      </c>
      <c r="G67" s="4" t="inlineStr">
        <is>
          <t>Legend total accepted (no independent measure)</t>
        </is>
      </c>
      <c r="H67" s="5" t="n">
        <v>1</v>
      </c>
      <c r="I67" s="4" t="inlineStr">
        <is>
          <t>M</t>
        </is>
      </c>
      <c r="J67" s="4" t="inlineStr"/>
    </row>
    <row r="68">
      <c r="A68" s="4" t="inlineStr">
        <is>
          <t>Isolation valve 20</t>
        </is>
      </c>
      <c r="B68" s="4" t="inlineStr">
        <is>
          <t>EA</t>
        </is>
      </c>
      <c r="C68" s="5" t="n">
        <v>3</v>
      </c>
      <c r="D68" s="4" t="inlineStr">
        <is>
          <t>n/a</t>
        </is>
      </c>
      <c r="E68" s="4" t="inlineStr">
        <is>
          <t>NBC legends D/E/F/H/I/J (25015-H-NBC set T1) - no printed totals on drawings</t>
        </is>
      </c>
      <c r="F68" s="5" t="n">
        <v>0</v>
      </c>
      <c r="G68" s="4" t="inlineStr">
        <is>
          <t>Legend total accepted (no independent measure)</t>
        </is>
      </c>
      <c r="H68" s="5" t="n">
        <v>3</v>
      </c>
      <c r="I68" s="4" t="inlineStr">
        <is>
          <t>M</t>
        </is>
      </c>
      <c r="J68" s="4" t="inlineStr"/>
    </row>
    <row r="69">
      <c r="A69" s="4" t="inlineStr">
        <is>
          <t>B-press elbow 90 x 20</t>
        </is>
      </c>
      <c r="B69" s="4" t="inlineStr">
        <is>
          <t>EA</t>
        </is>
      </c>
      <c r="C69" s="5" t="n">
        <v>16</v>
      </c>
      <c r="D69" s="4" t="inlineStr">
        <is>
          <t>n/a</t>
        </is>
      </c>
      <c r="E69" s="4" t="inlineStr">
        <is>
          <t>NBC legends D/E/F/H/I/J (25015-H-NBC set T1) - no printed totals on drawings</t>
        </is>
      </c>
      <c r="F69" s="5" t="n">
        <v>0</v>
      </c>
      <c r="G69" s="4" t="inlineStr">
        <is>
          <t>Legend total accepted (no independent measure)</t>
        </is>
      </c>
      <c r="H69" s="5" t="n">
        <v>16</v>
      </c>
      <c r="I69" s="4" t="inlineStr">
        <is>
          <t>M</t>
        </is>
      </c>
      <c r="J69" s="4" t="inlineStr"/>
    </row>
    <row r="70">
      <c r="A70" s="4" t="inlineStr">
        <is>
          <t>B-press elbow 90 x 25</t>
        </is>
      </c>
      <c r="B70" s="4" t="inlineStr">
        <is>
          <t>EA</t>
        </is>
      </c>
      <c r="C70" s="5" t="n">
        <v>35</v>
      </c>
      <c r="D70" s="4" t="inlineStr">
        <is>
          <t>n/a</t>
        </is>
      </c>
      <c r="E70" s="4" t="inlineStr">
        <is>
          <t>NBC legends D/E/F/H/I/J (25015-H-NBC set T1) - no printed totals on drawings</t>
        </is>
      </c>
      <c r="F70" s="5" t="n">
        <v>0</v>
      </c>
      <c r="G70" s="4" t="inlineStr">
        <is>
          <t>Legend total accepted (no independent measure)</t>
        </is>
      </c>
      <c r="H70" s="5" t="n">
        <v>35</v>
      </c>
      <c r="I70" s="4" t="inlineStr">
        <is>
          <t>M</t>
        </is>
      </c>
      <c r="J70" s="4" t="inlineStr"/>
    </row>
    <row r="71">
      <c r="A71" s="4" t="inlineStr">
        <is>
          <t>B-press elbow 90 x 32</t>
        </is>
      </c>
      <c r="B71" s="4" t="inlineStr">
        <is>
          <t>EA</t>
        </is>
      </c>
      <c r="C71" s="5" t="n">
        <v>3</v>
      </c>
      <c r="D71" s="4" t="inlineStr">
        <is>
          <t>n/a</t>
        </is>
      </c>
      <c r="E71" s="4" t="inlineStr">
        <is>
          <t>NBC legends D/E/F/H/I/J (25015-H-NBC set T1) - no printed totals on drawings</t>
        </is>
      </c>
      <c r="F71" s="5" t="n">
        <v>0</v>
      </c>
      <c r="G71" s="4" t="inlineStr">
        <is>
          <t>Legend total accepted (no independent measure)</t>
        </is>
      </c>
      <c r="H71" s="5" t="n">
        <v>3</v>
      </c>
      <c r="I71" s="4" t="inlineStr">
        <is>
          <t>M</t>
        </is>
      </c>
      <c r="J71" s="4" t="inlineStr"/>
    </row>
    <row r="72">
      <c r="A72" s="4" t="inlineStr">
        <is>
          <t>B-press equal tee 20</t>
        </is>
      </c>
      <c r="B72" s="4" t="inlineStr">
        <is>
          <t>EA</t>
        </is>
      </c>
      <c r="C72" s="5" t="n">
        <v>5</v>
      </c>
      <c r="D72" s="4" t="inlineStr">
        <is>
          <t>n/a</t>
        </is>
      </c>
      <c r="E72" s="4" t="inlineStr">
        <is>
          <t>NBC legends D/E/F/H/I/J (25015-H-NBC set T1) - no printed totals on drawings</t>
        </is>
      </c>
      <c r="F72" s="5" t="n">
        <v>0</v>
      </c>
      <c r="G72" s="4" t="inlineStr">
        <is>
          <t>Legend total accepted (no independent measure)</t>
        </is>
      </c>
      <c r="H72" s="5" t="n">
        <v>5</v>
      </c>
      <c r="I72" s="4" t="inlineStr">
        <is>
          <t>M</t>
        </is>
      </c>
      <c r="J72" s="4" t="inlineStr"/>
    </row>
    <row r="73">
      <c r="A73" s="4" t="inlineStr">
        <is>
          <t>B-press equal tee 25</t>
        </is>
      </c>
      <c r="B73" s="4" t="inlineStr">
        <is>
          <t>EA</t>
        </is>
      </c>
      <c r="C73" s="5" t="n">
        <v>15</v>
      </c>
      <c r="D73" s="4" t="inlineStr">
        <is>
          <t>n/a</t>
        </is>
      </c>
      <c r="E73" s="4" t="inlineStr">
        <is>
          <t>NBC legends D/E/F/H/I/J (25015-H-NBC set T1) - no printed totals on drawings</t>
        </is>
      </c>
      <c r="F73" s="5" t="n">
        <v>0</v>
      </c>
      <c r="G73" s="4" t="inlineStr">
        <is>
          <t>Legend total accepted (no independent measure)</t>
        </is>
      </c>
      <c r="H73" s="5" t="n">
        <v>15</v>
      </c>
      <c r="I73" s="4" t="inlineStr">
        <is>
          <t>M</t>
        </is>
      </c>
      <c r="J73" s="4" t="inlineStr"/>
    </row>
    <row r="74">
      <c r="A74" s="4" t="inlineStr">
        <is>
          <t>B-press equal tee 32</t>
        </is>
      </c>
      <c r="B74" s="4" t="inlineStr">
        <is>
          <t>EA</t>
        </is>
      </c>
      <c r="C74" s="5" t="n">
        <v>1</v>
      </c>
      <c r="D74" s="4" t="inlineStr">
        <is>
          <t>n/a</t>
        </is>
      </c>
      <c r="E74" s="4" t="inlineStr">
        <is>
          <t>NBC legends D/E/F/H/I/J (25015-H-NBC set T1) - no printed totals on drawings</t>
        </is>
      </c>
      <c r="F74" s="5" t="n">
        <v>0</v>
      </c>
      <c r="G74" s="4" t="inlineStr">
        <is>
          <t>Legend total accepted (no independent measure)</t>
        </is>
      </c>
      <c r="H74" s="5" t="n">
        <v>1</v>
      </c>
      <c r="I74" s="4" t="inlineStr">
        <is>
          <t>M</t>
        </is>
      </c>
      <c r="J74" s="4" t="inlineStr"/>
    </row>
    <row r="75">
      <c r="A75" s="4" t="inlineStr">
        <is>
          <t>B-press reducing tee 32x20</t>
        </is>
      </c>
      <c r="B75" s="4" t="inlineStr">
        <is>
          <t>EA</t>
        </is>
      </c>
      <c r="C75" s="5" t="n">
        <v>1</v>
      </c>
      <c r="D75" s="4" t="inlineStr">
        <is>
          <t>n/a</t>
        </is>
      </c>
      <c r="E75" s="4" t="inlineStr">
        <is>
          <t>NBC legends D/E/F/H/I/J (25015-H-NBC set T1) - no printed totals on drawings</t>
        </is>
      </c>
      <c r="F75" s="5" t="n">
        <v>0</v>
      </c>
      <c r="G75" s="4" t="inlineStr">
        <is>
          <t>Legend total accepted (no independent measure)</t>
        </is>
      </c>
      <c r="H75" s="5" t="n">
        <v>1</v>
      </c>
      <c r="I75" s="4" t="inlineStr">
        <is>
          <t>M</t>
        </is>
      </c>
      <c r="J75" s="4" t="inlineStr"/>
    </row>
    <row r="76">
      <c r="A76" s="4" t="inlineStr">
        <is>
          <t>B-press reducing tee 32x25</t>
        </is>
      </c>
      <c r="B76" s="4" t="inlineStr">
        <is>
          <t>EA</t>
        </is>
      </c>
      <c r="C76" s="5" t="n">
        <v>2</v>
      </c>
      <c r="D76" s="4" t="inlineStr">
        <is>
          <t>n/a</t>
        </is>
      </c>
      <c r="E76" s="4" t="inlineStr">
        <is>
          <t>NBC legends D/E/F/H/I/J (25015-H-NBC set T1) - no printed totals on drawings</t>
        </is>
      </c>
      <c r="F76" s="5" t="n">
        <v>0</v>
      </c>
      <c r="G76" s="4" t="inlineStr">
        <is>
          <t>Legend total accepted (no independent measure)</t>
        </is>
      </c>
      <c r="H76" s="5" t="n">
        <v>2</v>
      </c>
      <c r="I76" s="4" t="inlineStr">
        <is>
          <t>M</t>
        </is>
      </c>
      <c r="J76" s="4" t="inlineStr"/>
    </row>
    <row r="77">
      <c r="A77" s="4" t="inlineStr">
        <is>
          <t>Poly-to-copper adapter 40x32</t>
        </is>
      </c>
      <c r="B77" s="4" t="inlineStr">
        <is>
          <t>EA</t>
        </is>
      </c>
      <c r="C77" s="5" t="n">
        <v>1</v>
      </c>
      <c r="D77" s="4" t="inlineStr">
        <is>
          <t>n/a</t>
        </is>
      </c>
      <c r="E77" s="4" t="inlineStr">
        <is>
          <t>NBC legends D/E/F/H/I/J (25015-H-NBC set T1) - no printed totals on drawings</t>
        </is>
      </c>
      <c r="F77" s="5" t="n">
        <v>0</v>
      </c>
      <c r="G77" s="4" t="inlineStr">
        <is>
          <t>Legend total accepted (no independent measure)</t>
        </is>
      </c>
      <c r="H77" s="5" t="n">
        <v>1</v>
      </c>
      <c r="I77" s="4" t="inlineStr">
        <is>
          <t>M</t>
        </is>
      </c>
      <c r="J77" s="4" t="inlineStr"/>
    </row>
    <row r="78">
      <c r="A78" s="4" t="inlineStr">
        <is>
          <t>Poly-to-copper adapter 32x32</t>
        </is>
      </c>
      <c r="B78" s="4" t="inlineStr">
        <is>
          <t>EA</t>
        </is>
      </c>
      <c r="C78" s="5" t="n">
        <v>2</v>
      </c>
      <c r="D78" s="4" t="inlineStr">
        <is>
          <t>n/a</t>
        </is>
      </c>
      <c r="E78" s="4" t="inlineStr">
        <is>
          <t>NBC legends D/E/F/H/I/J (25015-H-NBC set T1) - no printed totals on drawings</t>
        </is>
      </c>
      <c r="F78" s="5" t="n">
        <v>0</v>
      </c>
      <c r="G78" s="4" t="inlineStr">
        <is>
          <t>Legend total accepted (no independent measure)</t>
        </is>
      </c>
      <c r="H78" s="5" t="n">
        <v>2</v>
      </c>
      <c r="I78" s="4" t="inlineStr">
        <is>
          <t>M</t>
        </is>
      </c>
      <c r="J78" s="4" t="inlineStr"/>
    </row>
    <row r="79">
      <c r="A79" s="4" t="inlineStr">
        <is>
          <t>PEX-Cu crimp adapter 32</t>
        </is>
      </c>
      <c r="B79" s="4" t="inlineStr">
        <is>
          <t>EA</t>
        </is>
      </c>
      <c r="C79" s="5" t="n">
        <v>1</v>
      </c>
      <c r="D79" s="4" t="inlineStr">
        <is>
          <t>n/a</t>
        </is>
      </c>
      <c r="E79" s="4" t="inlineStr">
        <is>
          <t>NBC legends D/E/F/H/I/J (25015-H-NBC set T1) - no printed totals on drawings</t>
        </is>
      </c>
      <c r="F79" s="5" t="n">
        <v>0</v>
      </c>
      <c r="G79" s="4" t="inlineStr">
        <is>
          <t>Legend total accepted (no independent measure)</t>
        </is>
      </c>
      <c r="H79" s="5" t="n">
        <v>1</v>
      </c>
      <c r="I79" s="4" t="inlineStr">
        <is>
          <t>M</t>
        </is>
      </c>
      <c r="J79" s="4" t="inlineStr"/>
    </row>
    <row r="80">
      <c r="A80" s="4" t="inlineStr">
        <is>
          <t>PEX-Cu crimp adapter 25</t>
        </is>
      </c>
      <c r="B80" s="4" t="inlineStr">
        <is>
          <t>EA</t>
        </is>
      </c>
      <c r="C80" s="5" t="n">
        <v>14</v>
      </c>
      <c r="D80" s="4" t="inlineStr">
        <is>
          <t>n/a</t>
        </is>
      </c>
      <c r="E80" s="4" t="inlineStr">
        <is>
          <t>NBC legends D/E/F/H/I/J (25015-H-NBC set T1) - no printed totals on drawings</t>
        </is>
      </c>
      <c r="F80" s="5" t="n">
        <v>0</v>
      </c>
      <c r="G80" s="4" t="inlineStr">
        <is>
          <t>Legend total accepted (no independent measure)</t>
        </is>
      </c>
      <c r="H80" s="5" t="n">
        <v>14</v>
      </c>
      <c r="I80" s="4" t="inlineStr">
        <is>
          <t>M</t>
        </is>
      </c>
      <c r="J80" s="4" t="inlineStr"/>
    </row>
    <row r="81">
      <c r="A81" s="4" t="inlineStr">
        <is>
          <t>PEX-Cu crimp adapter 20</t>
        </is>
      </c>
      <c r="B81" s="4" t="inlineStr">
        <is>
          <t>EA</t>
        </is>
      </c>
      <c r="C81" s="5" t="n">
        <v>5</v>
      </c>
      <c r="D81" s="4" t="inlineStr">
        <is>
          <t>n/a</t>
        </is>
      </c>
      <c r="E81" s="4" t="inlineStr">
        <is>
          <t>NBC legends D/E/F/H/I/J (25015-H-NBC set T1) - no printed totals on drawings</t>
        </is>
      </c>
      <c r="F81" s="5" t="n">
        <v>0</v>
      </c>
      <c r="G81" s="4" t="inlineStr">
        <is>
          <t>Legend total accepted (no independent measure)</t>
        </is>
      </c>
      <c r="H81" s="5" t="n">
        <v>5</v>
      </c>
      <c r="I81" s="4" t="inlineStr">
        <is>
          <t>M</t>
        </is>
      </c>
      <c r="J81" s="4" t="inlineStr"/>
    </row>
    <row r="82">
      <c r="A82" s="4" t="inlineStr">
        <is>
          <t>PEX-20 elbow</t>
        </is>
      </c>
      <c r="B82" s="4" t="inlineStr">
        <is>
          <t>EA</t>
        </is>
      </c>
      <c r="C82" s="5" t="n">
        <v>104</v>
      </c>
      <c r="D82" s="4" t="inlineStr">
        <is>
          <t>n/a</t>
        </is>
      </c>
      <c r="E82" s="4" t="inlineStr">
        <is>
          <t>NBC legends D/E/F/H/I/J (25015-H-NBC set T1) - no printed totals on drawings</t>
        </is>
      </c>
      <c r="F82" s="5" t="n">
        <v>0</v>
      </c>
      <c r="G82" s="4" t="inlineStr">
        <is>
          <t>Legend total accepted (no independent measure)</t>
        </is>
      </c>
      <c r="H82" s="5" t="n">
        <v>104</v>
      </c>
      <c r="I82" s="4" t="inlineStr">
        <is>
          <t>M</t>
        </is>
      </c>
      <c r="J82" s="4" t="inlineStr"/>
    </row>
    <row r="83">
      <c r="A83" s="4" t="inlineStr">
        <is>
          <t>PEX-20 equal tee</t>
        </is>
      </c>
      <c r="B83" s="4" t="inlineStr">
        <is>
          <t>EA</t>
        </is>
      </c>
      <c r="C83" s="5" t="n">
        <v>66</v>
      </c>
      <c r="D83" s="4" t="inlineStr">
        <is>
          <t>n/a</t>
        </is>
      </c>
      <c r="E83" s="4" t="inlineStr">
        <is>
          <t>NBC legends D/E/F/H/I/J (25015-H-NBC set T1) - no printed totals on drawings</t>
        </is>
      </c>
      <c r="F83" s="5" t="n">
        <v>0</v>
      </c>
      <c r="G83" s="4" t="inlineStr">
        <is>
          <t>Legend total accepted (no independent measure)</t>
        </is>
      </c>
      <c r="H83" s="5" t="n">
        <v>66</v>
      </c>
      <c r="I83" s="4" t="inlineStr">
        <is>
          <t>M</t>
        </is>
      </c>
      <c r="J83" s="4" t="inlineStr"/>
    </row>
    <row r="84">
      <c r="A84" s="4" t="inlineStr">
        <is>
          <t>Thermostatic mixing valve (TMV)</t>
        </is>
      </c>
      <c r="B84" s="4" t="inlineStr">
        <is>
          <t>EA</t>
        </is>
      </c>
      <c r="C84" s="5" t="n">
        <v>10</v>
      </c>
      <c r="D84" s="4" t="inlineStr">
        <is>
          <t>n/a</t>
        </is>
      </c>
      <c r="E84" s="4" t="inlineStr">
        <is>
          <t>NBC legends D/E/F/H/I/J (25015-H-NBC set T1) - no printed totals on drawings</t>
        </is>
      </c>
      <c r="F84" s="5" t="n">
        <v>0</v>
      </c>
      <c r="G84" s="4" t="inlineStr">
        <is>
          <t>Legend total accepted (no independent measure)</t>
        </is>
      </c>
      <c r="H84" s="5" t="n">
        <v>10</v>
      </c>
      <c r="I84" s="4" t="inlineStr">
        <is>
          <t>M</t>
        </is>
      </c>
      <c r="J84" s="4" t="inlineStr">
        <is>
          <t>No TMV count/cabinet note found on NBC-200/201/202 in vol06_11 review - allow per warm-water groups + RFI (Opens #28).</t>
        </is>
      </c>
    </row>
    <row r="85">
      <c r="A85" s="4" t="inlineStr">
        <is>
          <t>Hose tap</t>
        </is>
      </c>
      <c r="B85" s="4" t="inlineStr">
        <is>
          <t>EA</t>
        </is>
      </c>
      <c r="C85" s="5" t="n">
        <v>4</v>
      </c>
      <c r="D85" s="5" t="n">
        <v>5</v>
      </c>
      <c r="E85" s="4" t="inlineStr">
        <is>
          <t>vol06_11: HT 4 (200) + 1 (201) + 2 (202); NBC-201 HT symbol has no legend row</t>
        </is>
      </c>
      <c r="F85" s="5" t="n">
        <v>1</v>
      </c>
      <c r="G85" s="4" t="inlineStr">
        <is>
          <t>Drawn-but-uncounted symbol on NBC-201 - adopt higher (H002 n.15)</t>
        </is>
      </c>
      <c r="H85" s="5" t="n">
        <v>5</v>
      </c>
      <c r="I85" s="4" t="inlineStr">
        <is>
          <t>M</t>
        </is>
      </c>
      <c r="J85" s="4" t="inlineStr">
        <is>
          <t>Verify - Opens #15. Backflow: GE ZB007 VBs / vertical break / single check triple-requirement (CL C8).</t>
        </is>
      </c>
    </row>
    <row r="86">
      <c r="A86" s="4" t="inlineStr">
        <is>
          <t>FHR (fire hose reel)</t>
        </is>
      </c>
      <c r="B86" s="4" t="inlineStr">
        <is>
          <t>EA</t>
        </is>
      </c>
      <c r="C86" s="5" t="n">
        <v>1</v>
      </c>
      <c r="D86" s="5" t="n">
        <v>1</v>
      </c>
      <c r="E86" s="4" t="inlineStr">
        <is>
          <t>H-NBC-202 drawn</t>
        </is>
      </c>
      <c r="F86" s="5" t="n">
        <v>0</v>
      </c>
      <c r="G86" s="4" t="inlineStr">
        <is>
          <t>Match</t>
        </is>
      </c>
      <c r="H86" s="5" t="n">
        <v>1</v>
      </c>
      <c r="I86" s="4" t="inlineStr">
        <is>
          <t>H</t>
        </is>
      </c>
      <c r="J86" s="4" t="inlineStr">
        <is>
          <t>Priced in 4.11-d; water supply source to FHR unconfirmed (CL C8/B8 context).</t>
        </is>
      </c>
    </row>
    <row r="87">
      <c r="A87" s="4" t="inlineStr">
        <is>
          <t>FB (fire blanket, kitchen)</t>
        </is>
      </c>
      <c r="B87" s="4" t="inlineStr">
        <is>
          <t>EA</t>
        </is>
      </c>
      <c r="C87" s="4" t="inlineStr">
        <is>
          <t>- (not counted)</t>
        </is>
      </c>
      <c r="D87" s="5" t="n">
        <v>1</v>
      </c>
      <c r="E87" s="4" t="inlineStr">
        <is>
          <t>H-NBC-202 drawn</t>
        </is>
      </c>
      <c r="F87" s="4" t="inlineStr">
        <is>
          <t>+1 (new)</t>
        </is>
      </c>
      <c r="G87" s="4" t="inlineStr">
        <is>
          <t>Drawn item never taken off</t>
        </is>
      </c>
      <c r="H87" s="5" t="n">
        <v>1</v>
      </c>
      <c r="I87" s="4" t="inlineStr">
        <is>
          <t>M</t>
        </is>
      </c>
      <c r="J87" s="4" t="inlineStr">
        <is>
          <t>Matrix 4.11-d prices FHR x1 + FB x1.</t>
        </is>
      </c>
    </row>
    <row r="88">
      <c r="A88" s="4" t="inlineStr">
        <is>
          <t>FE fire extinguishers 2.5kg ABE (NBC)</t>
        </is>
      </c>
      <c r="B88" s="4" t="inlineStr">
        <is>
          <t>EA</t>
        </is>
      </c>
      <c r="C88" s="4" t="inlineStr">
        <is>
          <t>- (not counted)</t>
        </is>
      </c>
      <c r="D88" s="5" t="n">
        <v>8</v>
      </c>
      <c r="E88" s="4" t="inlineStr">
        <is>
          <t>vol06_11: FE 3 (200) + 1 (201) + 4 (202)</t>
        </is>
      </c>
      <c r="F88" s="4" t="inlineStr">
        <is>
          <t>+8 (new)</t>
        </is>
      </c>
      <c r="G88" s="4" t="inlineStr">
        <is>
          <t>Drawn with no trade allocation</t>
        </is>
      </c>
      <c r="H88" s="5" t="n">
        <v>8</v>
      </c>
      <c r="I88" s="4" t="inlineStr">
        <is>
          <t>M</t>
        </is>
      </c>
      <c r="J88" s="4" t="inlineStr">
        <is>
          <t>EBC + RFI per CL B8 (VOL38 14.1 plumber prices vs note builder provides).</t>
        </is>
      </c>
    </row>
    <row r="89">
      <c r="A89" s="4" t="inlineStr">
        <is>
          <t>20mm RPZD</t>
        </is>
      </c>
      <c r="B89" s="4" t="inlineStr">
        <is>
          <t>EA</t>
        </is>
      </c>
      <c r="C89" s="5" t="n">
        <v>3</v>
      </c>
      <c r="D89" s="5" t="n">
        <v>4</v>
      </c>
      <c r="E89" s="4" t="inlineStr">
        <is>
          <t>NBC-202 shows RPZD symbols at ~4 positions (GIT washdown, canteen x2, binwash)</t>
        </is>
      </c>
      <c r="F89" s="5" t="n">
        <v>1</v>
      </c>
      <c r="G89" s="4" t="inlineStr">
        <is>
          <t>Possible 1 EA undercount - adopt higher (H002 n.15)</t>
        </is>
      </c>
      <c r="H89" s="5" t="n">
        <v>4</v>
      </c>
      <c r="I89" s="4" t="inlineStr">
        <is>
          <t>M</t>
        </is>
      </c>
      <c r="J89" s="4" t="inlineStr">
        <is>
          <t>One position may be covered by another counted device - verify (Opens #15).</t>
        </is>
      </c>
    </row>
    <row r="90">
      <c r="A90" s="4" t="inlineStr">
        <is>
          <t>20mm check valve</t>
        </is>
      </c>
      <c r="B90" s="4" t="inlineStr">
        <is>
          <t>EA</t>
        </is>
      </c>
      <c r="C90" s="5" t="n">
        <v>4</v>
      </c>
      <c r="D90" s="4" t="inlineStr">
        <is>
          <t>n/a</t>
        </is>
      </c>
      <c r="E90" s="4" t="inlineStr">
        <is>
          <t>NBC legends D/E/F/H/I/J (25015-H-NBC set T1) - no printed totals on drawings</t>
        </is>
      </c>
      <c r="F90" s="5" t="n">
        <v>0</v>
      </c>
      <c r="G90" s="4" t="inlineStr">
        <is>
          <t>Legend total accepted (no independent measure)</t>
        </is>
      </c>
      <c r="H90" s="5" t="n">
        <v>4</v>
      </c>
      <c r="I90" s="4" t="inlineStr">
        <is>
          <t>M</t>
        </is>
      </c>
      <c r="J90" s="4" t="inlineStr"/>
    </row>
    <row r="91">
      <c r="A91" s="4" t="inlineStr">
        <is>
          <t>Basket trap (water charge/self-priming)</t>
        </is>
      </c>
      <c r="B91" s="4" t="inlineStr">
        <is>
          <t>EA</t>
        </is>
      </c>
      <c r="C91" s="5" t="n">
        <v>2</v>
      </c>
      <c r="D91" s="4" t="inlineStr">
        <is>
          <t>n/a</t>
        </is>
      </c>
      <c r="E91" s="4" t="inlineStr">
        <is>
          <t>NBC legends D/E/F/H/I/J (25015-H-NBC set T1) - no printed totals on drawings</t>
        </is>
      </c>
      <c r="F91" s="5" t="n">
        <v>0</v>
      </c>
      <c r="G91" s="4" t="inlineStr">
        <is>
          <t>Legend total accepted (no independent measure)</t>
        </is>
      </c>
      <c r="H91" s="5" t="n">
        <v>2</v>
      </c>
      <c r="I91" s="4" t="inlineStr">
        <is>
          <t>M</t>
        </is>
      </c>
      <c r="J91" s="4" t="inlineStr">
        <is>
          <t>Different scope from sewer basket traps despite same name - do not merge.</t>
        </is>
      </c>
    </row>
    <row r="92">
      <c r="A92" s="4" t="inlineStr">
        <is>
          <t>Hot water pump (water layer big-ticket)</t>
        </is>
      </c>
      <c r="B92" s="4" t="inlineStr">
        <is>
          <t>EA</t>
        </is>
      </c>
      <c r="C92" s="5" t="n">
        <v>1</v>
      </c>
      <c r="D92" s="5" t="n">
        <v>0</v>
      </c>
      <c r="E92" s="4" t="inlineStr">
        <is>
          <t>vol06_11: 'Pumps: none shown' on any NBC sheet</t>
        </is>
      </c>
      <c r="F92" s="5" t="n">
        <v>0</v>
      </c>
      <c r="G92" s="4" t="inlineStr">
        <is>
          <t>Retained Denis (conservative); drawn evidence conflicts</t>
        </is>
      </c>
      <c r="H92" s="5" t="n">
        <v>1</v>
      </c>
      <c r="I92" s="4" t="inlineStr">
        <is>
          <t>L</t>
        </is>
      </c>
      <c r="J92" s="4" t="inlineStr">
        <is>
          <t>Verify what was marked (possibly HWU circulating pump at MECH-01) - Opens #15.</t>
        </is>
      </c>
    </row>
    <row r="93">
      <c r="A93" s="4" t="inlineStr">
        <is>
          <t>Rheem HWU 315L electric storage (model 61331507)</t>
        </is>
      </c>
      <c r="B93" s="4" t="inlineStr">
        <is>
          <t>EA</t>
        </is>
      </c>
      <c r="C93" s="5" t="n">
        <v>3</v>
      </c>
      <c r="D93" s="5" t="n">
        <v>2</v>
      </c>
      <c r="E93" s="4" t="inlineStr">
        <is>
          <t>H-NBC-200 (1) + H-NBC-202 (1) = 2 drawn; only one Rheem callout legible per sheet</t>
        </is>
      </c>
      <c r="F93" s="5" t="n">
        <v>-1</v>
      </c>
      <c r="G93" s="4" t="inlineStr">
        <is>
          <t>Take-off double-count across legend pages H+J (Rule 4)</t>
        </is>
      </c>
      <c r="H93" s="5" t="n">
        <v>2</v>
      </c>
      <c r="I93" s="4" t="inlineStr">
        <is>
          <t>M</t>
        </is>
      </c>
      <c r="J93" s="4" t="inlineStr">
        <is>
          <t>ADOPT 2. Workbook's orphaned AC17 block carried qty 3 - correct to 2. 'Ø100 SD FOR HOT WATER UNITS' (plural) at Amenities M noted (CL C8 item 10). Install per H-NBC-301 detail incl. safe tray, SS plinth, seismic strap.</t>
        </is>
      </c>
    </row>
    <row r="94">
      <c r="A94" s="2" t="inlineStr">
        <is>
          <t>STORMWATER (markers only - no pipe measured in this set)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4" t="inlineStr">
        <is>
          <t>'Has already measured in civil sw' markers (DP/storm connection points)</t>
        </is>
      </c>
      <c r="B95" s="4" t="inlineStr">
        <is>
          <t>EA</t>
        </is>
      </c>
      <c r="C95" s="5" t="n">
        <v>9</v>
      </c>
      <c r="D95" s="4" t="inlineStr">
        <is>
          <t>19+ / 11</t>
        </is>
      </c>
      <c r="E95" s="4" t="inlineStr">
        <is>
          <t>NBC-103 roof DPs: 19+ per clubhouse-note reading; 11 roof callouts + 12 ground labels per vol06_11</t>
        </is>
      </c>
      <c r="F95" s="4" t="inlineStr">
        <is>
          <t>see NewItems</t>
        </is>
      </c>
      <c r="G95" s="4" t="inlineStr">
        <is>
          <t>Markers are annotation, not quantity; drawn DP count exceeds markers</t>
        </is>
      </c>
      <c r="H95" s="4" t="inlineStr">
        <is>
          <t>see NewItems #5</t>
        </is>
      </c>
      <c r="I95" s="4" t="inlineStr">
        <is>
          <t>L</t>
        </is>
      </c>
      <c r="J95" s="4" t="inlineStr">
        <is>
          <t>DP in-ground connection stubs adopted at 19 EA in NewItems #5 (RFI on count). TPS stub scope ends at 'CONNECT TO CIVIL' (interface L2).</t>
        </is>
      </c>
    </row>
  </sheetData>
  <mergeCells count="5">
    <mergeCell ref="A94:J94"/>
    <mergeCell ref="A55:J55"/>
    <mergeCell ref="A24:J24"/>
    <mergeCell ref="A2:J2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13" customWidth="1" min="3" max="3"/>
    <col width="15" customWidth="1" min="4" max="4"/>
    <col width="38" customWidth="1" min="5" max="5"/>
    <col width="14" customWidth="1" min="6" max="6"/>
    <col width="36" customWidth="1" min="7" max="7"/>
    <col width="13" customWidth="1" min="8" max="8"/>
    <col width="11" customWidth="1" min="9" max="9"/>
    <col width="62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Denis qty</t>
        </is>
      </c>
      <c r="D1" s="1" t="inlineStr">
        <is>
          <t>Independent qty</t>
        </is>
      </c>
      <c r="E1" s="1" t="inlineStr">
        <is>
          <t>Independent source (doc + sheet ref)</t>
        </is>
      </c>
      <c r="F1" s="1" t="inlineStr">
        <is>
          <t>Variance (Adopted - Denis)</t>
        </is>
      </c>
      <c r="G1" s="1" t="inlineStr">
        <is>
          <t>Variance reason</t>
        </is>
      </c>
      <c r="H1" s="1" t="inlineStr">
        <is>
          <t>ADOPTED qty</t>
        </is>
      </c>
      <c r="I1" s="1" t="inlineStr">
        <is>
          <t>Confidence (H/M/L)</t>
        </is>
      </c>
      <c r="J1" s="1" t="inlineStr">
        <is>
          <t>Notes</t>
        </is>
      </c>
    </row>
    <row r="2">
      <c r="A2" s="2" t="inlineStr">
        <is>
          <t>SANITARY DRAINAGE (PAM-100 + 0.45 m pick-up on PAM-200)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DWV PVC 100 SN6 sewer</t>
        </is>
      </c>
      <c r="B3" s="4" t="inlineStr">
        <is>
          <t>m</t>
        </is>
      </c>
      <c r="C3" s="5" t="n">
        <v>61.16</v>
      </c>
      <c r="D3" s="4" t="inlineStr">
        <is>
          <t>n/a</t>
        </is>
      </c>
      <c r="E3" s="4" t="inlineStr">
        <is>
          <t>PAM legends D/F (25015-H-PAM set T1) - no printed totals on drawings</t>
        </is>
      </c>
      <c r="F3" s="5" t="n">
        <v>0</v>
      </c>
      <c r="G3" s="4" t="inlineStr">
        <is>
          <t>Legend total accepted (no independent measure)</t>
        </is>
      </c>
      <c r="H3" s="5" t="n">
        <v>61.16</v>
      </c>
      <c r="I3" s="4" t="inlineStr">
        <is>
          <t>M</t>
        </is>
      </c>
      <c r="J3" s="4" t="inlineStr">
        <is>
          <t>60.71 (plan D) + 0.45 (plan F, HWU safe-tray waste zone) - single count, no double-up confirmed.</t>
        </is>
      </c>
    </row>
    <row r="4">
      <c r="A4" s="4" t="inlineStr">
        <is>
          <t>DWV PVC 50 SN8</t>
        </is>
      </c>
      <c r="B4" s="4" t="inlineStr">
        <is>
          <t>m</t>
        </is>
      </c>
      <c r="C4" s="5" t="n">
        <v>6.93</v>
      </c>
      <c r="D4" s="4" t="inlineStr">
        <is>
          <t>n/a</t>
        </is>
      </c>
      <c r="E4" s="4" t="inlineStr">
        <is>
          <t>PAM legends D/F (25015-H-PAM set T1) - no printed totals on drawings</t>
        </is>
      </c>
      <c r="F4" s="5" t="n">
        <v>0</v>
      </c>
      <c r="G4" s="4" t="inlineStr">
        <is>
          <t>Legend total accepted (no independent measure)</t>
        </is>
      </c>
      <c r="H4" s="5" t="n">
        <v>6.93</v>
      </c>
      <c r="I4" s="4" t="inlineStr">
        <is>
          <t>M</t>
        </is>
      </c>
      <c r="J4" s="4" t="inlineStr"/>
    </row>
    <row r="5">
      <c r="A5" s="4" t="inlineStr">
        <is>
          <t>DWV bend 100x90</t>
        </is>
      </c>
      <c r="B5" s="4" t="inlineStr">
        <is>
          <t>EA</t>
        </is>
      </c>
      <c r="C5" s="5" t="n">
        <v>21</v>
      </c>
      <c r="D5" s="4" t="inlineStr">
        <is>
          <t>n/a</t>
        </is>
      </c>
      <c r="E5" s="4" t="inlineStr">
        <is>
          <t>PAM legends D/F (25015-H-PAM set T1) - no printed totals on drawings</t>
        </is>
      </c>
      <c r="F5" s="5" t="n">
        <v>0</v>
      </c>
      <c r="G5" s="4" t="inlineStr">
        <is>
          <t>Legend total accepted (no independent measure)</t>
        </is>
      </c>
      <c r="H5" s="5" t="n">
        <v>21</v>
      </c>
      <c r="I5" s="4" t="inlineStr">
        <is>
          <t>M</t>
        </is>
      </c>
      <c r="J5" s="4" t="inlineStr"/>
    </row>
    <row r="6">
      <c r="A6" s="4" t="inlineStr">
        <is>
          <t>DWV bend 100x45</t>
        </is>
      </c>
      <c r="B6" s="4" t="inlineStr">
        <is>
          <t>EA</t>
        </is>
      </c>
      <c r="C6" s="5" t="n">
        <v>21</v>
      </c>
      <c r="D6" s="4" t="inlineStr">
        <is>
          <t>n/a</t>
        </is>
      </c>
      <c r="E6" s="4" t="inlineStr">
        <is>
          <t>PAM legends D/F (25015-H-PAM set T1) - no printed totals on drawings</t>
        </is>
      </c>
      <c r="F6" s="5" t="n">
        <v>0</v>
      </c>
      <c r="G6" s="4" t="inlineStr">
        <is>
          <t>Legend total accepted (no independent measure)</t>
        </is>
      </c>
      <c r="H6" s="5" t="n">
        <v>21</v>
      </c>
      <c r="I6" s="4" t="inlineStr">
        <is>
          <t>M</t>
        </is>
      </c>
      <c r="J6" s="4" t="inlineStr"/>
    </row>
    <row r="7">
      <c r="A7" s="4" t="inlineStr">
        <is>
          <t>DWV junction 100x45</t>
        </is>
      </c>
      <c r="B7" s="4" t="inlineStr">
        <is>
          <t>EA</t>
        </is>
      </c>
      <c r="C7" s="5" t="n">
        <v>22</v>
      </c>
      <c r="D7" s="4" t="inlineStr">
        <is>
          <t>n/a</t>
        </is>
      </c>
      <c r="E7" s="4" t="inlineStr">
        <is>
          <t>PAM legends D/F (25015-H-PAM set T1) - no printed totals on drawings</t>
        </is>
      </c>
      <c r="F7" s="5" t="n">
        <v>0</v>
      </c>
      <c r="G7" s="4" t="inlineStr">
        <is>
          <t>Legend total accepted (no independent measure)</t>
        </is>
      </c>
      <c r="H7" s="5" t="n">
        <v>22</v>
      </c>
      <c r="I7" s="4" t="inlineStr">
        <is>
          <t>M</t>
        </is>
      </c>
      <c r="J7" s="4" t="inlineStr"/>
    </row>
    <row r="8">
      <c r="A8" s="4" t="inlineStr">
        <is>
          <t>DWV bend 50x85</t>
        </is>
      </c>
      <c r="B8" s="4" t="inlineStr">
        <is>
          <t>EA</t>
        </is>
      </c>
      <c r="C8" s="5" t="n">
        <v>4</v>
      </c>
      <c r="D8" s="4" t="inlineStr">
        <is>
          <t>n/a</t>
        </is>
      </c>
      <c r="E8" s="4" t="inlineStr">
        <is>
          <t>PAM legends D/F (25015-H-PAM set T1) - no printed totals on drawings</t>
        </is>
      </c>
      <c r="F8" s="5" t="n">
        <v>0</v>
      </c>
      <c r="G8" s="4" t="inlineStr">
        <is>
          <t>Legend total accepted (no independent measure)</t>
        </is>
      </c>
      <c r="H8" s="5" t="n">
        <v>4</v>
      </c>
      <c r="I8" s="4" t="inlineStr">
        <is>
          <t>M</t>
        </is>
      </c>
      <c r="J8" s="4" t="inlineStr"/>
    </row>
    <row r="9">
      <c r="A9" s="4" t="inlineStr">
        <is>
          <t>DWV bend 50x45</t>
        </is>
      </c>
      <c r="B9" s="4" t="inlineStr">
        <is>
          <t>EA</t>
        </is>
      </c>
      <c r="C9" s="5" t="n">
        <v>2</v>
      </c>
      <c r="D9" s="4" t="inlineStr">
        <is>
          <t>n/a</t>
        </is>
      </c>
      <c r="E9" s="4" t="inlineStr">
        <is>
          <t>PAM legends D/F (25015-H-PAM set T1) - no printed totals on drawings</t>
        </is>
      </c>
      <c r="F9" s="5" t="n">
        <v>0</v>
      </c>
      <c r="G9" s="4" t="inlineStr">
        <is>
          <t>Legend total accepted (no independent measure)</t>
        </is>
      </c>
      <c r="H9" s="5" t="n">
        <v>2</v>
      </c>
      <c r="I9" s="4" t="inlineStr">
        <is>
          <t>M</t>
        </is>
      </c>
      <c r="J9" s="4" t="inlineStr"/>
    </row>
    <row r="10">
      <c r="A10" s="4" t="inlineStr">
        <is>
          <t>DWV reducer 100x65</t>
        </is>
      </c>
      <c r="B10" s="4" t="inlineStr">
        <is>
          <t>EA</t>
        </is>
      </c>
      <c r="C10" s="5" t="n">
        <v>1</v>
      </c>
      <c r="D10" s="4" t="inlineStr">
        <is>
          <t>n/a</t>
        </is>
      </c>
      <c r="E10" s="4" t="inlineStr">
        <is>
          <t>PAM legends D/F (25015-H-PAM set T1) - no printed totals on drawings</t>
        </is>
      </c>
      <c r="F10" s="5" t="n">
        <v>0</v>
      </c>
      <c r="G10" s="4" t="inlineStr">
        <is>
          <t>Legend total accepted (no independent measure)</t>
        </is>
      </c>
      <c r="H10" s="5" t="n">
        <v>1</v>
      </c>
      <c r="I10" s="4" t="inlineStr">
        <is>
          <t>M</t>
        </is>
      </c>
      <c r="J10" s="4" t="inlineStr"/>
    </row>
    <row r="11">
      <c r="A11" s="4" t="inlineStr">
        <is>
          <t>DWV reducer 100x50</t>
        </is>
      </c>
      <c r="B11" s="4" t="inlineStr">
        <is>
          <t>EA</t>
        </is>
      </c>
      <c r="C11" s="5" t="n">
        <v>1</v>
      </c>
      <c r="D11" s="4" t="inlineStr">
        <is>
          <t>n/a</t>
        </is>
      </c>
      <c r="E11" s="4" t="inlineStr">
        <is>
          <t>PAM legends D/F (25015-H-PAM set T1) - no printed totals on drawings</t>
        </is>
      </c>
      <c r="F11" s="5" t="n">
        <v>0</v>
      </c>
      <c r="G11" s="4" t="inlineStr">
        <is>
          <t>Legend total accepted (no independent measure)</t>
        </is>
      </c>
      <c r="H11" s="5" t="n">
        <v>1</v>
      </c>
      <c r="I11" s="4" t="inlineStr">
        <is>
          <t>M</t>
        </is>
      </c>
      <c r="J11" s="4" t="inlineStr"/>
    </row>
    <row r="12">
      <c r="A12" s="4" t="inlineStr">
        <is>
          <t>100mm ORG</t>
        </is>
      </c>
      <c r="B12" s="4" t="inlineStr">
        <is>
          <t>EA</t>
        </is>
      </c>
      <c r="C12" s="5" t="n">
        <v>1</v>
      </c>
      <c r="D12" s="5" t="n">
        <v>1</v>
      </c>
      <c r="E12" s="4" t="inlineStr">
        <is>
          <t>H-PAM-100 drawn (1 ORG)</t>
        </is>
      </c>
      <c r="F12" s="5" t="n">
        <v>0</v>
      </c>
      <c r="G12" s="4" t="inlineStr">
        <is>
          <t>Match</t>
        </is>
      </c>
      <c r="H12" s="5" t="n">
        <v>1</v>
      </c>
      <c r="I12" s="4" t="inlineStr">
        <is>
          <t>H</t>
        </is>
      </c>
      <c r="J12" s="4" t="inlineStr"/>
    </row>
    <row r="13">
      <c r="A13" s="4" t="inlineStr">
        <is>
          <t>In-wall tundish</t>
        </is>
      </c>
      <c r="B13" s="4" t="inlineStr">
        <is>
          <t>EA</t>
        </is>
      </c>
      <c r="C13" s="5" t="n">
        <v>2</v>
      </c>
      <c r="D13" s="5" t="n">
        <v>2</v>
      </c>
      <c r="E13" s="4" t="inlineStr">
        <is>
          <t>vol06_11: IWTD x1 + TD (HWS tray) x1 = 2 tundish-type</t>
        </is>
      </c>
      <c r="F13" s="5" t="n">
        <v>0</v>
      </c>
      <c r="G13" s="4" t="inlineStr">
        <is>
          <t>Match</t>
        </is>
      </c>
      <c r="H13" s="5" t="n">
        <v>2</v>
      </c>
      <c r="I13" s="4" t="inlineStr">
        <is>
          <t>M</t>
        </is>
      </c>
      <c r="J13" s="4" t="inlineStr"/>
    </row>
    <row r="14">
      <c r="A14" s="4" t="inlineStr">
        <is>
          <t>100 exp/knuckle joint</t>
        </is>
      </c>
      <c r="B14" s="4" t="inlineStr">
        <is>
          <t>EA</t>
        </is>
      </c>
      <c r="C14" s="5" t="n">
        <v>1</v>
      </c>
      <c r="D14" s="4" t="inlineStr">
        <is>
          <t>n/a</t>
        </is>
      </c>
      <c r="E14" s="4" t="inlineStr">
        <is>
          <t>PAM legends D/F (25015-H-PAM set T1) - no printed totals on drawings</t>
        </is>
      </c>
      <c r="F14" s="5" t="n">
        <v>0</v>
      </c>
      <c r="G14" s="4" t="inlineStr">
        <is>
          <t>Legend total accepted (no independent measure)</t>
        </is>
      </c>
      <c r="H14" s="5" t="n">
        <v>1</v>
      </c>
      <c r="I14" s="4" t="inlineStr">
        <is>
          <t>M</t>
        </is>
      </c>
      <c r="J14" s="4" t="inlineStr">
        <is>
          <t>H1 'P' articulation allowance additional - NewItems #12.</t>
        </is>
      </c>
    </row>
    <row r="15">
      <c r="A15" s="4" t="inlineStr">
        <is>
          <t>100 4-way riser (2x40)(2x50)</t>
        </is>
      </c>
      <c r="B15" s="4" t="inlineStr">
        <is>
          <t>EA</t>
        </is>
      </c>
      <c r="C15" s="5" t="n">
        <v>2</v>
      </c>
      <c r="D15" s="4" t="inlineStr">
        <is>
          <t>n/a</t>
        </is>
      </c>
      <c r="E15" s="4" t="inlineStr">
        <is>
          <t>PAM legends D/F (25015-H-PAM set T1) - no printed totals on drawings</t>
        </is>
      </c>
      <c r="F15" s="5" t="n">
        <v>0</v>
      </c>
      <c r="G15" s="4" t="inlineStr">
        <is>
          <t>Legend total accepted (no independent measure)</t>
        </is>
      </c>
      <c r="H15" s="5" t="n">
        <v>2</v>
      </c>
      <c r="I15" s="4" t="inlineStr">
        <is>
          <t>M</t>
        </is>
      </c>
      <c r="J15" s="4" t="inlineStr"/>
    </row>
    <row r="16">
      <c r="A16" s="4" t="inlineStr">
        <is>
          <t>100mm clear out</t>
        </is>
      </c>
      <c r="B16" s="4" t="inlineStr">
        <is>
          <t>EA</t>
        </is>
      </c>
      <c r="C16" s="5" t="n">
        <v>6</v>
      </c>
      <c r="D16" s="5" t="n">
        <v>7</v>
      </c>
      <c r="E16" s="4" t="inlineStr">
        <is>
          <t>PAM-100 text layer: 7 'CO' annotations along WC bank + PWD</t>
        </is>
      </c>
      <c r="F16" s="5" t="n">
        <v>1</v>
      </c>
      <c r="G16" s="4" t="inlineStr">
        <is>
          <t>Drawing shows 7 vs 6 counted - adopt higher (H002 n.15)</t>
        </is>
      </c>
      <c r="H16" s="5" t="n">
        <v>7</v>
      </c>
      <c r="I16" s="4" t="inlineStr">
        <is>
          <t>M</t>
        </is>
      </c>
      <c r="J16" s="4" t="inlineStr">
        <is>
          <t>Delta = 1 x Ø100 CO - Denis verify (Opens #16).</t>
        </is>
      </c>
    </row>
    <row r="17">
      <c r="A17" s="4" t="inlineStr">
        <is>
          <t>FWG</t>
        </is>
      </c>
      <c r="B17" s="4" t="inlineStr">
        <is>
          <t>EA</t>
        </is>
      </c>
      <c r="C17" s="5" t="n">
        <v>3</v>
      </c>
      <c r="D17" s="5" t="n">
        <v>4</v>
      </c>
      <c r="E17" s="4" t="inlineStr">
        <is>
          <t>vol06_11: FWG x4 drawn on H-PAM-100</t>
        </is>
      </c>
      <c r="F17" s="5" t="n">
        <v>1</v>
      </c>
      <c r="G17" s="4" t="inlineStr">
        <is>
          <t>Drawn 4 vs counted 3 - adopt higher (Rule 6 feed)</t>
        </is>
      </c>
      <c r="H17" s="5" t="n">
        <v>4</v>
      </c>
      <c r="I17" s="4" t="inlineStr">
        <is>
          <t>M</t>
        </is>
      </c>
      <c r="J17" s="4" t="inlineStr"/>
    </row>
    <row r="18">
      <c r="A18" s="2" t="inlineStr">
        <is>
          <t>VENT (verticals NOT included - see NewItems #8)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4" t="inlineStr">
        <is>
          <t>DWV PVC 65 SN6 vent (horizontal plan run)</t>
        </is>
      </c>
      <c r="B19" s="4" t="inlineStr">
        <is>
          <t>m</t>
        </is>
      </c>
      <c r="C19" s="5" t="n">
        <v>1.93</v>
      </c>
      <c r="D19" s="4" t="inlineStr">
        <is>
          <t>n/a</t>
        </is>
      </c>
      <c r="E19" s="4" t="inlineStr">
        <is>
          <t>PAM legends D/F (25015-H-PAM set T1) - no printed totals on drawings</t>
        </is>
      </c>
      <c r="F19" s="5" t="n">
        <v>0</v>
      </c>
      <c r="G19" s="4" t="inlineStr">
        <is>
          <t>Legend total accepted (no independent measure)</t>
        </is>
      </c>
      <c r="H19" s="5" t="n">
        <v>1.93</v>
      </c>
      <c r="I19" s="4" t="inlineStr">
        <is>
          <t>M</t>
        </is>
      </c>
      <c r="J19" s="4" t="inlineStr">
        <is>
          <t>Plan-view only; Ø65 VP riser to above roof unmeasured - NewItems #8.</t>
        </is>
      </c>
    </row>
    <row r="20">
      <c r="A20" s="4" t="inlineStr">
        <is>
          <t>DWV bend 65x90 (vent)</t>
        </is>
      </c>
      <c r="B20" s="4" t="inlineStr">
        <is>
          <t>EA</t>
        </is>
      </c>
      <c r="C20" s="5" t="n">
        <v>1</v>
      </c>
      <c r="D20" s="4" t="inlineStr">
        <is>
          <t>n/a</t>
        </is>
      </c>
      <c r="E20" s="4" t="inlineStr">
        <is>
          <t>PAM legends D/F (25015-H-PAM set T1) - no printed totals on drawings</t>
        </is>
      </c>
      <c r="F20" s="5" t="n">
        <v>0</v>
      </c>
      <c r="G20" s="4" t="inlineStr">
        <is>
          <t>Legend total accepted (no independent measure)</t>
        </is>
      </c>
      <c r="H20" s="5" t="n">
        <v>1</v>
      </c>
      <c r="I20" s="4" t="inlineStr">
        <is>
          <t>M</t>
        </is>
      </c>
      <c r="J20" s="4" t="inlineStr"/>
    </row>
    <row r="21">
      <c r="A21" s="4" t="inlineStr">
        <is>
          <t>DWV bend 65x45 (vent)</t>
        </is>
      </c>
      <c r="B21" s="4" t="inlineStr">
        <is>
          <t>EA</t>
        </is>
      </c>
      <c r="C21" s="5" t="n">
        <v>1</v>
      </c>
      <c r="D21" s="4" t="inlineStr">
        <is>
          <t>n/a</t>
        </is>
      </c>
      <c r="E21" s="4" t="inlineStr">
        <is>
          <t>PAM legends D/F (25015-H-PAM set T1) - no printed totals on drawings</t>
        </is>
      </c>
      <c r="F21" s="5" t="n">
        <v>0</v>
      </c>
      <c r="G21" s="4" t="inlineStr">
        <is>
          <t>Legend total accepted (no independent measure)</t>
        </is>
      </c>
      <c r="H21" s="5" t="n">
        <v>1</v>
      </c>
      <c r="I21" s="4" t="inlineStr">
        <is>
          <t>M</t>
        </is>
      </c>
      <c r="J21" s="4" t="inlineStr"/>
    </row>
    <row r="22">
      <c r="A22" s="2" t="inlineStr">
        <is>
          <t>WATER (PAM-200) - WS2 spec: &gt;DN22 = 316 SS press-fit; copper measured (price both ways per locked 5.5 / CL C9)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4" t="inlineStr">
        <is>
          <t>40 PE100 PN16 blue stripe (inground CW entry)</t>
        </is>
      </c>
      <c r="B23" s="4" t="inlineStr">
        <is>
          <t>m</t>
        </is>
      </c>
      <c r="C23" s="5" t="n">
        <v>3.27</v>
      </c>
      <c r="D23" s="4" t="inlineStr">
        <is>
          <t>n/a</t>
        </is>
      </c>
      <c r="E23" s="4" t="inlineStr">
        <is>
          <t>PAM legends D/F (25015-H-PAM set T1) - no printed totals on drawings</t>
        </is>
      </c>
      <c r="F23" s="5" t="n">
        <v>0</v>
      </c>
      <c r="G23" s="4" t="inlineStr">
        <is>
          <t>Legend total accepted (no independent measure)</t>
        </is>
      </c>
      <c r="H23" s="5" t="n">
        <v>3.27</v>
      </c>
      <c r="I23" s="4" t="inlineStr">
        <is>
          <t>M</t>
        </is>
      </c>
      <c r="J23" s="4" t="inlineStr"/>
    </row>
    <row r="24">
      <c r="A24" s="4" t="inlineStr">
        <is>
          <t>Copper tube Type B 32</t>
        </is>
      </c>
      <c r="B24" s="4" t="inlineStr">
        <is>
          <t>m</t>
        </is>
      </c>
      <c r="C24" s="5" t="n">
        <v>9.56</v>
      </c>
      <c r="D24" s="4" t="inlineStr">
        <is>
          <t>n/a</t>
        </is>
      </c>
      <c r="E24" s="4" t="inlineStr">
        <is>
          <t>PAM legends D/F (25015-H-PAM set T1) - no printed totals on drawings</t>
        </is>
      </c>
      <c r="F24" s="5" t="n">
        <v>0</v>
      </c>
      <c r="G24" s="4" t="inlineStr">
        <is>
          <t>Legend total accepted (no independent measure)</t>
        </is>
      </c>
      <c r="H24" s="5" t="n">
        <v>9.56</v>
      </c>
      <c r="I24" s="4" t="inlineStr">
        <is>
          <t>M</t>
        </is>
      </c>
      <c r="J24" s="4" t="inlineStr">
        <is>
          <t>WS2 deviation - stainless conforming + copper alternate (Opens #17).</t>
        </is>
      </c>
    </row>
    <row r="25">
      <c r="A25" s="4" t="inlineStr">
        <is>
          <t>Copper tube Type B 25</t>
        </is>
      </c>
      <c r="B25" s="4" t="inlineStr">
        <is>
          <t>m</t>
        </is>
      </c>
      <c r="C25" s="5" t="n">
        <v>26.9</v>
      </c>
      <c r="D25" s="4" t="inlineStr">
        <is>
          <t>n/a</t>
        </is>
      </c>
      <c r="E25" s="4" t="inlineStr">
        <is>
          <t>PAM legends D/F (25015-H-PAM set T1) - no printed totals on drawings</t>
        </is>
      </c>
      <c r="F25" s="5" t="n">
        <v>0</v>
      </c>
      <c r="G25" s="4" t="inlineStr">
        <is>
          <t>Legend total accepted (no independent measure)</t>
        </is>
      </c>
      <c r="H25" s="5" t="n">
        <v>26.9</v>
      </c>
      <c r="I25" s="4" t="inlineStr">
        <is>
          <t>M</t>
        </is>
      </c>
      <c r="J25" s="4" t="inlineStr">
        <is>
          <t>WS2 deviation - as above.</t>
        </is>
      </c>
    </row>
    <row r="26">
      <c r="A26" s="4" t="inlineStr">
        <is>
          <t>Copper tube Type B 20</t>
        </is>
      </c>
      <c r="B26" s="4" t="inlineStr">
        <is>
          <t>m</t>
        </is>
      </c>
      <c r="C26" s="5" t="n">
        <v>0.96</v>
      </c>
      <c r="D26" s="4" t="inlineStr">
        <is>
          <t>n/a</t>
        </is>
      </c>
      <c r="E26" s="4" t="inlineStr">
        <is>
          <t>PAM legends D/F (25015-H-PAM set T1) - no printed totals on drawings</t>
        </is>
      </c>
      <c r="F26" s="5" t="n">
        <v>0</v>
      </c>
      <c r="G26" s="4" t="inlineStr">
        <is>
          <t>Legend total accepted (no independent measure)</t>
        </is>
      </c>
      <c r="H26" s="5" t="n">
        <v>0.96</v>
      </c>
      <c r="I26" s="4" t="inlineStr">
        <is>
          <t>M</t>
        </is>
      </c>
      <c r="J26" s="4" t="inlineStr">
        <is>
          <t>Very short measure - position not pinpointed (Opens #16).</t>
        </is>
      </c>
    </row>
    <row r="27">
      <c r="A27" s="4" t="inlineStr">
        <is>
          <t>20 PEX pipe black (cold)</t>
        </is>
      </c>
      <c r="B27" s="4" t="inlineStr">
        <is>
          <t>m</t>
        </is>
      </c>
      <c r="C27" s="5" t="n">
        <v>18.86</v>
      </c>
      <c r="D27" s="4" t="inlineStr">
        <is>
          <t>n/a</t>
        </is>
      </c>
      <c r="E27" s="4" t="inlineStr">
        <is>
          <t>PAM legends D/F (25015-H-PAM set T1) - no printed totals on drawings</t>
        </is>
      </c>
      <c r="F27" s="5" t="n">
        <v>0</v>
      </c>
      <c r="G27" s="4" t="inlineStr">
        <is>
          <t>Legend total accepted (no independent measure)</t>
        </is>
      </c>
      <c r="H27" s="5" t="n">
        <v>18.86</v>
      </c>
      <c r="I27" s="4" t="inlineStr">
        <is>
          <t>M</t>
        </is>
      </c>
      <c r="J27" s="4" t="inlineStr"/>
    </row>
    <row r="28">
      <c r="A28" s="4" t="inlineStr">
        <is>
          <t>20 PEX pipe red (hot/warm)</t>
        </is>
      </c>
      <c r="B28" s="4" t="inlineStr">
        <is>
          <t>m</t>
        </is>
      </c>
      <c r="C28" s="5" t="n">
        <v>5.89</v>
      </c>
      <c r="D28" s="4" t="inlineStr">
        <is>
          <t>n/a</t>
        </is>
      </c>
      <c r="E28" s="4" t="inlineStr">
        <is>
          <t>PAM legends D/F (25015-H-PAM set T1) - no printed totals on drawings</t>
        </is>
      </c>
      <c r="F28" s="5" t="n">
        <v>0</v>
      </c>
      <c r="G28" s="4" t="inlineStr">
        <is>
          <t>Legend total accepted (no independent measure)</t>
        </is>
      </c>
      <c r="H28" s="5" t="n">
        <v>5.89</v>
      </c>
      <c r="I28" s="4" t="inlineStr">
        <is>
          <t>M</t>
        </is>
      </c>
      <c r="J28" s="4" t="inlineStr"/>
    </row>
    <row r="29">
      <c r="A29" s="4" t="inlineStr">
        <is>
          <t>B-press elbow 90 x 20</t>
        </is>
      </c>
      <c r="B29" s="4" t="inlineStr">
        <is>
          <t>EA</t>
        </is>
      </c>
      <c r="C29" s="5" t="n">
        <v>2</v>
      </c>
      <c r="D29" s="4" t="inlineStr">
        <is>
          <t>n/a</t>
        </is>
      </c>
      <c r="E29" s="4" t="inlineStr">
        <is>
          <t>PAM legends D/F (25015-H-PAM set T1) - no printed totals on drawings</t>
        </is>
      </c>
      <c r="F29" s="5" t="n">
        <v>0</v>
      </c>
      <c r="G29" s="4" t="inlineStr">
        <is>
          <t>Legend total accepted (no independent measure)</t>
        </is>
      </c>
      <c r="H29" s="5" t="n">
        <v>2</v>
      </c>
      <c r="I29" s="4" t="inlineStr">
        <is>
          <t>M</t>
        </is>
      </c>
      <c r="J29" s="4" t="inlineStr"/>
    </row>
    <row r="30">
      <c r="A30" s="4" t="inlineStr">
        <is>
          <t>B-press reducing coupling 25x20</t>
        </is>
      </c>
      <c r="B30" s="4" t="inlineStr">
        <is>
          <t>EA</t>
        </is>
      </c>
      <c r="C30" s="5" t="n">
        <v>1</v>
      </c>
      <c r="D30" s="4" t="inlineStr">
        <is>
          <t>n/a</t>
        </is>
      </c>
      <c r="E30" s="4" t="inlineStr">
        <is>
          <t>PAM legends D/F (25015-H-PAM set T1) - no printed totals on drawings</t>
        </is>
      </c>
      <c r="F30" s="5" t="n">
        <v>0</v>
      </c>
      <c r="G30" s="4" t="inlineStr">
        <is>
          <t>Legend total accepted (no independent measure)</t>
        </is>
      </c>
      <c r="H30" s="5" t="n">
        <v>1</v>
      </c>
      <c r="I30" s="4" t="inlineStr">
        <is>
          <t>M</t>
        </is>
      </c>
      <c r="J30" s="4" t="inlineStr"/>
    </row>
    <row r="31">
      <c r="A31" s="4" t="inlineStr">
        <is>
          <t>B-press equal tee 32</t>
        </is>
      </c>
      <c r="B31" s="4" t="inlineStr">
        <is>
          <t>EA</t>
        </is>
      </c>
      <c r="C31" s="5" t="n">
        <v>1</v>
      </c>
      <c r="D31" s="4" t="inlineStr">
        <is>
          <t>n/a</t>
        </is>
      </c>
      <c r="E31" s="4" t="inlineStr">
        <is>
          <t>PAM legends D/F (25015-H-PAM set T1) - no printed totals on drawings</t>
        </is>
      </c>
      <c r="F31" s="5" t="n">
        <v>0</v>
      </c>
      <c r="G31" s="4" t="inlineStr">
        <is>
          <t>Legend total accepted (no independent measure)</t>
        </is>
      </c>
      <c r="H31" s="5" t="n">
        <v>1</v>
      </c>
      <c r="I31" s="4" t="inlineStr">
        <is>
          <t>M</t>
        </is>
      </c>
      <c r="J31" s="4" t="inlineStr"/>
    </row>
    <row r="32">
      <c r="A32" s="4" t="inlineStr">
        <is>
          <t>B-press reducing tee 32x25</t>
        </is>
      </c>
      <c r="B32" s="4" t="inlineStr">
        <is>
          <t>EA</t>
        </is>
      </c>
      <c r="C32" s="5" t="n">
        <v>2</v>
      </c>
      <c r="D32" s="4" t="inlineStr">
        <is>
          <t>n/a</t>
        </is>
      </c>
      <c r="E32" s="4" t="inlineStr">
        <is>
          <t>PAM legends D/F (25015-H-PAM set T1) - no printed totals on drawings</t>
        </is>
      </c>
      <c r="F32" s="5" t="n">
        <v>0</v>
      </c>
      <c r="G32" s="4" t="inlineStr">
        <is>
          <t>Legend total accepted (no independent measure)</t>
        </is>
      </c>
      <c r="H32" s="5" t="n">
        <v>2</v>
      </c>
      <c r="I32" s="4" t="inlineStr">
        <is>
          <t>M</t>
        </is>
      </c>
      <c r="J32" s="4" t="inlineStr"/>
    </row>
    <row r="33">
      <c r="A33" s="4" t="inlineStr">
        <is>
          <t>B-press elbow 90 x 32</t>
        </is>
      </c>
      <c r="B33" s="4" t="inlineStr">
        <is>
          <t>EA</t>
        </is>
      </c>
      <c r="C33" s="5" t="n">
        <v>1</v>
      </c>
      <c r="D33" s="4" t="inlineStr">
        <is>
          <t>n/a</t>
        </is>
      </c>
      <c r="E33" s="4" t="inlineStr">
        <is>
          <t>PAM legends D/F (25015-H-PAM set T1) - no printed totals on drawings</t>
        </is>
      </c>
      <c r="F33" s="5" t="n">
        <v>0</v>
      </c>
      <c r="G33" s="4" t="inlineStr">
        <is>
          <t>Legend total accepted (no independent measure)</t>
        </is>
      </c>
      <c r="H33" s="5" t="n">
        <v>1</v>
      </c>
      <c r="I33" s="4" t="inlineStr">
        <is>
          <t>M</t>
        </is>
      </c>
      <c r="J33" s="4" t="inlineStr"/>
    </row>
    <row r="34">
      <c r="A34" s="4" t="inlineStr">
        <is>
          <t>B-press elbow 90 x 25</t>
        </is>
      </c>
      <c r="B34" s="4" t="inlineStr">
        <is>
          <t>EA</t>
        </is>
      </c>
      <c r="C34" s="5" t="n">
        <v>15</v>
      </c>
      <c r="D34" s="4" t="inlineStr">
        <is>
          <t>n/a</t>
        </is>
      </c>
      <c r="E34" s="4" t="inlineStr">
        <is>
          <t>PAM legends D/F (25015-H-PAM set T1) - no printed totals on drawings</t>
        </is>
      </c>
      <c r="F34" s="5" t="n">
        <v>0</v>
      </c>
      <c r="G34" s="4" t="inlineStr">
        <is>
          <t>Legend total accepted (no independent measure)</t>
        </is>
      </c>
      <c r="H34" s="5" t="n">
        <v>15</v>
      </c>
      <c r="I34" s="4" t="inlineStr">
        <is>
          <t>M</t>
        </is>
      </c>
      <c r="J34" s="4" t="inlineStr"/>
    </row>
    <row r="35">
      <c r="A35" s="4" t="inlineStr">
        <is>
          <t>B-press equal tee 25</t>
        </is>
      </c>
      <c r="B35" s="4" t="inlineStr">
        <is>
          <t>EA</t>
        </is>
      </c>
      <c r="C35" s="5" t="n">
        <v>7</v>
      </c>
      <c r="D35" s="4" t="inlineStr">
        <is>
          <t>n/a</t>
        </is>
      </c>
      <c r="E35" s="4" t="inlineStr">
        <is>
          <t>PAM legends D/F (25015-H-PAM set T1) - no printed totals on drawings</t>
        </is>
      </c>
      <c r="F35" s="5" t="n">
        <v>0</v>
      </c>
      <c r="G35" s="4" t="inlineStr">
        <is>
          <t>Legend total accepted (no independent measure)</t>
        </is>
      </c>
      <c r="H35" s="5" t="n">
        <v>7</v>
      </c>
      <c r="I35" s="4" t="inlineStr">
        <is>
          <t>M</t>
        </is>
      </c>
      <c r="J35" s="4" t="inlineStr"/>
    </row>
    <row r="36">
      <c r="A36" s="4" t="inlineStr">
        <is>
          <t>32 poly to 32 copper B-press adapter</t>
        </is>
      </c>
      <c r="B36" s="4" t="inlineStr">
        <is>
          <t>EA</t>
        </is>
      </c>
      <c r="C36" s="5" t="n">
        <v>1</v>
      </c>
      <c r="D36" s="4" t="inlineStr">
        <is>
          <t>n/a</t>
        </is>
      </c>
      <c r="E36" s="4" t="inlineStr">
        <is>
          <t>PAM legends D/F (25015-H-PAM set T1) - no printed totals on drawings</t>
        </is>
      </c>
      <c r="F36" s="5" t="n">
        <v>0</v>
      </c>
      <c r="G36" s="4" t="inlineStr">
        <is>
          <t>Legend total accepted (no independent measure)</t>
        </is>
      </c>
      <c r="H36" s="5" t="n">
        <v>1</v>
      </c>
      <c r="I36" s="4" t="inlineStr">
        <is>
          <t>M</t>
        </is>
      </c>
      <c r="J36" s="4" t="inlineStr"/>
    </row>
    <row r="37">
      <c r="A37" s="4" t="inlineStr">
        <is>
          <t>PEX-Cu crimp adapter 32</t>
        </is>
      </c>
      <c r="B37" s="4" t="inlineStr">
        <is>
          <t>EA</t>
        </is>
      </c>
      <c r="C37" s="5" t="n">
        <v>2</v>
      </c>
      <c r="D37" s="4" t="inlineStr">
        <is>
          <t>n/a</t>
        </is>
      </c>
      <c r="E37" s="4" t="inlineStr">
        <is>
          <t>PAM legends D/F (25015-H-PAM set T1) - no printed totals on drawings</t>
        </is>
      </c>
      <c r="F37" s="5" t="n">
        <v>0</v>
      </c>
      <c r="G37" s="4" t="inlineStr">
        <is>
          <t>Legend total accepted (no independent measure)</t>
        </is>
      </c>
      <c r="H37" s="5" t="n">
        <v>2</v>
      </c>
      <c r="I37" s="4" t="inlineStr">
        <is>
          <t>M</t>
        </is>
      </c>
      <c r="J37" s="4" t="inlineStr"/>
    </row>
    <row r="38">
      <c r="A38" s="4" t="inlineStr">
        <is>
          <t>PEX-Cu crimp adapter 25</t>
        </is>
      </c>
      <c r="B38" s="4" t="inlineStr">
        <is>
          <t>EA</t>
        </is>
      </c>
      <c r="C38" s="5" t="n">
        <v>1</v>
      </c>
      <c r="D38" s="4" t="inlineStr">
        <is>
          <t>n/a</t>
        </is>
      </c>
      <c r="E38" s="4" t="inlineStr">
        <is>
          <t>PAM legends D/F (25015-H-PAM set T1) - no printed totals on drawings</t>
        </is>
      </c>
      <c r="F38" s="5" t="n">
        <v>0</v>
      </c>
      <c r="G38" s="4" t="inlineStr">
        <is>
          <t>Legend total accepted (no independent measure)</t>
        </is>
      </c>
      <c r="H38" s="5" t="n">
        <v>1</v>
      </c>
      <c r="I38" s="4" t="inlineStr">
        <is>
          <t>M</t>
        </is>
      </c>
      <c r="J38" s="4" t="inlineStr"/>
    </row>
    <row r="39">
      <c r="A39" s="4" t="inlineStr">
        <is>
          <t>PEX-Cu crimp adapter 20</t>
        </is>
      </c>
      <c r="B39" s="4" t="inlineStr">
        <is>
          <t>EA</t>
        </is>
      </c>
      <c r="C39" s="5" t="n">
        <v>1</v>
      </c>
      <c r="D39" s="4" t="inlineStr">
        <is>
          <t>n/a</t>
        </is>
      </c>
      <c r="E39" s="4" t="inlineStr">
        <is>
          <t>PAM legends D/F (25015-H-PAM set T1) - no printed totals on drawings</t>
        </is>
      </c>
      <c r="F39" s="5" t="n">
        <v>0</v>
      </c>
      <c r="G39" s="4" t="inlineStr">
        <is>
          <t>Legend total accepted (no independent measure)</t>
        </is>
      </c>
      <c r="H39" s="5" t="n">
        <v>1</v>
      </c>
      <c r="I39" s="4" t="inlineStr">
        <is>
          <t>M</t>
        </is>
      </c>
      <c r="J39" s="4" t="inlineStr"/>
    </row>
    <row r="40">
      <c r="A40" s="4" t="inlineStr">
        <is>
          <t>PEX-20 elbow</t>
        </is>
      </c>
      <c r="B40" s="4" t="inlineStr">
        <is>
          <t>EA</t>
        </is>
      </c>
      <c r="C40" s="5" t="n">
        <v>16</v>
      </c>
      <c r="D40" s="4" t="inlineStr">
        <is>
          <t>n/a</t>
        </is>
      </c>
      <c r="E40" s="4" t="inlineStr">
        <is>
          <t>PAM legends D/F (25015-H-PAM set T1) - no printed totals on drawings</t>
        </is>
      </c>
      <c r="F40" s="5" t="n">
        <v>0</v>
      </c>
      <c r="G40" s="4" t="inlineStr">
        <is>
          <t>Legend total accepted (no independent measure)</t>
        </is>
      </c>
      <c r="H40" s="5" t="n">
        <v>16</v>
      </c>
      <c r="I40" s="4" t="inlineStr">
        <is>
          <t>M</t>
        </is>
      </c>
      <c r="J40" s="4" t="inlineStr"/>
    </row>
    <row r="41">
      <c r="A41" s="4" t="inlineStr">
        <is>
          <t>PEX-20 equal tee</t>
        </is>
      </c>
      <c r="B41" s="4" t="inlineStr">
        <is>
          <t>EA</t>
        </is>
      </c>
      <c r="C41" s="5" t="n">
        <v>7</v>
      </c>
      <c r="D41" s="4" t="inlineStr">
        <is>
          <t>n/a</t>
        </is>
      </c>
      <c r="E41" s="4" t="inlineStr">
        <is>
          <t>PAM legends D/F (25015-H-PAM set T1) - no printed totals on drawings</t>
        </is>
      </c>
      <c r="F41" s="5" t="n">
        <v>0</v>
      </c>
      <c r="G41" s="4" t="inlineStr">
        <is>
          <t>Legend total accepted (no independent measure)</t>
        </is>
      </c>
      <c r="H41" s="5" t="n">
        <v>7</v>
      </c>
      <c r="I41" s="4" t="inlineStr">
        <is>
          <t>M</t>
        </is>
      </c>
      <c r="J41" s="4" t="inlineStr"/>
    </row>
    <row r="42">
      <c r="A42" s="4" t="inlineStr">
        <is>
          <t>Hose tap HT/VP (vandal proof)</t>
        </is>
      </c>
      <c r="B42" s="4" t="inlineStr">
        <is>
          <t>EA</t>
        </is>
      </c>
      <c r="C42" s="5" t="n">
        <v>1</v>
      </c>
      <c r="D42" s="5" t="n">
        <v>1</v>
      </c>
      <c r="E42" s="4" t="inlineStr">
        <is>
          <t>H-PAM-200 drawn</t>
        </is>
      </c>
      <c r="F42" s="5" t="n">
        <v>0</v>
      </c>
      <c r="G42" s="4" t="inlineStr">
        <is>
          <t>Match</t>
        </is>
      </c>
      <c r="H42" s="5" t="n">
        <v>1</v>
      </c>
      <c r="I42" s="4" t="inlineStr">
        <is>
          <t>H</t>
        </is>
      </c>
      <c r="J42" s="4" t="inlineStr"/>
    </row>
    <row r="43">
      <c r="A43" s="4" t="inlineStr">
        <is>
          <t>32mm domestic water meter (check-meter assembly)</t>
        </is>
      </c>
      <c r="B43" s="4" t="inlineStr">
        <is>
          <t>EA</t>
        </is>
      </c>
      <c r="C43" s="5" t="n">
        <v>1</v>
      </c>
      <c r="D43" s="5" t="n">
        <v>1</v>
      </c>
      <c r="E43" s="4" t="inlineStr">
        <is>
          <t>H-PAM-200 drawn ('DOEMSTIC' legend typo)</t>
        </is>
      </c>
      <c r="F43" s="5" t="n">
        <v>0</v>
      </c>
      <c r="G43" s="4" t="inlineStr">
        <is>
          <t>Match</t>
        </is>
      </c>
      <c r="H43" s="5" t="n">
        <v>1</v>
      </c>
      <c r="I43" s="4" t="inlineStr">
        <is>
          <t>H</t>
        </is>
      </c>
      <c r="J43" s="4" t="inlineStr">
        <is>
          <t>Check meter to authority reqs; NO PRV vs NBC 500 kPa - RFI (CL C8). Boundary vs site primary metering = interface L8.</t>
        </is>
      </c>
    </row>
    <row r="44">
      <c r="A44" s="4" t="inlineStr">
        <is>
          <t>Thermostatic mixing valve (TMV)</t>
        </is>
      </c>
      <c r="B44" s="4" t="inlineStr">
        <is>
          <t>EA</t>
        </is>
      </c>
      <c r="C44" s="5" t="n">
        <v>1</v>
      </c>
      <c r="D44" s="4" t="inlineStr">
        <is>
          <t>n/v</t>
        </is>
      </c>
      <c r="E44" s="4" t="inlineStr">
        <is>
          <t>PAM-200 note: 'PROVIDE TMVs IN SS LOCKABLE CABINETS... (TYPICAL)' - plural, count unstated</t>
        </is>
      </c>
      <c r="F44" s="5" t="n">
        <v>0</v>
      </c>
      <c r="G44" s="4" t="inlineStr">
        <is>
          <t>1 plausible for single-HWU block but symbols unresolvable</t>
        </is>
      </c>
      <c r="H44" s="5" t="n">
        <v>1</v>
      </c>
      <c r="I44" s="4" t="inlineStr">
        <is>
          <t>M</t>
        </is>
      </c>
      <c r="J44" s="4" t="inlineStr">
        <is>
          <t>Verify + allow per warm-water groups - Opens #16.</t>
        </is>
      </c>
    </row>
    <row r="45">
      <c r="A45" s="4" t="inlineStr">
        <is>
          <t>Rheem HWU 50L electric storage (model 61305007)</t>
        </is>
      </c>
      <c r="B45" s="4" t="inlineStr">
        <is>
          <t>EA</t>
        </is>
      </c>
      <c r="C45" s="5" t="n">
        <v>1</v>
      </c>
      <c r="D45" s="5" t="n">
        <v>1</v>
      </c>
      <c r="E45" s="4" t="inlineStr">
        <is>
          <t>H-PAM-200 drawn (1)</t>
        </is>
      </c>
      <c r="F45" s="5" t="n">
        <v>0</v>
      </c>
      <c r="G45" s="4" t="inlineStr">
        <is>
          <t>Match</t>
        </is>
      </c>
      <c r="H45" s="5" t="n">
        <v>1</v>
      </c>
      <c r="I45" s="4" t="inlineStr">
        <is>
          <t>H</t>
        </is>
      </c>
      <c r="J45" s="4" t="inlineStr">
        <is>
          <t>3x3.6 kW, 240L FHD; safety tray + PTR per AS3500; install per PAM-301 detail.</t>
        </is>
      </c>
    </row>
    <row r="46">
      <c r="A46" s="4" t="inlineStr">
        <is>
          <t>FE fire extinguisher (PAM)</t>
        </is>
      </c>
      <c r="B46" s="4" t="inlineStr">
        <is>
          <t>EA</t>
        </is>
      </c>
      <c r="C46" s="4" t="inlineStr">
        <is>
          <t>- (not counted)</t>
        </is>
      </c>
      <c r="D46" s="5" t="n">
        <v>1</v>
      </c>
      <c r="E46" s="4" t="inlineStr">
        <is>
          <t>vol06_11: FE x1 drawn</t>
        </is>
      </c>
      <c r="F46" s="4" t="inlineStr">
        <is>
          <t>+1 (new)</t>
        </is>
      </c>
      <c r="G46" s="4" t="inlineStr">
        <is>
          <t>Drawn with no trade allocation</t>
        </is>
      </c>
      <c r="H46" s="5" t="n">
        <v>1</v>
      </c>
      <c r="I46" s="4" t="inlineStr">
        <is>
          <t>M</t>
        </is>
      </c>
      <c r="J46" s="4" t="inlineStr">
        <is>
          <t>EBC + RFI per CL B8 (matrix 3.11-d).</t>
        </is>
      </c>
    </row>
    <row r="47">
      <c r="A47" s="2" t="inlineStr">
        <is>
          <t>STORMWATER (markers only)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4" t="inlineStr">
        <is>
          <t>'Has already measured in civil sw' markers (DP points)</t>
        </is>
      </c>
      <c r="B48" s="4" t="inlineStr">
        <is>
          <t>EA</t>
        </is>
      </c>
      <c r="C48" s="5" t="n">
        <v>2</v>
      </c>
      <c r="D48" s="5" t="n">
        <v>4</v>
      </c>
      <c r="E48" s="4" t="inlineStr">
        <is>
          <t>H-PAM-101: 4 x Ø100 DP roof callouts vs 2 markers/2 ground risers</t>
        </is>
      </c>
      <c r="F48" s="4" t="inlineStr">
        <is>
          <t>see NewItems</t>
        </is>
      </c>
      <c r="G48" s="4" t="inlineStr">
        <is>
          <t>Markers are annotation; drawn DPs exceed markers</t>
        </is>
      </c>
      <c r="H48" s="4" t="inlineStr">
        <is>
          <t>see NewItems #6</t>
        </is>
      </c>
      <c r="I48" s="4" t="inlineStr">
        <is>
          <t>M</t>
        </is>
      </c>
      <c r="J48" s="4" t="inlineStr">
        <is>
          <t>DP stub connections adopted at 4 EA in NewItems #6; no 'connect to civil' note on PAM sheets - connection point undefined (RFI, CL C8).</t>
        </is>
      </c>
    </row>
    <row r="49">
      <c r="A49" s="2" t="inlineStr">
        <is>
          <t>FIXTURES (not in this take-off - see Fixtures sheet)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4" t="inlineStr">
        <is>
          <t>PAM sanitary fixtures (~8 WC / 1 BSN / 1 CSK / 2 TR)</t>
        </is>
      </c>
      <c r="B50" s="4" t="inlineStr">
        <is>
          <t>EA</t>
        </is>
      </c>
      <c r="C50" s="4" t="inlineStr">
        <is>
          <t>- (not counted)</t>
        </is>
      </c>
      <c r="D50" s="4" t="inlineStr">
        <is>
          <t>see Fixtures</t>
        </is>
      </c>
      <c r="E50" s="4" t="inlineStr">
        <is>
          <t>H-PAM-100/200 annotations; FF&amp;E VOL28 types</t>
        </is>
      </c>
      <c r="F50" s="4" t="inlineStr">
        <is>
          <t>-</t>
        </is>
      </c>
      <c r="G50" s="4" t="inlineStr">
        <is>
          <t>PAM fixture take-off never done</t>
        </is>
      </c>
      <c r="H50" s="4" t="inlineStr">
        <is>
          <t>see Fixtures</t>
        </is>
      </c>
      <c r="I50" s="4" t="inlineStr">
        <is>
          <t>-</t>
        </is>
      </c>
      <c r="J50" s="4" t="inlineStr">
        <is>
          <t>Flagged per Rule 6 - adopted on Fixtures sheet.</t>
        </is>
      </c>
    </row>
  </sheetData>
  <mergeCells count="5">
    <mergeCell ref="A47:J47"/>
    <mergeCell ref="A22:J22"/>
    <mergeCell ref="A18:J18"/>
    <mergeCell ref="A2:J2"/>
    <mergeCell ref="A49:J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13" customWidth="1" min="3" max="3"/>
    <col width="15" customWidth="1" min="4" max="4"/>
    <col width="38" customWidth="1" min="5" max="5"/>
    <col width="14" customWidth="1" min="6" max="6"/>
    <col width="36" customWidth="1" min="7" max="7"/>
    <col width="13" customWidth="1" min="8" max="8"/>
    <col width="11" customWidth="1" min="9" max="9"/>
    <col width="62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Denis qty</t>
        </is>
      </c>
      <c r="D1" s="1" t="inlineStr">
        <is>
          <t>Independent qty</t>
        </is>
      </c>
      <c r="E1" s="1" t="inlineStr">
        <is>
          <t>Independent source (doc + sheet ref)</t>
        </is>
      </c>
      <c r="F1" s="1" t="inlineStr">
        <is>
          <t>Variance (Adopted - Denis)</t>
        </is>
      </c>
      <c r="G1" s="1" t="inlineStr">
        <is>
          <t>Variance reason</t>
        </is>
      </c>
      <c r="H1" s="1" t="inlineStr">
        <is>
          <t>ADOPTED qty</t>
        </is>
      </c>
      <c r="I1" s="1" t="inlineStr">
        <is>
          <t>Confidence (H/M/L)</t>
        </is>
      </c>
      <c r="J1" s="1" t="inlineStr">
        <is>
          <t>Notes</t>
        </is>
      </c>
    </row>
    <row r="2">
      <c r="A2" s="2" t="inlineStr">
        <is>
          <t>PART A - COUNTED ROOMS (Canteen/Kitchen AR-NBC-3002 + Unisex C/R.03 &amp; C/R.04 AR-NBC-3005; 25 symbols verified twice)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H.PS-04 Kitchen double sink (Stoddart 2400x600)</t>
        </is>
      </c>
      <c r="B3" s="4" t="inlineStr">
        <is>
          <t>EA</t>
        </is>
      </c>
      <c r="C3" s="5" t="n">
        <v>1</v>
      </c>
      <c r="D3" s="5" t="n">
        <v>1</v>
      </c>
      <c r="E3" s="4" t="inlineStr">
        <is>
          <t>AR-NBC-3002 wash bay; FF&amp;E VOL25 p12</t>
        </is>
      </c>
      <c r="F3" s="5" t="n">
        <v>0</v>
      </c>
      <c r="G3" s="4" t="inlineStr">
        <is>
          <t>Match</t>
        </is>
      </c>
      <c r="H3" s="5" t="n">
        <v>1</v>
      </c>
      <c r="I3" s="4" t="inlineStr">
        <is>
          <t>H</t>
        </is>
      </c>
      <c r="J3" s="4" t="inlineStr">
        <is>
          <t>Tapholes drilled onsite; FF&amp;E has NO quantities (types only).</t>
        </is>
      </c>
    </row>
    <row r="4">
      <c r="A4" s="4" t="inlineStr">
        <is>
          <t>H.PS-03 Kitchen single sink</t>
        </is>
      </c>
      <c r="B4" s="4" t="inlineStr">
        <is>
          <t>EA</t>
        </is>
      </c>
      <c r="C4" s="5" t="n">
        <v>2</v>
      </c>
      <c r="D4" s="5" t="n">
        <v>2</v>
      </c>
      <c r="E4" s="4" t="inlineStr">
        <is>
          <t>AR-NBC-3002 (prep bay + canteen servery); H-NBC-102/202 SK x2</t>
        </is>
      </c>
      <c r="F4" s="5" t="n">
        <v>0</v>
      </c>
      <c r="G4" s="4" t="inlineStr">
        <is>
          <t>Match</t>
        </is>
      </c>
      <c r="H4" s="5" t="n">
        <v>2</v>
      </c>
      <c r="I4" s="4" t="inlineStr">
        <is>
          <t>H</t>
        </is>
      </c>
      <c r="J4" s="4" t="inlineStr"/>
    </row>
    <row r="5">
      <c r="A5" s="4" t="inlineStr">
        <is>
          <t>H.TT-05 Tapware spray rinse</t>
        </is>
      </c>
      <c r="B5" s="4" t="inlineStr">
        <is>
          <t>EA</t>
        </is>
      </c>
      <c r="C5" s="5" t="n">
        <v>3</v>
      </c>
      <c r="D5" s="5" t="n">
        <v>3</v>
      </c>
      <c r="E5" s="4" t="inlineStr">
        <is>
          <t>AR-NBC-3002</t>
        </is>
      </c>
      <c r="F5" s="5" t="n">
        <v>0</v>
      </c>
      <c r="G5" s="4" t="inlineStr">
        <is>
          <t>Match</t>
        </is>
      </c>
      <c r="H5" s="5" t="n">
        <v>3</v>
      </c>
      <c r="I5" s="4" t="inlineStr">
        <is>
          <t>H</t>
        </is>
      </c>
      <c r="J5" s="4" t="inlineStr"/>
    </row>
    <row r="6">
      <c r="A6" s="4" t="inlineStr">
        <is>
          <t>H.TT-06 Billi boiling/chilled unit (Quadra 4180)</t>
        </is>
      </c>
      <c r="B6" s="4" t="inlineStr">
        <is>
          <t>EA</t>
        </is>
      </c>
      <c r="C6" s="5" t="n">
        <v>1</v>
      </c>
      <c r="D6" s="5" t="n">
        <v>1</v>
      </c>
      <c r="E6" s="4" t="inlineStr">
        <is>
          <t>AR-NBC-3002; FF&amp;E VOL25 p13</t>
        </is>
      </c>
      <c r="F6" s="5" t="n">
        <v>0</v>
      </c>
      <c r="G6" s="4" t="inlineStr">
        <is>
          <t>Match</t>
        </is>
      </c>
      <c r="H6" s="5" t="n">
        <v>1</v>
      </c>
      <c r="I6" s="4" t="inlineStr">
        <is>
          <t>H</t>
        </is>
      </c>
      <c r="J6" s="4" t="inlineStr">
        <is>
          <t>Unit SUPPLIED BY RCC - price install into benchtop + water/waste connection only.</t>
        </is>
      </c>
    </row>
    <row r="7">
      <c r="A7" s="4" t="inlineStr">
        <is>
          <t>H.IC Cleanout (counted rooms)</t>
        </is>
      </c>
      <c r="B7" s="4" t="inlineStr">
        <is>
          <t>EA</t>
        </is>
      </c>
      <c r="C7" s="5" t="n">
        <v>1</v>
      </c>
      <c r="D7" s="5" t="n">
        <v>1</v>
      </c>
      <c r="E7" s="4" t="inlineStr">
        <is>
          <t>AR-NBC-3002</t>
        </is>
      </c>
      <c r="F7" s="5" t="n">
        <v>0</v>
      </c>
      <c r="G7" s="4" t="inlineStr">
        <is>
          <t>Match</t>
        </is>
      </c>
      <c r="H7" s="5" t="n">
        <v>1</v>
      </c>
      <c r="I7" s="4" t="inlineStr">
        <is>
          <t>H</t>
        </is>
      </c>
      <c r="J7" s="4" t="inlineStr">
        <is>
          <t>Further H.IC labels in uncounted rooms - Part B.</t>
        </is>
      </c>
    </row>
    <row r="8">
      <c r="A8" s="4" t="inlineStr">
        <is>
          <t>H.DW-01 Floor waste grate (counted rooms)</t>
        </is>
      </c>
      <c r="B8" s="4" t="inlineStr">
        <is>
          <t>EA</t>
        </is>
      </c>
      <c r="C8" s="5" t="n">
        <v>5</v>
      </c>
      <c r="D8" s="5" t="n">
        <v>6</v>
      </c>
      <c r="E8" s="4" t="inlineStr">
        <is>
          <t>AR-NBC-3002 (4) + AR-NBC-3005 C/R.04 (1) + C/R.03 drawn-but-unmarked (1)</t>
        </is>
      </c>
      <c r="F8" s="5" t="n">
        <v>1</v>
      </c>
      <c r="G8" s="4" t="inlineStr">
        <is>
          <t>C/R.03 count stopped mid-room - mirror-identical to C/R.04 (verified 6x zoom)</t>
        </is>
      </c>
      <c r="H8" s="5" t="n">
        <v>6</v>
      </c>
      <c r="I8" s="4" t="inlineStr">
        <is>
          <t>H</t>
        </is>
      </c>
      <c r="J8" s="4" t="inlineStr"/>
    </row>
    <row r="9">
      <c r="A9" s="4" t="inlineStr">
        <is>
          <t>HW-03 Knee-operated wash basin (kitchen)</t>
        </is>
      </c>
      <c r="B9" s="4" t="inlineStr">
        <is>
          <t>EA</t>
        </is>
      </c>
      <c r="C9" s="5" t="n">
        <v>1</v>
      </c>
      <c r="D9" s="5" t="n">
        <v>1</v>
      </c>
      <c r="E9" s="4" t="inlineStr">
        <is>
          <t>AR-NBC-3002; FF&amp;E VOL25 p11 (with tempering valve)</t>
        </is>
      </c>
      <c r="F9" s="5" t="n">
        <v>0</v>
      </c>
      <c r="G9" s="4" t="inlineStr">
        <is>
          <t>Match</t>
        </is>
      </c>
      <c r="H9" s="5" t="n">
        <v>1</v>
      </c>
      <c r="I9" s="4" t="inlineStr">
        <is>
          <t>H</t>
        </is>
      </c>
      <c r="J9" s="4" t="inlineStr"/>
    </row>
    <row r="10">
      <c r="A10" s="4" t="inlineStr">
        <is>
          <t>H.TT-01 Basin mixer (counted rooms)</t>
        </is>
      </c>
      <c r="B10" s="4" t="inlineStr">
        <is>
          <t>EA</t>
        </is>
      </c>
      <c r="C10" s="5" t="n">
        <v>2</v>
      </c>
      <c r="D10" s="5" t="n">
        <v>2</v>
      </c>
      <c r="E10" s="4" t="inlineStr">
        <is>
          <t>AR-NBC-3005 (C/R.03 + C/R.04 vanities)</t>
        </is>
      </c>
      <c r="F10" s="5" t="n">
        <v>0</v>
      </c>
      <c r="G10" s="4" t="inlineStr">
        <is>
          <t>Match</t>
        </is>
      </c>
      <c r="H10" s="5" t="n">
        <v>2</v>
      </c>
      <c r="I10" s="4" t="inlineStr">
        <is>
          <t>H</t>
        </is>
      </c>
      <c r="J10" s="4" t="inlineStr"/>
    </row>
    <row r="11">
      <c r="A11" s="4" t="inlineStr">
        <is>
          <t>HW-01 Handwash basin vanity (counted rooms)</t>
        </is>
      </c>
      <c r="B11" s="4" t="inlineStr">
        <is>
          <t>EA</t>
        </is>
      </c>
      <c r="C11" s="5" t="n">
        <v>2</v>
      </c>
      <c r="D11" s="5" t="n">
        <v>2</v>
      </c>
      <c r="E11" s="4" t="inlineStr">
        <is>
          <t>AR-NBC-3005</t>
        </is>
      </c>
      <c r="F11" s="5" t="n">
        <v>0</v>
      </c>
      <c r="G11" s="4" t="inlineStr">
        <is>
          <t>Match</t>
        </is>
      </c>
      <c r="H11" s="5" t="n">
        <v>2</v>
      </c>
      <c r="I11" s="4" t="inlineStr">
        <is>
          <t>H</t>
        </is>
      </c>
      <c r="J11" s="4" t="inlineStr"/>
    </row>
    <row r="12">
      <c r="A12" s="4" t="inlineStr">
        <is>
          <t>WC-01 Toilet suite standard (counted rooms)</t>
        </is>
      </c>
      <c r="B12" s="4" t="inlineStr">
        <is>
          <t>EA</t>
        </is>
      </c>
      <c r="C12" s="5" t="n">
        <v>1</v>
      </c>
      <c r="D12" s="5" t="n">
        <v>2</v>
      </c>
      <c r="E12" s="4" t="inlineStr">
        <is>
          <t>AR-NBC-3005 - C/R.03 pan drawn with grab rails but unmarked</t>
        </is>
      </c>
      <c r="F12" s="5" t="n">
        <v>1</v>
      </c>
      <c r="G12" s="4" t="inlineStr">
        <is>
          <t>C/R.03 pan uncounted (count stopped mid-room)</t>
        </is>
      </c>
      <c r="H12" s="5" t="n">
        <v>2</v>
      </c>
      <c r="I12" s="4" t="inlineStr">
        <is>
          <t>H</t>
        </is>
      </c>
      <c r="J12" s="4" t="inlineStr"/>
    </row>
    <row r="13">
      <c r="A13" s="4" t="inlineStr">
        <is>
          <t>H.DW-02 Floor trough (counted rooms)</t>
        </is>
      </c>
      <c r="B13" s="4" t="inlineStr">
        <is>
          <t>EA</t>
        </is>
      </c>
      <c r="C13" s="5" t="n">
        <v>2</v>
      </c>
      <c r="D13" s="5" t="n">
        <v>2</v>
      </c>
      <c r="E13" s="4" t="inlineStr">
        <is>
          <t>AR-NBC-3005 shower recesses</t>
        </is>
      </c>
      <c r="F13" s="5" t="n">
        <v>0</v>
      </c>
      <c r="G13" s="4" t="inlineStr">
        <is>
          <t>Match</t>
        </is>
      </c>
      <c r="H13" s="5" t="n">
        <v>2</v>
      </c>
      <c r="I13" s="4" t="inlineStr">
        <is>
          <t>H</t>
        </is>
      </c>
      <c r="J13" s="4" t="inlineStr">
        <is>
          <t>Stormtech linear trough - lengths per room layouts.</t>
        </is>
      </c>
    </row>
    <row r="14">
      <c r="A14" s="4" t="inlineStr">
        <is>
          <t>H.TS Shower rose (counted rooms)</t>
        </is>
      </c>
      <c r="B14" s="4" t="inlineStr">
        <is>
          <t>EA</t>
        </is>
      </c>
      <c r="C14" s="5" t="n">
        <v>2</v>
      </c>
      <c r="D14" s="5" t="n">
        <v>2</v>
      </c>
      <c r="E14" s="4" t="inlineStr">
        <is>
          <t>AR-NBC-3005</t>
        </is>
      </c>
      <c r="F14" s="5" t="n">
        <v>0</v>
      </c>
      <c r="G14" s="4" t="inlineStr">
        <is>
          <t>Match</t>
        </is>
      </c>
      <c r="H14" s="5" t="n">
        <v>2</v>
      </c>
      <c r="I14" s="4" t="inlineStr">
        <is>
          <t>H</t>
        </is>
      </c>
      <c r="J14" s="4" t="inlineStr"/>
    </row>
    <row r="15">
      <c r="A15" s="4" t="inlineStr">
        <is>
          <t>H.TM-01 Shower mixer (counted rooms)</t>
        </is>
      </c>
      <c r="B15" s="4" t="inlineStr">
        <is>
          <t>EA</t>
        </is>
      </c>
      <c r="C15" s="5" t="n">
        <v>1</v>
      </c>
      <c r="D15" s="5" t="n">
        <v>2</v>
      </c>
      <c r="E15" s="4" t="inlineStr">
        <is>
          <t>AR-NBC-3005 - C/R.03 mixer drawn but unmarked</t>
        </is>
      </c>
      <c r="F15" s="5" t="n">
        <v>1</v>
      </c>
      <c r="G15" s="4" t="inlineStr">
        <is>
          <t>C/R.03 mixer uncounted</t>
        </is>
      </c>
      <c r="H15" s="5" t="n">
        <v>2</v>
      </c>
      <c r="I15" s="4" t="inlineStr">
        <is>
          <t>H</t>
        </is>
      </c>
      <c r="J15" s="4" t="inlineStr"/>
    </row>
    <row r="16">
      <c r="A16" s="2" t="inlineStr">
        <is>
          <t>PART B - WHOLE-BUILDING NBC TOTALS (7 of 9 arch sheets NEVER counted - 'not finalised' per Denis; Rule 6: higher count adopted; Phase 4 recount + Tradelink 1066143 reconciliation MANDATORY before pricing)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inlineStr">
        <is>
          <t>WC pans NBC - all types (WC-01 std / WC-02 ambulant / WC-03 accessible)</t>
        </is>
      </c>
      <c r="B17" s="4" t="inlineStr">
        <is>
          <t>EA</t>
        </is>
      </c>
      <c r="C17" s="5" t="n">
        <v>1</v>
      </c>
      <c r="D17" s="5" t="n">
        <v>21</v>
      </c>
      <c r="E17" s="4" t="inlineStr">
        <is>
          <t>vol06_11 hydraulic label counts: WC 19+2 sanitary, ~21+2 water sheets; arch census indicative 15+ pans</t>
        </is>
      </c>
      <c r="F17" s="4" t="inlineStr">
        <is>
          <t>+20</t>
        </is>
      </c>
      <c r="G17" s="4" t="inlineStr">
        <is>
          <t>Fixture take-off incomplete (2 of 9 sheets counted) - adopt drawn count per Rule 6 / H002 n.15</t>
        </is>
      </c>
      <c r="H17" s="5" t="n">
        <v>21</v>
      </c>
      <c r="I17" s="4" t="inlineStr">
        <is>
          <t>L</t>
        </is>
      </c>
      <c r="J17" s="4" t="inlineStr">
        <is>
          <t>Match-line duplication risk in label counts - Phase 4 architectural recount governs final.</t>
        </is>
      </c>
    </row>
    <row r="18">
      <c r="A18" s="4" t="inlineStr">
        <is>
          <t>Urinals NBC (WC-04 / UR, Amenities M)</t>
        </is>
      </c>
      <c r="B18" s="4" t="inlineStr">
        <is>
          <t>EA</t>
        </is>
      </c>
      <c r="C18" s="4" t="inlineStr">
        <is>
          <t>- (not counted)</t>
        </is>
      </c>
      <c r="D18" s="5" t="n">
        <v>3</v>
      </c>
      <c r="E18" s="4" t="inlineStr">
        <is>
          <t>vol06_11: UR x3 (H-NBC-100/200); 3 units on arch elevation E</t>
        </is>
      </c>
      <c r="F18" s="4" t="inlineStr">
        <is>
          <t>+3 (new)</t>
        </is>
      </c>
      <c r="G18" s="4" t="inlineStr">
        <is>
          <t>Never counted</t>
        </is>
      </c>
      <c r="H18" s="5" t="n">
        <v>3</v>
      </c>
      <c r="I18" s="4" t="inlineStr">
        <is>
          <t>M</t>
        </is>
      </c>
      <c r="J18" s="4" t="inlineStr">
        <is>
          <t>Britex Regal UR per FF&amp;E.</t>
        </is>
      </c>
    </row>
    <row r="19">
      <c r="A19" s="4" t="inlineStr">
        <is>
          <t>Basins NBC (BSN / HW-01 / HW-02)</t>
        </is>
      </c>
      <c r="B19" s="4" t="inlineStr">
        <is>
          <t>EA</t>
        </is>
      </c>
      <c r="C19" s="5" t="n">
        <v>3</v>
      </c>
      <c r="D19" s="5" t="n">
        <v>14</v>
      </c>
      <c r="E19" s="4" t="inlineStr">
        <is>
          <t>vol06_11: BSN 11+3 labels; arch census HW-01/02 across p6-p8</t>
        </is>
      </c>
      <c r="F19" s="4" t="inlineStr">
        <is>
          <t>+11</t>
        </is>
      </c>
      <c r="G19" s="4" t="inlineStr">
        <is>
          <t>Uncounted wet areas - adopt drawn count</t>
        </is>
      </c>
      <c r="H19" s="5" t="n">
        <v>14</v>
      </c>
      <c r="I19" s="4" t="inlineStr">
        <is>
          <t>L</t>
        </is>
      </c>
      <c r="J19" s="4" t="inlineStr"/>
    </row>
    <row r="20">
      <c r="A20" s="4" t="inlineStr">
        <is>
          <t>Hand wash troughs NBC (HWT / HW-02 type)</t>
        </is>
      </c>
      <c r="B20" s="4" t="inlineStr">
        <is>
          <t>EA</t>
        </is>
      </c>
      <c r="C20" s="4" t="inlineStr">
        <is>
          <t>- (not counted)</t>
        </is>
      </c>
      <c r="D20" s="5" t="n">
        <v>4</v>
      </c>
      <c r="E20" s="4" t="inlineStr">
        <is>
          <t>vol06_11: HWT x4 (H-NBC-200)</t>
        </is>
      </c>
      <c r="F20" s="4" t="inlineStr">
        <is>
          <t>+4 (new)</t>
        </is>
      </c>
      <c r="G20" s="4" t="inlineStr">
        <is>
          <t>Never counted</t>
        </is>
      </c>
      <c r="H20" s="5" t="n">
        <v>4</v>
      </c>
      <c r="I20" s="4" t="inlineStr">
        <is>
          <t>M</t>
        </is>
      </c>
      <c r="J20" s="4" t="inlineStr">
        <is>
          <t>Stoddart WB.VTH vanity trough type.</t>
        </is>
      </c>
    </row>
    <row r="21">
      <c r="A21" s="4" t="inlineStr">
        <is>
          <t>Wash troughs NBC (WT)</t>
        </is>
      </c>
      <c r="B21" s="4" t="inlineStr">
        <is>
          <t>EA</t>
        </is>
      </c>
      <c r="C21" s="4" t="inlineStr">
        <is>
          <t>- (not counted)</t>
        </is>
      </c>
      <c r="D21" s="5" t="n">
        <v>4</v>
      </c>
      <c r="E21" s="4" t="inlineStr">
        <is>
          <t>vol06_11: WT x4 (H-NBC-100)</t>
        </is>
      </c>
      <c r="F21" s="4" t="inlineStr">
        <is>
          <t>+4 (new)</t>
        </is>
      </c>
      <c r="G21" s="4" t="inlineStr">
        <is>
          <t>Never counted</t>
        </is>
      </c>
      <c r="H21" s="5" t="n">
        <v>4</v>
      </c>
      <c r="I21" s="4" t="inlineStr">
        <is>
          <t>M</t>
        </is>
      </c>
      <c r="J21" s="4" t="inlineStr"/>
    </row>
    <row r="22">
      <c r="A22" s="4" t="inlineStr">
        <is>
          <t>Cleaners sink NBC (CSK / HW-04)</t>
        </is>
      </c>
      <c r="B22" s="4" t="inlineStr">
        <is>
          <t>EA</t>
        </is>
      </c>
      <c r="C22" s="4" t="inlineStr">
        <is>
          <t>- (not counted)</t>
        </is>
      </c>
      <c r="D22" s="5" t="n">
        <v>1</v>
      </c>
      <c r="E22" s="4" t="inlineStr">
        <is>
          <t>vol06_11: CSK x1 (H-NBC-100); FF&amp;E HW-04</t>
        </is>
      </c>
      <c r="F22" s="4" t="inlineStr">
        <is>
          <t>+1 (new)</t>
        </is>
      </c>
      <c r="G22" s="4" t="inlineStr">
        <is>
          <t>Never counted</t>
        </is>
      </c>
      <c r="H22" s="5" t="n">
        <v>1</v>
      </c>
      <c r="I22" s="4" t="inlineStr">
        <is>
          <t>H</t>
        </is>
      </c>
      <c r="J22" s="4" t="inlineStr">
        <is>
          <t>Stoddart CS.01.450 + mop holder I.HM.</t>
        </is>
      </c>
    </row>
    <row r="23">
      <c r="A23" s="4" t="inlineStr">
        <is>
          <t>Showers NBC (H.TS roses)</t>
        </is>
      </c>
      <c r="B23" s="4" t="inlineStr">
        <is>
          <t>EA</t>
        </is>
      </c>
      <c r="C23" s="5" t="n">
        <v>2</v>
      </c>
      <c r="D23" s="5" t="n">
        <v>10</v>
      </c>
      <c r="E23" s="4" t="inlineStr">
        <is>
          <t>vol06_11: SHR 7+3 labels (sanitary), 7+2 (water); arch H.TS labels 5/10 on p6/p7</t>
        </is>
      </c>
      <c r="F23" s="4" t="inlineStr">
        <is>
          <t>+8</t>
        </is>
      </c>
      <c r="G23" s="4" t="inlineStr">
        <is>
          <t>Uncounted changerooms (5-cubicle banks) - adopt drawn count</t>
        </is>
      </c>
      <c r="H23" s="5" t="n">
        <v>10</v>
      </c>
      <c r="I23" s="4" t="inlineStr">
        <is>
          <t>L</t>
        </is>
      </c>
      <c r="J23" s="4" t="inlineStr"/>
    </row>
    <row r="24">
      <c r="A24" s="4" t="inlineStr">
        <is>
          <t>Shower mixers NBC (H.TM-01 Enware Tempostop)</t>
        </is>
      </c>
      <c r="B24" s="4" t="inlineStr">
        <is>
          <t>EA</t>
        </is>
      </c>
      <c r="C24" s="5" t="n">
        <v>1</v>
      </c>
      <c r="D24" s="5" t="n">
        <v>10</v>
      </c>
      <c r="E24" s="4" t="inlineStr">
        <is>
          <t>Paired 1:1 with roses; arch H.TM labels p6 (4) + p7 (6)</t>
        </is>
      </c>
      <c r="F24" s="4" t="inlineStr">
        <is>
          <t>+9</t>
        </is>
      </c>
      <c r="G24" s="4" t="inlineStr">
        <is>
          <t>Uncounted changerooms - adopt paired count</t>
        </is>
      </c>
      <c r="H24" s="5" t="n">
        <v>10</v>
      </c>
      <c r="I24" s="4" t="inlineStr">
        <is>
          <t>L</t>
        </is>
      </c>
      <c r="J24" s="4" t="inlineStr">
        <is>
          <t>30-sec timed flow, tempered &lt;=45C - TMV commissioning obligation.</t>
        </is>
      </c>
    </row>
    <row r="25">
      <c r="A25" s="4" t="inlineStr">
        <is>
          <t>Floor wastes / basket wastes NBC building-wide</t>
        </is>
      </c>
      <c r="B25" s="4" t="inlineStr">
        <is>
          <t>EA</t>
        </is>
      </c>
      <c r="C25" s="4" t="inlineStr">
        <is>
          <t>5 (fixture count) / 12 BT (drainage take-off)</t>
        </is>
      </c>
      <c r="D25" s="5" t="n">
        <v>22</v>
      </c>
      <c r="E25" s="4" t="inlineStr">
        <is>
          <t>vol06_11: BT labels 14+1+~7 incl. binwash/TW zone</t>
        </is>
      </c>
      <c r="F25" s="4" t="inlineStr">
        <is>
          <t>n/a</t>
        </is>
      </c>
      <c r="G25" s="4" t="inlineStr">
        <is>
          <t>Uncounted rooms + naming overlap - adopt drawn count as interim</t>
        </is>
      </c>
      <c r="H25" s="5" t="n">
        <v>22</v>
      </c>
      <c r="I25" s="4" t="inlineStr">
        <is>
          <t>L</t>
        </is>
      </c>
      <c r="J25" s="4" t="inlineStr">
        <is>
          <t>Grates supply via Tradelink line; traps/drainage bodies already in TPS_NBC counts - Phase 4 must reconcile to avoid DOUBLE COUNT.</t>
        </is>
      </c>
    </row>
    <row r="26">
      <c r="A26" s="4" t="inlineStr">
        <is>
          <t>PWD accessible suite NBC (WC-03 + H.TM-02 + H.PB + grab rails)</t>
        </is>
      </c>
      <c r="B26" s="4" t="inlineStr">
        <is>
          <t>suite</t>
        </is>
      </c>
      <c r="C26" s="4" t="inlineStr">
        <is>
          <t>- (not counted)</t>
        </is>
      </c>
      <c r="D26" s="5" t="n">
        <v>1</v>
      </c>
      <c r="E26" s="4" t="inlineStr">
        <is>
          <t>AR-NBC-3009 (PWD); FF&amp;E VOL25 (WC-03, H.TM-02, H.PB, A.GS etc.)</t>
        </is>
      </c>
      <c r="F26" s="4" t="inlineStr">
        <is>
          <t>+1 (new)</t>
        </is>
      </c>
      <c r="G26" s="4" t="inlineStr">
        <is>
          <t>Sheet never counted</t>
        </is>
      </c>
      <c r="H26" s="5" t="n">
        <v>1</v>
      </c>
      <c r="I26" s="4" t="inlineStr">
        <is>
          <t>M</t>
        </is>
      </c>
      <c r="J26" s="4" t="inlineStr">
        <is>
          <t>Component list per FF&amp;E; AS1428.1 compliance.</t>
        </is>
      </c>
    </row>
    <row r="27">
      <c r="A27" s="4" t="inlineStr">
        <is>
          <t>ODF hydration station / drinking fountains NBC</t>
        </is>
      </c>
      <c r="B27" s="4" t="inlineStr">
        <is>
          <t>EA</t>
        </is>
      </c>
      <c r="C27" s="5" t="n">
        <v>1</v>
      </c>
      <c r="D27" s="5" t="n">
        <v>2</v>
      </c>
      <c r="E27" s="4" t="inlineStr">
        <is>
          <t>vol06_11: 2 fountains (DF Ø20 CW + handicap DF); elevations tag ODF on 3 faces (2001 West; 2002 East + North)</t>
        </is>
      </c>
      <c r="F27" s="4" t="inlineStr">
        <is>
          <t>+1</t>
        </is>
      </c>
      <c r="G27" s="4" t="inlineStr">
        <is>
          <t>Counted 1 station (3-bubbler); drawn fountains = 2 - adopt higher</t>
        </is>
      </c>
      <c r="H27" s="5" t="n">
        <v>2</v>
      </c>
      <c r="I27" s="4" t="inlineStr">
        <is>
          <t>M</t>
        </is>
      </c>
      <c r="J27" s="4" t="inlineStr">
        <is>
          <t>Chilled (VOL25) vs non-chilled (VOL28) same SKU DFCF400 - RFI (CL C10); carried as calculated PC Sum (matrix 4.12-e). 1 station vs 3 bowls basis unresolved (Opens #21).</t>
        </is>
      </c>
    </row>
    <row r="28">
      <c r="A28" s="4" t="inlineStr">
        <is>
          <t>Z.HB hose bibs (Multipurpose room)</t>
        </is>
      </c>
      <c r="B28" s="4" t="inlineStr">
        <is>
          <t>EA</t>
        </is>
      </c>
      <c r="C28" s="4" t="inlineStr">
        <is>
          <t>- (not counted)</t>
        </is>
      </c>
      <c r="D28" s="5" t="n">
        <v>2</v>
      </c>
      <c r="E28" s="4" t="inlineStr">
        <is>
          <t>AR-NBC-3001: 2 apparent on plan (8 label occurrences)</t>
        </is>
      </c>
      <c r="F28" s="4" t="inlineStr">
        <is>
          <t>+2 (new)</t>
        </is>
      </c>
      <c r="G28" s="4" t="inlineStr">
        <is>
          <t>Never counted; code unconfirmed</t>
        </is>
      </c>
      <c r="H28" s="5" t="n">
        <v>2</v>
      </c>
      <c r="I28" s="4" t="inlineStr">
        <is>
          <t>L</t>
        </is>
      </c>
      <c r="J28" s="4" t="inlineStr">
        <is>
          <t>Allowance - AR-NBC-0010 code list not held (Opens #20).</t>
        </is>
      </c>
    </row>
    <row r="29">
      <c r="A29" s="4" t="inlineStr">
        <is>
          <t>H.EW units (Cold room / Storage 2)</t>
        </is>
      </c>
      <c r="B29" s="4" t="inlineStr">
        <is>
          <t>EA</t>
        </is>
      </c>
      <c r="C29" s="4" t="inlineStr">
        <is>
          <t>- (not counted)</t>
        </is>
      </c>
      <c r="D29" s="4" t="inlineStr">
        <is>
          <t>RFI</t>
        </is>
      </c>
      <c r="E29" s="4" t="inlineStr">
        <is>
          <t>AR-NBC-3003/3009: H.EW labels x3 each</t>
        </is>
      </c>
      <c r="F29" s="4" t="inlineStr">
        <is>
          <t>n/a</t>
        </is>
      </c>
      <c r="G29" s="4" t="inlineStr">
        <is>
          <t>Code unconfirmed (possible electric water heaters - would conflict with 2-HWU adoption)</t>
        </is>
      </c>
      <c r="H29" s="4" t="inlineStr">
        <is>
          <t>RFI</t>
        </is>
      </c>
      <c r="I29" s="4" t="inlineStr">
        <is>
          <t>L</t>
        </is>
      </c>
      <c r="J29" s="4" t="inlineStr">
        <is>
          <t>Do not price until AR-NBC-0010 decoded (Opens #20).</t>
        </is>
      </c>
    </row>
    <row r="30">
      <c r="A30" s="2" t="inlineStr">
        <is>
          <t>PAM FIXTURES (never counted by Denis - PAM note flags ~8 WC / 1 BSN / 1 CSK / 2 TR; adopted per Rule 6)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4" t="inlineStr">
        <is>
          <t>WC pans PAM (WC-05/06/07, stainless + in-wall cisterns)</t>
        </is>
      </c>
      <c r="B31" s="4" t="inlineStr">
        <is>
          <t>EA</t>
        </is>
      </c>
      <c r="C31" s="4" t="inlineStr">
        <is>
          <t>- (not counted)</t>
        </is>
      </c>
      <c r="D31" s="4" t="inlineStr">
        <is>
          <t>7-8</t>
        </is>
      </c>
      <c r="E31" s="4" t="inlineStr">
        <is>
          <t>vol06_11: WC x7 (6 cubicles + 1 PWD, consistent PAM-100/200); PAM note reads ~8</t>
        </is>
      </c>
      <c r="F31" s="4" t="inlineStr">
        <is>
          <t>+8 (new)</t>
        </is>
      </c>
      <c r="G31" s="4" t="inlineStr">
        <is>
          <t>Count conflict 7 vs ~8 - adopt higher (Rule 6)</t>
        </is>
      </c>
      <c r="H31" s="5" t="n">
        <v>8</v>
      </c>
      <c r="I31" s="4" t="inlineStr">
        <is>
          <t>M</t>
        </is>
      </c>
      <c r="J31" s="4" t="inlineStr">
        <is>
          <t>Stoddart TP3 s/s + FD.CI.IW.PRF in-wall cisterns - blockwork rough-in.</t>
        </is>
      </c>
    </row>
    <row r="32">
      <c r="A32" s="4" t="inlineStr">
        <is>
          <t>BSN PAM (PWD basin, H.PB Caroma Care 700)</t>
        </is>
      </c>
      <c r="B32" s="4" t="inlineStr">
        <is>
          <t>EA</t>
        </is>
      </c>
      <c r="C32" s="4" t="inlineStr">
        <is>
          <t>- (not counted)</t>
        </is>
      </c>
      <c r="D32" s="5" t="n">
        <v>1</v>
      </c>
      <c r="E32" s="4" t="inlineStr">
        <is>
          <t>vol06_11: BSN x1; FF&amp;E VOL28 H.PB</t>
        </is>
      </c>
      <c r="F32" s="4" t="inlineStr">
        <is>
          <t>+1 (new)</t>
        </is>
      </c>
      <c r="G32" s="4" t="inlineStr">
        <is>
          <t>Never counted</t>
        </is>
      </c>
      <c r="H32" s="5" t="n">
        <v>1</v>
      </c>
      <c r="I32" s="4" t="inlineStr">
        <is>
          <t>H</t>
        </is>
      </c>
      <c r="J32" s="4" t="inlineStr"/>
    </row>
    <row r="33">
      <c r="A33" s="4" t="inlineStr">
        <is>
          <t>Cleaners sink PAM (CSK/CLSK, HW-04)</t>
        </is>
      </c>
      <c r="B33" s="4" t="inlineStr">
        <is>
          <t>EA</t>
        </is>
      </c>
      <c r="C33" s="4" t="inlineStr">
        <is>
          <t>- (not counted)</t>
        </is>
      </c>
      <c r="D33" s="5" t="n">
        <v>1</v>
      </c>
      <c r="E33" s="4" t="inlineStr">
        <is>
          <t>vol06_11: CSK x1; FF&amp;E VOL28</t>
        </is>
      </c>
      <c r="F33" s="4" t="inlineStr">
        <is>
          <t>+1 (new)</t>
        </is>
      </c>
      <c r="G33" s="4" t="inlineStr">
        <is>
          <t>Never counted</t>
        </is>
      </c>
      <c r="H33" s="5" t="n">
        <v>1</v>
      </c>
      <c r="I33" s="4" t="inlineStr">
        <is>
          <t>H</t>
        </is>
      </c>
      <c r="J33" s="4" t="inlineStr"/>
    </row>
    <row r="34">
      <c r="A34" s="4" t="inlineStr">
        <is>
          <t>TR x2 PAM (undefined label, fed Ø20 DCW, drains via FWG)</t>
        </is>
      </c>
      <c r="B34" s="4" t="inlineStr">
        <is>
          <t>EA</t>
        </is>
      </c>
      <c r="C34" s="4" t="inlineStr">
        <is>
          <t>- (not counted)</t>
        </is>
      </c>
      <c r="D34" s="5" t="n">
        <v>2</v>
      </c>
      <c r="E34" s="4" t="inlineStr">
        <is>
          <t>H-PAM-100/200 north wall grid C</t>
        </is>
      </c>
      <c r="F34" s="4" t="inlineStr">
        <is>
          <t>+2 (new)</t>
        </is>
      </c>
      <c r="G34" s="4" t="inlineStr">
        <is>
          <t>Never counted; label undefined in PAM-001</t>
        </is>
      </c>
      <c r="H34" s="5" t="n">
        <v>2</v>
      </c>
      <c r="I34" s="4" t="inlineStr">
        <is>
          <t>L</t>
        </is>
      </c>
      <c r="J34" s="4" t="inlineStr">
        <is>
          <t>Allowance - RFI fixture type (Opens #22).</t>
        </is>
      </c>
    </row>
    <row r="35">
      <c r="A35" s="4" t="inlineStr">
        <is>
          <t>HW-02 handwash trough 1800mm PAM (unisex toilet 01)</t>
        </is>
      </c>
      <c r="B35" s="4" t="inlineStr">
        <is>
          <t>EA</t>
        </is>
      </c>
      <c r="C35" s="4" t="inlineStr">
        <is>
          <t>- (not counted)</t>
        </is>
      </c>
      <c r="D35" s="5" t="n">
        <v>1</v>
      </c>
      <c r="E35" s="4" t="inlineStr">
        <is>
          <t>FF&amp;E VOL28 p6 (1800mm, 2 hob taps)</t>
        </is>
      </c>
      <c r="F35" s="4" t="inlineStr">
        <is>
          <t>+1 (new)</t>
        </is>
      </c>
      <c r="G35" s="4" t="inlineStr">
        <is>
          <t>Never counted</t>
        </is>
      </c>
      <c r="H35" s="5" t="n">
        <v>1</v>
      </c>
      <c r="I35" s="4" t="inlineStr">
        <is>
          <t>M</t>
        </is>
      </c>
      <c r="J35" s="4" t="inlineStr"/>
    </row>
    <row r="36">
      <c r="A36" s="4" t="inlineStr">
        <is>
          <t>H.TT-04 timed flow taps PAM</t>
        </is>
      </c>
      <c r="B36" s="4" t="inlineStr">
        <is>
          <t>EA</t>
        </is>
      </c>
      <c r="C36" s="4" t="inlineStr">
        <is>
          <t>- (not counted)</t>
        </is>
      </c>
      <c r="D36" s="5" t="n">
        <v>2</v>
      </c>
      <c r="E36" s="4" t="inlineStr">
        <is>
          <t>FF&amp;E VOL28 p7 (2 hob taps on HW-02 trough)</t>
        </is>
      </c>
      <c r="F36" s="4" t="inlineStr">
        <is>
          <t>+2 (new)</t>
        </is>
      </c>
      <c r="G36" s="4" t="inlineStr">
        <is>
          <t>Never counted</t>
        </is>
      </c>
      <c r="H36" s="5" t="n">
        <v>2</v>
      </c>
      <c r="I36" s="4" t="inlineStr">
        <is>
          <t>M</t>
        </is>
      </c>
      <c r="J36" s="4" t="inlineStr"/>
    </row>
    <row r="37">
      <c r="A37" s="4" t="inlineStr">
        <is>
          <t>HW-06 knee-operated basin PAM ('Kitchen')</t>
        </is>
      </c>
      <c r="B37" s="4" t="inlineStr">
        <is>
          <t>EA</t>
        </is>
      </c>
      <c r="C37" s="4" t="inlineStr">
        <is>
          <t>- (not counted)</t>
        </is>
      </c>
      <c r="D37" s="4" t="inlineStr">
        <is>
          <t>RFI</t>
        </is>
      </c>
      <c r="E37" s="4" t="inlineStr">
        <is>
          <t>FF&amp;E VOL28 p6 - located 'Kitchen' but PAM has no kitchen room</t>
        </is>
      </c>
      <c r="F37" s="4" t="inlineStr">
        <is>
          <t>n/a</t>
        </is>
      </c>
      <c r="G37" s="4" t="inlineStr">
        <is>
          <t>Location anomaly (CL of FF&amp;E note #5)</t>
        </is>
      </c>
      <c r="H37" s="4" t="inlineStr">
        <is>
          <t>RFI</t>
        </is>
      </c>
      <c r="I37" s="4" t="inlineStr">
        <is>
          <t>L</t>
        </is>
      </c>
      <c r="J37" s="4" t="inlineStr">
        <is>
          <t>Verify against PAM floor plans before pricing.</t>
        </is>
      </c>
    </row>
    <row r="38">
      <c r="A38" s="2" t="inlineStr">
        <is>
          <t>GOVERNING NOTE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4" t="inlineStr">
        <is>
          <t>Tradelink quote 1066143/SP $252,694.77 ex GST reconciliation</t>
        </is>
      </c>
      <c r="B39" s="4" t="inlineStr">
        <is>
          <t>-</t>
        </is>
      </c>
      <c r="C39" s="4" t="inlineStr">
        <is>
          <t>25 fixtures counted (3 of ~10 wet areas)</t>
        </is>
      </c>
      <c r="D39" s="4" t="inlineStr">
        <is>
          <t>~$252.7k quote</t>
        </is>
      </c>
      <c r="E39" s="4" t="inlineStr">
        <is>
          <t>Tradelink 15/07/26, expires 13/08/26</t>
        </is>
      </c>
      <c r="F39" s="4" t="inlineStr">
        <is>
          <t>n/a</t>
        </is>
      </c>
      <c r="G39" s="4" t="inlineStr">
        <is>
          <t>Quote cannot be reproduced from the take-off</t>
        </is>
      </c>
      <c r="H39" s="4" t="inlineStr">
        <is>
          <t>Line-by-line reconciliation at Phase 4</t>
        </is>
      </c>
      <c r="I39" s="4" t="inlineStr">
        <is>
          <t>-</t>
        </is>
      </c>
      <c r="J39" s="4" t="inlineStr">
        <is>
          <t>Fixture supply = separate PC line Tradelink +15% (locked 5.3, matrix 4.12-c/3.12-a); Rule 4 fixture test feeds off this sheet.</t>
        </is>
      </c>
    </row>
  </sheetData>
  <mergeCells count="4">
    <mergeCell ref="A16:J16"/>
    <mergeCell ref="A30:J30"/>
    <mergeCell ref="A38:J38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13" customWidth="1" min="3" max="3"/>
    <col width="15" customWidth="1" min="4" max="4"/>
    <col width="38" customWidth="1" min="5" max="5"/>
    <col width="14" customWidth="1" min="6" max="6"/>
    <col width="36" customWidth="1" min="7" max="7"/>
    <col width="13" customWidth="1" min="8" max="8"/>
    <col width="11" customWidth="1" min="9" max="9"/>
    <col width="62" customWidth="1" min="10" max="10"/>
  </cols>
  <sheetData>
    <row r="1">
      <c r="A1" s="1" t="inlineStr">
        <is>
          <t>Item</t>
        </is>
      </c>
      <c r="B1" s="1" t="inlineStr">
        <is>
          <t>Unit</t>
        </is>
      </c>
      <c r="C1" s="1" t="inlineStr">
        <is>
          <t>Denis qty</t>
        </is>
      </c>
      <c r="D1" s="1" t="inlineStr">
        <is>
          <t>Independent qty</t>
        </is>
      </c>
      <c r="E1" s="1" t="inlineStr">
        <is>
          <t>Independent source (doc + sheet ref)</t>
        </is>
      </c>
      <c r="F1" s="1" t="inlineStr">
        <is>
          <t>Variance (Adopted - Denis)</t>
        </is>
      </c>
      <c r="G1" s="1" t="inlineStr">
        <is>
          <t>Variance reason</t>
        </is>
      </c>
      <c r="H1" s="1" t="inlineStr">
        <is>
          <t>ADOPTED qty</t>
        </is>
      </c>
      <c r="I1" s="1" t="inlineStr">
        <is>
          <t>Confidence (H/M/L)</t>
        </is>
      </c>
      <c r="J1" s="1" t="inlineStr">
        <is>
          <t>Notes</t>
        </is>
      </c>
    </row>
    <row r="2">
      <c r="A2" s="2" t="inlineStr">
        <is>
          <t>ITEMS NEVER COUNTED BY DENIS (Rule 5) - each row carries an adopted qty or explicit allowance/RFI status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Ø100 sewer rising main (QMax pumpwell to discharge MH) + fittings</t>
        </is>
      </c>
      <c r="B3" s="4" t="inlineStr">
        <is>
          <t>m</t>
        </is>
      </c>
      <c r="C3" s="4" t="inlineStr">
        <is>
          <t>- (not measured)</t>
        </is>
      </c>
      <c r="D3" s="4" t="inlineStr">
        <is>
          <t>60-110 (base-linework estimate)</t>
        </is>
      </c>
      <c r="E3" s="4" t="inlineStr">
        <is>
          <t>H003 base linework (no Groundplan trace - verified by colour-layer analysis); QCPS32VC/A02</t>
        </is>
      </c>
      <c r="F3" s="4" t="inlineStr">
        <is>
          <t>+110 (new)</t>
        </is>
      </c>
      <c r="G3" s="4" t="inlineStr">
        <is>
          <t>The one genuine quantity gap in the site set</t>
        </is>
      </c>
      <c r="H3" s="5" t="n">
        <v>110</v>
      </c>
      <c r="I3" s="4" t="inlineStr">
        <is>
          <t>L</t>
        </is>
      </c>
      <c r="J3" s="4" t="inlineStr">
        <is>
          <t>ADOPT 110 m allowance basis, PE100 pressure pipe. Status: Excluded-But-Costed per SCOPE_MATRIX 2.1-x2; RFI on discharge point (CL C4 - 'location to be confirmed'); wording must prevent builder deeming it included in 2.1-b.</t>
        </is>
      </c>
    </row>
    <row r="4">
      <c r="A4" s="4" t="inlineStr">
        <is>
          <t>Culvert excavation / bedding extra-over - 130.76 m RCBC (6 sizes)</t>
        </is>
      </c>
      <c r="B4" s="4" t="inlineStr">
        <is>
          <t>item</t>
        </is>
      </c>
      <c r="C4" s="4" t="inlineStr">
        <is>
          <t>- (not counted)</t>
        </is>
      </c>
      <c r="D4" s="4" t="inlineStr">
        <is>
          <t>130.76 m runs; cover data printed</t>
        </is>
      </c>
      <c r="E4" s="4" t="inlineStr">
        <is>
          <t>F1362/F1363 long sections: C01-C03, C05-C08 zero/negative cover; C04 cover ~0.17/0.37 m; C10 depth 1.311-1.350 m + base</t>
        </is>
      </c>
      <c r="F4" s="4" t="inlineStr">
        <is>
          <t>n/a</t>
        </is>
      </c>
      <c r="G4" s="4" t="inlineStr">
        <is>
          <t>Denis's open question - never quantified</t>
        </is>
      </c>
      <c r="H4" s="4" t="inlineStr">
        <is>
          <t>Price in Phase 6 from long-section cover data</t>
        </is>
      </c>
      <c r="I4" s="4" t="inlineStr">
        <is>
          <t>-</t>
        </is>
      </c>
      <c r="J4" s="4" t="inlineStr">
        <is>
          <t>CMDG-D-011 install; heavy lift C10 2700x1200; surface tie-in where units sit proud (RFI on load class already in CL D8).</t>
        </is>
      </c>
    </row>
    <row r="5">
      <c r="A5" s="4" t="inlineStr">
        <is>
          <t>Detention basin earthworks (shaping / embankment)</t>
        </is>
      </c>
      <c r="B5" s="4" t="inlineStr">
        <is>
          <t>item</t>
        </is>
      </c>
      <c r="C5" s="4" t="inlineStr">
        <is>
          <t>- (not counted)</t>
        </is>
      </c>
      <c r="D5" s="4" t="inlineStr">
        <is>
          <t>annotation only</t>
        </is>
      </c>
      <c r="E5" s="4" t="inlineStr">
        <is>
          <t>F1305: crest RL30.00, spillway RL29.70, max depth 2.25 m - no volumes anywhere</t>
        </is>
      </c>
      <c r="F5" s="4" t="inlineStr">
        <is>
          <t>n/a</t>
        </is>
      </c>
      <c r="G5" s="4" t="inlineStr">
        <is>
          <t>Annotation only, never quantified in any set</t>
        </is>
      </c>
      <c r="H5" s="4" t="inlineStr">
        <is>
          <t>NOT quantified - ALLOCATION question: bulk earthworks vs TCS drainage 1A 2.5 - RFI + Director</t>
        </is>
      </c>
      <c r="I5" s="4" t="inlineStr">
        <is>
          <t>-</t>
        </is>
      </c>
      <c r="J5" s="4" t="inlineStr">
        <is>
          <t>Matrix 2.5-x4 currently assigns basin bulk shaping to earthworks trade; Director to confirm before close (Opens #26).</t>
        </is>
      </c>
    </row>
    <row r="6">
      <c r="A6" s="4" t="inlineStr">
        <is>
          <t>Concrete spillway weir</t>
        </is>
      </c>
      <c r="B6" s="4" t="inlineStr">
        <is>
          <t>m</t>
        </is>
      </c>
      <c r="C6" s="4" t="inlineStr">
        <is>
          <t>- (not counted)</t>
        </is>
      </c>
      <c r="D6" s="5" t="n">
        <v>50</v>
      </c>
      <c r="E6" s="4" t="inlineStr">
        <is>
          <t>F1305 note ('CONCRETE SPILLWAY 50 m WEIR LENGTH') + F1323 build-up (125mm 25MPa, SL72 central, 75mm Type 2.3 sub-base, 1.5 m aprons, 0.5 m keys)</t>
        </is>
      </c>
      <c r="F6" s="4" t="inlineStr">
        <is>
          <t>+50 (new)</t>
        </is>
      </c>
      <c r="G6" s="4" t="inlineStr">
        <is>
          <t>Annotation only - in no Groundplan set</t>
        </is>
      </c>
      <c r="H6" s="5" t="n">
        <v>50</v>
      </c>
      <c r="I6" s="4" t="inlineStr">
        <is>
          <t>M</t>
        </is>
      </c>
      <c r="J6" s="4" t="inlineStr">
        <is>
          <t>Carried in TCS 2.5-b per matrix 2.5-x4; add to Phase 6 pricing; allocation confirmed with basin RFI.</t>
        </is>
      </c>
    </row>
    <row r="7">
      <c r="A7" s="4" t="inlineStr">
        <is>
          <t>NBC roof-DP in-ground connection stubs (to 'CONNECT TO CIVIL')</t>
        </is>
      </c>
      <c r="B7" s="4" t="inlineStr">
        <is>
          <t>EA</t>
        </is>
      </c>
      <c r="C7" s="4" t="inlineStr">
        <is>
          <t>9 markers ('already measured in civil sw')</t>
        </is>
      </c>
      <c r="D7" s="4" t="inlineStr">
        <is>
          <t>19+ (NBC-103) / 11-12 (vol06_11)</t>
        </is>
      </c>
      <c r="E7" s="4" t="inlineStr">
        <is>
          <t>H-NBC-103 roof DPs 19+ per clubhouse-note reading; vol06_11 reads 11 roof callouts / 12 ground labels</t>
        </is>
      </c>
      <c r="F7" s="4" t="inlineStr">
        <is>
          <t>+10</t>
        </is>
      </c>
      <c r="G7" s="4" t="inlineStr">
        <is>
          <t>Civil-set markers &lt; drawn DPs - stub scope at risk of being lost between trades</t>
        </is>
      </c>
      <c r="H7" s="5" t="n">
        <v>19</v>
      </c>
      <c r="I7" s="4" t="inlineStr">
        <is>
          <t>L</t>
        </is>
      </c>
      <c r="J7" s="4" t="inlineStr">
        <is>
          <t>ADOPT drawing DP count (higher reading) per Rule 5; RFI to settle count (Opens #23). TPS owns stubs to the 'CONNECT TO CIVIL' point; TCS beyond (L2). Expansion provision &lt;=6 m at DP connections (reactive soil note).</t>
        </is>
      </c>
    </row>
    <row r="8">
      <c r="A8" s="4" t="inlineStr">
        <is>
          <t>PAM roof-DP in-ground connection stubs</t>
        </is>
      </c>
      <c r="B8" s="4" t="inlineStr">
        <is>
          <t>EA</t>
        </is>
      </c>
      <c r="C8" s="4" t="inlineStr">
        <is>
          <t>2 markers</t>
        </is>
      </c>
      <c r="D8" s="5" t="n">
        <v>4</v>
      </c>
      <c r="E8" s="4" t="inlineStr">
        <is>
          <t>H-PAM-101: 4 x Ø100 DP roof callouts vs 2 ground risers on H-PAM-100</t>
        </is>
      </c>
      <c r="F8" s="4" t="inlineStr">
        <is>
          <t>+2</t>
        </is>
      </c>
      <c r="G8" s="4" t="inlineStr">
        <is>
          <t>Drawn DPs exceed markers; no 'connect to civil' note on PAM</t>
        </is>
      </c>
      <c r="H8" s="5" t="n">
        <v>4</v>
      </c>
      <c r="I8" s="4" t="inlineStr">
        <is>
          <t>M</t>
        </is>
      </c>
      <c r="J8" s="4" t="inlineStr">
        <is>
          <t>ADOPT 4 per Rule 5 + RFI (connection point undefined - CL C8).</t>
        </is>
      </c>
    </row>
    <row r="9">
      <c r="A9" s="4" t="inlineStr">
        <is>
          <t>NBC vertical vent risers (Ø50/Ø75/Ø100, terminate 300mm above roof)</t>
        </is>
      </c>
      <c r="B9" s="4" t="inlineStr">
        <is>
          <t>EA (riser)</t>
        </is>
      </c>
      <c r="C9" s="4" t="inlineStr">
        <is>
          <t>- (17.06 m horizontal plan only)</t>
        </is>
      </c>
      <c r="D9" s="4" t="inlineStr">
        <is>
          <t>~13+ risers</t>
        </is>
      </c>
      <c r="E9" s="4" t="inlineStr">
        <is>
          <t>NBC sheets/H-NBC-103: ~12 x Ø50, 1 x Ø75, 1 x Ø100 roof terminations</t>
        </is>
      </c>
      <c r="F9" s="4" t="inlineStr">
        <is>
          <t>+13 (new)</t>
        </is>
      </c>
      <c r="G9" s="4" t="inlineStr">
        <is>
          <t>Vertical heights not measurable in plan view - not in Denis's vent totals</t>
        </is>
      </c>
      <c r="H9" s="5" t="n">
        <v>13</v>
      </c>
      <c r="I9" s="4" t="inlineStr">
        <is>
          <t>L</t>
        </is>
      </c>
      <c r="J9" s="4" t="inlineStr">
        <is>
          <t>ALLOWANCE - 13 risers; height per riser from sections/ceiling RLs at Phase 6; roof-colour flashings per SD8.</t>
        </is>
      </c>
    </row>
    <row r="10">
      <c r="A10" s="4" t="inlineStr">
        <is>
          <t>PAM vertical vent riser (Ø65 VP)</t>
        </is>
      </c>
      <c r="B10" s="4" t="inlineStr">
        <is>
          <t>EA (riser)</t>
        </is>
      </c>
      <c r="C10" s="4" t="inlineStr">
        <is>
          <t>- (1.93 m horizontal plan only)</t>
        </is>
      </c>
      <c r="D10" s="5" t="n">
        <v>1</v>
      </c>
      <c r="E10" s="4" t="inlineStr">
        <is>
          <t>H-PAM-100/101 (Ø65 VP to above roof)</t>
        </is>
      </c>
      <c r="F10" s="4" t="inlineStr">
        <is>
          <t>+1 (new)</t>
        </is>
      </c>
      <c r="G10" s="4" t="inlineStr">
        <is>
          <t>Vertical unmeasured (vent measure looks light per PAM note 6.4)</t>
        </is>
      </c>
      <c r="H10" s="5" t="n">
        <v>1</v>
      </c>
      <c r="I10" s="4" t="inlineStr">
        <is>
          <t>M</t>
        </is>
      </c>
      <c r="J10" s="4" t="inlineStr">
        <is>
          <t>ALLOWANCE - single riser height from section at Phase 6.</t>
        </is>
      </c>
    </row>
    <row r="11">
      <c r="A11" s="4" t="inlineStr">
        <is>
          <t>Testing: 1-hour static water/drainage tests + certificates + third-party-signed photographic evidence</t>
        </is>
      </c>
      <c r="B11" s="4" t="inlineStr">
        <is>
          <t>item</t>
        </is>
      </c>
      <c r="C11" s="4" t="inlineStr">
        <is>
          <t>- (none in any legend)</t>
        </is>
      </c>
      <c r="D11" s="4" t="inlineStr">
        <is>
          <t>n/a</t>
        </is>
      </c>
      <c r="E11" s="4" t="inlineStr">
        <is>
          <t>H-NBC-002 / H-PAM-002 note G4; water test held until trench reinstatement complete</t>
        </is>
      </c>
      <c r="F11" s="4" t="inlineStr">
        <is>
          <t>n/a</t>
        </is>
      </c>
      <c r="G11" s="4" t="inlineStr">
        <is>
          <t>Obligation exists only as drawing note</t>
        </is>
      </c>
      <c r="H11" s="4" t="inlineStr">
        <is>
          <t>ALLOWANCE (QA time + water + certification)</t>
        </is>
      </c>
      <c r="I11" s="4" t="inlineStr">
        <is>
          <t>-</t>
        </is>
      </c>
      <c r="J11" s="4" t="inlineStr">
        <is>
          <t>TPS both buildings + site sewer/sanitary; witness marks; as-con G16 separately in prelims.</t>
        </is>
      </c>
    </row>
    <row r="12">
      <c r="A12" s="4" t="inlineStr">
        <is>
          <t>CCTV of all in-ground drainage (independent approved firm, Superintendent present)</t>
        </is>
      </c>
      <c r="B12" s="4" t="inlineStr">
        <is>
          <t>item</t>
        </is>
      </c>
      <c r="C12" s="4" t="inlineStr">
        <is>
          <t>- (not counted)</t>
        </is>
      </c>
      <c r="D12" s="4" t="inlineStr">
        <is>
          <t>n/a</t>
        </is>
      </c>
      <c r="E12" s="4" t="inlineStr">
        <is>
          <t>VOL38 3.56; matrix 1.6 (both stages)</t>
        </is>
      </c>
      <c r="F12" s="4" t="inlineStr">
        <is>
          <t>n/a</t>
        </is>
      </c>
      <c r="G12" s="4" t="inlineStr">
        <is>
          <t>Never quantified</t>
        </is>
      </c>
      <c r="H12" s="4" t="inlineStr">
        <is>
          <t>ALLOWANCE - each entity its own assets (TCS stormwater / TPS sewer)</t>
        </is>
      </c>
      <c r="I12" s="4" t="inlineStr">
        <is>
          <t>-</t>
        </is>
      </c>
      <c r="J12" s="4" t="inlineStr">
        <is>
          <t>Split per interface L15; no combined deliverable.</t>
        </is>
      </c>
    </row>
    <row r="13">
      <c r="A13" s="4" t="inlineStr">
        <is>
          <t>Hydrostatic pressure testing + disinfection of water/fire mains</t>
        </is>
      </c>
      <c r="B13" s="4" t="inlineStr">
        <is>
          <t>item</t>
        </is>
      </c>
      <c r="C13" s="4" t="inlineStr">
        <is>
          <t>- (not counted)</t>
        </is>
      </c>
      <c r="D13" s="4" t="inlineStr">
        <is>
          <t>n/a</t>
        </is>
      </c>
      <c r="E13" s="4" t="inlineStr">
        <is>
          <t>AS3500.1 / VOL38 testing regime</t>
        </is>
      </c>
      <c r="F13" s="4" t="inlineStr">
        <is>
          <t>n/a</t>
        </is>
      </c>
      <c r="G13" s="4" t="inlineStr">
        <is>
          <t>Never quantified</t>
        </is>
      </c>
      <c r="H13" s="4" t="inlineStr">
        <is>
          <t>ALLOWANCE (TPS site + buildings)</t>
        </is>
      </c>
      <c r="I13" s="4" t="inlineStr">
        <is>
          <t>-</t>
        </is>
      </c>
      <c r="J13" s="4" t="inlineStr">
        <is>
          <t>Include booster/hydrant commissioning + FRQ 2-week notice (VOL38 12.17/25).</t>
        </is>
      </c>
    </row>
    <row r="14">
      <c r="A14" s="4" t="inlineStr">
        <is>
          <t>Articulation / expansion joints - reactive soil H1 'P' classification</t>
        </is>
      </c>
      <c r="B14" s="4" t="inlineStr">
        <is>
          <t>EA / item</t>
        </is>
      </c>
      <c r="C14" s="4" t="inlineStr">
        <is>
          <t>2 counted (1 NBC + 1 PAM knuckle)</t>
        </is>
      </c>
      <c r="D14" s="4" t="inlineStr">
        <is>
          <t>n/a</t>
        </is>
      </c>
      <c r="E14" s="4" t="inlineStr">
        <is>
          <t>H-NBC-300 detail 1 (swivel/expanda/combo joints); AS/NZS 2032; AS3500.2 App G Class H1; DP expansion &lt;=6 m spacing</t>
        </is>
      </c>
      <c r="F14" s="4" t="inlineStr">
        <is>
          <t>n/a</t>
        </is>
      </c>
      <c r="G14" s="4" t="inlineStr">
        <is>
          <t>H1 'P' requirement never counted beyond 2 joints</t>
        </is>
      </c>
      <c r="H14" s="4" t="inlineStr">
        <is>
          <t>ALLOWANCE - Phase 6 count from drainage runs (joints at slab entries, risers, &lt;=6 m DP spacing)</t>
        </is>
      </c>
      <c r="I14" s="4" t="inlineStr">
        <is>
          <t>L</t>
        </is>
      </c>
      <c r="J14" s="4" t="inlineStr">
        <is>
          <t>Increased provisions per CONFLICT_LOG G; lagging included.</t>
        </is>
      </c>
    </row>
    <row r="15">
      <c r="A15" s="4" t="inlineStr">
        <is>
          <t>Seismic bracing / restraints (AS1170.4 EDC 2, subsoil Ce)</t>
        </is>
      </c>
      <c r="B15" s="4" t="inlineStr">
        <is>
          <t>item</t>
        </is>
      </c>
      <c r="C15" s="4" t="inlineStr">
        <is>
          <t>- (not counted)</t>
        </is>
      </c>
      <c r="D15" s="4" t="inlineStr">
        <is>
          <t>n/a</t>
        </is>
      </c>
      <c r="E15" s="4" t="inlineStr">
        <is>
          <t>VOL38 3.15; H-NBC-301 HWU 25mm SS strap + Unistrut detail; H002 n.9</t>
        </is>
      </c>
      <c r="F15" s="4" t="inlineStr">
        <is>
          <t>n/a</t>
        </is>
      </c>
      <c r="G15" s="4" t="inlineStr">
        <is>
          <t>Never quantified</t>
        </is>
      </c>
      <c r="H15" s="4" t="inlineStr">
        <is>
          <t>ALLOWANCE - install + restraint LAYOUT drafting only (no engineering design liability per CL C7 / matrix X4)</t>
        </is>
      </c>
      <c r="I15" s="4" t="inlineStr">
        <is>
          <t>-</t>
        </is>
      </c>
      <c r="J15" s="4" t="inlineStr">
        <is>
          <t>Scissor/EWP access for ceiling-level restraint included in allowance.</t>
        </is>
      </c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70" customWidth="1" min="4" max="4"/>
    <col width="55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Source note(s)</t>
        </is>
      </c>
      <c r="C1" s="1" t="inlineStr">
        <is>
          <t>Open item</t>
        </is>
      </c>
      <c r="D1" s="1" t="inlineStr">
        <is>
          <t>Detail / why it matters</t>
        </is>
      </c>
      <c r="E1" s="1" t="inlineStr">
        <is>
          <t>Proposed resolution</t>
        </is>
      </c>
      <c r="F1" s="1" t="inlineStr">
        <is>
          <t>Owner</t>
        </is>
      </c>
    </row>
    <row r="2">
      <c r="A2" s="5" t="n">
        <v>1</v>
      </c>
      <c r="B2" s="4" t="inlineStr">
        <is>
          <t>groundplan_civil_sw 5.2</t>
        </is>
      </c>
      <c r="C2" s="4" t="inlineStr">
        <is>
          <t>225 PVC DWV +65.5 m unexplained</t>
        </is>
      </c>
      <c r="D2" s="4" t="inlineStr">
        <is>
          <t>Denis 180.93 m vs line-81 printed 115.45 m; source of the extra ~65 m unidentified (possibly building cut-off drains / bi-fold door outlets measured as 225, or a double run at the amenities building). Adopted 115.45 m - if real scope exists beyond line 81 it must be added back as a separate item.</t>
        </is>
      </c>
      <c r="E2" s="4" t="inlineStr">
        <is>
          <t>Denis to identify what the extra polylines trace in the Groundplan native file</t>
        </is>
      </c>
      <c r="F2" s="4" t="inlineStr">
        <is>
          <t>Denis</t>
        </is>
      </c>
    </row>
    <row r="3">
      <c r="A3" s="5" t="n">
        <v>2</v>
      </c>
      <c r="B3" s="4" t="inlineStr">
        <is>
          <t>groundplan_civil_sw 5.3</t>
        </is>
      </c>
      <c r="C3" s="4" t="inlineStr">
        <is>
          <t>RCP 375 CL4 extent (30.40 m vs ~12.0 m)</t>
        </is>
      </c>
      <c r="D3" s="4" t="inlineStr">
        <is>
          <t>Long sections print CL4 only on line 05 (05-01 to 06-03, 11.988 m); which other runs make up Denis's 30.40 m CL4 unconfirmed. Adopted split CL3 702.9 / CL4 12.0 - class affects supply rate only.</t>
        </is>
      </c>
      <c r="E3" s="4" t="inlineStr">
        <is>
          <t>Denis to identify runs classed CL4; correct split before Phase 6 rates</t>
        </is>
      </c>
      <c r="F3" s="4" t="inlineStr">
        <is>
          <t>Denis</t>
        </is>
      </c>
    </row>
    <row r="4">
      <c r="A4" s="5" t="n">
        <v>3</v>
      </c>
      <c r="B4" s="4" t="inlineStr">
        <is>
          <t>civil_sw 4.4 vs vol15_long_sections</t>
        </is>
      </c>
      <c r="C4" s="4" t="inlineStr">
        <is>
          <t>Independent RCP375 total discrepancy between our own notes</t>
        </is>
      </c>
      <c r="D4" s="4" t="inlineStr">
        <is>
          <t>Take-off note cites design ~690.4 m; the long-section run-by-run sums give 714.9 m combined - line 06 start chainage -24.498 (24.5 m) appears dropped from the note's sum. Adopted the printed run sums (714.9 basis). This also corrects Rule 2's '~+35 m' overage to ~+10.6 m.</t>
        </is>
      </c>
      <c r="E4" s="4" t="inlineStr">
        <is>
          <t>Re-run chainage sum at Phase 6 before rates locked</t>
        </is>
      </c>
      <c r="F4" s="4" t="inlineStr">
        <is>
          <t>Phase 6</t>
        </is>
      </c>
    </row>
    <row r="5">
      <c r="A5" s="5" t="n">
        <v>4</v>
      </c>
      <c r="B5" s="4" t="inlineStr">
        <is>
          <t>civil_sw 5.5 / 5.6</t>
        </is>
      </c>
      <c r="C5" s="4" t="inlineStr">
        <is>
          <t>Identify Denis's specific missed structures</t>
        </is>
      </c>
      <c r="D5" s="4" t="inlineStr">
        <is>
          <t>Which 1200 AC (of 25-03 / 26-02 / 26-03 / 26-05) and which P2P (60-02 or 81-04) are absent from his count. Totals adopted 4 / 20 regardless - only fitting-type pricing is affected.</t>
        </is>
      </c>
      <c r="E5" s="4" t="inlineStr">
        <is>
          <t>Denis to confirm in Groundplan native file</t>
        </is>
      </c>
      <c r="F5" s="4" t="inlineStr">
        <is>
          <t>Denis</t>
        </is>
      </c>
    </row>
    <row r="6">
      <c r="A6" s="5" t="n">
        <v>5</v>
      </c>
      <c r="B6" s="4" t="inlineStr">
        <is>
          <t>civil_sw 6.1</t>
        </is>
      </c>
      <c r="C6" s="4" t="inlineStr">
        <is>
          <t>Pipe material naming: 'HDPE PN100 SN8' vs drawings' PP</t>
        </is>
      </c>
      <c r="D6" s="4" t="inlineStr">
        <is>
          <t>All 225-600 reticulation labelled PP on drawings is described as HDPE PN100 SN8 (PN100 is not a real class for this product). Lengths reconcile - same network.</t>
        </is>
      </c>
      <c r="E6" s="4" t="inlineStr">
        <is>
          <t>Price as PP (StormPRO or equal); Denis confirm description intent</t>
        </is>
      </c>
      <c r="F6" s="4" t="inlineStr">
        <is>
          <t>Denis</t>
        </is>
      </c>
    </row>
    <row r="7">
      <c r="A7" s="5" t="n">
        <v>6</v>
      </c>
      <c r="B7" s="4" t="inlineStr">
        <is>
          <t>civil_sw 6.3 / CL F1</t>
        </is>
      </c>
      <c r="C7" s="4" t="inlineStr">
        <is>
          <t>Kerb chutes - Director decision D6-F1</t>
        </is>
      </c>
      <c r="D7" s="4" t="inlineStr">
        <is>
          <t>9 kerb chutes: Denis's 24-Jul email excludes entirely vs locked 5.3 rock+mat only. EA construction (concrete invert 1000x150, kerb returns, matting) unquantified either way. Adopted 9 EA count with disposition open.</t>
        </is>
      </c>
      <c r="E7" s="4" t="inlineStr">
        <is>
          <t>Director decision D6-F1; both positions costed in EBC register</t>
        </is>
      </c>
      <c r="F7" s="4" t="inlineStr">
        <is>
          <t>Director</t>
        </is>
      </c>
    </row>
    <row r="8">
      <c r="A8" s="5" t="n">
        <v>7</v>
      </c>
      <c r="B8" s="4" t="inlineStr">
        <is>
          <t>vol15 F1320 / CL D7</t>
        </is>
      </c>
      <c r="C8" s="4" t="inlineStr">
        <is>
          <t>GT2 'NO. PITS = 4' does not reconcile</t>
        </is>
      </c>
      <c r="D8" s="4" t="inlineStr">
        <is>
          <t>GT2 141.2 m lists 4 pits vs GT3/GT4 (identical length/spacing) 7 each; layouts show 5 trash boxes + 7 connection structures along GT2. 'No. pits' column meaning undefined.</t>
        </is>
      </c>
      <c r="E8" s="4" t="inlineStr">
        <is>
          <t>RFI - define pit count basis; adopted pit count from F1310 IDs meanwhile</t>
        </is>
      </c>
      <c r="F8" s="4" t="inlineStr">
        <is>
          <t>RFI</t>
        </is>
      </c>
    </row>
    <row r="9">
      <c r="A9" s="5" t="n">
        <v>8</v>
      </c>
      <c r="B9" s="4" t="inlineStr">
        <is>
          <t>vol15 / CL D1/D6</t>
        </is>
      </c>
      <c r="C9" s="4" t="inlineStr">
        <is>
          <t>C09A/B end structures detailed nowhere</t>
        </is>
      </c>
      <c r="D9" s="4" t="inlineStr">
        <is>
          <t>Twin 2x375 RCP culvert end structures appear in neither F1310 nor F1321; both ends labelled 'HEADWALL OUTLET'; C09B IL (34.911) above C09A (34.825) - flow direction unclear.</t>
        </is>
      </c>
      <c r="E9" s="4" t="inlineStr">
        <is>
          <t>RFI - C09 headwall/apron/rock-pad details + flow direction</t>
        </is>
      </c>
      <c r="F9" s="4" t="inlineStr">
        <is>
          <t>RFI</t>
        </is>
      </c>
    </row>
    <row r="10">
      <c r="A10" s="5" t="n">
        <v>9</v>
      </c>
      <c r="B10" s="4" t="inlineStr">
        <is>
          <t>vol15 / CL D2/D5</t>
        </is>
      </c>
      <c r="C10" s="4" t="inlineStr">
        <is>
          <t>F1310 pit schedule defects</t>
        </is>
      </c>
      <c r="D10" s="4" t="inlineStr">
        <is>
          <t>87-02 listed twice with conflicting attributes; remarks/cover columns shifted one row for ~5 pits (02-01, 81-07, 83-01, 87-01, 87-02); long section labels '81-08' vs schedule 81-07; reference typos (12306_12320, F650).</t>
        </is>
      </c>
      <c r="E10" s="4" t="inlineStr">
        <is>
          <t>RFI - corrected pit schedule; priced on conservative reading meanwhile</t>
        </is>
      </c>
      <c r="F10" s="4" t="inlineStr">
        <is>
          <t>RFI</t>
        </is>
      </c>
    </row>
    <row r="11">
      <c r="A11" s="5" t="n">
        <v>10</v>
      </c>
      <c r="B11" s="4" t="inlineStr">
        <is>
          <t>civil_sw 6.8 / CL E2/F2</t>
        </is>
      </c>
      <c r="C11" s="4" t="inlineStr">
        <is>
          <t>WSUD supply package re-quote</t>
        </is>
      </c>
      <c r="D11" s="4" t="inlineStr">
        <is>
          <t>22 OceanProtect StormFilter cartridges + DN3300 manhole internals: two stale Atlan figures ($106,221.80 email vs $88,838 workbook); Ocean Protect now nominated.</t>
        </is>
      </c>
      <c r="E11" s="4" t="inlineStr">
        <is>
          <t>Re-quote Ocean Protect; PC Sum +15% supply+delivery, install inside TCS lump sum (L3)</t>
        </is>
      </c>
      <c r="F11" s="4" t="inlineStr">
        <is>
          <t>Phase 6</t>
        </is>
      </c>
    </row>
    <row r="12">
      <c r="A12" s="5" t="n">
        <v>11</v>
      </c>
      <c r="B12" s="4" t="inlineStr">
        <is>
          <t>groundplan_sitework_hyd 6.2</t>
        </is>
      </c>
      <c r="C12" s="4" t="inlineStr">
        <is>
          <t>Ø20-to-25 / Ø25-to-32 upsizing convention</t>
        </is>
      </c>
      <c r="D12" s="4" t="inlineStr">
        <is>
          <t>Runs labelled Ø20 taken off as 25 PE (74.25 m) and Ø25 as 32 PE (37.26 m); no Ø20 item exists. Kept per Rule 1.</t>
        </is>
      </c>
      <c r="E12" s="4" t="inlineStr">
        <is>
          <t>Denis confirm deliberate estimating convention vs misread</t>
        </is>
      </c>
      <c r="F12" s="4" t="inlineStr">
        <is>
          <t>Denis</t>
        </is>
      </c>
    </row>
    <row r="13">
      <c r="A13" s="5" t="n">
        <v>12</v>
      </c>
      <c r="B13" s="4" t="inlineStr">
        <is>
          <t>sitework 6.3 / matrix 2.1-c</t>
        </is>
      </c>
      <c r="C13" s="4" t="inlineStr">
        <is>
          <t>Ø200 main material basis</t>
        </is>
      </c>
      <c r="D13" s="4" t="inlineStr">
        <is>
          <t>Measured as Kembla copper Type B (134.63 m); locked 5.5 base offer is Ø200 ID HDPE PE100 SDR11 with no buried copper alternate. Length firm; rate basis must move to HDPE.</t>
        </is>
      </c>
      <c r="E13" s="4" t="inlineStr">
        <is>
          <t>Phase 6 re-rate the 134.63 m run to HDPE PE100 SDR11 basis</t>
        </is>
      </c>
      <c r="F13" s="4" t="inlineStr">
        <is>
          <t>Phase 6</t>
        </is>
      </c>
    </row>
    <row r="14">
      <c r="A14" s="5" t="n">
        <v>13</v>
      </c>
      <c r="B14" s="4" t="inlineStr">
        <is>
          <t>sitework 6.8 / CL C1/F3</t>
        </is>
      </c>
      <c r="C14" s="4" t="inlineStr">
        <is>
          <t>Fire service extent vs AS2419.1</t>
        </is>
      </c>
      <c r="D14" s="4" t="inlineStr">
        <is>
          <t>217.73 m DN125 + 1 booster + 1 dual hydrant looks light; H003 prints no lengths and no legible hydrant symbols; H004 continuation missing from set.</t>
        </is>
      </c>
      <c r="E14" s="4" t="inlineStr">
        <is>
          <t>RFI on design intent/coverage; Phase 4 AS2419.1 coverage check</t>
        </is>
      </c>
      <c r="F14" s="4" t="inlineStr">
        <is>
          <t>RFI</t>
        </is>
      </c>
    </row>
    <row r="15">
      <c r="A15" s="5" t="n">
        <v>14</v>
      </c>
      <c r="B15" s="4" t="inlineStr">
        <is>
          <t>all five take-off notes</t>
        </is>
      </c>
      <c r="C15" s="4" t="inlineStr">
        <is>
          <t>EA symbol counts not independently recounted</t>
        </is>
      </c>
      <c r="D15" s="4" t="inlineStr">
        <is>
          <t>Dense symbol clusters (e.g. NBC 68x bend 100x90, 71x junction) accepted from Groundplan auto-legend; composite glyphs defeat automated counting.</t>
        </is>
      </c>
      <c r="E15" s="4" t="inlineStr">
        <is>
          <t>Denis screen-zoom spot-check of the ten densest clusters in native files</t>
        </is>
      </c>
      <c r="F15" s="4" t="inlineStr">
        <is>
          <t>Denis</t>
        </is>
      </c>
    </row>
    <row r="16">
      <c r="A16" s="5" t="n">
        <v>15</v>
      </c>
      <c r="B16" s="4" t="inlineStr">
        <is>
          <t>clubhouse 5.2/5.3 + vol06_11</t>
        </is>
      </c>
      <c r="C16" s="4" t="inlineStr">
        <is>
          <t>NBC drawn-vs-counted deltas adopted high</t>
        </is>
      </c>
      <c r="D16" s="4" t="inlineStr">
        <is>
          <t>Hose tap 5th (NBC-201 symbol uncounted) and 20mm RPZD 4th (NBC-202 ~4 positions vs 3 counted) adopted; 'hot water pump' 1 counted vs vol06_11 'pumps: none shown'; possible 50mm/20mm RPZD position overlap.</t>
        </is>
      </c>
      <c r="E16" s="4" t="inlineStr">
        <is>
          <t>Denis verify each against native file; adjust adopted counts if disproven</t>
        </is>
      </c>
      <c r="F16" s="4" t="inlineStr">
        <is>
          <t>Denis</t>
        </is>
      </c>
    </row>
    <row r="17">
      <c r="A17" s="5" t="n">
        <v>16</v>
      </c>
      <c r="B17" s="4" t="inlineStr">
        <is>
          <t>pam 6.1/6.5/6.10 + 7</t>
        </is>
      </c>
      <c r="C17" s="4" t="inlineStr">
        <is>
          <t>PAM minor verifications</t>
        </is>
      </c>
      <c r="D17" s="4" t="inlineStr">
        <is>
          <t>CO: 7 annotations vs 6 counted (adopted 7); TMV '(TYPICAL)' plural vs 1 counted; plan-F 0.45 m sewer pick-up no-double-count check; Cu20 0.96 m position unlocated.</t>
        </is>
      </c>
      <c r="E17" s="4" t="inlineStr">
        <is>
          <t>Denis verify; TMV also allow-per-warm-water-group + RFI</t>
        </is>
      </c>
      <c r="F17" s="4" t="inlineStr">
        <is>
          <t>Denis</t>
        </is>
      </c>
    </row>
    <row r="18">
      <c r="A18" s="5" t="n">
        <v>17</v>
      </c>
      <c r="B18" s="4" t="inlineStr">
        <is>
          <t>clubhouse 6.3 / pam 6.6 / CL C9</t>
        </is>
      </c>
      <c r="C18" s="4" t="inlineStr">
        <is>
          <t>316 SS water spec vs copper measured</t>
        </is>
      </c>
      <c r="D18" s="4" t="inlineStr">
        <is>
          <t>WS2 requires 316 SS press-fit &gt;DN22 (and 316 SS external exposed connections); measured copper Type B: NBC 150.46 m + PAM 37.42 m combined.</t>
        </is>
      </c>
      <c r="E18" s="4" t="inlineStr">
        <is>
          <t>Price stainless conforming + copper labelled alternate per locked 5.5; obtain SS press-fit rates</t>
        </is>
      </c>
      <c r="F18" s="4" t="inlineStr">
        <is>
          <t>Phase 6</t>
        </is>
      </c>
    </row>
    <row r="19">
      <c r="A19" s="5" t="n">
        <v>18</v>
      </c>
      <c r="B19" s="4" t="inlineStr">
        <is>
          <t>fixture_count 5 / 7</t>
        </is>
      </c>
      <c r="C19" s="4" t="inlineStr">
        <is>
          <t>Fixture take-off incomplete - MATERIAL</t>
        </is>
      </c>
      <c r="D19" s="4" t="inlineStr">
        <is>
          <t>Only Canteen/Kitchen + C/R.03/04 counted (25 EA); changerooms C/R.01/02, First Aid, Cleaners, Amenities M/F, PWD entirely uncounted (indicatively 15+ pans vs 1 counted). Interim adopted counts on Fixtures sheet are LOW confidence.</t>
        </is>
      </c>
      <c r="E19" s="4" t="inlineStr">
        <is>
          <t>Denis rebuild counts for AR-NBC-3006/3007/3008/3009; reconcile line-by-line vs Tradelink 1066143</t>
        </is>
      </c>
      <c r="F19" s="4" t="inlineStr">
        <is>
          <t>Denis</t>
        </is>
      </c>
    </row>
    <row r="20">
      <c r="A20" s="5" t="n">
        <v>19</v>
      </c>
      <c r="B20" s="4" t="inlineStr">
        <is>
          <t>fixture_count 7 / CL F4</t>
        </is>
      </c>
      <c r="C20" s="4" t="inlineStr">
        <is>
          <t>Tradelink quote validity/escalation</t>
        </is>
      </c>
      <c r="D20" s="4" t="inlineStr">
        <is>
          <t>$252,694.77 ex GST quote dated 15/07/26 expires 13/08/26 vs 2027 commencement; header address defect ('544 Yaamba Rd Parkhurst').</t>
        </is>
      </c>
      <c r="E20" s="4" t="inlineStr">
        <is>
          <t>Escalation + validity qualification in submission; re-quote near award</t>
        </is>
      </c>
      <c r="F20" s="4" t="inlineStr">
        <is>
          <t>Phase 6</t>
        </is>
      </c>
    </row>
    <row r="21">
      <c r="A21" s="5" t="n">
        <v>20</v>
      </c>
      <c r="B21" s="4" t="inlineStr">
        <is>
          <t>fixture_count 6.2</t>
        </is>
      </c>
      <c r="C21" s="4" t="inlineStr">
        <is>
          <t>Architectural code list AR-NBC-0010 not held</t>
        </is>
      </c>
      <c r="D21" s="4" t="inlineStr">
        <is>
          <t>Codes WC-04, Z.HB, H.EW, H.PB, N.WB, I.HM, H.TT-03/-04, HW-02/-04, H.TM-02 cannot be decoded; H.EW may be electric water heaters (would conflict with 2-HWU adoption).</t>
        </is>
      </c>
      <c r="E21" s="4" t="inlineStr">
        <is>
          <t>RFI - obtain AR-NBC-0010</t>
        </is>
      </c>
      <c r="F21" s="4" t="inlineStr">
        <is>
          <t>RFI</t>
        </is>
      </c>
    </row>
    <row r="22">
      <c r="A22" s="5" t="n">
        <v>21</v>
      </c>
      <c r="B22" s="4" t="inlineStr">
        <is>
          <t>fixture_count 6.3 / CL C10</t>
        </is>
      </c>
      <c r="C22" s="4" t="inlineStr">
        <is>
          <t>ODF drinking fountain basis</t>
        </is>
      </c>
      <c r="D22" s="4" t="inlineStr">
        <is>
          <t>Chilled (VOL25) vs non-chilled (VOL28) - same SKU DFCF400; 1 station vs 3 bowls pricing basis; elevations tag ODF on 3 faces vs 2 hydraulic fountains drawn.</t>
        </is>
      </c>
      <c r="E22" s="4" t="inlineStr">
        <is>
          <t>RFI; carried as calculated PC Sum per matrix 4.12-e / 1B 4.5-c</t>
        </is>
      </c>
      <c r="F22" s="4" t="inlineStr">
        <is>
          <t>RFI</t>
        </is>
      </c>
    </row>
    <row r="23">
      <c r="A23" s="5" t="n">
        <v>22</v>
      </c>
      <c r="B23" s="4" t="inlineStr">
        <is>
          <t>vol06_11 conflicts 7</t>
        </is>
      </c>
      <c r="C23" s="4" t="inlineStr">
        <is>
          <t>PAM 'TR' x2 undefined fixture label</t>
        </is>
      </c>
      <c r="D23" s="4" t="inlineStr">
        <is>
          <t>North wall grid C, fed Ø20 DCW, drains via FWG - not in PAM-001 abbreviation list. Adopted 2 EA allowance.</t>
        </is>
      </c>
      <c r="E23" s="4" t="inlineStr">
        <is>
          <t>RFI - fixture type + spec</t>
        </is>
      </c>
      <c r="F23" s="4" t="inlineStr">
        <is>
          <t>RFI</t>
        </is>
      </c>
    </row>
    <row r="24">
      <c r="A24" s="5" t="n">
        <v>23</v>
      </c>
      <c r="B24" s="4" t="inlineStr">
        <is>
          <t>clubhouse 6.1 vs vol06_11</t>
        </is>
      </c>
      <c r="C24" s="4" t="inlineStr">
        <is>
          <t>NBC roof DP count unresolved</t>
        </is>
      </c>
      <c r="D24" s="4" t="inlineStr">
        <is>
          <t>19+ DPs per clubhouse-note reading of NBC-103 vs 11 roof callouts / 12 ground labels per vol06_11 dedicated review. 19 stubs adopted conservatively (NewItems #5).</t>
        </is>
      </c>
      <c r="E24" s="4" t="inlineStr">
        <is>
          <t>RFI - confirm DP number/positions; correct stub count at Phase 4</t>
        </is>
      </c>
      <c r="F24" s="4" t="inlineStr">
        <is>
          <t>RFI</t>
        </is>
      </c>
    </row>
    <row r="25">
      <c r="A25" s="5" t="n">
        <v>24</v>
      </c>
      <c r="B25" s="4" t="inlineStr">
        <is>
          <t>vol06_11 conflicts 11 / CL B6</t>
        </is>
      </c>
      <c r="C25" s="4" t="inlineStr">
        <is>
          <t>Grease arrestor size</t>
        </is>
      </c>
      <c r="D25" s="4" t="inlineStr">
        <is>
          <t>1500L Viking PanelTim (H-NBC-102) vs 2000L (Design Report) vs Halgan 550-5000L no size selected (spec) - three sizes in three documents; no GIT install detail in volume.</t>
        </is>
      </c>
      <c r="E25" s="4" t="inlineStr">
        <is>
          <t>RFI size selection; carried as PC/allowance</t>
        </is>
      </c>
      <c r="F25" s="4" t="inlineStr">
        <is>
          <t>RFI</t>
        </is>
      </c>
    </row>
    <row r="26">
      <c r="A26" s="5" t="n">
        <v>25</v>
      </c>
      <c r="B26" s="4" t="inlineStr">
        <is>
          <t>clubhouse 6.4</t>
        </is>
      </c>
      <c r="C26" s="4" t="inlineStr">
        <is>
          <t>Trade-waste vent items on Vent layer</t>
        </is>
      </c>
      <c r="D26" s="4" t="inlineStr">
        <is>
          <t>1.98 m 110 HDPE + 2 bends recorded under Vent layer merged into TW package (54.78 m). Identical item names across layers merge automatically in roll-ups.</t>
        </is>
      </c>
      <c r="E26" s="4" t="inlineStr">
        <is>
          <t>Phase 6 workbook check - count once, no layer-based double count</t>
        </is>
      </c>
      <c r="F26" s="4" t="inlineStr">
        <is>
          <t>Phase 6</t>
        </is>
      </c>
    </row>
    <row r="27">
      <c r="A27" s="5" t="n">
        <v>26</v>
      </c>
      <c r="B27" s="4" t="inlineStr">
        <is>
          <t>vol15 F1305/F1323 / Rule 5</t>
        </is>
      </c>
      <c r="C27" s="4" t="inlineStr">
        <is>
          <t>Detention basin + spillway allocation</t>
        </is>
      </c>
      <c r="D27" s="4" t="inlineStr">
        <is>
          <t>Basin earthworks and 50 m concrete spillway weir never quantified in any take-off set; allocation split between bulk earthworks trade and TCS drainage (1A 2.5) unconfirmed. Spillway 50 m adopted to TCS (NewItems #4); basin shaping left with earthworks per matrix 2.5-x4.</t>
        </is>
      </c>
      <c r="E27" s="4" t="inlineStr">
        <is>
          <t>RFI + Director confirmation before close</t>
        </is>
      </c>
      <c r="F27" s="4" t="inlineStr">
        <is>
          <t>Director</t>
        </is>
      </c>
    </row>
    <row r="28">
      <c r="A28" s="5" t="n">
        <v>27</v>
      </c>
      <c r="B28" s="4" t="inlineStr">
        <is>
          <t>sitework 5.1 / CL C4</t>
        </is>
      </c>
      <c r="C28" s="4" t="inlineStr">
        <is>
          <t>Sewer rising main discharge undefined</t>
        </is>
      </c>
      <c r="D28" s="4" t="inlineStr">
        <is>
          <t>~60-110 m Ø100 rising main unmeasured; discharge 'location to be confirmed and coordinated'; ownership ambiguous once Council installs the station. 110 m EBC allowance adopted (NewItems #1).</t>
        </is>
      </c>
      <c r="E28" s="4" t="inlineStr">
        <is>
          <t>RFI - discharge point + scope ownership; keep EBC wording</t>
        </is>
      </c>
      <c r="F28" s="4" t="inlineStr">
        <is>
          <t>RFI</t>
        </is>
      </c>
    </row>
    <row r="29">
      <c r="A29" s="5" t="n">
        <v>28</v>
      </c>
      <c r="B29" s="4" t="inlineStr">
        <is>
          <t>clubhouse 4 + vol06_11 could-not-verify</t>
        </is>
      </c>
      <c r="C29" s="4" t="inlineStr">
        <is>
          <t>NBC TMV count basis</t>
        </is>
      </c>
      <c r="D29" s="4" t="inlineStr">
        <is>
          <t>Denis counted 10 TMVs; vol06_11 found no TMV count or cabinet note on NBC-200/201/202 (PAM has the 1600 AFFL note). Adopted 10.</t>
        </is>
      </c>
      <c r="E29" s="4" t="inlineStr">
        <is>
          <t>Denis confirm locations; allow per warm-water fixture groups + RFI</t>
        </is>
      </c>
      <c r="F29" s="4" t="inlineStr">
        <is>
          <t>Denis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2026-07-26T04:52:43Z</dcterms:created>
  <dcterms:modified xmlns:dcterms="http://purl.org/dc/terms/" xmlns:xsi="http://www.w3.org/2001/XMLSchema-instance" xsi:type="dcterms:W3CDTF">2026-07-26T04:52:43Z</dcterms:modified>
</cp:coreProperties>
</file>