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icoreplumbing.sharepoint.com/sites/NASParkhustNutrienAgWarehouse-Admin_Private/Shared Documents/05.A. Material/Quotes/Fixtures/"/>
    </mc:Choice>
  </mc:AlternateContent>
  <xr:revisionPtr revIDLastSave="55" documentId="13_ncr:1_{2E3019F4-9975-4FF1-B400-0EFEF0754959}" xr6:coauthVersionLast="47" xr6:coauthVersionMax="47" xr10:uidLastSave="{EBBA3DA7-614C-4AA6-9ACD-0CCF71FD1D47}"/>
  <bookViews>
    <workbookView xWindow="-120" yWindow="-120" windowWidth="29040" windowHeight="158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I10" i="1" s="1"/>
  <c r="I9" i="1"/>
  <c r="I25" i="1"/>
  <c r="I24" i="1"/>
  <c r="I21" i="1"/>
  <c r="I17" i="1"/>
  <c r="I15" i="1"/>
  <c r="I14" i="1"/>
  <c r="I13" i="1"/>
  <c r="I12" i="1"/>
  <c r="I11" i="1"/>
  <c r="I8" i="1"/>
  <c r="I2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tc={A0462EBB-7F84-4A18-8765-F19C0035BBA6}</author>
    <author>tc={8D8B0391-CD72-4074-81FC-EAC6E8CAC5E0}</author>
  </authors>
  <commentList>
    <comment ref="H10" authorId="0" shapeId="0" xr:uid="{A0462EBB-7F84-4A18-8765-F19C0035BB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Shroud 187.69
</t>
      </text>
    </comment>
    <comment ref="F15" authorId="1" shapeId="0" xr:uid="{8D8B0391-CD72-4074-81FC-EAC6E8CAC5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Tradelink quote :Caroma Care Plus Basin Mixer Standard Handle Hot/Cold Lead Free
</t>
      </text>
    </comment>
  </commentList>
</comments>
</file>

<file path=xl/sharedStrings.xml><?xml version="1.0" encoding="utf-8"?>
<sst xmlns="http://schemas.openxmlformats.org/spreadsheetml/2006/main" count="75" uniqueCount="64">
  <si>
    <r>
      <rPr>
        <b/>
        <sz val="22"/>
        <rFont val="ISOCPEUR"/>
        <family val="2"/>
      </rPr>
      <t>FITTINGS, FIXTURES, &amp; EQUIPMENT SCHEDULE</t>
    </r>
  </si>
  <si>
    <r>
      <rPr>
        <sz val="15.5"/>
        <rFont val="ISOCPEUR"/>
        <family val="2"/>
      </rPr>
      <t>MARK</t>
    </r>
  </si>
  <si>
    <r>
      <rPr>
        <sz val="15.5"/>
        <rFont val="ISOCPEUR"/>
        <family val="2"/>
      </rPr>
      <t>NAME</t>
    </r>
  </si>
  <si>
    <r>
      <rPr>
        <sz val="15.5"/>
        <rFont val="ISOCPEUR"/>
        <family val="2"/>
      </rPr>
      <t>MANUFACTURER</t>
    </r>
  </si>
  <si>
    <r>
      <rPr>
        <sz val="15.5"/>
        <rFont val="ISOCPEUR"/>
        <family val="2"/>
      </rPr>
      <t>ORDER CODE</t>
    </r>
  </si>
  <si>
    <r>
      <rPr>
        <sz val="15.5"/>
        <rFont val="ISOCPEUR"/>
        <family val="2"/>
      </rPr>
      <t>FINISH/COLOUR</t>
    </r>
  </si>
  <si>
    <r>
      <rPr>
        <sz val="13"/>
        <rFont val="ISOCPEUR"/>
        <family val="2"/>
      </rPr>
      <t>AF</t>
    </r>
  </si>
  <si>
    <r>
      <rPr>
        <sz val="13"/>
        <rFont val="ISOCPEUR"/>
        <family val="2"/>
      </rPr>
      <t>AIR FRESHENER</t>
    </r>
  </si>
  <si>
    <r>
      <rPr>
        <sz val="13"/>
        <rFont val="ISOCPEUR"/>
        <family val="2"/>
      </rPr>
      <t>INITIAL</t>
    </r>
  </si>
  <si>
    <r>
      <rPr>
        <sz val="13"/>
        <rFont val="ISOCPEUR"/>
        <family val="2"/>
      </rPr>
      <t>-</t>
    </r>
  </si>
  <si>
    <r>
      <rPr>
        <sz val="13"/>
        <rFont val="ISOCPEUR"/>
        <family val="2"/>
      </rPr>
      <t>WHITE</t>
    </r>
  </si>
  <si>
    <t xml:space="preserve">Quntity </t>
  </si>
  <si>
    <t>F38</t>
  </si>
  <si>
    <t>F38 (DDA TOILET ) CAROMA COSMO SOVEREIGN CARE</t>
  </si>
  <si>
    <t>CAROMA</t>
  </si>
  <si>
    <t>WHITE</t>
  </si>
  <si>
    <t xml:space="preserve">F36 HAND BASIN (DDA TOILEET) CAROMA  </t>
  </si>
  <si>
    <t>F36</t>
  </si>
  <si>
    <t xml:space="preserve">CAROMA  </t>
  </si>
  <si>
    <t xml:space="preserve">F32 SHOWER (DDA TOILET ) CAROMA Virtu </t>
  </si>
  <si>
    <t>F32</t>
  </si>
  <si>
    <t xml:space="preserve">F30 SHOWER MIXER (DDA TOILET)( HANSA POLO </t>
  </si>
  <si>
    <t>F30</t>
  </si>
  <si>
    <t>F20 VANITY BASIN CAROMA CUBE 500</t>
  </si>
  <si>
    <t>Caroma Concorde 500 Wall 
Basin with Shroud.       
Model: 631010W</t>
  </si>
  <si>
    <t>Cosmo Sovereign Care 
Connector Suite with Colani 
disabled seat and Backrest 
Model: 987919BAG</t>
  </si>
  <si>
    <t>Chrome</t>
  </si>
  <si>
    <t xml:space="preserve">Virtu Plus Starsafe II Inverted 
T Accessible Shower Set                   
Model: Right  hand </t>
  </si>
  <si>
    <t>F26</t>
  </si>
  <si>
    <t>Hansa Polo</t>
  </si>
  <si>
    <t>Caroma</t>
  </si>
  <si>
    <t>F20</t>
  </si>
  <si>
    <t>Cube 500 Under Counter 
Basin; Model: 683455W</t>
  </si>
  <si>
    <t xml:space="preserve"> Caroma</t>
  </si>
  <si>
    <t>F21</t>
  </si>
  <si>
    <t>F27</t>
  </si>
  <si>
    <t>Caroma Cube 0.8L Urinal 
Electro</t>
  </si>
  <si>
    <t>White</t>
  </si>
  <si>
    <t>F41</t>
  </si>
  <si>
    <t xml:space="preserve"> Alma</t>
  </si>
  <si>
    <t xml:space="preserve"> Stainless Steel</t>
  </si>
  <si>
    <t>F42</t>
  </si>
  <si>
    <t xml:space="preserve">ZIP WATER </t>
  </si>
  <si>
    <t>F25</t>
  </si>
  <si>
    <t xml:space="preserve"> Kado Classic</t>
  </si>
  <si>
    <t xml:space="preserve"> Stainless Stee</t>
  </si>
  <si>
    <t xml:space="preserve">Rate </t>
  </si>
  <si>
    <t xml:space="preserve">Total Cost </t>
  </si>
  <si>
    <t xml:space="preserve">total </t>
  </si>
  <si>
    <t>F27 URINAL CAROMA CUBE 0.8L ( TRADE LINK QUOTE : ROUGH IN KIT CUBE SER II ELEC )</t>
  </si>
  <si>
    <t>F37</t>
  </si>
  <si>
    <t xml:space="preserve">bath shower mixer opal cold cp alternative </t>
  </si>
  <si>
    <t>F26  TOILET SUITE CAROMA OPAL</t>
  </si>
  <si>
    <t>SUITEOPALW/FCLEANFLUSHEHC/CD/FSEAT985300W
4STARWHT</t>
  </si>
  <si>
    <t xml:space="preserve"> HYDROTAP G5 BCS20 CLASSIC PLUS TAP C/P
</t>
  </si>
  <si>
    <t xml:space="preserve">  FLOOR WASTE PATT SQUARE 100MMW/-74MM OUTLETS/S</t>
  </si>
  <si>
    <t>SINK U/MT OR O/MT CALABRIA 950  SNG&amp;DRAINER 1.5MM</t>
  </si>
  <si>
    <t>F25 FLOOR WASTE  (alternative )</t>
  </si>
  <si>
    <t xml:space="preserve">ZIP BOILER /CHILLER NUIT TAP (alternative ) </t>
  </si>
  <si>
    <t>KITCHEN SINK (Alternative )</t>
  </si>
  <si>
    <t xml:space="preserve">F21 BATHROOM MIXER CAROMA NORDIC (Tradelink quote :Caroma Care Plus Basin Mixer Standard Handle Hot/Cold Lead Free) </t>
  </si>
  <si>
    <t>FIT OUT KIT CUBE SERIIELEC 0.8LT RURINAL CAROMA 678800WW</t>
  </si>
  <si>
    <t xml:space="preserve"> 91105C6AF6*C/P</t>
  </si>
  <si>
    <t xml:space="preserve"> BASIN MIXER CARE PLUS CARE HDLH/C91106C6AFLEAD
FREE6*C/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</si>
</sst>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0"/>
      <color rgb="FF000000"/>
      <name val="Times New Roman"/>
      <charset val="204"/>
    </font>
    <font>
      <b/>
      <sz val="22"/>
      <name val="ISOCPEUR"/>
    </font>
    <font>
      <sz val="15.5"/>
      <name val="ISOCPEUR"/>
    </font>
    <font>
      <sz val="13"/>
      <name val="ISOCPEUR"/>
    </font>
    <font>
      <b/>
      <sz val="22"/>
      <name val="ISOCPEUR"/>
      <family val="2"/>
    </font>
    <font>
      <sz val="15.5"/>
      <name val="ISOCPEUR"/>
      <family val="2"/>
    </font>
    <font>
      <sz val="13"/>
      <name val="ISOCPEUR"/>
      <family val="2"/>
    </font>
    <font>
      <sz val="18"/>
      <name val="Abadi"/>
      <family val="2"/>
    </font>
    <font>
      <sz val="18"/>
      <color rgb="FF000000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top" wrapText="1"/>
    </xf>
    <xf numFmtId="0" fontId="8" fillId="3" borderId="8" xfId="0" applyFont="1" applyFill="1" applyBorder="1" applyAlignment="1">
      <alignment horizontal="center" vertical="top" wrapText="1"/>
    </xf>
    <xf numFmtId="0" fontId="8" fillId="3" borderId="9" xfId="0" applyFont="1" applyFill="1" applyBorder="1" applyAlignment="1">
      <alignment horizontal="center" vertical="top" wrapText="1"/>
    </xf>
    <xf numFmtId="0" fontId="7" fillId="0" borderId="13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164" fontId="8" fillId="0" borderId="12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164" fontId="8" fillId="0" borderId="12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top" wrapText="1"/>
    </xf>
    <xf numFmtId="0" fontId="7" fillId="3" borderId="10" xfId="0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8" fillId="0" borderId="8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8" fillId="3" borderId="8" xfId="0" applyFont="1" applyFill="1" applyBorder="1" applyAlignment="1">
      <alignment horizontal="center" vertical="top" wrapText="1"/>
    </xf>
    <xf numFmtId="0" fontId="8" fillId="3" borderId="10" xfId="0" applyFont="1" applyFill="1" applyBorder="1" applyAlignment="1">
      <alignment horizontal="center" vertical="top" wrapText="1"/>
    </xf>
    <xf numFmtId="0" fontId="8" fillId="3" borderId="9" xfId="0" applyFont="1" applyFill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164" fontId="8" fillId="0" borderId="12" xfId="0" applyNumberFormat="1" applyFont="1" applyBorder="1" applyAlignment="1">
      <alignment horizontal="center" wrapText="1"/>
    </xf>
    <xf numFmtId="0" fontId="7" fillId="3" borderId="8" xfId="0" applyFont="1" applyFill="1" applyBorder="1" applyAlignment="1">
      <alignment horizontal="center" vertical="top" wrapText="1"/>
    </xf>
    <xf numFmtId="0" fontId="7" fillId="3" borderId="10" xfId="0" applyFont="1" applyFill="1" applyBorder="1" applyAlignment="1">
      <alignment horizontal="center" vertical="top" wrapText="1"/>
    </xf>
    <xf numFmtId="0" fontId="7" fillId="3" borderId="9" xfId="0" applyFont="1" applyFill="1" applyBorder="1" applyAlignment="1">
      <alignment horizontal="center" vertical="top" wrapText="1"/>
    </xf>
    <xf numFmtId="164" fontId="8" fillId="0" borderId="12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6366644" y="14711886"/>
    <xdr:ext cx="2631879" cy="800077"/>
    <xdr:pic>
      <xdr:nvPicPr>
        <xdr:cNvPr id="6" name="image3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31879" cy="800077"/>
        </a:xfrm>
        <a:prstGeom prst="rect">
          <a:avLst/>
        </a:prstGeom>
      </xdr:spPr>
    </xdr:pic>
    <xdr:clientData/>
  </xdr:absoluteAnchor>
  <xdr:oneCellAnchor>
    <xdr:from>
      <xdr:col>1</xdr:col>
      <xdr:colOff>67059</xdr:colOff>
      <xdr:row>30</xdr:row>
      <xdr:rowOff>667385</xdr:rowOff>
    </xdr:from>
    <xdr:ext cx="25641300" cy="20549870"/>
    <xdr:grpSp>
      <xdr:nvGrpSpPr>
        <xdr:cNvPr id="7" name="Group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458497" y="18086392"/>
          <a:ext cx="25641300" cy="20549870"/>
          <a:chOff x="0" y="0"/>
          <a:chExt cx="25641300" cy="20549870"/>
        </a:xfrm>
      </xdr:grpSpPr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523" y="1524"/>
            <a:ext cx="25638760" cy="20546695"/>
          </a:xfrm>
          <a:custGeom>
            <a:avLst/>
            <a:gdLst/>
            <a:ahLst/>
            <a:cxnLst/>
            <a:rect l="0" t="0" r="0" b="0"/>
            <a:pathLst>
              <a:path w="25638760" h="20546695">
                <a:moveTo>
                  <a:pt x="394715" y="0"/>
                </a:moveTo>
                <a:lnTo>
                  <a:pt x="0" y="0"/>
                </a:lnTo>
                <a:lnTo>
                  <a:pt x="0" y="394715"/>
                </a:lnTo>
                <a:lnTo>
                  <a:pt x="35051" y="359664"/>
                </a:lnTo>
                <a:lnTo>
                  <a:pt x="36574" y="36576"/>
                </a:lnTo>
                <a:lnTo>
                  <a:pt x="359662" y="35051"/>
                </a:lnTo>
                <a:lnTo>
                  <a:pt x="394715" y="0"/>
                </a:lnTo>
                <a:close/>
              </a:path>
              <a:path w="25638760" h="20546695">
                <a:moveTo>
                  <a:pt x="25638142" y="394624"/>
                </a:moveTo>
                <a:lnTo>
                  <a:pt x="25638142" y="0"/>
                </a:lnTo>
                <a:lnTo>
                  <a:pt x="25243545" y="0"/>
                </a:lnTo>
                <a:lnTo>
                  <a:pt x="25244990" y="1523"/>
                </a:lnTo>
                <a:lnTo>
                  <a:pt x="25278630" y="35051"/>
                </a:lnTo>
                <a:lnTo>
                  <a:pt x="25601613" y="36576"/>
                </a:lnTo>
                <a:lnTo>
                  <a:pt x="25601613" y="359664"/>
                </a:lnTo>
                <a:lnTo>
                  <a:pt x="25603264" y="359664"/>
                </a:lnTo>
                <a:lnTo>
                  <a:pt x="25638142" y="394624"/>
                </a:lnTo>
                <a:close/>
              </a:path>
              <a:path w="25638760" h="20546695">
                <a:moveTo>
                  <a:pt x="396239" y="20544967"/>
                </a:moveTo>
                <a:lnTo>
                  <a:pt x="361185" y="20509882"/>
                </a:lnTo>
                <a:lnTo>
                  <a:pt x="36574" y="20509882"/>
                </a:lnTo>
                <a:lnTo>
                  <a:pt x="36574" y="20185372"/>
                </a:lnTo>
                <a:lnTo>
                  <a:pt x="1523" y="20150329"/>
                </a:lnTo>
                <a:lnTo>
                  <a:pt x="0" y="20150329"/>
                </a:lnTo>
                <a:lnTo>
                  <a:pt x="0" y="20546558"/>
                </a:lnTo>
                <a:lnTo>
                  <a:pt x="396239" y="20544967"/>
                </a:lnTo>
                <a:close/>
              </a:path>
            </a:pathLst>
          </a:custGeom>
          <a:solidFill>
            <a:srgbClr val="FF7432"/>
          </a:solidFill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524" y="1524"/>
            <a:ext cx="25638760" cy="20546695"/>
          </a:xfrm>
          <a:custGeom>
            <a:avLst/>
            <a:gdLst/>
            <a:ahLst/>
            <a:cxnLst/>
            <a:rect l="0" t="0" r="0" b="0"/>
            <a:pathLst>
              <a:path w="25638760" h="20546695">
                <a:moveTo>
                  <a:pt x="25638143" y="0"/>
                </a:moveTo>
                <a:lnTo>
                  <a:pt x="25242102" y="0"/>
                </a:lnTo>
                <a:lnTo>
                  <a:pt x="25278631" y="36576"/>
                </a:lnTo>
                <a:lnTo>
                  <a:pt x="25601613" y="36576"/>
                </a:lnTo>
                <a:lnTo>
                  <a:pt x="25601613" y="359664"/>
                </a:lnTo>
                <a:lnTo>
                  <a:pt x="25638143" y="396239"/>
                </a:lnTo>
                <a:lnTo>
                  <a:pt x="25638143" y="0"/>
                </a:lnTo>
              </a:path>
              <a:path w="25638760" h="20546695">
                <a:moveTo>
                  <a:pt x="0" y="0"/>
                </a:moveTo>
                <a:lnTo>
                  <a:pt x="0" y="396239"/>
                </a:lnTo>
                <a:lnTo>
                  <a:pt x="36574" y="359664"/>
                </a:lnTo>
                <a:lnTo>
                  <a:pt x="36574" y="36576"/>
                </a:lnTo>
                <a:lnTo>
                  <a:pt x="359662" y="36576"/>
                </a:lnTo>
                <a:lnTo>
                  <a:pt x="396239" y="0"/>
                </a:lnTo>
                <a:lnTo>
                  <a:pt x="0" y="0"/>
                </a:lnTo>
              </a:path>
              <a:path w="25638760" h="20546695">
                <a:moveTo>
                  <a:pt x="0" y="20546618"/>
                </a:moveTo>
                <a:lnTo>
                  <a:pt x="396239" y="20546618"/>
                </a:lnTo>
                <a:lnTo>
                  <a:pt x="359662" y="20509883"/>
                </a:lnTo>
                <a:lnTo>
                  <a:pt x="36574" y="20509883"/>
                </a:lnTo>
                <a:lnTo>
                  <a:pt x="36574" y="20186900"/>
                </a:lnTo>
                <a:lnTo>
                  <a:pt x="0" y="20150330"/>
                </a:lnTo>
                <a:lnTo>
                  <a:pt x="0" y="2054661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9</xdr:col>
      <xdr:colOff>628877</xdr:colOff>
      <xdr:row>30</xdr:row>
      <xdr:rowOff>609827</xdr:rowOff>
    </xdr:from>
    <xdr:ext cx="3475354" cy="40005"/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25132918" y="18028834"/>
          <a:ext cx="3475354" cy="40005"/>
          <a:chOff x="0" y="0"/>
          <a:chExt cx="3475354" cy="40005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524" y="1524"/>
            <a:ext cx="3472179" cy="36830"/>
          </a:xfrm>
          <a:custGeom>
            <a:avLst/>
            <a:gdLst/>
            <a:ahLst/>
            <a:cxnLst/>
            <a:rect l="0" t="0" r="0" b="0"/>
            <a:pathLst>
              <a:path w="3472179" h="36830">
                <a:moveTo>
                  <a:pt x="3471663" y="36575"/>
                </a:moveTo>
                <a:lnTo>
                  <a:pt x="3471663" y="0"/>
                </a:lnTo>
                <a:lnTo>
                  <a:pt x="0" y="0"/>
                </a:lnTo>
                <a:lnTo>
                  <a:pt x="0" y="36575"/>
                </a:lnTo>
                <a:lnTo>
                  <a:pt x="3471663" y="3657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524" y="1524"/>
            <a:ext cx="3472179" cy="36830"/>
          </a:xfrm>
          <a:custGeom>
            <a:avLst/>
            <a:gdLst/>
            <a:ahLst/>
            <a:cxnLst/>
            <a:rect l="0" t="0" r="0" b="0"/>
            <a:pathLst>
              <a:path w="3472179" h="36830">
                <a:moveTo>
                  <a:pt x="3471704" y="36529"/>
                </a:moveTo>
                <a:lnTo>
                  <a:pt x="3471704" y="0"/>
                </a:lnTo>
                <a:lnTo>
                  <a:pt x="0" y="0"/>
                </a:lnTo>
                <a:lnTo>
                  <a:pt x="0" y="36529"/>
                </a:lnTo>
                <a:lnTo>
                  <a:pt x="3471704" y="3652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nis Zhong - TCS" id="{7C2BD8CA-672C-4DBC-B6A5-DA897F9FFD3B}" userId="S::denis.z@tricorecivil.com.au::b883df4c-e0af-41bc-98f9-8d282840690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0" dT="2026-05-15T00:00:57.84" personId="{7C2BD8CA-672C-4DBC-B6A5-DA897F9FFD3B}" id="{A0462EBB-7F84-4A18-8765-F19C0035BBA6}">
    <text xml:space="preserve">Shroud 187.69
</text>
  </threadedComment>
  <threadedComment ref="F15" dT="2026-05-15T00:19:21.82" personId="{7C2BD8CA-672C-4DBC-B6A5-DA897F9FFD3B}" id="{8D8B0391-CD72-4074-81FC-EAC6E8CAC5E0}">
    <text xml:space="preserve">Tradelink quote :Caroma Care Plus Basin Mixer Standard Handle Hot/Cold Lead Free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zoomScale="73" zoomScaleNormal="73" workbookViewId="0">
      <selection activeCell="C10" sqref="C10"/>
    </sheetView>
  </sheetViews>
  <sheetFormatPr defaultRowHeight="12.75" x14ac:dyDescent="0.2"/>
  <cols>
    <col min="1" max="1" width="6.83203125" customWidth="1"/>
    <col min="2" max="2" width="25.83203125" customWidth="1"/>
    <col min="3" max="3" width="99" customWidth="1"/>
    <col min="4" max="4" width="48.83203125" customWidth="1"/>
    <col min="5" max="5" width="39.5" customWidth="1"/>
    <col min="6" max="6" width="48.83203125" customWidth="1"/>
    <col min="7" max="7" width="38.5" customWidth="1"/>
    <col min="8" max="8" width="59.33203125" customWidth="1"/>
    <col min="9" max="9" width="61.83203125" customWidth="1"/>
    <col min="10" max="10" width="11.5" customWidth="1"/>
  </cols>
  <sheetData>
    <row r="1" spans="1:10" ht="8.4499999999999993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54"/>
    </row>
    <row r="2" spans="1:10" ht="19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7" customHeight="1" x14ac:dyDescent="0.2">
      <c r="A3" s="1"/>
      <c r="B3" s="55" t="s">
        <v>0</v>
      </c>
      <c r="C3" s="56"/>
      <c r="D3" s="56"/>
      <c r="E3" s="56"/>
      <c r="F3" s="56"/>
      <c r="G3" s="56"/>
      <c r="H3" s="56"/>
      <c r="I3" s="57"/>
      <c r="J3" s="1"/>
    </row>
    <row r="4" spans="1:10" ht="6" customHeight="1" x14ac:dyDescent="0.2">
      <c r="A4" s="1"/>
      <c r="B4" s="58"/>
      <c r="C4" s="59"/>
      <c r="D4" s="59"/>
      <c r="E4" s="59"/>
      <c r="F4" s="59"/>
      <c r="G4" s="59"/>
      <c r="H4" s="59"/>
      <c r="I4" s="60"/>
      <c r="J4" s="1"/>
    </row>
    <row r="5" spans="1:10" ht="12" customHeight="1" x14ac:dyDescent="0.2">
      <c r="A5" s="1"/>
      <c r="B5" s="61" t="s">
        <v>1</v>
      </c>
      <c r="C5" s="61" t="s">
        <v>2</v>
      </c>
      <c r="D5" s="63" t="s">
        <v>11</v>
      </c>
      <c r="E5" s="61" t="s">
        <v>3</v>
      </c>
      <c r="F5" s="61" t="s">
        <v>4</v>
      </c>
      <c r="G5" s="61" t="s">
        <v>5</v>
      </c>
      <c r="H5" s="61" t="s">
        <v>46</v>
      </c>
      <c r="I5" s="61" t="s">
        <v>47</v>
      </c>
    </row>
    <row r="6" spans="1:10" ht="17.25" customHeight="1" x14ac:dyDescent="0.2">
      <c r="A6" s="1"/>
      <c r="B6" s="62"/>
      <c r="C6" s="62"/>
      <c r="D6" s="64"/>
      <c r="E6" s="62"/>
      <c r="F6" s="62"/>
      <c r="G6" s="62"/>
      <c r="H6" s="62"/>
      <c r="I6" s="62"/>
    </row>
    <row r="7" spans="1:10" ht="5.25" customHeight="1" x14ac:dyDescent="0.2">
      <c r="A7" s="1"/>
      <c r="B7" s="3" t="s">
        <v>6</v>
      </c>
      <c r="C7" s="4" t="s">
        <v>7</v>
      </c>
      <c r="D7" s="4"/>
      <c r="E7" s="4" t="s">
        <v>8</v>
      </c>
      <c r="F7" s="4" t="s">
        <v>9</v>
      </c>
      <c r="G7" s="4" t="s">
        <v>10</v>
      </c>
      <c r="H7" s="1"/>
    </row>
    <row r="8" spans="1:10" ht="125.25" customHeight="1" x14ac:dyDescent="0.2">
      <c r="A8" s="5"/>
      <c r="B8" s="19" t="s">
        <v>12</v>
      </c>
      <c r="C8" s="6" t="s">
        <v>13</v>
      </c>
      <c r="D8" s="7">
        <v>1</v>
      </c>
      <c r="E8" s="6" t="s">
        <v>14</v>
      </c>
      <c r="F8" s="6" t="s">
        <v>25</v>
      </c>
      <c r="G8" s="14" t="s">
        <v>15</v>
      </c>
      <c r="H8" s="16">
        <v>729.07</v>
      </c>
      <c r="I8" s="16">
        <f t="shared" ref="I8:I14" si="0">D8*H8</f>
        <v>729.07</v>
      </c>
    </row>
    <row r="9" spans="1:10" ht="125.25" customHeight="1" x14ac:dyDescent="0.2">
      <c r="A9" s="5"/>
      <c r="B9" s="19" t="s">
        <v>50</v>
      </c>
      <c r="C9" s="6" t="s">
        <v>63</v>
      </c>
      <c r="D9" s="7">
        <v>1</v>
      </c>
      <c r="E9" s="8" t="s">
        <v>18</v>
      </c>
      <c r="F9" s="6"/>
      <c r="G9" s="14" t="s">
        <v>15</v>
      </c>
      <c r="H9" s="16">
        <v>214.34</v>
      </c>
      <c r="I9" s="16">
        <f t="shared" si="0"/>
        <v>214.34</v>
      </c>
    </row>
    <row r="10" spans="1:10" ht="135.75" customHeight="1" x14ac:dyDescent="0.2">
      <c r="A10" s="2"/>
      <c r="B10" s="20" t="s">
        <v>17</v>
      </c>
      <c r="C10" s="8" t="s">
        <v>16</v>
      </c>
      <c r="D10" s="9">
        <v>1</v>
      </c>
      <c r="E10" s="8" t="s">
        <v>18</v>
      </c>
      <c r="F10" s="8" t="s">
        <v>24</v>
      </c>
      <c r="G10" s="14" t="s">
        <v>15</v>
      </c>
      <c r="H10" s="16">
        <f>233.68+187.69</f>
        <v>421.37</v>
      </c>
      <c r="I10" s="16">
        <f t="shared" si="0"/>
        <v>421.37</v>
      </c>
    </row>
    <row r="11" spans="1:10" ht="128.25" customHeight="1" x14ac:dyDescent="0.2">
      <c r="A11" s="5"/>
      <c r="B11" s="19" t="s">
        <v>20</v>
      </c>
      <c r="C11" s="6" t="s">
        <v>19</v>
      </c>
      <c r="D11" s="7">
        <v>1</v>
      </c>
      <c r="E11" s="8" t="s">
        <v>18</v>
      </c>
      <c r="F11" s="6" t="s">
        <v>27</v>
      </c>
      <c r="G11" s="14" t="s">
        <v>26</v>
      </c>
      <c r="H11" s="16">
        <v>385.09</v>
      </c>
      <c r="I11" s="16">
        <f t="shared" si="0"/>
        <v>385.09</v>
      </c>
    </row>
    <row r="12" spans="1:10" ht="51" customHeight="1" x14ac:dyDescent="0.2">
      <c r="A12" s="5"/>
      <c r="B12" s="19" t="s">
        <v>22</v>
      </c>
      <c r="C12" s="10" t="s">
        <v>21</v>
      </c>
      <c r="D12" s="11">
        <v>1</v>
      </c>
      <c r="E12" s="6" t="s">
        <v>29</v>
      </c>
      <c r="F12" s="6" t="s">
        <v>51</v>
      </c>
      <c r="G12" s="14" t="s">
        <v>26</v>
      </c>
      <c r="H12" s="16">
        <v>189.85</v>
      </c>
      <c r="I12" s="16">
        <f t="shared" si="0"/>
        <v>189.85</v>
      </c>
    </row>
    <row r="13" spans="1:10" ht="105.75" customHeight="1" x14ac:dyDescent="0.2">
      <c r="A13" s="5"/>
      <c r="B13" s="19" t="s">
        <v>28</v>
      </c>
      <c r="C13" s="6" t="s">
        <v>52</v>
      </c>
      <c r="D13" s="7">
        <v>4</v>
      </c>
      <c r="E13" s="6" t="s">
        <v>30</v>
      </c>
      <c r="F13" s="6" t="s">
        <v>53</v>
      </c>
      <c r="G13" s="14" t="s">
        <v>15</v>
      </c>
      <c r="H13" s="16">
        <v>806.67</v>
      </c>
      <c r="I13" s="16">
        <f t="shared" si="0"/>
        <v>3226.68</v>
      </c>
    </row>
    <row r="14" spans="1:10" ht="51" customHeight="1" x14ac:dyDescent="0.2">
      <c r="A14" s="5"/>
      <c r="B14" s="19" t="s">
        <v>31</v>
      </c>
      <c r="C14" s="6" t="s">
        <v>23</v>
      </c>
      <c r="D14" s="7">
        <v>3</v>
      </c>
      <c r="E14" s="6" t="s">
        <v>33</v>
      </c>
      <c r="F14" s="6" t="s">
        <v>32</v>
      </c>
      <c r="G14" s="14" t="s">
        <v>15</v>
      </c>
      <c r="H14" s="16">
        <v>461.71</v>
      </c>
      <c r="I14" s="16">
        <f t="shared" si="0"/>
        <v>1385.1299999999999</v>
      </c>
    </row>
    <row r="15" spans="1:10" ht="74.25" customHeight="1" x14ac:dyDescent="0.2">
      <c r="A15" s="5"/>
      <c r="B15" s="27" t="s">
        <v>34</v>
      </c>
      <c r="C15" s="36" t="s">
        <v>60</v>
      </c>
      <c r="D15" s="12">
        <v>3</v>
      </c>
      <c r="E15" s="30" t="s">
        <v>33</v>
      </c>
      <c r="F15" s="30" t="s">
        <v>62</v>
      </c>
      <c r="G15" s="51" t="s">
        <v>26</v>
      </c>
      <c r="H15" s="69">
        <v>180.02</v>
      </c>
      <c r="I15" s="69">
        <f t="shared" ref="I15:I21" si="1">D15*H15</f>
        <v>540.06000000000006</v>
      </c>
    </row>
    <row r="16" spans="1:10" ht="39" customHeight="1" x14ac:dyDescent="0.2">
      <c r="A16" s="1"/>
      <c r="B16" s="29"/>
      <c r="C16" s="38"/>
      <c r="D16" s="13"/>
      <c r="E16" s="32"/>
      <c r="F16" s="32"/>
      <c r="G16" s="53"/>
      <c r="H16" s="69"/>
      <c r="I16" s="69"/>
    </row>
    <row r="17" spans="1:10" ht="24.6" customHeight="1" x14ac:dyDescent="0.2">
      <c r="A17" s="1"/>
      <c r="B17" s="27" t="s">
        <v>35</v>
      </c>
      <c r="C17" s="39" t="s">
        <v>49</v>
      </c>
      <c r="D17" s="66">
        <v>1</v>
      </c>
      <c r="E17" s="30" t="s">
        <v>33</v>
      </c>
      <c r="F17" s="30" t="s">
        <v>36</v>
      </c>
      <c r="G17" s="51" t="s">
        <v>37</v>
      </c>
      <c r="H17" s="65">
        <v>1150.1199999999999</v>
      </c>
      <c r="I17" s="69">
        <f t="shared" si="1"/>
        <v>1150.1199999999999</v>
      </c>
    </row>
    <row r="18" spans="1:10" ht="11.25" customHeight="1" x14ac:dyDescent="0.2">
      <c r="A18" s="1"/>
      <c r="B18" s="28"/>
      <c r="C18" s="40"/>
      <c r="D18" s="67"/>
      <c r="E18" s="31"/>
      <c r="F18" s="31"/>
      <c r="G18" s="52"/>
      <c r="H18" s="65"/>
      <c r="I18" s="69"/>
    </row>
    <row r="19" spans="1:10" ht="18" customHeight="1" x14ac:dyDescent="0.2">
      <c r="A19" s="1"/>
      <c r="B19" s="29"/>
      <c r="C19" s="41"/>
      <c r="D19" s="68"/>
      <c r="E19" s="32"/>
      <c r="F19" s="32"/>
      <c r="G19" s="53"/>
      <c r="H19" s="65"/>
      <c r="I19" s="69"/>
    </row>
    <row r="20" spans="1:10" ht="51" customHeight="1" x14ac:dyDescent="0.4">
      <c r="A20" s="1"/>
      <c r="B20" s="22"/>
      <c r="C20" s="23" t="s">
        <v>61</v>
      </c>
      <c r="D20" s="24">
        <v>1</v>
      </c>
      <c r="E20" s="26"/>
      <c r="F20" s="26"/>
      <c r="G20" s="25"/>
      <c r="H20" s="21">
        <v>649.55999999999995</v>
      </c>
      <c r="I20" s="16"/>
    </row>
    <row r="21" spans="1:10" ht="33" customHeight="1" x14ac:dyDescent="0.2">
      <c r="A21" s="5"/>
      <c r="B21" s="27" t="s">
        <v>38</v>
      </c>
      <c r="C21" s="30" t="s">
        <v>59</v>
      </c>
      <c r="D21" s="45">
        <v>1</v>
      </c>
      <c r="E21" s="30" t="s">
        <v>39</v>
      </c>
      <c r="F21" s="30" t="s">
        <v>56</v>
      </c>
      <c r="G21" s="51" t="s">
        <v>40</v>
      </c>
      <c r="H21" s="69">
        <v>480.64</v>
      </c>
      <c r="I21" s="69">
        <f t="shared" si="1"/>
        <v>480.64</v>
      </c>
    </row>
    <row r="22" spans="1:10" ht="8.25" customHeight="1" x14ac:dyDescent="0.2">
      <c r="A22" s="1"/>
      <c r="B22" s="28"/>
      <c r="C22" s="31"/>
      <c r="D22" s="46"/>
      <c r="E22" s="31"/>
      <c r="F22" s="31"/>
      <c r="G22" s="52"/>
      <c r="H22" s="69"/>
      <c r="I22" s="69"/>
    </row>
    <row r="23" spans="1:10" ht="65.25" customHeight="1" x14ac:dyDescent="0.2">
      <c r="A23" s="1"/>
      <c r="B23" s="29"/>
      <c r="C23" s="32"/>
      <c r="D23" s="47"/>
      <c r="E23" s="32"/>
      <c r="F23" s="32"/>
      <c r="G23" s="53"/>
      <c r="H23" s="69"/>
      <c r="I23" s="69"/>
    </row>
    <row r="24" spans="1:10" ht="68.25" customHeight="1" x14ac:dyDescent="0.2">
      <c r="A24" s="5"/>
      <c r="B24" s="19" t="s">
        <v>41</v>
      </c>
      <c r="C24" s="10" t="s">
        <v>58</v>
      </c>
      <c r="D24" s="11">
        <v>1</v>
      </c>
      <c r="E24" s="6" t="s">
        <v>42</v>
      </c>
      <c r="F24" s="6" t="s">
        <v>54</v>
      </c>
      <c r="G24" s="15" t="s">
        <v>26</v>
      </c>
      <c r="H24" s="17">
        <v>5698.16</v>
      </c>
      <c r="I24" s="16">
        <f>D24*H24</f>
        <v>5698.16</v>
      </c>
    </row>
    <row r="25" spans="1:10" ht="18" customHeight="1" x14ac:dyDescent="0.2">
      <c r="A25" s="1"/>
      <c r="B25" s="33" t="s">
        <v>43</v>
      </c>
      <c r="C25" s="36" t="s">
        <v>57</v>
      </c>
      <c r="D25" s="42">
        <v>4</v>
      </c>
      <c r="E25" s="39" t="s">
        <v>44</v>
      </c>
      <c r="F25" s="39" t="s">
        <v>55</v>
      </c>
      <c r="G25" s="48" t="s">
        <v>45</v>
      </c>
      <c r="H25" s="70">
        <v>57.8</v>
      </c>
      <c r="I25" s="71">
        <f>D25*H25</f>
        <v>231.2</v>
      </c>
    </row>
    <row r="26" spans="1:10" ht="5.25" customHeight="1" x14ac:dyDescent="0.2">
      <c r="A26" s="1"/>
      <c r="B26" s="34"/>
      <c r="C26" s="37"/>
      <c r="D26" s="43"/>
      <c r="E26" s="40"/>
      <c r="F26" s="40"/>
      <c r="G26" s="49"/>
      <c r="H26" s="70"/>
      <c r="I26" s="71"/>
    </row>
    <row r="27" spans="1:10" ht="21.95" customHeight="1" x14ac:dyDescent="0.2">
      <c r="A27" s="1"/>
      <c r="B27" s="34"/>
      <c r="C27" s="37"/>
      <c r="D27" s="43"/>
      <c r="E27" s="40"/>
      <c r="F27" s="40"/>
      <c r="G27" s="49"/>
      <c r="H27" s="70"/>
      <c r="I27" s="71"/>
    </row>
    <row r="28" spans="1:10" ht="51" customHeight="1" x14ac:dyDescent="0.2">
      <c r="A28" s="1"/>
      <c r="B28" s="35"/>
      <c r="C28" s="38"/>
      <c r="D28" s="44"/>
      <c r="E28" s="41"/>
      <c r="F28" s="41"/>
      <c r="G28" s="50"/>
      <c r="H28" s="70"/>
      <c r="I28" s="71"/>
    </row>
    <row r="29" spans="1:10" ht="30" customHeight="1" x14ac:dyDescent="0.2">
      <c r="A29" s="5"/>
      <c r="B29" s="5"/>
      <c r="C29" s="5"/>
      <c r="D29" s="5"/>
      <c r="E29" s="5"/>
      <c r="F29" s="5"/>
      <c r="G29" s="5"/>
      <c r="H29" s="18" t="s">
        <v>48</v>
      </c>
      <c r="I29" s="17">
        <f>SUM(I8:I28)</f>
        <v>14651.71</v>
      </c>
      <c r="J29" s="5"/>
    </row>
    <row r="30" spans="1:10" ht="33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ht="77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408.95" customHeight="1" x14ac:dyDescent="0.2"/>
    <row r="33" ht="408.95" customHeight="1" x14ac:dyDescent="0.2"/>
    <row r="34" ht="408.95" customHeight="1" x14ac:dyDescent="0.2"/>
    <row r="35" ht="392.1" customHeight="1" x14ac:dyDescent="0.2"/>
  </sheetData>
  <mergeCells count="41">
    <mergeCell ref="H21:H23"/>
    <mergeCell ref="H25:H28"/>
    <mergeCell ref="H15:H16"/>
    <mergeCell ref="I15:I16"/>
    <mergeCell ref="I17:I19"/>
    <mergeCell ref="I21:I23"/>
    <mergeCell ref="I25:I28"/>
    <mergeCell ref="B15:B16"/>
    <mergeCell ref="C15:C16"/>
    <mergeCell ref="H5:H6"/>
    <mergeCell ref="I5:I6"/>
    <mergeCell ref="H17:H19"/>
    <mergeCell ref="B17:B19"/>
    <mergeCell ref="C17:C19"/>
    <mergeCell ref="D17:D19"/>
    <mergeCell ref="A1:J1"/>
    <mergeCell ref="B3:I4"/>
    <mergeCell ref="B5:B6"/>
    <mergeCell ref="C5:C6"/>
    <mergeCell ref="E5:E6"/>
    <mergeCell ref="F5:F6"/>
    <mergeCell ref="G5:G6"/>
    <mergeCell ref="D5:D6"/>
    <mergeCell ref="G25:G28"/>
    <mergeCell ref="E15:E16"/>
    <mergeCell ref="F15:F16"/>
    <mergeCell ref="G21:G23"/>
    <mergeCell ref="G15:G16"/>
    <mergeCell ref="E17:E19"/>
    <mergeCell ref="F17:F19"/>
    <mergeCell ref="G17:G19"/>
    <mergeCell ref="B21:B23"/>
    <mergeCell ref="C21:C23"/>
    <mergeCell ref="E21:E23"/>
    <mergeCell ref="F21:F23"/>
    <mergeCell ref="B25:B28"/>
    <mergeCell ref="C25:C28"/>
    <mergeCell ref="E25:E28"/>
    <mergeCell ref="D25:D28"/>
    <mergeCell ref="D21:D23"/>
    <mergeCell ref="F25:F28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C8B182396A3C4790CB06DE725410C6" ma:contentTypeVersion="3" ma:contentTypeDescription="Create a new document." ma:contentTypeScope="" ma:versionID="eaa27008947fb763c0d244db0bea33d4">
  <xsd:schema xmlns:xsd="http://www.w3.org/2001/XMLSchema" xmlns:xs="http://www.w3.org/2001/XMLSchema" xmlns:p="http://schemas.microsoft.com/office/2006/metadata/properties" xmlns:ns2="c3ec3c2b-797b-427e-b2d3-54d8a35e479f" targetNamespace="http://schemas.microsoft.com/office/2006/metadata/properties" ma:root="true" ma:fieldsID="72c44164966b263a2944da14b81fcfcc" ns2:_="">
    <xsd:import namespace="c3ec3c2b-797b-427e-b2d3-54d8a35e47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c3c2b-797b-427e-b2d3-54d8a35e47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3399-2976-4938-AFD7-FB5758AA43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2165EB-7E89-4DD0-9407-9A9DD6DE71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c3c2b-797b-427e-b2d3-54d8a35e47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E22ADC-5E78-4A22-AAB6-A27F19BCBF8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Denis Zhong - TCS</dc:creator>
  <cp:lastModifiedBy>Denis Zhong - TCS</cp:lastModifiedBy>
  <dcterms:created xsi:type="dcterms:W3CDTF">2026-03-09T04:28:08Z</dcterms:created>
  <dcterms:modified xsi:type="dcterms:W3CDTF">2026-07-24T06:34:27Z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Nitro PDF Pro 14 (14.39.0.18)</vt:lpwstr>
  </property>
  <property fmtid="{D5CDD505-2E9C-101B-9397-08002B2CF9AE}" pid="4" name="LastSaved">
    <vt:filetime>2026-03-09T00:00:00Z</vt:filetime>
  </property>
  <property fmtid="{D5CDD505-2E9C-101B-9397-08002B2CF9AE}" pid="5" name="ContentTypeId">
    <vt:lpwstr>0x01010078C8B182396A3C4790CB06DE725410C6</vt:lpwstr>
  </property>
  <property fmtid="{D5CDD505-2E9C-101B-9397-08002B2CF9AE}" pid="6" name="Order">
    <vt:r8>37019700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