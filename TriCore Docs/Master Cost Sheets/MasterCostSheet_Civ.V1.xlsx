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icoreplumbing-my.sharepoint.com/personal/mitch_tricoreplumbing_com_au/Documents/Documents/GitHub/ROK Sports Precinct - Stage 1/TriCore Docs/Master Cost Sheets/"/>
    </mc:Choice>
  </mc:AlternateContent>
  <xr:revisionPtr revIDLastSave="1443" documentId="13_ncr:1_{F739D6DB-A14D-4284-8E25-8BFFC5A54573}" xr6:coauthVersionLast="47" xr6:coauthVersionMax="47" xr10:uidLastSave="{BEE9043F-31AA-4840-998A-1D7180D436AB}"/>
  <bookViews>
    <workbookView xWindow="-30828" yWindow="-108" windowWidth="30936" windowHeight="12576" tabRatio="806" xr2:uid="{165DE662-7D7E-42EF-871F-B48D5074B9DB}"/>
  </bookViews>
  <sheets>
    <sheet name="V1" sheetId="35" r:id="rId1"/>
    <sheet name="Prelim_OH-Check" sheetId="11" r:id="rId2"/>
    <sheet name="SW Zone Sumry" sheetId="46" r:id="rId3"/>
    <sheet name="SW_Mataterial" sheetId="47" r:id="rId4"/>
    <sheet name="SW_Pit Takeoff" sheetId="50" r:id="rId5"/>
    <sheet name="SW_insitu Takeoff" sheetId="48" r:id="rId6"/>
    <sheet name="Staff Rates" sheetId="17" r:id="rId7"/>
    <sheet name="Equip&amp;HIRE" sheetId="13" r:id="rId8"/>
  </sheets>
  <externalReferences>
    <externalReference r:id="rId9"/>
  </externalReferences>
  <definedNames>
    <definedName name="aa" localSheetId="1">#REF!</definedName>
    <definedName name="aa" localSheetId="6">#REF!</definedName>
    <definedName name="aa" localSheetId="2">#REF!</definedName>
    <definedName name="aa" localSheetId="5">#REF!</definedName>
    <definedName name="aa" localSheetId="3">#REF!</definedName>
    <definedName name="aa" localSheetId="4">#REF!</definedName>
    <definedName name="aa" localSheetId="0">#REF!</definedName>
    <definedName name="aa">#REF!</definedName>
    <definedName name="bh" localSheetId="5">[1]Preliminaries!$J$1</definedName>
    <definedName name="bh" localSheetId="4">[1]Preliminaries!$J$1</definedName>
    <definedName name="bh">#REF!</definedName>
    <definedName name="Civil4" localSheetId="1">#REF!</definedName>
    <definedName name="Civil4" localSheetId="6">#REF!</definedName>
    <definedName name="Civil4" localSheetId="2">#REF!</definedName>
    <definedName name="Civil4" localSheetId="5">#REF!</definedName>
    <definedName name="Civil4" localSheetId="3">#REF!</definedName>
    <definedName name="Civil4" localSheetId="4">#REF!</definedName>
    <definedName name="Civil4">#REF!</definedName>
    <definedName name="d" localSheetId="1">#REF!</definedName>
    <definedName name="d" localSheetId="6">#REF!</definedName>
    <definedName name="d" localSheetId="2">#REF!</definedName>
    <definedName name="d" localSheetId="5">#REF!</definedName>
    <definedName name="d" localSheetId="3">#REF!</definedName>
    <definedName name="d" localSheetId="4">#REF!</definedName>
    <definedName name="d">#REF!</definedName>
    <definedName name="date" localSheetId="1">#REF!</definedName>
    <definedName name="date" localSheetId="6">#REF!</definedName>
    <definedName name="date" localSheetId="2">#REF!</definedName>
    <definedName name="date" localSheetId="5">#REF!</definedName>
    <definedName name="date" localSheetId="3">#REF!</definedName>
    <definedName name="date" localSheetId="4">#REF!</definedName>
    <definedName name="date" localSheetId="0">#REF!</definedName>
    <definedName name="date">#REF!</definedName>
    <definedName name="daz" localSheetId="1">#REF!</definedName>
    <definedName name="daz" localSheetId="6">#REF!</definedName>
    <definedName name="daz" localSheetId="2">#REF!</definedName>
    <definedName name="daz">#REF!</definedName>
    <definedName name="ddd" localSheetId="1">#REF!</definedName>
    <definedName name="ddd" localSheetId="6">#REF!</definedName>
    <definedName name="ddd" localSheetId="2">#REF!</definedName>
    <definedName name="ddd">#REF!</definedName>
    <definedName name="for" localSheetId="1">#REF!</definedName>
    <definedName name="for" localSheetId="6">#REF!</definedName>
    <definedName name="for" localSheetId="2">#REF!</definedName>
    <definedName name="for" localSheetId="0">#REF!</definedName>
    <definedName name="for">#REF!</definedName>
    <definedName name="job" localSheetId="1">#REF!</definedName>
    <definedName name="job" localSheetId="6">#REF!</definedName>
    <definedName name="job" localSheetId="2">#REF!</definedName>
    <definedName name="job" localSheetId="0">#REF!</definedName>
    <definedName name="job">#REF!</definedName>
    <definedName name="No" localSheetId="1">#REF!</definedName>
    <definedName name="No" localSheetId="6">#REF!</definedName>
    <definedName name="No" localSheetId="2">#REF!</definedName>
    <definedName name="No" localSheetId="0">#REF!</definedName>
    <definedName name="No">#REF!</definedName>
    <definedName name="_xlnm.Print_Area" localSheetId="4">'SW_Pit Takeoff'!$J$65:$R$93</definedName>
    <definedName name="_xlnm.Print_Area" localSheetId="0">'V1'!$B$1:$K$26</definedName>
    <definedName name="qqq" localSheetId="1">#REF!</definedName>
    <definedName name="qqq" localSheetId="6">#REF!</definedName>
    <definedName name="qqq" localSheetId="2">#REF!</definedName>
    <definedName name="qqq" localSheetId="5">#REF!</definedName>
    <definedName name="qqq" localSheetId="3">#REF!</definedName>
    <definedName name="qqq" localSheetId="4">#REF!</definedName>
    <definedName name="qqq">#REF!</definedName>
    <definedName name="Rep_List">#REF!</definedName>
    <definedName name="site" localSheetId="1">#REF!</definedName>
    <definedName name="site" localSheetId="6">#REF!</definedName>
    <definedName name="site" localSheetId="2">#REF!</definedName>
    <definedName name="site" localSheetId="5">#REF!</definedName>
    <definedName name="site" localSheetId="4">#REF!</definedName>
    <definedName name="site" localSheetId="0">#REF!</definedName>
    <definedName name="site">#REF!</definedName>
    <definedName name="site1" localSheetId="1">#REF!</definedName>
    <definedName name="site1" localSheetId="6">#REF!</definedName>
    <definedName name="site1" localSheetId="2">#REF!</definedName>
    <definedName name="site1" localSheetId="5">#REF!</definedName>
    <definedName name="site1" localSheetId="4">#REF!</definedName>
    <definedName name="site1">#REF!</definedName>
    <definedName name="site2" localSheetId="1">#REF!</definedName>
    <definedName name="site2" localSheetId="6">#REF!</definedName>
    <definedName name="site2" localSheetId="2">#REF!</definedName>
    <definedName name="site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0" i="35" l="1"/>
  <c r="R35" i="35"/>
  <c r="I262" i="47"/>
  <c r="I261" i="47"/>
  <c r="C314" i="47"/>
  <c r="I257" i="47"/>
  <c r="I244" i="47"/>
  <c r="I245" i="47"/>
  <c r="I246" i="47"/>
  <c r="I247" i="47"/>
  <c r="I248" i="47"/>
  <c r="I249" i="47"/>
  <c r="I250" i="47"/>
  <c r="I251" i="47"/>
  <c r="I252" i="47"/>
  <c r="I253" i="47"/>
  <c r="I254" i="47"/>
  <c r="I255" i="47"/>
  <c r="I256" i="47"/>
  <c r="I243" i="47"/>
  <c r="K258" i="47" s="1"/>
  <c r="E220" i="47"/>
  <c r="E219" i="47"/>
  <c r="E218" i="47"/>
  <c r="E217" i="47"/>
  <c r="E216" i="47"/>
  <c r="E215" i="47"/>
  <c r="E39" i="47"/>
  <c r="E26" i="47"/>
  <c r="E15" i="47"/>
  <c r="E10" i="47"/>
  <c r="E28" i="47"/>
  <c r="E29" i="47"/>
  <c r="E30" i="47"/>
  <c r="E31" i="47"/>
  <c r="C267" i="47"/>
  <c r="F267" i="47" s="1"/>
  <c r="C266" i="47"/>
  <c r="F266" i="47" s="1"/>
  <c r="C265" i="47"/>
  <c r="F265" i="47" s="1"/>
  <c r="C261" i="47"/>
  <c r="J269" i="47"/>
  <c r="F67" i="47" l="1"/>
  <c r="F68" i="47"/>
  <c r="F69" i="47"/>
  <c r="F70" i="47"/>
  <c r="F71" i="47"/>
  <c r="F72" i="47"/>
  <c r="F66" i="47"/>
  <c r="F202" i="47"/>
  <c r="F203" i="47"/>
  <c r="F234" i="47"/>
  <c r="F233" i="47"/>
  <c r="F232" i="47"/>
  <c r="F231" i="47"/>
  <c r="F230" i="47"/>
  <c r="F229" i="47"/>
  <c r="F223" i="47"/>
  <c r="F225" i="47"/>
  <c r="F224" i="47"/>
  <c r="F226" i="47"/>
  <c r="F220" i="47"/>
  <c r="F219" i="47"/>
  <c r="F218" i="47"/>
  <c r="F217" i="47"/>
  <c r="F216" i="47"/>
  <c r="F215" i="47"/>
  <c r="F63" i="47"/>
  <c r="F53" i="47"/>
  <c r="F61" i="47"/>
  <c r="F60" i="47"/>
  <c r="F59" i="47"/>
  <c r="F106" i="47"/>
  <c r="C15" i="47"/>
  <c r="M53" i="50" l="1"/>
  <c r="M54" i="50"/>
  <c r="L81" i="50"/>
  <c r="F240" i="47"/>
  <c r="F211" i="47"/>
  <c r="F176" i="47"/>
  <c r="F33" i="47"/>
  <c r="E21" i="47"/>
  <c r="F21" i="47" s="1"/>
  <c r="E22" i="47"/>
  <c r="F22" i="47" s="1"/>
  <c r="E24" i="47"/>
  <c r="E27" i="47"/>
  <c r="F23" i="47"/>
  <c r="F9" i="47"/>
  <c r="F10" i="47"/>
  <c r="F11" i="47"/>
  <c r="F12" i="47"/>
  <c r="F14" i="47"/>
  <c r="F16" i="47"/>
  <c r="L86" i="50"/>
  <c r="L84" i="50"/>
  <c r="L83" i="50"/>
  <c r="L82" i="50"/>
  <c r="R56" i="50"/>
  <c r="Q56" i="50"/>
  <c r="P56" i="50"/>
  <c r="Q54" i="50"/>
  <c r="P54" i="50"/>
  <c r="O54" i="50"/>
  <c r="M56" i="50"/>
  <c r="M40" i="50"/>
  <c r="J39" i="50"/>
  <c r="M39" i="50" s="1"/>
  <c r="M38" i="50"/>
  <c r="J29" i="50"/>
  <c r="M29" i="50" s="1"/>
  <c r="J30" i="50"/>
  <c r="M30" i="50" s="1"/>
  <c r="J31" i="50"/>
  <c r="M31" i="50" s="1"/>
  <c r="J32" i="50"/>
  <c r="M32" i="50" s="1"/>
  <c r="J33" i="50"/>
  <c r="M33" i="50" s="1"/>
  <c r="J34" i="50"/>
  <c r="J35" i="50"/>
  <c r="J36" i="50"/>
  <c r="J37" i="50"/>
  <c r="J38" i="50"/>
  <c r="J40" i="50"/>
  <c r="J41" i="50"/>
  <c r="M41" i="50" s="1"/>
  <c r="J42" i="50"/>
  <c r="J43" i="50"/>
  <c r="M43" i="50" s="1"/>
  <c r="J44" i="50"/>
  <c r="M44" i="50" s="1"/>
  <c r="J45" i="50"/>
  <c r="J46" i="50"/>
  <c r="J47" i="50"/>
  <c r="J28" i="50"/>
  <c r="M28" i="50" s="1"/>
  <c r="F48" i="46"/>
  <c r="F47" i="46"/>
  <c r="F46" i="46"/>
  <c r="F44" i="46"/>
  <c r="F25" i="47"/>
  <c r="F179" i="47" l="1"/>
  <c r="F181" i="47"/>
  <c r="F177" i="47"/>
  <c r="F145" i="47"/>
  <c r="F144" i="47"/>
  <c r="E8" i="47"/>
  <c r="E13" i="47"/>
  <c r="F13" i="47" s="1"/>
  <c r="F15" i="47"/>
  <c r="AW29" i="50"/>
  <c r="AW28" i="50"/>
  <c r="H4" i="48"/>
  <c r="H27" i="48" s="1"/>
  <c r="AE47" i="50"/>
  <c r="AE46" i="50"/>
  <c r="AE45" i="50"/>
  <c r="AE44" i="50"/>
  <c r="AE42" i="50"/>
  <c r="AE43" i="50"/>
  <c r="AE41" i="50"/>
  <c r="AE39" i="50"/>
  <c r="AE38" i="50"/>
  <c r="AE37" i="50"/>
  <c r="AE36" i="50"/>
  <c r="AE35" i="50"/>
  <c r="AE34" i="50"/>
  <c r="AE33" i="50"/>
  <c r="AE32" i="50"/>
  <c r="AE31" i="50"/>
  <c r="AE30" i="50"/>
  <c r="AE28" i="50"/>
  <c r="AE29" i="50"/>
  <c r="M47" i="50"/>
  <c r="M46" i="50"/>
  <c r="M45" i="50"/>
  <c r="F184" i="47"/>
  <c r="F143" i="47"/>
  <c r="M42" i="50"/>
  <c r="T38" i="50"/>
  <c r="M37" i="50"/>
  <c r="M36" i="50"/>
  <c r="M35" i="50"/>
  <c r="M34" i="50"/>
  <c r="E23" i="17"/>
  <c r="E17" i="17"/>
  <c r="F8" i="47" l="1"/>
  <c r="F59" i="46"/>
  <c r="F43" i="46"/>
  <c r="J27" i="48" l="1"/>
  <c r="K5" i="48"/>
  <c r="F228" i="47" l="1"/>
  <c r="F227" i="47"/>
  <c r="F212" i="47"/>
  <c r="F183" i="47"/>
  <c r="F169" i="47"/>
  <c r="F168" i="47"/>
  <c r="F162" i="47"/>
  <c r="F164" i="47"/>
  <c r="F17" i="47"/>
  <c r="F18" i="47"/>
  <c r="AD29" i="50" l="1"/>
  <c r="I343" i="47" l="1"/>
  <c r="K343" i="47" s="1"/>
  <c r="E171" i="47" l="1"/>
  <c r="F171" i="47" s="1"/>
  <c r="E170" i="47"/>
  <c r="F170" i="47" l="1"/>
  <c r="F139" i="47" l="1"/>
  <c r="F138" i="47"/>
  <c r="F142" i="47"/>
  <c r="F141" i="47"/>
  <c r="F140" i="47"/>
  <c r="F125" i="47" l="1"/>
  <c r="AJ53" i="50" l="1"/>
  <c r="R69" i="50" s="1"/>
  <c r="AI53" i="50"/>
  <c r="Q69" i="50" s="1"/>
  <c r="AH53" i="50"/>
  <c r="AG53" i="50"/>
  <c r="BA52" i="50"/>
  <c r="AZ52" i="50"/>
  <c r="AY52" i="50"/>
  <c r="AX52" i="50"/>
  <c r="AW52" i="50"/>
  <c r="AJ52" i="50"/>
  <c r="AI52" i="50"/>
  <c r="AH52" i="50"/>
  <c r="AG52" i="50"/>
  <c r="AJ51" i="50"/>
  <c r="AI51" i="50"/>
  <c r="AH51" i="50"/>
  <c r="AG51" i="50"/>
  <c r="AK47" i="50"/>
  <c r="T47" i="50"/>
  <c r="AK46" i="50"/>
  <c r="AK45" i="50"/>
  <c r="T45" i="50"/>
  <c r="AK44" i="50"/>
  <c r="T44" i="50"/>
  <c r="AK43" i="50"/>
  <c r="AK42" i="50"/>
  <c r="T42" i="50"/>
  <c r="AK41" i="50"/>
  <c r="T41" i="50"/>
  <c r="AE40" i="50"/>
  <c r="AK40" i="50" s="1"/>
  <c r="T40" i="50"/>
  <c r="AK39" i="50"/>
  <c r="AV35" i="50"/>
  <c r="AK35" i="50"/>
  <c r="AV34" i="50"/>
  <c r="AV33" i="50"/>
  <c r="AK33" i="50"/>
  <c r="AV32" i="50"/>
  <c r="AK32" i="50"/>
  <c r="AT31" i="50"/>
  <c r="AV31" i="50" s="1"/>
  <c r="AK31" i="50"/>
  <c r="AT30" i="50"/>
  <c r="AW30" i="50" s="1"/>
  <c r="BB30" i="50" s="1"/>
  <c r="AK30" i="50"/>
  <c r="BB29" i="50"/>
  <c r="AV29" i="50"/>
  <c r="AK29" i="50"/>
  <c r="BB28" i="50"/>
  <c r="F180" i="47"/>
  <c r="F182" i="47"/>
  <c r="F178" i="47"/>
  <c r="R68" i="50" l="1"/>
  <c r="Q68" i="50"/>
  <c r="AV30" i="50"/>
  <c r="AK37" i="50"/>
  <c r="AK38" i="50"/>
  <c r="AK34" i="50"/>
  <c r="T37" i="50"/>
  <c r="T29" i="50"/>
  <c r="T43" i="50"/>
  <c r="T39" i="50"/>
  <c r="T33" i="50"/>
  <c r="T30" i="50"/>
  <c r="T34" i="50"/>
  <c r="T35" i="50"/>
  <c r="AK36" i="50"/>
  <c r="T31" i="50"/>
  <c r="T32" i="50"/>
  <c r="AK28" i="50"/>
  <c r="T36" i="50"/>
  <c r="T46" i="50"/>
  <c r="T28" i="50"/>
  <c r="AV28" i="50"/>
  <c r="AW31" i="50"/>
  <c r="BB31" i="50" s="1"/>
  <c r="F36" i="47"/>
  <c r="F192" i="47" l="1"/>
  <c r="F209" i="47"/>
  <c r="F206" i="47"/>
  <c r="F207" i="47"/>
  <c r="F210" i="47"/>
  <c r="F208" i="47"/>
  <c r="F185" i="47" l="1"/>
  <c r="F147" i="47"/>
  <c r="F148" i="47"/>
  <c r="F149" i="47"/>
  <c r="F150" i="47"/>
  <c r="F151" i="47"/>
  <c r="F152" i="47"/>
  <c r="F153" i="47"/>
  <c r="F154" i="47"/>
  <c r="F146" i="47"/>
  <c r="F126" i="47"/>
  <c r="F127" i="47"/>
  <c r="F128" i="47"/>
  <c r="F130" i="47"/>
  <c r="F131" i="47"/>
  <c r="F132" i="47"/>
  <c r="F134" i="47"/>
  <c r="F135" i="47"/>
  <c r="F122" i="47"/>
  <c r="F165" i="47" l="1"/>
  <c r="F166" i="47"/>
  <c r="F167" i="47"/>
  <c r="F173" i="47"/>
  <c r="F174" i="47"/>
  <c r="F175" i="47"/>
  <c r="F163" i="47"/>
  <c r="F158" i="47"/>
  <c r="F159" i="47"/>
  <c r="F160" i="47"/>
  <c r="F161" i="47"/>
  <c r="F24" i="47" l="1"/>
  <c r="F26" i="47"/>
  <c r="F27" i="47"/>
  <c r="F28" i="47"/>
  <c r="F29" i="47"/>
  <c r="F30" i="47"/>
  <c r="F31" i="47"/>
  <c r="F32" i="47"/>
  <c r="F205" i="47" l="1"/>
  <c r="F235" i="47"/>
  <c r="F236" i="47"/>
  <c r="F237" i="47"/>
  <c r="F238" i="47"/>
  <c r="F239" i="47"/>
  <c r="F204" i="47" l="1"/>
  <c r="F201" i="47"/>
  <c r="W9" i="35" l="1"/>
  <c r="W12" i="35" s="1"/>
  <c r="Z9" i="35"/>
  <c r="F42" i="46" l="1"/>
  <c r="F41" i="46"/>
  <c r="E13" i="46" l="1"/>
  <c r="K4" i="48"/>
  <c r="K6" i="48"/>
  <c r="K7" i="48"/>
  <c r="L24" i="48" l="1"/>
  <c r="F293" i="47" l="1"/>
  <c r="F292" i="47"/>
  <c r="F291" i="47"/>
  <c r="F290" i="47"/>
  <c r="F289" i="47"/>
  <c r="F288" i="47"/>
  <c r="F287" i="47"/>
  <c r="F286" i="47"/>
  <c r="F285" i="47"/>
  <c r="F284" i="47"/>
  <c r="F283" i="47"/>
  <c r="F282" i="47"/>
  <c r="F281" i="47"/>
  <c r="F280" i="47"/>
  <c r="F279" i="47"/>
  <c r="F278" i="47"/>
  <c r="F277" i="47"/>
  <c r="F276" i="47"/>
  <c r="F275" i="47"/>
  <c r="F274" i="47"/>
  <c r="F273" i="47"/>
  <c r="F272" i="47"/>
  <c r="F271" i="47"/>
  <c r="F270" i="47"/>
  <c r="F269" i="47"/>
  <c r="I351" i="47" l="1"/>
  <c r="E351" i="47"/>
  <c r="I350" i="47"/>
  <c r="E350" i="47"/>
  <c r="F350" i="47" s="1"/>
  <c r="I349" i="47"/>
  <c r="E349" i="47"/>
  <c r="F349" i="47" s="1"/>
  <c r="E348" i="47"/>
  <c r="F348" i="47" s="1"/>
  <c r="E347" i="47"/>
  <c r="F347" i="47" s="1"/>
  <c r="E346" i="47"/>
  <c r="F346" i="47" s="1"/>
  <c r="E345" i="47"/>
  <c r="F345" i="47" s="1"/>
  <c r="E344" i="47"/>
  <c r="F344" i="47" s="1"/>
  <c r="E343" i="47"/>
  <c r="F343" i="47" s="1"/>
  <c r="G337" i="47"/>
  <c r="G328" i="47"/>
  <c r="D328" i="47"/>
  <c r="C328" i="47"/>
  <c r="G327" i="47"/>
  <c r="D327" i="47"/>
  <c r="C327" i="47"/>
  <c r="G326" i="47"/>
  <c r="D326" i="47"/>
  <c r="G325" i="47"/>
  <c r="D325" i="47"/>
  <c r="E324" i="47"/>
  <c r="H324" i="47" s="1"/>
  <c r="B324" i="47"/>
  <c r="G323" i="47"/>
  <c r="B323" i="47"/>
  <c r="F113" i="47"/>
  <c r="F112" i="47"/>
  <c r="F111" i="47"/>
  <c r="F110" i="47"/>
  <c r="F109" i="47"/>
  <c r="F108" i="47"/>
  <c r="F107" i="47"/>
  <c r="F105" i="47"/>
  <c r="F104" i="47"/>
  <c r="F103" i="47"/>
  <c r="F102" i="47"/>
  <c r="F101" i="47"/>
  <c r="F100" i="47"/>
  <c r="F99" i="47"/>
  <c r="F98" i="47"/>
  <c r="F97" i="47"/>
  <c r="F96" i="47"/>
  <c r="F94" i="47"/>
  <c r="F93" i="47"/>
  <c r="F92" i="47"/>
  <c r="F91" i="47"/>
  <c r="F90" i="47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58" i="47"/>
  <c r="F57" i="47"/>
  <c r="F56" i="47"/>
  <c r="F55" i="47"/>
  <c r="F54" i="47"/>
  <c r="F52" i="47"/>
  <c r="F51" i="47"/>
  <c r="F50" i="47"/>
  <c r="F49" i="47"/>
  <c r="F48" i="47"/>
  <c r="F47" i="47"/>
  <c r="F46" i="47"/>
  <c r="F44" i="47"/>
  <c r="F43" i="47"/>
  <c r="F42" i="47"/>
  <c r="F41" i="47"/>
  <c r="F40" i="47"/>
  <c r="F39" i="47"/>
  <c r="F38" i="47"/>
  <c r="F37" i="47"/>
  <c r="F7" i="47"/>
  <c r="F64" i="46"/>
  <c r="F58" i="46"/>
  <c r="F50" i="46"/>
  <c r="F40" i="46"/>
  <c r="F39" i="46"/>
  <c r="F38" i="46"/>
  <c r="F37" i="46"/>
  <c r="F36" i="46"/>
  <c r="F35" i="46"/>
  <c r="F34" i="46"/>
  <c r="F33" i="46"/>
  <c r="F32" i="46"/>
  <c r="F31" i="46"/>
  <c r="F30" i="46"/>
  <c r="F26" i="46"/>
  <c r="F25" i="46"/>
  <c r="F24" i="46"/>
  <c r="F23" i="46"/>
  <c r="F22" i="46"/>
  <c r="F13" i="46"/>
  <c r="F294" i="47" l="1"/>
  <c r="F302" i="47" s="1"/>
  <c r="H337" i="47"/>
  <c r="E57" i="46" s="1"/>
  <c r="F57" i="46" s="1"/>
  <c r="H30" i="46"/>
  <c r="L350" i="47"/>
  <c r="L345" i="47"/>
  <c r="E328" i="47"/>
  <c r="K347" i="47"/>
  <c r="L347" i="47" s="1"/>
  <c r="N347" i="47" s="1"/>
  <c r="C310" i="47"/>
  <c r="L349" i="47"/>
  <c r="L343" i="47"/>
  <c r="N343" i="47" s="1"/>
  <c r="E56" i="46" s="1"/>
  <c r="F56" i="46" s="1"/>
  <c r="E317" i="47"/>
  <c r="E318" i="47"/>
  <c r="E319" i="47"/>
  <c r="L346" i="47"/>
  <c r="L351" i="47"/>
  <c r="E326" i="47"/>
  <c r="I326" i="47" s="1"/>
  <c r="E323" i="47"/>
  <c r="F351" i="47"/>
  <c r="J328" i="47" l="1"/>
  <c r="M347" i="47"/>
  <c r="O343" i="47"/>
  <c r="M343" i="47"/>
  <c r="E327" i="47"/>
  <c r="H323" i="47"/>
  <c r="H330" i="47" s="1"/>
  <c r="E325" i="47"/>
  <c r="I325" i="47" s="1"/>
  <c r="I330" i="47" s="1"/>
  <c r="Q347" i="47"/>
  <c r="P347" i="47"/>
  <c r="J327" i="47" l="1"/>
  <c r="J330" i="47" s="1"/>
  <c r="K330" i="47" s="1"/>
  <c r="M330" i="47" s="1"/>
  <c r="Q38" i="35" l="1"/>
  <c r="T30" i="35"/>
  <c r="J51" i="17" l="1"/>
  <c r="J52" i="17" s="1"/>
  <c r="I51" i="17"/>
  <c r="I52" i="17" s="1"/>
  <c r="I44" i="17"/>
  <c r="I45" i="17" s="1"/>
  <c r="I46" i="17" s="1"/>
  <c r="J44" i="17"/>
  <c r="J45" i="17" s="1"/>
  <c r="J46" i="17" s="1"/>
  <c r="J16" i="17"/>
  <c r="J17" i="17" s="1"/>
  <c r="I16" i="17"/>
  <c r="I17" i="17" s="1"/>
  <c r="H16" i="17"/>
  <c r="H17" i="17" s="1"/>
  <c r="H51" i="17"/>
  <c r="H52" i="17" s="1"/>
  <c r="H53" i="17" s="1"/>
  <c r="H44" i="17"/>
  <c r="H45" i="17" s="1"/>
  <c r="H46" i="17" s="1"/>
  <c r="I53" i="17" l="1"/>
  <c r="I54" i="17"/>
  <c r="J53" i="17"/>
  <c r="J54" i="17"/>
  <c r="I18" i="17"/>
  <c r="I19" i="17"/>
  <c r="J19" i="17"/>
  <c r="J18" i="17"/>
  <c r="H19" i="17"/>
  <c r="H18" i="17"/>
  <c r="H54" i="17"/>
  <c r="J47" i="17"/>
  <c r="I47" i="17"/>
  <c r="H47" i="17"/>
  <c r="E24" i="17" l="1"/>
  <c r="I23" i="17"/>
  <c r="I24" i="17" s="1"/>
  <c r="H23" i="17"/>
  <c r="H24" i="17" s="1"/>
  <c r="J23" i="17"/>
  <c r="J24" i="17" s="1"/>
  <c r="E15" i="46" l="1"/>
  <c r="F15" i="46" s="1"/>
  <c r="E14" i="46"/>
  <c r="F14" i="46" s="1"/>
  <c r="H26" i="17"/>
  <c r="H25" i="17"/>
  <c r="J25" i="17"/>
  <c r="J26" i="17"/>
  <c r="I25" i="17"/>
  <c r="I26" i="17"/>
  <c r="E25" i="17"/>
  <c r="G9" i="17"/>
  <c r="G10" i="17" l="1"/>
  <c r="H9" i="17"/>
  <c r="G11" i="17" l="1"/>
  <c r="H10" i="17"/>
  <c r="G12" i="17" l="1"/>
  <c r="H12" i="17" s="1"/>
  <c r="H11" i="17"/>
  <c r="E45" i="17" l="1"/>
  <c r="E52" i="17"/>
  <c r="E17" i="46" s="1"/>
  <c r="F17" i="46" s="1"/>
  <c r="E37" i="17"/>
  <c r="E30" i="17"/>
  <c r="F23" i="17"/>
  <c r="G23" i="17" s="1"/>
  <c r="G24" i="17" s="1"/>
  <c r="E19" i="17"/>
  <c r="C12" i="17"/>
  <c r="F44" i="17"/>
  <c r="G44" i="17" s="1"/>
  <c r="G45" i="17" s="1"/>
  <c r="E19" i="46" l="1"/>
  <c r="F19" i="46" s="1"/>
  <c r="E18" i="46"/>
  <c r="F18" i="46" s="1"/>
  <c r="B34" i="17"/>
  <c r="B46" i="17"/>
  <c r="G26" i="17"/>
  <c r="G25" i="17"/>
  <c r="E31" i="17"/>
  <c r="J30" i="17"/>
  <c r="J31" i="17" s="1"/>
  <c r="I30" i="17"/>
  <c r="I31" i="17" s="1"/>
  <c r="H30" i="17"/>
  <c r="H31" i="17" s="1"/>
  <c r="E38" i="17"/>
  <c r="I37" i="17"/>
  <c r="I38" i="17" s="1"/>
  <c r="J37" i="17"/>
  <c r="J38" i="17" s="1"/>
  <c r="H37" i="17"/>
  <c r="H38" i="17" s="1"/>
  <c r="G47" i="17"/>
  <c r="G46" i="17"/>
  <c r="E47" i="17"/>
  <c r="E46" i="17"/>
  <c r="F46" i="17" s="1"/>
  <c r="B27" i="17"/>
  <c r="B53" i="17"/>
  <c r="C56" i="17" s="1"/>
  <c r="B39" i="17"/>
  <c r="B32" i="17"/>
  <c r="B40" i="17"/>
  <c r="B25" i="17"/>
  <c r="B33" i="17"/>
  <c r="B41" i="17"/>
  <c r="B26" i="17"/>
  <c r="E53" i="17"/>
  <c r="F53" i="17" s="1"/>
  <c r="E18" i="17"/>
  <c r="F18" i="17" s="1"/>
  <c r="E54" i="17"/>
  <c r="F54" i="17" s="1"/>
  <c r="E33" i="17"/>
  <c r="F33" i="17" s="1"/>
  <c r="F52" i="17"/>
  <c r="E13" i="11"/>
  <c r="F17" i="17"/>
  <c r="F30" i="17"/>
  <c r="G30" i="17" s="1"/>
  <c r="G31" i="17" s="1"/>
  <c r="F16" i="17"/>
  <c r="G16" i="17" s="1"/>
  <c r="G17" i="17" s="1"/>
  <c r="F19" i="17"/>
  <c r="B18" i="17"/>
  <c r="C21" i="17" s="1"/>
  <c r="F45" i="17"/>
  <c r="F51" i="17"/>
  <c r="G51" i="17" s="1"/>
  <c r="G52" i="17" s="1"/>
  <c r="C49" i="17"/>
  <c r="E32" i="17" l="1"/>
  <c r="F32" i="17" s="1"/>
  <c r="E16" i="46"/>
  <c r="F16" i="46" s="1"/>
  <c r="G53" i="17"/>
  <c r="G54" i="17"/>
  <c r="F31" i="17"/>
  <c r="G33" i="17"/>
  <c r="G32" i="17"/>
  <c r="H32" i="17"/>
  <c r="H33" i="17"/>
  <c r="I32" i="17"/>
  <c r="I33" i="17"/>
  <c r="E40" i="17"/>
  <c r="F40" i="17" s="1"/>
  <c r="J33" i="17"/>
  <c r="J32" i="17"/>
  <c r="H39" i="17"/>
  <c r="H40" i="17"/>
  <c r="J39" i="17"/>
  <c r="J40" i="17"/>
  <c r="E39" i="17"/>
  <c r="F39" i="17" s="1"/>
  <c r="I39" i="17"/>
  <c r="I40" i="17"/>
  <c r="G19" i="17"/>
  <c r="G18" i="17"/>
  <c r="C35" i="17"/>
  <c r="C42" i="17"/>
  <c r="C28" i="17"/>
  <c r="F25" i="17"/>
  <c r="F24" i="17"/>
  <c r="E26" i="17"/>
  <c r="F26" i="17" s="1"/>
  <c r="F38" i="17"/>
  <c r="F37" i="17"/>
  <c r="G37" i="17" s="1"/>
  <c r="G38" i="17" s="1"/>
  <c r="F47" i="17"/>
  <c r="H11" i="46" l="1"/>
  <c r="G39" i="17"/>
  <c r="G40" i="17"/>
  <c r="F47" i="11"/>
  <c r="F30" i="11"/>
  <c r="F31" i="11"/>
  <c r="F32" i="11"/>
  <c r="F33" i="11"/>
  <c r="F34" i="11"/>
  <c r="F35" i="11"/>
  <c r="F36" i="11"/>
  <c r="F37" i="11"/>
  <c r="F38" i="11"/>
  <c r="F39" i="11"/>
  <c r="F29" i="11"/>
  <c r="F22" i="11"/>
  <c r="F23" i="11"/>
  <c r="F24" i="11"/>
  <c r="F25" i="11"/>
  <c r="F21" i="11"/>
  <c r="F13" i="11"/>
  <c r="F14" i="11"/>
  <c r="F15" i="11"/>
  <c r="F16" i="11"/>
  <c r="F53" i="11" l="1"/>
  <c r="F42" i="11"/>
  <c r="T29" i="35" s="1"/>
  <c r="E46" i="13" l="1"/>
  <c r="E45" i="13"/>
  <c r="E44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29" i="13"/>
  <c r="E28" i="13"/>
  <c r="E27" i="13"/>
  <c r="E26" i="13"/>
  <c r="E25" i="13"/>
  <c r="E24" i="13"/>
  <c r="E23" i="13"/>
  <c r="E21" i="13"/>
  <c r="E20" i="13"/>
  <c r="E17" i="13"/>
  <c r="E11" i="13"/>
  <c r="E10" i="13"/>
  <c r="E9" i="13"/>
  <c r="E8" i="13"/>
  <c r="E5" i="13"/>
  <c r="E55" i="46" l="1"/>
  <c r="F55" i="46" s="1"/>
  <c r="F70" i="46" s="1"/>
  <c r="R13" i="35" s="1"/>
  <c r="F304" i="47"/>
  <c r="R26" i="35" l="1"/>
  <c r="R29" i="35" l="1"/>
  <c r="R30" i="35"/>
  <c r="R32" i="35" l="1"/>
  <c r="R36" i="35" l="1"/>
  <c r="S13" i="35" s="1"/>
  <c r="K13" i="35" s="1"/>
  <c r="S26" i="35" l="1"/>
  <c r="K26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tc={F5453FB5-4DF2-450A-A0D3-6120969556BC}</author>
    <author>tc={F96704FA-4994-4269-BEEF-DCDEB3762922}</author>
    <author>tc={B9BFE970-8AEB-4177-9CF6-267158B93BF0}</author>
  </authors>
  <commentList>
    <comment ref="V6" authorId="0" shapeId="0" xr:uid="{F5453FB5-4DF2-450A-A0D3-6120969556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Atlan estiamte include transport, could not quote accurate due to lack of specific model number </t>
      </text>
    </comment>
    <comment ref="W10" authorId="1" shapeId="0" xr:uid="{F96704FA-4994-4269-BEEF-DCDEB37629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Guess </t>
      </text>
    </comment>
    <comment ref="W11" authorId="2" shapeId="0" xr:uid="{B9BFE970-8AEB-4177-9CF6-267158B93BF0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tc={111C7DAD-B92F-44D0-8143-3FC723FC17BE}</author>
    <author>tc={A1919919-2857-4E1A-A6D9-51432AB59F1E}</author>
    <author>tc={C62DE94A-199E-408B-B10F-443EB61BB11A}</author>
    <author>tc={89811FE3-633C-4596-AC21-A69621C9DFEF}</author>
    <author>tc={AD851FA0-5CEB-4C31-A423-CDF1EA705EF4}</author>
    <author>tc={83EE6FFB-20AB-4966-91E0-C91D138791DA}</author>
    <author>tc={2C3BE594-262F-421C-9FD8-FB41613A7725}</author>
    <author>tc={4C8713D1-46B2-4A3F-8106-B75D563A260D}</author>
    <author>tc={48851080-59BB-4BDB-8546-A1C178BAB420}</author>
    <author>tc={7E6BCCD1-8CC7-4B7C-BE9B-DC2DEF5BFDCA}</author>
    <author>tc={8BCD67A2-BA28-49D0-B26C-45C3034A005F}</author>
    <author>tc={BC1D4119-C4F7-4BB9-A187-28FE508CE772}</author>
    <author>tc={847E4AC7-64D4-4FE2-AB1D-6A4E9F440468}</author>
    <author>tc={BB043A62-866C-40A2-81C1-96B14201B5C7}</author>
    <author>tc={C61F0A88-6CE2-4220-A727-DD45B9A1A540}</author>
    <author>tc={49193A99-6323-49C9-8326-5FDD05F3F611}</author>
    <author>tc={725161EF-516A-48B2-8B4C-BC7F4FD59ECE}</author>
    <author>tc={4D6220DC-C5FB-453B-A396-23ADD8B03190}</author>
    <author>tc={AC9C6090-C26B-40AD-9CC4-21CD35A05278}</author>
    <author>tc={821806FB-7740-4057-B8E3-833770545FFC}</author>
    <author>tc={26BD6B25-236E-43DC-9371-9D4065CF1410}</author>
    <author>tc={80B4E29D-D258-4643-8698-F4C3FF2E0BFD}</author>
    <author>tc={AB6C709E-077F-4CBD-86D8-C2ABB0B0D24C}</author>
    <author>tc={EABD437C-9175-41C8-8332-2BEB35E47CF1}</author>
    <author>tc={BA5380B9-4956-43D6-86B8-A9494538AA52}</author>
  </authors>
  <commentList>
    <comment ref="C10" authorId="0" shapeId="0" xr:uid="{111C7DAD-B92F-44D0-8143-3FC723FC17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length </t>
      </text>
    </comment>
    <comment ref="C15" authorId="1" shapeId="0" xr:uid="{A1919919-2857-4E1A-A6D9-51432AB59F1E}">
      <text>
        <t>[Threaded comment]
Your version of Excel allows you to read this threaded comment; however, any edits to it will get removed if the file is opened in a newer version of Excel. Learn more: https://go.microsoft.com/fwlink/?linkid=870924
Comment:
    (Class3) 695 + (class 4) 31</t>
      </text>
    </comment>
    <comment ref="E59" authorId="2" shapeId="0" xr:uid="{C62DE94A-199E-408B-B10F-443EB61BB11A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E60" authorId="3" shapeId="0" xr:uid="{89811FE3-633C-4596-AC21-A69621C9DFEF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E61" authorId="4" shapeId="0" xr:uid="{AD851FA0-5CEB-4C31-A423-CDF1EA705EF4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E63" authorId="5" shapeId="0" xr:uid="{83EE6FFB-20AB-4966-91E0-C91D138791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Google AI estimate </t>
      </text>
    </comment>
    <comment ref="C167" authorId="6" shapeId="0" xr:uid="{2C3BE594-262F-421C-9FD8-FB41613A77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1050 ALLOW FOR 900 high mh shaft , 1 of aspro and 1 of 900x600 cover </t>
      </text>
    </comment>
    <comment ref="C175" authorId="7" shapeId="0" xr:uid="{4C8713D1-46B2-4A3F-8106-B75D563A26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1200 chamber allow for 1 of 1200 high ,2 of 900 high </t>
      </text>
    </comment>
    <comment ref="C182" authorId="8" shapeId="0" xr:uid="{48851080-59BB-4BDB-8546-A1C178BAB42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13 for 1050 chamber ,3 for 1200 chamber </t>
      </text>
    </comment>
    <comment ref="E202" authorId="9" shapeId="0" xr:uid="{7E6BCCD1-8CC7-4B7C-BE9B-DC2DEF5BFD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project last year  quote as 1299</t>
      </text>
    </comment>
    <comment ref="E243" authorId="10" shapeId="0" xr:uid="{8BCD67A2-BA28-49D0-B26C-45C3034A005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Reece quote consist 1x 48942- Pro200 Type 010 Channel 1m 2x 47270- Pro200 Fibretec Slotted Grate Sw 9mm 0.5m 2x 91125- Pro300 Screw C/sunk M10x80 2x 98220- Pro200 Locking Handle 550 </t>
      </text>
    </comment>
    <comment ref="H243" authorId="11" shapeId="0" xr:uid="{BC1D4119-C4F7-4BB9-A187-28FE508CE7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Reece quote consist 1x 48942- Pro200 Type 010 Channel 1m 2x 47270- Pro200 Fibretec Slotted Grate Sw 9mm 0.5m 2x 91125- Pro300 Screw C/sunk M10x80 2x 98220- Pro200 Locking Handle 550 </t>
      </text>
    </comment>
    <comment ref="E247" authorId="12" shapeId="0" xr:uid="{847E4AC7-64D4-4FE2-AB1D-6A4E9F4404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Reece qutoe 1m Consists Of: 1x 48942 Pro200 Type 010 Channel 1m 2x 12266 Pro200 Gtec Ductile Iron Grate Sw 9mm Ktl 0.5m 2x 91124 Pro200 Screw C/sunk M10 2x 98220 </t>
      </text>
    </comment>
    <comment ref="H247" authorId="13" shapeId="0" xr:uid="{BB043A62-866C-40A2-81C1-96B14201B5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Reece qutoe 1m Consists Of: 1x 48942 Pro200 Type 010 Channel 1m 2x 12266 Pro200 Gtec Ductile Iron Grate Sw 9mm Ktl 0.5m 2x 91124 Pro200 Screw C/sunk M10 2x 98220 </t>
      </text>
    </comment>
    <comment ref="E249" authorId="14" shapeId="0" xr:uid="{C61F0A88-6CE2-4220-A727-DD45B9A1A5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Reece 1 meter  Consists Of: 1x 48642- Pro 100 Type 010 Channel 1.0m (hauraton) 1x 47300- Pro 100 Ss304 Heelguard Wedgewire Grate W L/down 1.0m (paige </t>
      </text>
    </comment>
    <comment ref="H249" authorId="15" shapeId="0" xr:uid="{49193A99-6323-49C9-8326-5FDD05F3F6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Reece 1 meter  Consists Of: 1x 48642- Pro 100 Type 010 Channel 1.0m (hauraton) 1x 47300- Pro 100 Ss304 Heelguard Wedgewire Grate W L/down 1.0m (paige </t>
      </text>
    </comment>
    <comment ref="E255" authorId="16" shapeId="0" xr:uid="{725161EF-516A-48B2-8B4C-BC7F4FD59E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Reece quote Consists Of 1x 48652- Pro100 Trash Box W Mud Bucket 1x 47072- Pro100 Fibretec Slotted Grate Sw 9mm 1x 91140- Pro100 Screw C/sunk M8x55 1x 47099- Pro100 Locking Handle </t>
      </text>
    </comment>
    <comment ref="H255" authorId="17" shapeId="0" xr:uid="{4D6220DC-C5FB-453B-A396-23ADD8B031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Reece quote Consists Of 1x 48652- Pro100 Trash Box W Mud Bucket 1x 47072- Pro100 Fibretec Slotted Grate Sw 9mm 1x 91140- Pro100 Screw C/sunk M8x55 1x 47099- Pro100 Locking Handle </t>
      </text>
    </comment>
    <comment ref="E256" authorId="18" shapeId="0" xr:uid="{AC9C6090-C26B-40AD-9CC4-21CD35A052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Reece quote Consists Of: 1x 47251- Pro200 Trash Box W Mud Bucket 1x 47270- Pro200 Fibretec Slotted Grate Sw 9mm 1x 91125- Pro300 Screw C/sunk M10x80 1x 98220- Pro200 Locking Handl </t>
      </text>
    </comment>
    <comment ref="H256" authorId="19" shapeId="0" xr:uid="{821806FB-7740-4057-B8E3-833770545F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Reece quote Consists Of: 1x 47251- Pro200 Trash Box W Mud Bucket 1x 47270- Pro200 Fibretec Slotted Grate Sw 9mm 1x 91125- Pro300 Screw C/sunk M10x80 1x 98220- Pro200 Locking Handl </t>
      </text>
    </comment>
    <comment ref="E261" authorId="20" shapeId="0" xr:uid="{26BD6B25-236E-43DC-9371-9D4065CF1410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H261" authorId="21" shapeId="0" xr:uid="{80B4E29D-D258-4643-8698-F4C3FF2E0BFD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E262" authorId="22" shapeId="0" xr:uid="{AB6C709E-077F-4CBD-86D8-C2ABB0B0D24C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H262" authorId="23" shapeId="0" xr:uid="{EABD437C-9175-41C8-8332-2BEB35E47CF1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G269" authorId="24" shapeId="0" xr:uid="{BA5380B9-4956-43D6-86B8-A9494538AA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Measure </t>
      </text>
    </comment>
  </commentList>
</comments>
</file>

<file path=xl/sharedStrings.xml><?xml version="1.0" encoding="utf-8"?>
<sst xmlns="http://schemas.openxmlformats.org/spreadsheetml/2006/main" count="1204" uniqueCount="605">
  <si>
    <t xml:space="preserve"> </t>
  </si>
  <si>
    <t xml:space="preserve">SUMMARY </t>
  </si>
  <si>
    <t>Cost</t>
  </si>
  <si>
    <t xml:space="preserve">JOB DESCRIPTION: </t>
  </si>
  <si>
    <t>Markup</t>
  </si>
  <si>
    <t>SITE ADDRESS:</t>
  </si>
  <si>
    <t xml:space="preserve">Charge = </t>
  </si>
  <si>
    <t>(Cost + O/H) + Profit</t>
  </si>
  <si>
    <t>TOTALS</t>
  </si>
  <si>
    <t>PART A</t>
  </si>
  <si>
    <t>Stormwater Drainage</t>
  </si>
  <si>
    <t>B</t>
  </si>
  <si>
    <t>.</t>
  </si>
  <si>
    <t>Manual Calc</t>
  </si>
  <si>
    <t>of total cost</t>
  </si>
  <si>
    <t>total cost + Prelim + O/H</t>
  </si>
  <si>
    <t>TOTAL ex GST</t>
  </si>
  <si>
    <t>Exl equip &amp; Fixt</t>
  </si>
  <si>
    <t>Prelim</t>
  </si>
  <si>
    <t>O/H</t>
  </si>
  <si>
    <t>Sub Total</t>
  </si>
  <si>
    <t>Gross Profit</t>
  </si>
  <si>
    <t>Grand Total</t>
  </si>
  <si>
    <t>Total Markup</t>
  </si>
  <si>
    <t>Net Profit Incl Equip</t>
  </si>
  <si>
    <t xml:space="preserve">Project: </t>
  </si>
  <si>
    <t>Tricore   -</t>
  </si>
  <si>
    <t>Stage 1 Version 1</t>
  </si>
  <si>
    <t xml:space="preserve">Item  </t>
  </si>
  <si>
    <t>A</t>
  </si>
  <si>
    <t>PRELIMINARIES</t>
  </si>
  <si>
    <t>Unit</t>
  </si>
  <si>
    <t>REQ</t>
  </si>
  <si>
    <t>Cost ex GST</t>
  </si>
  <si>
    <t>Total ex GST</t>
  </si>
  <si>
    <t>Labour</t>
  </si>
  <si>
    <t>Contingencies; Wet Weather ?</t>
  </si>
  <si>
    <t>TRADESMAN_LEADING HAND</t>
  </si>
  <si>
    <t>Day</t>
  </si>
  <si>
    <t>TRADESMAN_PLUMBER_OPERATOR</t>
  </si>
  <si>
    <t>T/A &amp; Apprentice</t>
  </si>
  <si>
    <t>Crew #1</t>
  </si>
  <si>
    <t>Crew #2</t>
  </si>
  <si>
    <t>Equipment, Hire, Subbies</t>
  </si>
  <si>
    <t>Dual CabUte</t>
  </si>
  <si>
    <t>item</t>
  </si>
  <si>
    <t>10m3_Skip Bin</t>
  </si>
  <si>
    <t>TCS Container; Ecl Freight</t>
  </si>
  <si>
    <t xml:space="preserve">Fencing </t>
  </si>
  <si>
    <t>Misc.</t>
  </si>
  <si>
    <t>Site Admin, Stationary etc - GREENSTAR ADMINS</t>
  </si>
  <si>
    <t>Site PPE</t>
  </si>
  <si>
    <t>Site Consumables- Paint, Tapes etc</t>
  </si>
  <si>
    <t>Site Management - Bollards, Pickets, Barrier Mesh etc</t>
  </si>
  <si>
    <t>Staff Refreshments - ONSITE</t>
  </si>
  <si>
    <t>Staff Refreshments - Offsite</t>
  </si>
  <si>
    <t>TOOLS - Roll Grover - S&amp;M</t>
  </si>
  <si>
    <t>TOOLS - Poly Welder - S&amp;M</t>
  </si>
  <si>
    <t>TOOLS - Wacker/Laser/Misc - S&amp;M</t>
  </si>
  <si>
    <t>TOOLS - Demo Saw Trolley - PURCHASE</t>
  </si>
  <si>
    <t>TOOLS - Consumabls - Blades, etc</t>
  </si>
  <si>
    <t xml:space="preserve">Total TCS Prelims </t>
  </si>
  <si>
    <t>OverHeads</t>
  </si>
  <si>
    <t>TriCore Overheads - COMPLETE…PER MONTH</t>
  </si>
  <si>
    <t>Total TCS O/H</t>
  </si>
  <si>
    <t>TOTAL Labour</t>
  </si>
  <si>
    <t>From Proposed Program</t>
  </si>
  <si>
    <t>DAY</t>
  </si>
  <si>
    <t>HOUR</t>
  </si>
  <si>
    <t>HR</t>
  </si>
  <si>
    <t>C</t>
  </si>
  <si>
    <t>TOTAL Equip</t>
  </si>
  <si>
    <t>Skid Steer Loader_Wheeled</t>
  </si>
  <si>
    <t>ea</t>
  </si>
  <si>
    <t>8Ton_Excavator</t>
  </si>
  <si>
    <t>20-24Ton_Excavator</t>
  </si>
  <si>
    <t>14-16Ton_Excavator</t>
  </si>
  <si>
    <t>6-12T_Tipper Truck</t>
  </si>
  <si>
    <t>&lt;10T_Articulated Site Tipper</t>
  </si>
  <si>
    <t>Trench Roller_Dbl Drum_Remote</t>
  </si>
  <si>
    <t>Compaction Testing</t>
  </si>
  <si>
    <t>CCTV</t>
  </si>
  <si>
    <t>Fuel - Diesel_Machinery &amp; Equip/WEEK (Average)</t>
  </si>
  <si>
    <t>**Mini tankers Avg 6,000/Mnth</t>
  </si>
  <si>
    <t>D</t>
  </si>
  <si>
    <t>Material</t>
  </si>
  <si>
    <t>E</t>
  </si>
  <si>
    <t>Misc</t>
  </si>
  <si>
    <t>M3</t>
  </si>
  <si>
    <t>Total Taken forward to Summary</t>
  </si>
  <si>
    <t>Total</t>
  </si>
  <si>
    <t>Description</t>
  </si>
  <si>
    <t>Qty</t>
  </si>
  <si>
    <t>Rate</t>
  </si>
  <si>
    <t>Contingency</t>
  </si>
  <si>
    <t>Excavation/Quarry/Misc/ Takeoff.</t>
  </si>
  <si>
    <t>Avrg Trench = .900D*.450W</t>
  </si>
  <si>
    <t>m</t>
  </si>
  <si>
    <t>L/M Of Asphalt Reinstate</t>
  </si>
  <si>
    <t>M2 Of Asphalt Reinstate</t>
  </si>
  <si>
    <t>m2</t>
  </si>
  <si>
    <t>L/M Of CBR Reinstate</t>
  </si>
  <si>
    <t>L/M of Inground Pipe (Average Depth)</t>
  </si>
  <si>
    <t>L/M of Inground Pipe (Deeper Than Average Depth)</t>
  </si>
  <si>
    <t>Avergage of trtenches 'Shared'…. Shared trench Factor</t>
  </si>
  <si>
    <t>SEWER / SW / TW - InGrnd</t>
  </si>
  <si>
    <t>WAT / FIRE - InGrnd</t>
  </si>
  <si>
    <t>SPK - InGrnd</t>
  </si>
  <si>
    <t>W</t>
  </si>
  <si>
    <t>L</t>
  </si>
  <si>
    <t>Spoil/Compact Factor;</t>
  </si>
  <si>
    <t>Shared Trench Factor</t>
  </si>
  <si>
    <t>Total m3 - EXCAVATED</t>
  </si>
  <si>
    <t>Total M3 - Bed, Pipe, Cover reduction</t>
  </si>
  <si>
    <t>Total M3 - Backfill Req (Less Bed&amp;Pipe)</t>
  </si>
  <si>
    <t>Total M3 - Spoil - REMOVE</t>
  </si>
  <si>
    <t>TCS Load - Haulage &amp; dump rate only</t>
  </si>
  <si>
    <t>L/M of Bed, Pipe, Cover material reduction (Average Depth)</t>
  </si>
  <si>
    <t>L/M of Bed, Pipe, Cover material reduction (Deeper Than Average Depth)</t>
  </si>
  <si>
    <t>L/M of BACKFILL required (Average Depth)</t>
  </si>
  <si>
    <t>L/M of BACKFILL required (Deeper Than Average Depth)</t>
  </si>
  <si>
    <t>QTY</t>
  </si>
  <si>
    <t>m3/TB</t>
  </si>
  <si>
    <t>Total m3</t>
  </si>
  <si>
    <t>Total Cost</t>
  </si>
  <si>
    <t>Quarry &amp; Concrete Product</t>
  </si>
  <si>
    <t>Unit/LM</t>
  </si>
  <si>
    <t>Rate/LM</t>
  </si>
  <si>
    <t>Total Req.</t>
  </si>
  <si>
    <t>TOTAL</t>
  </si>
  <si>
    <t>5-7mm Stone</t>
  </si>
  <si>
    <t>Ton</t>
  </si>
  <si>
    <t>m3</t>
  </si>
  <si>
    <t>10-12mm Stone</t>
  </si>
  <si>
    <t>80-110mm Stone</t>
  </si>
  <si>
    <t>Medium River / Bed Sand</t>
  </si>
  <si>
    <t>CBR15 Road Base</t>
  </si>
  <si>
    <t>CBR45</t>
  </si>
  <si>
    <t>LEANMIX</t>
  </si>
  <si>
    <t>TCS</t>
  </si>
  <si>
    <t>Q2</t>
  </si>
  <si>
    <t>T</t>
  </si>
  <si>
    <t>LEANMIX_20mm-12:1</t>
  </si>
  <si>
    <t>CREW - Fire &amp; WAT</t>
  </si>
  <si>
    <t>CREW - Drainage</t>
  </si>
  <si>
    <t>CREW #3</t>
  </si>
  <si>
    <t>TRADESMAN.1</t>
  </si>
  <si>
    <t>TRADESMAN.2</t>
  </si>
  <si>
    <t>&lt;26Ft_Scissor Lift - Diesel</t>
  </si>
  <si>
    <t>Misc Hire/Tooling</t>
  </si>
  <si>
    <t xml:space="preserve">Material; </t>
  </si>
  <si>
    <t>Inground Quarry Products; Complete</t>
  </si>
  <si>
    <t>MANHOLE Concrete</t>
  </si>
  <si>
    <t>FILTER Install Inc Gravels &amp; Crane</t>
  </si>
  <si>
    <t>Lean mix stab sand etc - ROADS</t>
  </si>
  <si>
    <t xml:space="preserve">SECTION A </t>
  </si>
  <si>
    <t>STORMWATER DRAINAGE</t>
  </si>
  <si>
    <t>rcp/frc</t>
  </si>
  <si>
    <t>PIPE 675MM - RCP_C3</t>
  </si>
  <si>
    <t>PIPE 600MM - RCP_C4</t>
  </si>
  <si>
    <t xml:space="preserve">allow for 600 rubber ring </t>
  </si>
  <si>
    <t>PIPE 525MM - RCP_C4</t>
  </si>
  <si>
    <t>PIPE 525MM - RCP_C3</t>
  </si>
  <si>
    <t>PIPE 450MM - RCP_C4</t>
  </si>
  <si>
    <t xml:space="preserve">allow for 450 rubber ring </t>
  </si>
  <si>
    <t>PIPE 375MM - RCP_C4</t>
  </si>
  <si>
    <t xml:space="preserve">allow for 375 rubber ring </t>
  </si>
  <si>
    <t>PIPE 375MM - RCP_C3</t>
  </si>
  <si>
    <t>PIPE 375MM - RCP_C2</t>
  </si>
  <si>
    <t>SW_SN8 RIBBED (Blackmax or similar)</t>
  </si>
  <si>
    <t>PIPE Ribbed RRJ 900MM</t>
  </si>
  <si>
    <r>
      <t xml:space="preserve">PIPE Ribbed RRJ </t>
    </r>
    <r>
      <rPr>
        <sz val="10"/>
        <color rgb="FFFF0000"/>
        <rFont val="Arial"/>
        <family val="2"/>
      </rPr>
      <t>825MM</t>
    </r>
  </si>
  <si>
    <t>PIPE Ribbed RRJ 750MM</t>
  </si>
  <si>
    <r>
      <t xml:space="preserve">PIPE Ribbed RRJ </t>
    </r>
    <r>
      <rPr>
        <sz val="10"/>
        <color rgb="FFFF0000"/>
        <rFont val="Arial"/>
        <family val="2"/>
      </rPr>
      <t>675MM</t>
    </r>
  </si>
  <si>
    <t>PIPE Ribbed RRJ 600MM</t>
  </si>
  <si>
    <t>PIPE Ribbed RRJ 525MM</t>
  </si>
  <si>
    <t>PIPE Ribbed RRJ 450MM</t>
  </si>
  <si>
    <t>PIPE Ribbed RRJ 375MM</t>
  </si>
  <si>
    <t>PIPE Ribbed RRJ 300MM</t>
  </si>
  <si>
    <t>PIPE Ribbed RRJ 225MM</t>
  </si>
  <si>
    <t>PIPE Ribbed RRJ 150MM</t>
  </si>
  <si>
    <t>SW_SN8 PVC Pipeline</t>
  </si>
  <si>
    <t>PIPE DWV SN8 PVC S/WELD  375MM</t>
  </si>
  <si>
    <t>PIPE DWV SN4 PVC S/WELD  300MM</t>
  </si>
  <si>
    <t>PIPE SW H/D PVC S/WELD  300MM</t>
  </si>
  <si>
    <t>PIPE DWV SN8 PVC S/WELD  225MM</t>
  </si>
  <si>
    <t>PIPE DWV SN4 PVC S/WELD  225MM</t>
  </si>
  <si>
    <t>50mm PVC Class 12</t>
  </si>
  <si>
    <t>PIPE DWV SN8 PVC S/WELD  150MM</t>
  </si>
  <si>
    <t>PIPE DWV SN4 PVC S/WELD  150MM</t>
  </si>
  <si>
    <t>PIPE DWV SN4 PVC S/WELD  100MM</t>
  </si>
  <si>
    <t>SW Grade Option</t>
  </si>
  <si>
    <t>300MM * 45D PVC SW JUNCTION</t>
  </si>
  <si>
    <t>300X225X45D PVC SW JUNCTION</t>
  </si>
  <si>
    <t>300MM X 225MM SW Reducer</t>
  </si>
  <si>
    <t>300MM X 45Deg SW Bend</t>
  </si>
  <si>
    <t>225MM * 45D PVC SW JUNCTION</t>
  </si>
  <si>
    <t>225X150X45D PVC SW JUNCTION</t>
  </si>
  <si>
    <t>225MM X 90Deg SW Bend</t>
  </si>
  <si>
    <t>225MM X 45Deg SW Bend</t>
  </si>
  <si>
    <t>150 PVC SW 45Deg Junct</t>
  </si>
  <si>
    <t>150MM X 90Deg SW Bend</t>
  </si>
  <si>
    <t>150MM X 45Deg SW Bend</t>
  </si>
  <si>
    <t>DWV Grade Option</t>
  </si>
  <si>
    <t>600*225 Ribbed Saddle</t>
  </si>
  <si>
    <t>600*45Deg RIBBED Bend</t>
  </si>
  <si>
    <t>600*450 Ribbed Reducer</t>
  </si>
  <si>
    <t>450*375 Ribbed*PVC Reducer</t>
  </si>
  <si>
    <t>450 45 Deg ribbed Bend</t>
  </si>
  <si>
    <t>450 * 225 Ribbed Saddle</t>
  </si>
  <si>
    <t>375mm X 45Deg Junction</t>
  </si>
  <si>
    <t>375X300X45D PVC JUNCTION</t>
  </si>
  <si>
    <t>375X225X45D PVC JUNCTION</t>
  </si>
  <si>
    <t>375MM X 300MM Reducer</t>
  </si>
  <si>
    <t>375MM X 225MM Reducer</t>
  </si>
  <si>
    <t>375MM X 90Deg Bend</t>
  </si>
  <si>
    <t>375MM X 45Deg Bend</t>
  </si>
  <si>
    <t>300MM * 45D PVC JUNCTION</t>
  </si>
  <si>
    <t>300X225X45D PVC JUNCTION</t>
  </si>
  <si>
    <t>300MM X 225MM Reducer</t>
  </si>
  <si>
    <t>300MM X 90Deg Bend</t>
  </si>
  <si>
    <t>300MM X 45Deg Bend</t>
  </si>
  <si>
    <t>300MM X 150 Junction</t>
  </si>
  <si>
    <t>225MM * 45D PVC JUNCTION</t>
  </si>
  <si>
    <t>225X150X45D PVC JUNCTION</t>
  </si>
  <si>
    <t>225MM X 90Deg Bend</t>
  </si>
  <si>
    <t>225MM X 45Deg Bend</t>
  </si>
  <si>
    <t>225MM X 150MM Reducer</t>
  </si>
  <si>
    <t>150MM X 100MM Reducer</t>
  </si>
  <si>
    <t>150 PVC DWV 45Deg Junct</t>
  </si>
  <si>
    <t>150MM X 90Deg Bend</t>
  </si>
  <si>
    <t>150MM X 45Deg Bend</t>
  </si>
  <si>
    <t>150X100X45D PVC JUNCTION</t>
  </si>
  <si>
    <t>100MM X 90Deg Bend</t>
  </si>
  <si>
    <t>100MM X 45Deg Bend</t>
  </si>
  <si>
    <t>150mm PVC 10mm nut hanging clip</t>
  </si>
  <si>
    <t>10mm Zinc Threaded Rod</t>
  </si>
  <si>
    <t>Glue - Blue - 4Ltr</t>
  </si>
  <si>
    <t>Primer - Red - 4Ltr</t>
  </si>
  <si>
    <t>600*600 pits</t>
  </si>
  <si>
    <t>SW_Gully/Pit</t>
  </si>
  <si>
    <t>Concrete/GRC - Class D - 450SQ Pit w/base - 450H</t>
  </si>
  <si>
    <t>Concrete/GRC - Class D - 450SQ Pit w/base - 600H</t>
  </si>
  <si>
    <t>Concrete/GRC - Class D - 450SQ Riser - 300H</t>
  </si>
  <si>
    <t>Concrete/GRC - Class D - 450SQ Riser - 450H</t>
  </si>
  <si>
    <t>Concrete/GRC - Class D - 450SQ Riser - 600H</t>
  </si>
  <si>
    <t>Concrete/GRC - Class D - 600SQ Pit w/base - 450H</t>
  </si>
  <si>
    <t>Concrete/GRC - Class D - 600SQ Pit w/base - 600H</t>
  </si>
  <si>
    <t>Concrete/GRC - Class D - 900SQ Pit w/base - 450H</t>
  </si>
  <si>
    <t>Concrete/GRC - Class D - 900SQ Pit w/base - 600H</t>
  </si>
  <si>
    <t>Concrete/GRC - Class D - 900SQ Pit w/base - 900H</t>
  </si>
  <si>
    <t>Concrete/GRC - Class D - 600SQ Riser - 150H</t>
  </si>
  <si>
    <t>Concrete/GRC - Class D - 600SQ Riser - 300H</t>
  </si>
  <si>
    <t>Concrete/GRC - Class D - 600SQ Riser - 600H</t>
  </si>
  <si>
    <t>Concrete/GRC - Class D - 600SQ Riser - 900H</t>
  </si>
  <si>
    <t>Concrete/GRC - Class D - 900SQ Riser - 150H</t>
  </si>
  <si>
    <t>Concrete/GRC - Class D - 900SQ Riser - 300H</t>
  </si>
  <si>
    <t>Concrete/GRC - Class D - 900SQ Riser - 450H</t>
  </si>
  <si>
    <t>Concrete/GRC - Class D - 900SQ Riser - 600H</t>
  </si>
  <si>
    <t>Concrete/GRC - Class D - 900SQ Riser - 900H</t>
  </si>
  <si>
    <t xml:space="preserve">Concrete Precast Base - Class D - 1050 dia </t>
  </si>
  <si>
    <t>Concrete Precast Chamber/Shaft - Class D - 1200dia @ 150 Height</t>
  </si>
  <si>
    <t xml:space="preserve">Concrete Precast Base - Class D - 1200dia </t>
  </si>
  <si>
    <t>Concrete Precast Chamber/Shaft - Class D - 1200dia @ 200 Height</t>
  </si>
  <si>
    <t>Concrete Precast Chamber/Shaft - Class D - 1200dia @ 300 Height</t>
  </si>
  <si>
    <t>Concrete/GRC - Class D - 1200*900*1200 PIT w/Base - 1200H</t>
  </si>
  <si>
    <t>Concrete/GRC - Class D - 1200*900*  Riser  - 150H</t>
  </si>
  <si>
    <t>Concrete/GRC - Class D - 1200*900*  Riser  - 300H</t>
  </si>
  <si>
    <t>Concrete/GRC - Class D - 1200*1200*1200 PIT w/Base - 1200H</t>
  </si>
  <si>
    <t>Concrete/GRC - Class D - 1200*1200 Riser - 150H</t>
  </si>
  <si>
    <t>Concrete/GRC - Class D - 1200*1200 Riser - 300H</t>
  </si>
  <si>
    <t>Concrete/GRC - Class D - 1200*1200 Riser - 600H</t>
  </si>
  <si>
    <t>Concrete/GRC - Class D - 1200*1200 Riser - 900H</t>
  </si>
  <si>
    <t>Concrete/GRC - Class D - 1500*1500*1500 shaft</t>
  </si>
  <si>
    <t>Concrete/GRC - Class D - 1500*1500 Riser - 300H</t>
  </si>
  <si>
    <t>Concrete/GRC - Class D - 1500*1500 Riser - 600H</t>
  </si>
  <si>
    <t>Concrete/GRC - Class D - 1500*1500 Riser - 900H</t>
  </si>
  <si>
    <t>Concrete/GRC - Class D - 600*900 Pit w/base - 600H</t>
  </si>
  <si>
    <t>Concrete/GRC - Class D - 600*900 Pit w/base - 800-900H</t>
  </si>
  <si>
    <t>Concrete/GRC - Class D - 600*900 Riser - 150H</t>
  </si>
  <si>
    <t>Concrete/GRC - Class D - 600*900 Riser - 300H</t>
  </si>
  <si>
    <t>Concrete/GRC - Class D - 600*900 Riser - 450H</t>
  </si>
  <si>
    <t>Concrete/GRC - Class D - 600*900 Riser - 600H</t>
  </si>
  <si>
    <t>Concrete/GRC - Class D - 600*900 Riser - 900H</t>
  </si>
  <si>
    <t>PRECAST MANHOLE SHAFT 1050 X 300</t>
  </si>
  <si>
    <t>PRECAST MANHOLE SHAFT 1050 X 600</t>
  </si>
  <si>
    <t>PRECAST MANHOLE SHAFT 1050 X 900</t>
  </si>
  <si>
    <t>PRECAST MANHOLE SHAFT 1050 X 1200</t>
  </si>
  <si>
    <t xml:space="preserve">PRECAST MANHOLE SHAFT 1050 X 1200 with600mm extension </t>
  </si>
  <si>
    <t xml:space="preserve">PRECAST MANHOLE SHAFT 1500 SQ </t>
  </si>
  <si>
    <t>PRECAST MANHOLE SHAFT 1500 SQ  150 RISER</t>
  </si>
  <si>
    <t xml:space="preserve">PRECAST MANHOLE SHAFT 1500 DIA </t>
  </si>
  <si>
    <t>1200X300 PRECAST CONCRETE STORMWATER SHAFT</t>
  </si>
  <si>
    <t>1200X600 PRECAST CONCRETE STORMWATER SHAFT</t>
  </si>
  <si>
    <t>1200X900 PRECAST CONCRETE STORMWATER SHAFT</t>
  </si>
  <si>
    <t>600x600 CL D Galv Heelguard Lockabl</t>
  </si>
  <si>
    <t>Class D - Galv - Grate &amp; Frame - 600SQ</t>
  </si>
  <si>
    <t>900x900 CL D 2 Part Galv Heelguard</t>
  </si>
  <si>
    <t>Class D - Galv - Grate &amp; Frame - 900SQ</t>
  </si>
  <si>
    <t>600x900 CL D Galv 2 Part Heelguard</t>
  </si>
  <si>
    <t>Class D - Galv - Grate &amp; Frame - 600*900</t>
  </si>
  <si>
    <t>600x900 Solid lid</t>
  </si>
  <si>
    <t>Class D - Galv - Grate &amp; Frame - 1200*900</t>
  </si>
  <si>
    <t>Class D - Galv - Grate &amp; Frame - 1200*1200</t>
  </si>
  <si>
    <t>Class B - Galv - Grate &amp; Frame - Concrete Surround - 450SQ</t>
  </si>
  <si>
    <t>Class B - Galv - Grate &amp; Frame - Concrete Surround - 600SQ</t>
  </si>
  <si>
    <t>Class B - Galv - Grate &amp; Frame - Concrete Surround - 900SQ</t>
  </si>
  <si>
    <t>Class B - Galv - Grate &amp; Frame - Concrete Surround - 600*900</t>
  </si>
  <si>
    <t>Class D - Galv - Grate &amp; Frame - Concrete Surround - 450SQ</t>
  </si>
  <si>
    <t>Class D - Galv - Grate &amp; Frame - Concrete Surround - 600SQ</t>
  </si>
  <si>
    <t>Class D - Galv - Grate &amp; Frame - Concrete Surround - 900SQ</t>
  </si>
  <si>
    <t>Class D - Galv - Grate &amp; Frame - Concrete Surround - 600*900</t>
  </si>
  <si>
    <t>2.4mt (1.8M C/O) kerb entry- Creek unit centre c/w 900x600 Class D Gully grate Creek</t>
  </si>
  <si>
    <t>Pit Base Unit 900 x 600 x 900mm</t>
  </si>
  <si>
    <t>ASPRO S/W 1050 X 1350 X 175 600 - 600 ROUND HOLE</t>
  </si>
  <si>
    <t>ASPRO S/W 1050 X 1350 X 175 600 - 900X900  ROUND HOLE</t>
  </si>
  <si>
    <t>ASPRO S/W 1050 X 1350 X 175 600 - 600*900  HOLE</t>
  </si>
  <si>
    <t>ASPRO S/W 1200 X 1650 X 175 9 X 9 - 600 ROUND HOLE</t>
  </si>
  <si>
    <t>ASPRO S/W 1200 X 1650 X 175 9 X 9 - 900 X 900 HOLE</t>
  </si>
  <si>
    <t>ASPRO S/W 1200 X 1650 X 175 9 X 9 - 600*900 HOLE</t>
  </si>
  <si>
    <t>ASPRO S/W 2100 X 2600 X  250        - 600*900  HOLE</t>
  </si>
  <si>
    <t>HEADWALL TO SUIT 450MM RCP</t>
  </si>
  <si>
    <t xml:space="preserve">HEADWALL TO SUIT 2 X 375MM RCP </t>
  </si>
  <si>
    <t>STORMWATER C&amp;F 600 dia CLASS D - Bolt down (2 bolts)</t>
  </si>
  <si>
    <t>600x900 CL D Gal Lockable Sump Grate &amp; Frame</t>
  </si>
  <si>
    <t>900x900 CL D 2 Part Gal Lockable Sump Grate &amp; Frame</t>
  </si>
  <si>
    <t>Headwall T1 Multi-Knockout 225-450</t>
  </si>
  <si>
    <t>Headwall to Suit 675mm SRC Pipe</t>
  </si>
  <si>
    <t>MH Step Irons (230mm Wide)</t>
  </si>
  <si>
    <t xml:space="preserve">Kerb Adapter - Galv - SQ/Flat/Upright - </t>
  </si>
  <si>
    <t xml:space="preserve">Kerb Adapter - Galv - Layback/Sloped - </t>
  </si>
  <si>
    <t>PVC Round x Rectangle adapt - 90mm - 100*50</t>
  </si>
  <si>
    <t>PVC Round x Rectangle adapt - 90mm - 100*75</t>
  </si>
  <si>
    <t>Flexible Coupler - (flexseal/Fernco) - 225-250mm</t>
  </si>
  <si>
    <t>Flexible Coupler - (flexseal/Fernco) - 750-200mm</t>
  </si>
  <si>
    <t>Flexible Coupler - (flexseal/Fernco) - 140-165mm</t>
  </si>
  <si>
    <t>Flexible Coupler - (flexseal/Fernco) - 125-150mm</t>
  </si>
  <si>
    <t>Flexible Coupler - (flexseal/Fernco) - 110-115mm</t>
  </si>
  <si>
    <t>MEGA Poxy (2 Part) - 4L</t>
  </si>
  <si>
    <t>MEGA Poxy (2 Part) - 20L</t>
  </si>
  <si>
    <t xml:space="preserve">Manhole Sealant Mastic 3.6m </t>
  </si>
  <si>
    <t>Concrete Bag - Rapid Set</t>
  </si>
  <si>
    <t>Concrete Bag - Regular</t>
  </si>
  <si>
    <t>Mortar Mix Bag - Regular</t>
  </si>
  <si>
    <t>General Purpose Cement Bag</t>
  </si>
  <si>
    <t>Sand &amp; Cement Bag</t>
  </si>
  <si>
    <t>Bitumen Cold Mix Bag</t>
  </si>
  <si>
    <t>Detectable STORMWATER Marker Tape - 250m</t>
  </si>
  <si>
    <t>Form Ply &amp; Sand Bags</t>
  </si>
  <si>
    <t>Total Taken Forward</t>
  </si>
  <si>
    <t>TOTAL MATERIAL COST TAKEN FORWARD</t>
  </si>
  <si>
    <t>Drainage Use</t>
  </si>
  <si>
    <t>Fire/WAT Use</t>
  </si>
  <si>
    <t>SPK Use</t>
  </si>
  <si>
    <t>Concrete_32/20/100</t>
  </si>
  <si>
    <t>Total Qty</t>
  </si>
  <si>
    <t>600 Grte/frm Height</t>
  </si>
  <si>
    <t>600*900 Grte/frm Height</t>
  </si>
  <si>
    <t>1.2*1.2 Grte/frm Height</t>
  </si>
  <si>
    <t>1200*9*6 ASPRO Height</t>
  </si>
  <si>
    <t>600 infl Height</t>
  </si>
  <si>
    <t>600 V Grate Height</t>
  </si>
  <si>
    <r>
      <t xml:space="preserve">600 Pit </t>
    </r>
    <r>
      <rPr>
        <b/>
        <sz val="10"/>
        <rFont val="Arial"/>
        <family val="2"/>
      </rPr>
      <t>Base</t>
    </r>
    <r>
      <rPr>
        <sz val="10"/>
        <rFont val="Arial"/>
        <family val="2"/>
      </rPr>
      <t xml:space="preserve"> Height</t>
    </r>
  </si>
  <si>
    <t>600 Pit Riser Height</t>
  </si>
  <si>
    <r>
      <t xml:space="preserve">900*900 Pit </t>
    </r>
    <r>
      <rPr>
        <b/>
        <sz val="10"/>
        <rFont val="Arial"/>
        <family val="2"/>
      </rPr>
      <t>Base</t>
    </r>
    <r>
      <rPr>
        <sz val="10"/>
        <rFont val="Arial"/>
        <family val="2"/>
      </rPr>
      <t xml:space="preserve"> Height</t>
    </r>
  </si>
  <si>
    <t>600*900 Pit Riser Height</t>
  </si>
  <si>
    <r>
      <t xml:space="preserve">1050 Chmbr </t>
    </r>
    <r>
      <rPr>
        <b/>
        <sz val="10"/>
        <rFont val="Arial"/>
        <family val="2"/>
      </rPr>
      <t>Base</t>
    </r>
    <r>
      <rPr>
        <sz val="10"/>
        <rFont val="Arial"/>
        <family val="2"/>
      </rPr>
      <t xml:space="preserve"> Height</t>
    </r>
  </si>
  <si>
    <t>1050 Chmbr Riser Height</t>
  </si>
  <si>
    <t>1200*1200*200</t>
  </si>
  <si>
    <t>0.2for1.2</t>
  </si>
  <si>
    <t>Manual calc</t>
  </si>
  <si>
    <t xml:space="preserve">V3 </t>
  </si>
  <si>
    <t>Pit Count</t>
  </si>
  <si>
    <t>PIT No.</t>
  </si>
  <si>
    <t>Grate RL</t>
  </si>
  <si>
    <t>Type</t>
  </si>
  <si>
    <t>Grate Size</t>
  </si>
  <si>
    <t>Chamber</t>
  </si>
  <si>
    <t>Outlet IL</t>
  </si>
  <si>
    <t>Depth</t>
  </si>
  <si>
    <t>Riser Height Req. w/ base</t>
  </si>
  <si>
    <t>0.15 Riser</t>
  </si>
  <si>
    <t>0.3 Riser</t>
  </si>
  <si>
    <t>0.6 Riser</t>
  </si>
  <si>
    <t>0.9 Riser</t>
  </si>
  <si>
    <t>Pit riser difference</t>
  </si>
  <si>
    <t>Riser Height Req. w/base</t>
  </si>
  <si>
    <t>600X600</t>
  </si>
  <si>
    <t>46</t>
  </si>
  <si>
    <t>600x900</t>
  </si>
  <si>
    <t>47</t>
  </si>
  <si>
    <t>900X900</t>
  </si>
  <si>
    <t>900x1200</t>
  </si>
  <si>
    <t>600x600</t>
  </si>
  <si>
    <t>provide filter basket</t>
  </si>
  <si>
    <t>Pit Bases</t>
  </si>
  <si>
    <t>Pits</t>
  </si>
  <si>
    <t>900High</t>
  </si>
  <si>
    <t>900*600</t>
  </si>
  <si>
    <t>600*600</t>
  </si>
  <si>
    <t>600High</t>
  </si>
  <si>
    <t>900*900</t>
  </si>
  <si>
    <t>1200High</t>
  </si>
  <si>
    <t xml:space="preserve">1200 High </t>
  </si>
  <si>
    <t>1st Order</t>
  </si>
  <si>
    <t xml:space="preserve">900 high </t>
  </si>
  <si>
    <t xml:space="preserve">600 High </t>
  </si>
  <si>
    <t xml:space="preserve">300 High </t>
  </si>
  <si>
    <t>0.2R 1.2*1.2</t>
  </si>
  <si>
    <t xml:space="preserve">TOTAL </t>
  </si>
  <si>
    <t>1050Dia</t>
  </si>
  <si>
    <t>1200Dia</t>
  </si>
  <si>
    <t>1200 Pit</t>
  </si>
  <si>
    <t>In lieu of 1050&amp;1200Ch</t>
  </si>
  <si>
    <t>Grates/Covers</t>
  </si>
  <si>
    <t xml:space="preserve">heel safe grate cover </t>
  </si>
  <si>
    <t>CL D, Hinged, Galv, Bolt Down.</t>
  </si>
  <si>
    <t xml:space="preserve">Grate &amp;Frame </t>
  </si>
  <si>
    <t xml:space="preserve">CL D, Cast Iron </t>
  </si>
  <si>
    <t xml:space="preserve"> heel safe grate cover </t>
  </si>
  <si>
    <t>1050*6*9</t>
  </si>
  <si>
    <t>Aspro</t>
  </si>
  <si>
    <t>150Thick, 900*600 Opening</t>
  </si>
  <si>
    <t>Grate &amp; Frame</t>
  </si>
  <si>
    <t>1200*1200</t>
  </si>
  <si>
    <t>2.4m lintel</t>
  </si>
  <si>
    <t>3.6m SAG centre inlet, Kerb in line</t>
  </si>
  <si>
    <t>Head Wall</t>
  </si>
  <si>
    <t>Precast - 450RCP Inlet</t>
  </si>
  <si>
    <t>1st PIT Order</t>
  </si>
  <si>
    <t>0High</t>
  </si>
  <si>
    <t>1St GRATE Order</t>
  </si>
  <si>
    <t>CL D, Galv, Bolt Down.</t>
  </si>
  <si>
    <t>CL B, Galv, Bolt Down.</t>
  </si>
  <si>
    <t>Cover &amp; Frm - INFILL</t>
  </si>
  <si>
    <t>V-Grate w/conc surround</t>
  </si>
  <si>
    <t>CL B, Galv</t>
  </si>
  <si>
    <t>CL D, Galv, Bolt Down - HEEL GUARD</t>
  </si>
  <si>
    <t>2nd GRATE Order</t>
  </si>
  <si>
    <t xml:space="preserve">PIT/MANHOLE TAKEOFF </t>
  </si>
  <si>
    <t>DESCRIPTION</t>
  </si>
  <si>
    <t>Design Depth</t>
  </si>
  <si>
    <t>Grate/Finish</t>
  </si>
  <si>
    <t>Total Chamber Height</t>
  </si>
  <si>
    <t>Chamber Concrete volume/m3</t>
  </si>
  <si>
    <t>Base Concrete volume/m3</t>
  </si>
  <si>
    <t>Total Concrete volume/m3</t>
  </si>
  <si>
    <t>Dia</t>
  </si>
  <si>
    <t>Area of circle</t>
  </si>
  <si>
    <t>MPA</t>
  </si>
  <si>
    <t>$/m3</t>
  </si>
  <si>
    <t>BASED ON:</t>
  </si>
  <si>
    <t>6 - Day Week, 10Hr Day</t>
  </si>
  <si>
    <t>2023 Staff Cost increase</t>
  </si>
  <si>
    <t>Project total cost</t>
  </si>
  <si>
    <t>Difference</t>
  </si>
  <si>
    <t>Working Days/Month</t>
  </si>
  <si>
    <t>Current</t>
  </si>
  <si>
    <t>No-Work Days/Month</t>
  </si>
  <si>
    <t>Avrg Hours / Day</t>
  </si>
  <si>
    <t>Avrg Days / Week</t>
  </si>
  <si>
    <t>Avrg Hours / Month</t>
  </si>
  <si>
    <t>STAFF</t>
  </si>
  <si>
    <r>
      <t xml:space="preserve">Hourly Rate + </t>
    </r>
    <r>
      <rPr>
        <sz val="8"/>
        <color rgb="FFFF0000"/>
        <rFont val="Arial"/>
        <family val="2"/>
      </rPr>
      <t>2.5%</t>
    </r>
  </si>
  <si>
    <r>
      <t xml:space="preserve">Hourly Rate + </t>
    </r>
    <r>
      <rPr>
        <sz val="8"/>
        <color rgb="FFFF0000"/>
        <rFont val="Arial"/>
        <family val="2"/>
      </rPr>
      <t>5%</t>
    </r>
  </si>
  <si>
    <r>
      <t xml:space="preserve">Hourly Rate + </t>
    </r>
    <r>
      <rPr>
        <sz val="8"/>
        <color rgb="FFFF0000"/>
        <rFont val="Arial"/>
        <family val="2"/>
      </rPr>
      <t>7.5%</t>
    </r>
  </si>
  <si>
    <r>
      <t xml:space="preserve">Hourly Rate + </t>
    </r>
    <r>
      <rPr>
        <sz val="8"/>
        <color rgb="FFFF0000"/>
        <rFont val="Arial"/>
        <family val="2"/>
      </rPr>
      <t>10%</t>
    </r>
  </si>
  <si>
    <t>WEEK</t>
  </si>
  <si>
    <t>MONTH</t>
  </si>
  <si>
    <t>QTY Staff in Crew</t>
  </si>
  <si>
    <t>Crew #3</t>
  </si>
  <si>
    <t>TCS PROJECT USE</t>
  </si>
  <si>
    <t>CAT Rental (ROK)</t>
  </si>
  <si>
    <t>COATES (ROK)</t>
  </si>
  <si>
    <t>ONSITE</t>
  </si>
  <si>
    <t>WEEKLY (5 day)</t>
  </si>
  <si>
    <t>COMMENTS</t>
  </si>
  <si>
    <t>DAILY</t>
  </si>
  <si>
    <t>Skid Steer Loader_Tracked</t>
  </si>
  <si>
    <t>4.5-6Ton_Excavator</t>
  </si>
  <si>
    <t>10-12Ton_Excavator</t>
  </si>
  <si>
    <t>13T</t>
  </si>
  <si>
    <t>12T</t>
  </si>
  <si>
    <t>17T</t>
  </si>
  <si>
    <t>14T</t>
  </si>
  <si>
    <t>25T</t>
  </si>
  <si>
    <t>20T</t>
  </si>
  <si>
    <t>Ripper_10-12T</t>
  </si>
  <si>
    <t>Ripper_14-16T</t>
  </si>
  <si>
    <t>Ripper_20-24T</t>
  </si>
  <si>
    <t>Breaker_10-12T</t>
  </si>
  <si>
    <t>Auger Drive_10-12T</t>
  </si>
  <si>
    <t>300Dia Auger Drill</t>
  </si>
  <si>
    <t>2-4T_Tipper Truck</t>
  </si>
  <si>
    <t>2-3T</t>
  </si>
  <si>
    <t>6T</t>
  </si>
  <si>
    <t>9T</t>
  </si>
  <si>
    <t>Upright Rammer_Wacker</t>
  </si>
  <si>
    <t>Rller - padfot?</t>
  </si>
  <si>
    <t>&lt;26Ft_Scissor Lift - Elec</t>
  </si>
  <si>
    <t>&lt;34Ft_Boom Lift - Diesel</t>
  </si>
  <si>
    <t>&lt;34Ft_Boom Lift - Elec</t>
  </si>
  <si>
    <t>Porta Loo_No Tank</t>
  </si>
  <si>
    <t>3.6*3m Demantable Office</t>
  </si>
  <si>
    <t>42D Min.</t>
  </si>
  <si>
    <t>20Ft Shipping Container</t>
  </si>
  <si>
    <t>Quick Cut Demo Saw</t>
  </si>
  <si>
    <t>Sngl Ph_6KVA Genset</t>
  </si>
  <si>
    <t>Diesel Air Compressor_Trailer</t>
  </si>
  <si>
    <t>Air Breaker - Heavy</t>
  </si>
  <si>
    <t>Air Hose &lt;10m</t>
  </si>
  <si>
    <t>Elec Breaker/Jachammer</t>
  </si>
  <si>
    <t>Flexdrive Motor Unit</t>
  </si>
  <si>
    <t>Flexdrive_Pump Shaft</t>
  </si>
  <si>
    <t>Temporary Power Board</t>
  </si>
  <si>
    <t>Vac Truck / HR</t>
  </si>
  <si>
    <t>TRANSPORT_Ex BRIS - Return</t>
  </si>
  <si>
    <t>TRANSPORT_Ex ROK - Return</t>
  </si>
  <si>
    <t>22T</t>
  </si>
  <si>
    <t>Flushing, protections</t>
  </si>
  <si>
    <t>TCS Quote #: 2372</t>
  </si>
  <si>
    <t>Maximesh to one pit</t>
  </si>
  <si>
    <t>Pit customoziation</t>
  </si>
  <si>
    <t>Spoil removal</t>
  </si>
  <si>
    <t>1500 DIA</t>
  </si>
  <si>
    <t>1200 DIA</t>
  </si>
  <si>
    <t>1200 aspro 9x9</t>
  </si>
  <si>
    <t>150Thick, 900*900 Opening</t>
  </si>
  <si>
    <t xml:space="preserve">1500 aspro 9x9 </t>
  </si>
  <si>
    <t xml:space="preserve">atlan filter 900x900 </t>
  </si>
  <si>
    <t>PIPE Ribbed RRJ 1050MM</t>
  </si>
  <si>
    <t xml:space="preserve">concrete head wall to suit 1050 pipe </t>
  </si>
  <si>
    <t xml:space="preserve">Jointing Lubricant 1 liter </t>
  </si>
  <si>
    <t xml:space="preserve">Freight HDPE PIPE </t>
  </si>
  <si>
    <t>1200X1200 PRECAST CONCRETE STORMWATER SHAFT</t>
  </si>
  <si>
    <t>ASPRO S/W 1500 X 1950 X 175 9 X 9 - 900*900 HOLE</t>
  </si>
  <si>
    <t>CONCRETE HEADWALL TO SUIT 1050mm Pipe (STD DRG BSD -8101)</t>
  </si>
  <si>
    <t>300MM X 90Deg SW Bend (stud)</t>
  </si>
  <si>
    <t>Bidim Geofabric Roll = 2m x 50m+&gt;?   (allow 1 for agg pipe )</t>
  </si>
  <si>
    <t xml:space="preserve">100mm socked ag pipe     </t>
  </si>
  <si>
    <t xml:space="preserve">install estimate </t>
  </si>
  <si>
    <t>Humesceptor Crane Hire</t>
  </si>
  <si>
    <t xml:space="preserve">Supply of </t>
  </si>
  <si>
    <t xml:space="preserve"> Rockhampton Sport Precinct</t>
  </si>
  <si>
    <t>554-700 YAAMBA ROAD, NORMAN GARDEN</t>
  </si>
  <si>
    <t>PIPE 600MM - RCP_C3</t>
  </si>
  <si>
    <t>100X45D PVC JUNCTION</t>
  </si>
  <si>
    <t>225X100X45D PVC SW JUNCTION</t>
  </si>
  <si>
    <t xml:space="preserve">Material for INSPECTION OPENING WITH GALVANISED COVER FLUSH WITH SURFACE </t>
  </si>
  <si>
    <t xml:space="preserve"> DRAINAGE CULVERT INLET/OUTLE (RCBC)</t>
  </si>
  <si>
    <t xml:space="preserve">RCBC 900X450 </t>
  </si>
  <si>
    <t>RCBC 1200X600</t>
  </si>
  <si>
    <t>RCBC 1500X600</t>
  </si>
  <si>
    <t xml:space="preserve">RCBC 2700x1200 </t>
  </si>
  <si>
    <t>HEADWALL TO SUIT 375MM RCP</t>
  </si>
  <si>
    <t xml:space="preserve">Headwall to suit 225 PVC Pipe </t>
  </si>
  <si>
    <t xml:space="preserve">Headwall to suit 300mm HDPE </t>
  </si>
  <si>
    <t xml:space="preserve">Headwall to suit 150 PVC Pipe </t>
  </si>
  <si>
    <t>Headwall to suit RCBC 600X300</t>
  </si>
  <si>
    <t>Headwall to suit RCBC 750X300</t>
  </si>
  <si>
    <t>Headwall to suit RCBC 900X450</t>
  </si>
  <si>
    <t>Headwall to suit RCBC 1200X600</t>
  </si>
  <si>
    <t>Headwall to suit RCBC 1500X600</t>
  </si>
  <si>
    <t>Headwall to suit RCBC 2700X1200</t>
  </si>
  <si>
    <t xml:space="preserve"> INLET (ON-GRADE, 2.4 m RGU)</t>
  </si>
  <si>
    <t>INLET (SAG, 2.4 m RGU)</t>
  </si>
  <si>
    <t>PIPE TO PIPE CONNECTION ( 225 HDPE , 150 PVC )</t>
  </si>
  <si>
    <t>PIPE TO PIPE CONNECTION ( 300 HDPE , 150 PVC )</t>
  </si>
  <si>
    <t>PIPE TO PIPE CONNECTION ( 375 HDPE , 150 PVC )</t>
  </si>
  <si>
    <t>PIPE TO PIPE CONNECTION ( 375 RPC , 100 PVC )</t>
  </si>
  <si>
    <t>PIPE TO CULVERT CONNECTION ( 375MM RCP /RCBC 1500 X600)</t>
  </si>
  <si>
    <t>PIPE TO PIPE CONNECTION ( 450 HDPE , 150 PVC )</t>
  </si>
  <si>
    <t>PIPE TO PIPE CONNECTION ( 600 HDPE , 150 PVC )</t>
  </si>
  <si>
    <t>HAURATON TRASH BOX 100</t>
  </si>
  <si>
    <t>HAURATON TRASH BOX 200</t>
  </si>
  <si>
    <t xml:space="preserve">fuel levy estimate </t>
  </si>
  <si>
    <t>GT1. RECYFIX PRO 200 CLASS B 125, TYPE 010 WITH FIBRETEC SLOTTED GRATING</t>
  </si>
  <si>
    <t>GT2 RECYFIX PRO 200 CLASS B 125, TYPE 010 WITH FIBRETEC SLOTTED GRATING</t>
  </si>
  <si>
    <t>GT3  RECYFIX PRO 200 CLASS B 125, TYPE 010 WITH FIBRETEC SLOTTED GRATING</t>
  </si>
  <si>
    <t>GT4 RECYFIX PRO 200 CLASS B 125, TYPE 010 WITH FIBRETEC SLOTTED GRATING</t>
  </si>
  <si>
    <t>GT5  RECYFIX PRO 100 CLASS B 125, TYPE 010 WITH STAINLESS STEEL ANTI-SLIP HEELGUARD GRATING</t>
  </si>
  <si>
    <t>GT6 RECYFIX PRO 200 CLASS D 400, TYPE 010 WITH HEELGUARD G-TEC DUCTILE IRON GRATING</t>
  </si>
  <si>
    <t>GT7 RECYFIX PRO 100 CLASS B 125, TYPE 010 WITH STAINLESS STEEL ANTI-SLIP HEELGUARD GRATING</t>
  </si>
  <si>
    <t>GT8  RECYFIX PRO 100 CLASS B 125, TYPE 010 WITH STAINLESS STEEL ANTI-SLIP HEELGUARD GRATING</t>
  </si>
  <si>
    <t>GT9  RECYFIX PRO 100 CLASS B 125, TYPE 010 WITH STAINLESS STEEL ANTI-SLIP HEELGUARD GRATING</t>
  </si>
  <si>
    <t xml:space="preserve"> Grated Trench Drain and Trash box </t>
  </si>
  <si>
    <t>ROCK :DIA 100 , 180 thickness (measure area  56m2)</t>
  </si>
  <si>
    <t xml:space="preserve">erosion control matting </t>
  </si>
  <si>
    <t xml:space="preserve"> ROCK AND EROSION CONTROL MATTING for kerb chute</t>
  </si>
  <si>
    <t>D50=200mm Depth 360 mm (measure area  71m2)</t>
  </si>
  <si>
    <t>d50=100, 180MM THICKNESS (measure area  180m2)</t>
  </si>
  <si>
    <t>D50=500mm Depth =900mm (measure area  264m2)</t>
  </si>
  <si>
    <t xml:space="preserve">Pipe to Pipe /Culvert Connection ) price guess using Google AI </t>
  </si>
  <si>
    <t>RCBC 600X300 ((2.4 mtrs per length )</t>
  </si>
  <si>
    <t>RCBO 750 X300 ((2.4 mtrs per length )</t>
  </si>
  <si>
    <t xml:space="preserve">all allow for headwall 375 from humes </t>
  </si>
  <si>
    <t xml:space="preserve">Frieght for headwall culvert rcbc , rcp humes </t>
  </si>
  <si>
    <t xml:space="preserve">end cap fpr 100mm trench grate </t>
  </si>
  <si>
    <t xml:space="preserve">End cap for 200 mm grate trench </t>
  </si>
  <si>
    <t xml:space="preserve"> ROCK AND EROSION CONTROL MATTING for kerb chute </t>
  </si>
  <si>
    <t xml:space="preserve">Freight for rock of headwall </t>
  </si>
  <si>
    <t>freight for rock of kerb chute</t>
  </si>
  <si>
    <t xml:space="preserve">estimate transprot for grate trench and trash box </t>
  </si>
  <si>
    <t xml:space="preserve">WSUD FILTRATION SYSTEM </t>
  </si>
  <si>
    <t xml:space="preserve">frieight for remaiing material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</si>
</sst>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;[Red]\-&quot;$&quot;#,##0.00"/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&quot;$&quot;#,##0.00"/>
    <numFmt numFmtId="166" formatCode="&quot;$&quot;#,##0"/>
    <numFmt numFmtId="167" formatCode="_-&quot;$&quot;* #,##0_-;\-&quot;$&quot;* #,##0_-;_-&quot;$&quot;* &quot;-&quot;??_-;_-@_-"/>
    <numFmt numFmtId="168" formatCode="0.0%"/>
    <numFmt numFmtId="169" formatCode="0.000"/>
  </numFmts>
  <fonts count="7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theme="11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b/>
      <u val="singleAccounting"/>
      <sz val="8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b/>
      <sz val="12"/>
      <name val="Arial"/>
      <family val="2"/>
    </font>
    <font>
      <b/>
      <u/>
      <sz val="11"/>
      <color theme="1"/>
      <name val="Calibri"/>
      <family val="2"/>
      <scheme val="minor"/>
    </font>
    <font>
      <b/>
      <sz val="10"/>
      <name val="Century Gothic"/>
      <family val="2"/>
    </font>
    <font>
      <b/>
      <sz val="12"/>
      <color theme="5"/>
      <name val="Century Gothic"/>
      <family val="2"/>
    </font>
    <font>
      <b/>
      <sz val="10"/>
      <name val="Calibri Light"/>
      <family val="2"/>
      <scheme val="major"/>
    </font>
    <font>
      <sz val="9"/>
      <color theme="1"/>
      <name val="Calibri"/>
      <family val="2"/>
      <scheme val="minor"/>
    </font>
    <font>
      <b/>
      <sz val="9"/>
      <name val="Century Gothic"/>
      <family val="2"/>
    </font>
    <font>
      <sz val="9"/>
      <color theme="5"/>
      <name val="Calibri"/>
      <family val="2"/>
      <scheme val="minor"/>
    </font>
    <font>
      <b/>
      <sz val="9"/>
      <color theme="5"/>
      <name val="Century Gothic"/>
      <family val="2"/>
    </font>
    <font>
      <sz val="9"/>
      <name val="Century Gothic"/>
      <family val="2"/>
    </font>
    <font>
      <sz val="9"/>
      <color theme="5"/>
      <name val="Century Gothic"/>
      <family val="2"/>
    </font>
    <font>
      <sz val="8"/>
      <color rgb="FFFF000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8"/>
      <color theme="5"/>
      <name val="Arial"/>
      <family val="2"/>
    </font>
    <font>
      <b/>
      <sz val="8"/>
      <color rgb="FFFF0000"/>
      <name val="Arial"/>
      <family val="2"/>
    </font>
    <font>
      <b/>
      <u/>
      <sz val="8"/>
      <color rgb="FFFF0000"/>
      <name val="Arial"/>
      <family val="2"/>
    </font>
    <font>
      <b/>
      <sz val="14"/>
      <name val="Arial"/>
      <family val="2"/>
    </font>
    <font>
      <i/>
      <sz val="8"/>
      <color theme="5"/>
      <name val="Arial"/>
      <family val="2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0"/>
      <color theme="0"/>
      <name val="Century Gothic"/>
      <family val="2"/>
    </font>
    <font>
      <b/>
      <sz val="16"/>
      <name val="Century Gothic"/>
      <family val="2"/>
    </font>
    <font>
      <b/>
      <sz val="10"/>
      <color theme="1"/>
      <name val="Century Gothic"/>
      <family val="2"/>
    </font>
    <font>
      <b/>
      <sz val="10"/>
      <color theme="1"/>
      <name val="Calibri Light"/>
      <family val="2"/>
      <scheme val="major"/>
    </font>
    <font>
      <b/>
      <u/>
      <sz val="9"/>
      <color theme="1"/>
      <name val="Century Gothic"/>
      <family val="2"/>
    </font>
    <font>
      <b/>
      <sz val="9"/>
      <color theme="3" tint="-0.499984740745262"/>
      <name val="Century Gothic"/>
      <family val="2"/>
    </font>
    <font>
      <b/>
      <sz val="12"/>
      <color theme="3" tint="-0.499984740745262"/>
      <name val="Century Gothic"/>
      <family val="2"/>
    </font>
    <font>
      <sz val="11"/>
      <color rgb="FFFF0000"/>
      <name val="Calibri"/>
      <family val="2"/>
      <scheme val="minor"/>
    </font>
    <font>
      <b/>
      <sz val="14"/>
      <color theme="0"/>
      <name val="Arial"/>
      <family val="2"/>
    </font>
    <font>
      <b/>
      <i/>
      <sz val="10"/>
      <name val="Arial"/>
      <family val="2"/>
    </font>
    <font>
      <sz val="10"/>
      <color rgb="FFFF0000"/>
      <name val="Arial"/>
      <family val="2"/>
    </font>
    <font>
      <b/>
      <u/>
      <sz val="10"/>
      <name val="Arial"/>
      <family val="2"/>
    </font>
    <font>
      <strike/>
      <sz val="10"/>
      <name val="Arial"/>
      <family val="2"/>
    </font>
    <font>
      <b/>
      <strike/>
      <sz val="10"/>
      <name val="Arial"/>
      <family val="2"/>
    </font>
    <font>
      <b/>
      <strike/>
      <u/>
      <sz val="10"/>
      <name val="Arial"/>
      <family val="2"/>
    </font>
    <font>
      <b/>
      <strike/>
      <u/>
      <sz val="11"/>
      <color theme="1"/>
      <name val="Calibri"/>
      <family val="2"/>
      <scheme val="minor"/>
    </font>
    <font>
      <i/>
      <strike/>
      <sz val="10"/>
      <color theme="5"/>
      <name val="Arial"/>
      <family val="2"/>
    </font>
    <font>
      <sz val="8"/>
      <name val="Arial"/>
    </font>
  </fonts>
  <fills count="2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4" tint="0.39997558519241921"/>
      </left>
      <right/>
      <top style="medium">
        <color theme="4" tint="0.39997558519241921"/>
      </top>
      <bottom style="medium">
        <color theme="4" tint="0.39997558519241921"/>
      </bottom>
      <diagonal/>
    </border>
    <border>
      <left style="medium">
        <color theme="4" tint="0.39997558519241921"/>
      </left>
      <right style="thin">
        <color theme="4" tint="0.39997558519241921"/>
      </right>
      <top style="medium">
        <color theme="4" tint="0.39997558519241921"/>
      </top>
      <bottom style="double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medium">
        <color theme="4" tint="0.39997558519241921"/>
      </top>
      <bottom style="double">
        <color theme="4" tint="0.39997558519241921"/>
      </bottom>
      <diagonal/>
    </border>
    <border>
      <left style="thin">
        <color theme="4" tint="0.39997558519241921"/>
      </left>
      <right style="medium">
        <color theme="4" tint="0.39997558519241921"/>
      </right>
      <top style="medium">
        <color theme="4" tint="0.39997558519241921"/>
      </top>
      <bottom style="double">
        <color theme="4" tint="0.39997558519241921"/>
      </bottom>
      <diagonal/>
    </border>
    <border>
      <left/>
      <right/>
      <top style="medium">
        <color theme="4" tint="0.39997558519241921"/>
      </top>
      <bottom style="double">
        <color theme="4" tint="0.39997558519241921"/>
      </bottom>
      <diagonal/>
    </border>
    <border>
      <left style="medium">
        <color theme="4" tint="0.39997558519241921"/>
      </left>
      <right style="medium">
        <color theme="4" tint="0.39997558519241921"/>
      </right>
      <top style="medium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theme="4" tint="0.39997558519241921"/>
      </right>
      <top style="medium">
        <color theme="4" tint="0.39997558519241921"/>
      </top>
      <bottom style="thin">
        <color theme="4" tint="0.39997558519241921"/>
      </bottom>
      <diagonal/>
    </border>
    <border>
      <left style="medium">
        <color theme="4" tint="0.39997558519241921"/>
      </left>
      <right/>
      <top style="medium">
        <color theme="4" tint="0.39997558519241921"/>
      </top>
      <bottom/>
      <diagonal/>
    </border>
    <border>
      <left style="medium">
        <color theme="4" tint="0.39997558519241921"/>
      </left>
      <right style="thin">
        <color theme="4" tint="0.39997558519241921"/>
      </right>
      <top style="medium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medium">
        <color theme="4" tint="0.39997558519241921"/>
      </top>
      <bottom/>
      <diagonal/>
    </border>
    <border>
      <left style="thin">
        <color theme="4" tint="0.39997558519241921"/>
      </left>
      <right style="medium">
        <color theme="4" tint="0.39997558519241921"/>
      </right>
      <top style="medium">
        <color theme="4" tint="0.39997558519241921"/>
      </top>
      <bottom/>
      <diagonal/>
    </border>
    <border>
      <left/>
      <right/>
      <top style="medium">
        <color theme="4" tint="0.39997558519241921"/>
      </top>
      <bottom/>
      <diagonal/>
    </border>
    <border>
      <left style="medium">
        <color theme="4" tint="0.39997558519241921"/>
      </left>
      <right style="medium">
        <color theme="4" tint="0.39997558519241921"/>
      </right>
      <top/>
      <bottom style="thin">
        <color theme="4" tint="0.3999755851924192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35">
    <xf numFmtId="0" fontId="0" fillId="0" borderId="0"/>
    <xf numFmtId="44" fontId="29" fillId="0" borderId="0" applyFont="0" applyFill="0" applyBorder="0" applyAlignment="0" applyProtection="0"/>
    <xf numFmtId="0" fontId="29" fillId="0" borderId="0"/>
    <xf numFmtId="0" fontId="31" fillId="0" borderId="0" applyNumberFormat="0" applyFill="0" applyBorder="0" applyAlignment="0" applyProtection="0"/>
    <xf numFmtId="9" fontId="24" fillId="0" borderId="0" applyFont="0" applyFill="0" applyBorder="0" applyAlignment="0" applyProtection="0"/>
    <xf numFmtId="0" fontId="29" fillId="0" borderId="0"/>
    <xf numFmtId="9" fontId="23" fillId="0" borderId="0" applyFont="0" applyFill="0" applyBorder="0" applyAlignment="0" applyProtection="0"/>
    <xf numFmtId="44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2" fillId="0" borderId="0"/>
    <xf numFmtId="0" fontId="22" fillId="0" borderId="0"/>
    <xf numFmtId="164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9" fontId="19" fillId="0" borderId="0" applyFont="0" applyFill="0" applyBorder="0" applyAlignment="0" applyProtection="0"/>
    <xf numFmtId="0" fontId="18" fillId="0" borderId="0"/>
    <xf numFmtId="44" fontId="18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44" fontId="15" fillId="0" borderId="0" applyFont="0" applyFill="0" applyBorder="0" applyAlignment="0" applyProtection="0"/>
    <xf numFmtId="0" fontId="15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44" fontId="10" fillId="0" borderId="0" applyFont="0" applyFill="0" applyBorder="0" applyAlignment="0" applyProtection="0"/>
    <xf numFmtId="0" fontId="9" fillId="0" borderId="0"/>
  </cellStyleXfs>
  <cellXfs count="495">
    <xf numFmtId="0" fontId="0" fillId="0" borderId="0" xfId="0"/>
    <xf numFmtId="0" fontId="25" fillId="0" borderId="0" xfId="0" applyFont="1"/>
    <xf numFmtId="165" fontId="25" fillId="0" borderId="0" xfId="0" applyNumberFormat="1" applyFont="1"/>
    <xf numFmtId="166" fontId="26" fillId="0" borderId="0" xfId="0" applyNumberFormat="1" applyFont="1" applyAlignment="1">
      <alignment horizontal="right" vertical="top"/>
    </xf>
    <xf numFmtId="166" fontId="25" fillId="0" borderId="0" xfId="0" applyNumberFormat="1" applyFont="1" applyAlignment="1">
      <alignment horizontal="right" vertical="top"/>
    </xf>
    <xf numFmtId="0" fontId="26" fillId="0" borderId="0" xfId="0" applyFont="1" applyAlignment="1">
      <alignment vertical="top"/>
    </xf>
    <xf numFmtId="0" fontId="25" fillId="0" borderId="0" xfId="0" applyFont="1" applyAlignment="1">
      <alignment vertical="top"/>
    </xf>
    <xf numFmtId="0" fontId="25" fillId="0" borderId="0" xfId="0" applyFont="1" applyAlignment="1">
      <alignment horizontal="left" vertical="top"/>
    </xf>
    <xf numFmtId="0" fontId="25" fillId="0" borderId="0" xfId="0" applyFont="1" applyAlignment="1">
      <alignment vertical="top" wrapText="1"/>
    </xf>
    <xf numFmtId="0" fontId="25" fillId="0" borderId="0" xfId="0" applyFont="1" applyAlignment="1">
      <alignment horizontal="center" vertical="top"/>
    </xf>
    <xf numFmtId="0" fontId="27" fillId="0" borderId="0" xfId="0" applyFont="1" applyAlignment="1">
      <alignment horizontal="center"/>
    </xf>
    <xf numFmtId="0" fontId="25" fillId="3" borderId="3" xfId="0" applyFont="1" applyFill="1" applyBorder="1"/>
    <xf numFmtId="0" fontId="25" fillId="3" borderId="4" xfId="0" applyFont="1" applyFill="1" applyBorder="1"/>
    <xf numFmtId="0" fontId="25" fillId="0" borderId="0" xfId="0" applyFont="1" applyAlignment="1">
      <alignment horizontal="right"/>
    </xf>
    <xf numFmtId="44" fontId="25" fillId="3" borderId="4" xfId="1" applyFont="1" applyFill="1" applyBorder="1" applyAlignment="1">
      <alignment horizontal="left"/>
    </xf>
    <xf numFmtId="165" fontId="25" fillId="0" borderId="0" xfId="0" applyNumberFormat="1" applyFont="1" applyAlignment="1">
      <alignment horizontal="center"/>
    </xf>
    <xf numFmtId="0" fontId="28" fillId="0" borderId="4" xfId="0" applyFont="1" applyBorder="1" applyAlignment="1">
      <alignment horizontal="center"/>
    </xf>
    <xf numFmtId="0" fontId="25" fillId="3" borderId="5" xfId="0" applyFont="1" applyFill="1" applyBorder="1"/>
    <xf numFmtId="44" fontId="25" fillId="3" borderId="6" xfId="1" applyFont="1" applyFill="1" applyBorder="1" applyAlignment="1">
      <alignment horizontal="left"/>
    </xf>
    <xf numFmtId="0" fontId="25" fillId="2" borderId="0" xfId="0" applyFont="1" applyFill="1"/>
    <xf numFmtId="165" fontId="25" fillId="2" borderId="0" xfId="0" applyNumberFormat="1" applyFont="1" applyFill="1"/>
    <xf numFmtId="165" fontId="25" fillId="2" borderId="0" xfId="0" applyNumberFormat="1" applyFont="1" applyFill="1" applyAlignment="1">
      <alignment horizontal="center"/>
    </xf>
    <xf numFmtId="44" fontId="25" fillId="0" borderId="4" xfId="1" applyFont="1" applyBorder="1"/>
    <xf numFmtId="44" fontId="25" fillId="0" borderId="0" xfId="1" applyFont="1"/>
    <xf numFmtId="0" fontId="31" fillId="0" borderId="0" xfId="3"/>
    <xf numFmtId="44" fontId="25" fillId="0" borderId="0" xfId="0" applyNumberFormat="1" applyFont="1"/>
    <xf numFmtId="8" fontId="25" fillId="0" borderId="0" xfId="0" applyNumberFormat="1" applyFont="1"/>
    <xf numFmtId="44" fontId="25" fillId="0" borderId="0" xfId="1" applyFont="1" applyFill="1" applyBorder="1"/>
    <xf numFmtId="0" fontId="32" fillId="0" borderId="0" xfId="0" applyFont="1"/>
    <xf numFmtId="165" fontId="33" fillId="0" borderId="7" xfId="0" applyNumberFormat="1" applyFont="1" applyBorder="1" applyAlignment="1">
      <alignment horizontal="right"/>
    </xf>
    <xf numFmtId="165" fontId="26" fillId="0" borderId="0" xfId="0" applyNumberFormat="1" applyFont="1" applyAlignment="1">
      <alignment horizontal="right"/>
    </xf>
    <xf numFmtId="44" fontId="25" fillId="0" borderId="8" xfId="1" applyFont="1" applyBorder="1"/>
    <xf numFmtId="44" fontId="25" fillId="0" borderId="7" xfId="0" applyNumberFormat="1" applyFont="1" applyBorder="1"/>
    <xf numFmtId="44" fontId="26" fillId="0" borderId="0" xfId="1" applyFont="1" applyAlignment="1">
      <alignment horizontal="right"/>
    </xf>
    <xf numFmtId="0" fontId="26" fillId="0" borderId="0" xfId="0" applyFont="1"/>
    <xf numFmtId="165" fontId="26" fillId="0" borderId="0" xfId="0" applyNumberFormat="1" applyFont="1"/>
    <xf numFmtId="0" fontId="26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2" fontId="26" fillId="0" borderId="0" xfId="4" applyNumberFormat="1" applyFont="1" applyAlignment="1">
      <alignment horizontal="right"/>
    </xf>
    <xf numFmtId="44" fontId="26" fillId="0" borderId="0" xfId="0" applyNumberFormat="1" applyFont="1"/>
    <xf numFmtId="44" fontId="34" fillId="0" borderId="0" xfId="0" applyNumberFormat="1" applyFont="1"/>
    <xf numFmtId="44" fontId="25" fillId="3" borderId="4" xfId="1" applyFont="1" applyFill="1" applyBorder="1"/>
    <xf numFmtId="0" fontId="26" fillId="0" borderId="0" xfId="0" applyFont="1" applyAlignment="1">
      <alignment horizontal="center"/>
    </xf>
    <xf numFmtId="8" fontId="26" fillId="0" borderId="0" xfId="0" applyNumberFormat="1" applyFont="1"/>
    <xf numFmtId="0" fontId="25" fillId="0" borderId="4" xfId="0" applyFont="1" applyBorder="1"/>
    <xf numFmtId="165" fontId="26" fillId="0" borderId="0" xfId="0" applyNumberFormat="1" applyFont="1" applyAlignment="1">
      <alignment horizontal="center"/>
    </xf>
    <xf numFmtId="2" fontId="25" fillId="0" borderId="0" xfId="4" applyNumberFormat="1" applyFont="1" applyAlignment="1">
      <alignment horizontal="center"/>
    </xf>
    <xf numFmtId="2" fontId="26" fillId="0" borderId="0" xfId="4" applyNumberFormat="1" applyFont="1" applyAlignment="1">
      <alignment horizontal="center"/>
    </xf>
    <xf numFmtId="2" fontId="25" fillId="0" borderId="0" xfId="0" applyNumberFormat="1" applyFont="1" applyAlignment="1">
      <alignment horizontal="center"/>
    </xf>
    <xf numFmtId="0" fontId="25" fillId="0" borderId="0" xfId="2" applyFont="1"/>
    <xf numFmtId="0" fontId="26" fillId="0" borderId="0" xfId="2" applyFont="1"/>
    <xf numFmtId="0" fontId="25" fillId="0" borderId="0" xfId="2" applyFont="1" applyAlignment="1">
      <alignment horizontal="center"/>
    </xf>
    <xf numFmtId="44" fontId="25" fillId="0" borderId="0" xfId="7" applyFont="1"/>
    <xf numFmtId="0" fontId="26" fillId="0" borderId="0" xfId="2" applyFont="1" applyAlignment="1">
      <alignment horizontal="center"/>
    </xf>
    <xf numFmtId="0" fontId="36" fillId="0" borderId="0" xfId="2" applyFont="1"/>
    <xf numFmtId="0" fontId="26" fillId="0" borderId="9" xfId="2" applyFont="1" applyBorder="1"/>
    <xf numFmtId="44" fontId="25" fillId="0" borderId="0" xfId="7" applyFont="1" applyFill="1" applyBorder="1"/>
    <xf numFmtId="0" fontId="37" fillId="7" borderId="10" xfId="2" applyFont="1" applyFill="1" applyBorder="1"/>
    <xf numFmtId="0" fontId="37" fillId="0" borderId="11" xfId="2" applyFont="1" applyBorder="1"/>
    <xf numFmtId="44" fontId="26" fillId="0" borderId="0" xfId="7" applyFont="1" applyAlignment="1">
      <alignment horizontal="center"/>
    </xf>
    <xf numFmtId="0" fontId="37" fillId="0" borderId="0" xfId="2" applyFont="1"/>
    <xf numFmtId="44" fontId="26" fillId="0" borderId="0" xfId="7" applyFont="1" applyFill="1"/>
    <xf numFmtId="9" fontId="25" fillId="0" borderId="0" xfId="8" applyFont="1" applyAlignment="1">
      <alignment horizontal="center"/>
    </xf>
    <xf numFmtId="164" fontId="25" fillId="0" borderId="0" xfId="2" applyNumberFormat="1" applyFont="1"/>
    <xf numFmtId="0" fontId="26" fillId="4" borderId="0" xfId="2" applyFont="1" applyFill="1"/>
    <xf numFmtId="44" fontId="25" fillId="0" borderId="0" xfId="7" applyFont="1" applyFill="1"/>
    <xf numFmtId="44" fontId="25" fillId="0" borderId="0" xfId="2" applyNumberFormat="1" applyFont="1"/>
    <xf numFmtId="0" fontId="37" fillId="0" borderId="9" xfId="2" applyFont="1" applyBorder="1"/>
    <xf numFmtId="0" fontId="26" fillId="0" borderId="0" xfId="2" applyFont="1" applyAlignment="1">
      <alignment horizontal="right"/>
    </xf>
    <xf numFmtId="44" fontId="26" fillId="9" borderId="0" xfId="7" applyFont="1" applyFill="1"/>
    <xf numFmtId="0" fontId="26" fillId="3" borderId="0" xfId="2" applyFont="1" applyFill="1" applyAlignment="1">
      <alignment horizontal="right"/>
    </xf>
    <xf numFmtId="44" fontId="26" fillId="3" borderId="0" xfId="2" applyNumberFormat="1" applyFont="1" applyFill="1"/>
    <xf numFmtId="10" fontId="25" fillId="0" borderId="0" xfId="8" applyNumberFormat="1" applyFont="1"/>
    <xf numFmtId="10" fontId="25" fillId="0" borderId="0" xfId="7" applyNumberFormat="1" applyFont="1"/>
    <xf numFmtId="0" fontId="25" fillId="0" borderId="0" xfId="2" quotePrefix="1" applyFont="1"/>
    <xf numFmtId="0" fontId="39" fillId="0" borderId="15" xfId="10" applyFont="1" applyBorder="1" applyAlignment="1">
      <alignment horizontal="center" vertical="center" wrapText="1"/>
    </xf>
    <xf numFmtId="164" fontId="40" fillId="3" borderId="15" xfId="11" applyFont="1" applyFill="1" applyBorder="1" applyAlignment="1">
      <alignment vertical="center"/>
    </xf>
    <xf numFmtId="164" fontId="39" fillId="2" borderId="15" xfId="11" applyFont="1" applyFill="1" applyBorder="1" applyAlignment="1">
      <alignment horizontal="center" vertical="center"/>
    </xf>
    <xf numFmtId="0" fontId="22" fillId="0" borderId="0" xfId="10"/>
    <xf numFmtId="0" fontId="39" fillId="11" borderId="15" xfId="10" applyFont="1" applyFill="1" applyBorder="1" applyAlignment="1">
      <alignment horizontal="center" vertical="center" wrapText="1"/>
    </xf>
    <xf numFmtId="2" fontId="41" fillId="12" borderId="15" xfId="11" applyNumberFormat="1" applyFont="1" applyFill="1" applyBorder="1" applyAlignment="1">
      <alignment horizontal="center" vertical="center" wrapText="1"/>
    </xf>
    <xf numFmtId="167" fontId="39" fillId="2" borderId="15" xfId="11" applyNumberFormat="1" applyFont="1" applyFill="1" applyBorder="1" applyAlignment="1">
      <alignment horizontal="center" vertical="center" wrapText="1"/>
    </xf>
    <xf numFmtId="167" fontId="39" fillId="12" borderId="15" xfId="11" applyNumberFormat="1" applyFont="1" applyFill="1" applyBorder="1" applyAlignment="1">
      <alignment horizontal="center" vertical="center" wrapText="1"/>
    </xf>
    <xf numFmtId="0" fontId="39" fillId="12" borderId="15" xfId="11" applyNumberFormat="1" applyFont="1" applyFill="1" applyBorder="1" applyAlignment="1">
      <alignment horizontal="center" vertical="center" wrapText="1"/>
    </xf>
    <xf numFmtId="0" fontId="42" fillId="0" borderId="16" xfId="10" applyFont="1" applyBorder="1" applyAlignment="1">
      <alignment horizontal="center"/>
    </xf>
    <xf numFmtId="2" fontId="22" fillId="0" borderId="15" xfId="10" applyNumberFormat="1" applyBorder="1"/>
    <xf numFmtId="9" fontId="43" fillId="2" borderId="15" xfId="12" applyFont="1" applyFill="1" applyBorder="1" applyAlignment="1">
      <alignment horizontal="center" vertical="center"/>
    </xf>
    <xf numFmtId="164" fontId="44" fillId="0" borderId="15" xfId="10" applyNumberFormat="1" applyFont="1" applyBorder="1" applyAlignment="1">
      <alignment horizontal="center"/>
    </xf>
    <xf numFmtId="0" fontId="45" fillId="13" borderId="15" xfId="12" applyNumberFormat="1" applyFont="1" applyFill="1" applyBorder="1" applyAlignment="1">
      <alignment horizontal="center" vertical="center"/>
    </xf>
    <xf numFmtId="164" fontId="42" fillId="0" borderId="15" xfId="10" applyNumberFormat="1" applyFont="1" applyBorder="1" applyAlignment="1">
      <alignment horizontal="center"/>
    </xf>
    <xf numFmtId="0" fontId="43" fillId="13" borderId="15" xfId="12" applyNumberFormat="1" applyFont="1" applyFill="1" applyBorder="1" applyAlignment="1">
      <alignment horizontal="center" vertical="center"/>
    </xf>
    <xf numFmtId="0" fontId="46" fillId="13" borderId="15" xfId="11" applyNumberFormat="1" applyFont="1" applyFill="1" applyBorder="1" applyAlignment="1">
      <alignment horizontal="center" vertical="center"/>
    </xf>
    <xf numFmtId="44" fontId="45" fillId="13" borderId="15" xfId="12" applyNumberFormat="1" applyFont="1" applyFill="1" applyBorder="1" applyAlignment="1">
      <alignment horizontal="center" vertical="center"/>
    </xf>
    <xf numFmtId="0" fontId="42" fillId="5" borderId="16" xfId="10" applyFont="1" applyFill="1" applyBorder="1" applyAlignment="1">
      <alignment horizontal="center"/>
    </xf>
    <xf numFmtId="2" fontId="22" fillId="5" borderId="15" xfId="10" applyNumberFormat="1" applyFill="1" applyBorder="1"/>
    <xf numFmtId="9" fontId="43" fillId="5" borderId="15" xfId="12" applyFont="1" applyFill="1" applyBorder="1" applyAlignment="1">
      <alignment horizontal="center" vertical="center"/>
    </xf>
    <xf numFmtId="164" fontId="44" fillId="5" borderId="15" xfId="10" applyNumberFormat="1" applyFont="1" applyFill="1" applyBorder="1" applyAlignment="1">
      <alignment horizontal="center"/>
    </xf>
    <xf numFmtId="0" fontId="45" fillId="5" borderId="15" xfId="12" applyNumberFormat="1" applyFont="1" applyFill="1" applyBorder="1" applyAlignment="1">
      <alignment horizontal="center" vertical="center"/>
    </xf>
    <xf numFmtId="164" fontId="42" fillId="5" borderId="15" xfId="10" applyNumberFormat="1" applyFont="1" applyFill="1" applyBorder="1" applyAlignment="1">
      <alignment horizontal="center"/>
    </xf>
    <xf numFmtId="0" fontId="43" fillId="5" borderId="15" xfId="12" applyNumberFormat="1" applyFont="1" applyFill="1" applyBorder="1" applyAlignment="1">
      <alignment horizontal="center" vertical="center"/>
    </xf>
    <xf numFmtId="167" fontId="46" fillId="2" borderId="15" xfId="11" applyNumberFormat="1" applyFont="1" applyFill="1" applyBorder="1" applyAlignment="1">
      <alignment horizontal="center" vertical="center"/>
    </xf>
    <xf numFmtId="0" fontId="45" fillId="13" borderId="15" xfId="11" applyNumberFormat="1" applyFont="1" applyFill="1" applyBorder="1" applyAlignment="1">
      <alignment horizontal="center" vertical="center"/>
    </xf>
    <xf numFmtId="0" fontId="43" fillId="13" borderId="15" xfId="11" applyNumberFormat="1" applyFont="1" applyFill="1" applyBorder="1" applyAlignment="1">
      <alignment horizontal="center" vertical="center"/>
    </xf>
    <xf numFmtId="167" fontId="46" fillId="2" borderId="15" xfId="11" applyNumberFormat="1" applyFont="1" applyFill="1" applyBorder="1" applyAlignment="1">
      <alignment horizontal="left" vertical="center"/>
    </xf>
    <xf numFmtId="164" fontId="42" fillId="13" borderId="15" xfId="10" applyNumberFormat="1" applyFont="1" applyFill="1" applyBorder="1" applyAlignment="1">
      <alignment horizontal="center"/>
    </xf>
    <xf numFmtId="167" fontId="43" fillId="2" borderId="15" xfId="11" applyNumberFormat="1" applyFont="1" applyFill="1" applyBorder="1" applyAlignment="1">
      <alignment horizontal="left" vertical="center"/>
    </xf>
    <xf numFmtId="0" fontId="47" fillId="13" borderId="15" xfId="11" applyNumberFormat="1" applyFont="1" applyFill="1" applyBorder="1" applyAlignment="1">
      <alignment horizontal="center" vertical="center"/>
    </xf>
    <xf numFmtId="2" fontId="22" fillId="0" borderId="0" xfId="10" applyNumberFormat="1"/>
    <xf numFmtId="0" fontId="22" fillId="0" borderId="0" xfId="10" applyAlignment="1">
      <alignment horizontal="center"/>
    </xf>
    <xf numFmtId="44" fontId="25" fillId="7" borderId="4" xfId="1" applyFont="1" applyFill="1" applyBorder="1"/>
    <xf numFmtId="0" fontId="48" fillId="0" borderId="0" xfId="0" applyFont="1"/>
    <xf numFmtId="0" fontId="25" fillId="0" borderId="0" xfId="0" applyFont="1" applyAlignment="1">
      <alignment horizontal="left"/>
    </xf>
    <xf numFmtId="165" fontId="25" fillId="0" borderId="0" xfId="0" applyNumberFormat="1" applyFont="1" applyAlignment="1">
      <alignment horizontal="left"/>
    </xf>
    <xf numFmtId="0" fontId="27" fillId="0" borderId="0" xfId="0" applyFont="1"/>
    <xf numFmtId="9" fontId="27" fillId="0" borderId="0" xfId="13" applyFont="1" applyAlignment="1">
      <alignment horizontal="center"/>
    </xf>
    <xf numFmtId="0" fontId="25" fillId="3" borderId="0" xfId="0" applyFont="1" applyFill="1"/>
    <xf numFmtId="44" fontId="25" fillId="3" borderId="0" xfId="1" applyFont="1" applyFill="1" applyBorder="1" applyAlignment="1">
      <alignment horizontal="left"/>
    </xf>
    <xf numFmtId="0" fontId="26" fillId="3" borderId="0" xfId="0" applyFont="1" applyFill="1" applyAlignment="1">
      <alignment horizontal="right"/>
    </xf>
    <xf numFmtId="9" fontId="26" fillId="3" borderId="0" xfId="13" applyFont="1" applyFill="1" applyAlignment="1">
      <alignment horizontal="center"/>
    </xf>
    <xf numFmtId="44" fontId="26" fillId="3" borderId="0" xfId="0" applyNumberFormat="1" applyFont="1" applyFill="1"/>
    <xf numFmtId="0" fontId="27" fillId="15" borderId="0" xfId="0" applyFont="1" applyFill="1"/>
    <xf numFmtId="9" fontId="27" fillId="15" borderId="0" xfId="13" applyFont="1" applyFill="1" applyAlignment="1">
      <alignment horizontal="center"/>
    </xf>
    <xf numFmtId="44" fontId="26" fillId="4" borderId="0" xfId="0" applyNumberFormat="1" applyFont="1" applyFill="1"/>
    <xf numFmtId="0" fontId="26" fillId="2" borderId="10" xfId="2" applyFont="1" applyFill="1" applyBorder="1"/>
    <xf numFmtId="44" fontId="25" fillId="0" borderId="0" xfId="7" applyFont="1" applyBorder="1"/>
    <xf numFmtId="0" fontId="51" fillId="0" borderId="0" xfId="2" applyFont="1"/>
    <xf numFmtId="44" fontId="25" fillId="0" borderId="0" xfId="7" applyFont="1" applyAlignment="1">
      <alignment horizontal="center"/>
    </xf>
    <xf numFmtId="0" fontId="25" fillId="4" borderId="0" xfId="2" applyFont="1" applyFill="1" applyAlignment="1">
      <alignment horizontal="center"/>
    </xf>
    <xf numFmtId="44" fontId="25" fillId="4" borderId="0" xfId="7" applyFont="1" applyFill="1"/>
    <xf numFmtId="0" fontId="25" fillId="18" borderId="0" xfId="2" applyFont="1" applyFill="1"/>
    <xf numFmtId="2" fontId="25" fillId="0" borderId="0" xfId="2" applyNumberFormat="1" applyFont="1" applyAlignment="1">
      <alignment horizontal="center"/>
    </xf>
    <xf numFmtId="165" fontId="25" fillId="0" borderId="0" xfId="7" applyNumberFormat="1" applyFont="1" applyFill="1" applyBorder="1"/>
    <xf numFmtId="0" fontId="26" fillId="15" borderId="20" xfId="2" applyFont="1" applyFill="1" applyBorder="1" applyAlignment="1">
      <alignment horizontal="right"/>
    </xf>
    <xf numFmtId="0" fontId="25" fillId="15" borderId="21" xfId="2" applyFont="1" applyFill="1" applyBorder="1" applyAlignment="1">
      <alignment horizontal="center"/>
    </xf>
    <xf numFmtId="0" fontId="26" fillId="0" borderId="21" xfId="2" applyFont="1" applyBorder="1" applyAlignment="1">
      <alignment horizontal="center"/>
    </xf>
    <xf numFmtId="165" fontId="25" fillId="0" borderId="0" xfId="2" applyNumberFormat="1" applyFont="1" applyAlignment="1">
      <alignment horizontal="right"/>
    </xf>
    <xf numFmtId="0" fontId="25" fillId="0" borderId="22" xfId="2" applyFont="1" applyBorder="1"/>
    <xf numFmtId="0" fontId="25" fillId="4" borderId="0" xfId="2" applyFont="1" applyFill="1"/>
    <xf numFmtId="44" fontId="26" fillId="4" borderId="21" xfId="7" applyFont="1" applyFill="1" applyBorder="1" applyAlignment="1">
      <alignment horizontal="right"/>
    </xf>
    <xf numFmtId="44" fontId="26" fillId="4" borderId="0" xfId="7" applyFont="1" applyFill="1"/>
    <xf numFmtId="0" fontId="25" fillId="0" borderId="0" xfId="2" applyFont="1" applyAlignment="1">
      <alignment horizontal="left"/>
    </xf>
    <xf numFmtId="0" fontId="53" fillId="4" borderId="1" xfId="2" applyFont="1" applyFill="1" applyBorder="1"/>
    <xf numFmtId="0" fontId="26" fillId="0" borderId="2" xfId="2" applyFont="1" applyBorder="1" applyAlignment="1">
      <alignment horizontal="center"/>
    </xf>
    <xf numFmtId="0" fontId="26" fillId="0" borderId="3" xfId="2" applyFont="1" applyBorder="1"/>
    <xf numFmtId="0" fontId="26" fillId="0" borderId="4" xfId="2" applyFont="1" applyBorder="1" applyAlignment="1">
      <alignment horizontal="center"/>
    </xf>
    <xf numFmtId="0" fontId="26" fillId="0" borderId="3" xfId="2" applyFont="1" applyBorder="1" applyAlignment="1">
      <alignment horizontal="right"/>
    </xf>
    <xf numFmtId="2" fontId="26" fillId="0" borderId="4" xfId="2" applyNumberFormat="1" applyFont="1" applyBorder="1" applyAlignment="1">
      <alignment horizontal="center"/>
    </xf>
    <xf numFmtId="0" fontId="26" fillId="0" borderId="5" xfId="2" applyFont="1" applyBorder="1" applyAlignment="1">
      <alignment horizontal="right"/>
    </xf>
    <xf numFmtId="2" fontId="26" fillId="0" borderId="6" xfId="2" applyNumberFormat="1" applyFont="1" applyBorder="1" applyAlignment="1">
      <alignment horizontal="center"/>
    </xf>
    <xf numFmtId="0" fontId="26" fillId="3" borderId="12" xfId="2" applyFont="1" applyFill="1" applyBorder="1"/>
    <xf numFmtId="0" fontId="25" fillId="5" borderId="11" xfId="2" applyFont="1" applyFill="1" applyBorder="1" applyAlignment="1">
      <alignment horizontal="center"/>
    </xf>
    <xf numFmtId="44" fontId="25" fillId="5" borderId="2" xfId="7" applyFont="1" applyFill="1" applyBorder="1"/>
    <xf numFmtId="0" fontId="52" fillId="10" borderId="19" xfId="2" applyFont="1" applyFill="1" applyBorder="1"/>
    <xf numFmtId="0" fontId="25" fillId="5" borderId="3" xfId="2" applyFont="1" applyFill="1" applyBorder="1" applyAlignment="1">
      <alignment horizontal="center"/>
    </xf>
    <xf numFmtId="0" fontId="25" fillId="5" borderId="0" xfId="2" applyFont="1" applyFill="1" applyAlignment="1">
      <alignment horizontal="center"/>
    </xf>
    <xf numFmtId="44" fontId="26" fillId="5" borderId="0" xfId="7" applyFont="1" applyFill="1" applyBorder="1"/>
    <xf numFmtId="44" fontId="25" fillId="5" borderId="4" xfId="7" applyFont="1" applyFill="1" applyBorder="1"/>
    <xf numFmtId="0" fontId="26" fillId="0" borderId="18" xfId="2" applyFont="1" applyBorder="1"/>
    <xf numFmtId="0" fontId="25" fillId="5" borderId="9" xfId="2" applyFont="1" applyFill="1" applyBorder="1" applyAlignment="1">
      <alignment horizontal="center"/>
    </xf>
    <xf numFmtId="44" fontId="26" fillId="5" borderId="9" xfId="7" applyFont="1" applyFill="1" applyBorder="1"/>
    <xf numFmtId="0" fontId="25" fillId="0" borderId="11" xfId="2" applyFont="1" applyBorder="1" applyAlignment="1">
      <alignment horizontal="center"/>
    </xf>
    <xf numFmtId="44" fontId="26" fillId="0" borderId="0" xfId="7" applyFont="1" applyFill="1" applyBorder="1"/>
    <xf numFmtId="44" fontId="25" fillId="0" borderId="2" xfId="7" applyFont="1" applyFill="1" applyBorder="1"/>
    <xf numFmtId="0" fontId="25" fillId="7" borderId="9" xfId="2" applyFont="1" applyFill="1" applyBorder="1" applyAlignment="1">
      <alignment horizontal="center"/>
    </xf>
    <xf numFmtId="0" fontId="25" fillId="0" borderId="9" xfId="2" applyFont="1" applyBorder="1" applyAlignment="1">
      <alignment horizontal="center"/>
    </xf>
    <xf numFmtId="44" fontId="25" fillId="0" borderId="9" xfId="7" applyFont="1" applyFill="1" applyBorder="1"/>
    <xf numFmtId="44" fontId="25" fillId="0" borderId="6" xfId="7" applyFont="1" applyFill="1" applyBorder="1"/>
    <xf numFmtId="0" fontId="25" fillId="5" borderId="5" xfId="2" applyFont="1" applyFill="1" applyBorder="1" applyAlignment="1">
      <alignment horizontal="center"/>
    </xf>
    <xf numFmtId="0" fontId="26" fillId="20" borderId="0" xfId="2" applyFont="1" applyFill="1"/>
    <xf numFmtId="0" fontId="25" fillId="20" borderId="0" xfId="2" applyFont="1" applyFill="1" applyAlignment="1">
      <alignment horizontal="center"/>
    </xf>
    <xf numFmtId="44" fontId="26" fillId="20" borderId="0" xfId="7" applyFont="1" applyFill="1" applyBorder="1"/>
    <xf numFmtId="44" fontId="25" fillId="20" borderId="0" xfId="7" applyFont="1" applyFill="1" applyBorder="1"/>
    <xf numFmtId="0" fontId="26" fillId="0" borderId="11" xfId="2" applyFont="1" applyBorder="1" applyAlignment="1">
      <alignment horizontal="right"/>
    </xf>
    <xf numFmtId="44" fontId="25" fillId="0" borderId="11" xfId="7" applyFont="1" applyFill="1" applyBorder="1"/>
    <xf numFmtId="0" fontId="26" fillId="0" borderId="12" xfId="2" applyFont="1" applyBorder="1"/>
    <xf numFmtId="44" fontId="26" fillId="4" borderId="11" xfId="7" applyFont="1" applyFill="1" applyBorder="1"/>
    <xf numFmtId="44" fontId="26" fillId="14" borderId="11" xfId="7" applyFont="1" applyFill="1" applyBorder="1"/>
    <xf numFmtId="44" fontId="25" fillId="16" borderId="0" xfId="7" applyFont="1" applyFill="1"/>
    <xf numFmtId="165" fontId="25" fillId="0" borderId="0" xfId="1" applyNumberFormat="1" applyFont="1" applyBorder="1" applyAlignment="1">
      <alignment horizontal="center"/>
    </xf>
    <xf numFmtId="165" fontId="25" fillId="0" borderId="0" xfId="1" applyNumberFormat="1" applyFont="1" applyFill="1"/>
    <xf numFmtId="44" fontId="25" fillId="0" borderId="0" xfId="1" applyFont="1" applyFill="1" applyBorder="1" applyAlignment="1">
      <alignment horizontal="left"/>
    </xf>
    <xf numFmtId="0" fontId="25" fillId="0" borderId="0" xfId="0" applyFont="1" applyAlignment="1">
      <alignment horizontal="center"/>
    </xf>
    <xf numFmtId="9" fontId="25" fillId="0" borderId="0" xfId="13" applyFont="1" applyFill="1" applyAlignment="1">
      <alignment horizontal="center"/>
    </xf>
    <xf numFmtId="9" fontId="25" fillId="0" borderId="0" xfId="13" applyFont="1" applyFill="1" applyBorder="1" applyAlignment="1">
      <alignment horizontal="center"/>
    </xf>
    <xf numFmtId="0" fontId="48" fillId="0" borderId="0" xfId="0" applyFont="1" applyAlignment="1">
      <alignment horizontal="left"/>
    </xf>
    <xf numFmtId="165" fontId="25" fillId="0" borderId="0" xfId="3" applyNumberFormat="1" applyFont="1"/>
    <xf numFmtId="10" fontId="25" fillId="0" borderId="0" xfId="13" applyNumberFormat="1" applyFont="1" applyFill="1"/>
    <xf numFmtId="165" fontId="25" fillId="0" borderId="0" xfId="0" applyNumberFormat="1" applyFont="1" applyAlignment="1">
      <alignment horizontal="left" indent="1"/>
    </xf>
    <xf numFmtId="165" fontId="25" fillId="0" borderId="0" xfId="0" applyNumberFormat="1" applyFont="1" applyAlignment="1">
      <alignment horizontal="right"/>
    </xf>
    <xf numFmtId="44" fontId="25" fillId="0" borderId="0" xfId="2" applyNumberFormat="1" applyFont="1" applyAlignment="1">
      <alignment horizontal="center"/>
    </xf>
    <xf numFmtId="164" fontId="44" fillId="4" borderId="15" xfId="10" applyNumberFormat="1" applyFont="1" applyFill="1" applyBorder="1" applyAlignment="1">
      <alignment horizontal="center"/>
    </xf>
    <xf numFmtId="44" fontId="25" fillId="7" borderId="0" xfId="7" applyFont="1" applyFill="1"/>
    <xf numFmtId="44" fontId="25" fillId="3" borderId="0" xfId="7" applyFont="1" applyFill="1"/>
    <xf numFmtId="44" fontId="25" fillId="21" borderId="0" xfId="7" applyFont="1" applyFill="1"/>
    <xf numFmtId="0" fontId="25" fillId="16" borderId="0" xfId="2" applyFont="1" applyFill="1" applyAlignment="1">
      <alignment horizontal="center"/>
    </xf>
    <xf numFmtId="165" fontId="32" fillId="0" borderId="0" xfId="0" applyNumberFormat="1" applyFont="1" applyAlignment="1">
      <alignment horizontal="right"/>
    </xf>
    <xf numFmtId="165" fontId="48" fillId="0" borderId="0" xfId="0" applyNumberFormat="1" applyFont="1" applyAlignment="1">
      <alignment horizontal="right"/>
    </xf>
    <xf numFmtId="0" fontId="26" fillId="0" borderId="0" xfId="0" applyFont="1" applyAlignment="1">
      <alignment horizontal="left"/>
    </xf>
    <xf numFmtId="10" fontId="26" fillId="0" borderId="0" xfId="13" applyNumberFormat="1" applyFont="1" applyFill="1" applyAlignment="1">
      <alignment horizontal="right"/>
    </xf>
    <xf numFmtId="165" fontId="48" fillId="0" borderId="0" xfId="0" applyNumberFormat="1" applyFont="1" applyAlignment="1">
      <alignment horizontal="center"/>
    </xf>
    <xf numFmtId="0" fontId="25" fillId="0" borderId="0" xfId="2" applyFont="1" applyAlignment="1">
      <alignment horizontal="right"/>
    </xf>
    <xf numFmtId="168" fontId="26" fillId="0" borderId="0" xfId="13" applyNumberFormat="1" applyFont="1" applyAlignment="1">
      <alignment horizontal="right"/>
    </xf>
    <xf numFmtId="44" fontId="26" fillId="0" borderId="0" xfId="7" applyFont="1" applyAlignment="1">
      <alignment horizontal="right"/>
    </xf>
    <xf numFmtId="44" fontId="25" fillId="0" borderId="0" xfId="2" applyNumberFormat="1" applyFont="1" applyAlignment="1">
      <alignment horizontal="right"/>
    </xf>
    <xf numFmtId="0" fontId="25" fillId="7" borderId="3" xfId="0" applyFont="1" applyFill="1" applyBorder="1"/>
    <xf numFmtId="44" fontId="25" fillId="7" borderId="4" xfId="1" applyFont="1" applyFill="1" applyBorder="1" applyAlignment="1">
      <alignment horizontal="left"/>
    </xf>
    <xf numFmtId="0" fontId="25" fillId="7" borderId="5" xfId="0" applyFont="1" applyFill="1" applyBorder="1"/>
    <xf numFmtId="44" fontId="25" fillId="7" borderId="6" xfId="1" applyFont="1" applyFill="1" applyBorder="1" applyAlignment="1">
      <alignment horizontal="left"/>
    </xf>
    <xf numFmtId="0" fontId="25" fillId="7" borderId="0" xfId="0" applyFont="1" applyFill="1"/>
    <xf numFmtId="44" fontId="25" fillId="7" borderId="0" xfId="1" applyFont="1" applyFill="1" applyBorder="1" applyAlignment="1">
      <alignment horizontal="left"/>
    </xf>
    <xf numFmtId="165" fontId="55" fillId="0" borderId="0" xfId="0" applyNumberFormat="1" applyFont="1" applyAlignment="1">
      <alignment horizontal="right"/>
    </xf>
    <xf numFmtId="165" fontId="26" fillId="0" borderId="0" xfId="3" applyNumberFormat="1" applyFont="1" applyAlignment="1">
      <alignment horizontal="center"/>
    </xf>
    <xf numFmtId="165" fontId="48" fillId="0" borderId="0" xfId="1" applyNumberFormat="1" applyFont="1" applyBorder="1" applyAlignment="1">
      <alignment horizontal="right"/>
    </xf>
    <xf numFmtId="0" fontId="22" fillId="0" borderId="0" xfId="9"/>
    <xf numFmtId="0" fontId="22" fillId="4" borderId="0" xfId="9" applyFill="1"/>
    <xf numFmtId="0" fontId="12" fillId="0" borderId="0" xfId="29"/>
    <xf numFmtId="0" fontId="12" fillId="0" borderId="0" xfId="29" applyAlignment="1">
      <alignment horizontal="center"/>
    </xf>
    <xf numFmtId="165" fontId="12" fillId="0" borderId="0" xfId="29" applyNumberFormat="1"/>
    <xf numFmtId="0" fontId="35" fillId="2" borderId="12" xfId="29" applyFont="1" applyFill="1" applyBorder="1"/>
    <xf numFmtId="0" fontId="12" fillId="2" borderId="13" xfId="29" applyFill="1" applyBorder="1" applyAlignment="1">
      <alignment horizontal="center"/>
    </xf>
    <xf numFmtId="0" fontId="12" fillId="2" borderId="14" xfId="29" applyFill="1" applyBorder="1" applyAlignment="1">
      <alignment horizontal="center"/>
    </xf>
    <xf numFmtId="0" fontId="38" fillId="4" borderId="0" xfId="29" applyFont="1" applyFill="1"/>
    <xf numFmtId="0" fontId="12" fillId="10" borderId="0" xfId="29" applyFill="1" applyAlignment="1">
      <alignment horizontal="center"/>
    </xf>
    <xf numFmtId="165" fontId="12" fillId="10" borderId="0" xfId="29" applyNumberFormat="1" applyFill="1" applyAlignment="1">
      <alignment horizontal="center"/>
    </xf>
    <xf numFmtId="0" fontId="38" fillId="10" borderId="0" xfId="29" applyFont="1" applyFill="1"/>
    <xf numFmtId="0" fontId="12" fillId="0" borderId="0" xfId="30"/>
    <xf numFmtId="0" fontId="35" fillId="0" borderId="0" xfId="29" applyFont="1" applyAlignment="1">
      <alignment horizontal="center"/>
    </xf>
    <xf numFmtId="165" fontId="12" fillId="19" borderId="0" xfId="29" applyNumberFormat="1" applyFill="1" applyAlignment="1">
      <alignment horizontal="right"/>
    </xf>
    <xf numFmtId="165" fontId="35" fillId="19" borderId="0" xfId="29" applyNumberFormat="1" applyFont="1" applyFill="1"/>
    <xf numFmtId="165" fontId="35" fillId="0" borderId="0" xfId="29" applyNumberFormat="1" applyFont="1"/>
    <xf numFmtId="44" fontId="12" fillId="0" borderId="0" xfId="29" applyNumberFormat="1"/>
    <xf numFmtId="44" fontId="29" fillId="0" borderId="0" xfId="1"/>
    <xf numFmtId="0" fontId="12" fillId="2" borderId="0" xfId="29" applyFill="1"/>
    <xf numFmtId="0" fontId="35" fillId="4" borderId="12" xfId="30" applyFont="1" applyFill="1" applyBorder="1"/>
    <xf numFmtId="0" fontId="12" fillId="2" borderId="13" xfId="30" applyFill="1" applyBorder="1"/>
    <xf numFmtId="0" fontId="12" fillId="2" borderId="14" xfId="30" applyFill="1" applyBorder="1"/>
    <xf numFmtId="165" fontId="12" fillId="0" borderId="0" xfId="30" applyNumberFormat="1" applyAlignment="1">
      <alignment horizontal="center" vertical="center"/>
    </xf>
    <xf numFmtId="165" fontId="12" fillId="0" borderId="0" xfId="30" applyNumberFormat="1" applyAlignment="1">
      <alignment horizontal="center"/>
    </xf>
    <xf numFmtId="0" fontId="12" fillId="0" borderId="0" xfId="30" applyAlignment="1">
      <alignment horizontal="center"/>
    </xf>
    <xf numFmtId="0" fontId="35" fillId="0" borderId="0" xfId="30" applyFont="1" applyAlignment="1">
      <alignment horizontal="right"/>
    </xf>
    <xf numFmtId="0" fontId="35" fillId="0" borderId="0" xfId="30" applyFont="1" applyAlignment="1">
      <alignment horizontal="center"/>
    </xf>
    <xf numFmtId="165" fontId="35" fillId="0" borderId="0" xfId="30" applyNumberFormat="1" applyFont="1" applyAlignment="1">
      <alignment horizontal="center" vertical="center"/>
    </xf>
    <xf numFmtId="0" fontId="12" fillId="0" borderId="0" xfId="30" applyAlignment="1">
      <alignment horizontal="right"/>
    </xf>
    <xf numFmtId="0" fontId="12" fillId="14" borderId="0" xfId="30" applyFill="1" applyAlignment="1">
      <alignment horizontal="center"/>
    </xf>
    <xf numFmtId="0" fontId="12" fillId="4" borderId="0" xfId="30" applyFill="1" applyAlignment="1">
      <alignment horizontal="center"/>
    </xf>
    <xf numFmtId="0" fontId="35" fillId="0" borderId="0" xfId="30" applyFont="1" applyAlignment="1">
      <alignment horizontal="right" vertical="center"/>
    </xf>
    <xf numFmtId="0" fontId="12" fillId="0" borderId="0" xfId="30" applyAlignment="1">
      <alignment horizontal="center" vertical="center"/>
    </xf>
    <xf numFmtId="165" fontId="12" fillId="0" borderId="0" xfId="30" applyNumberFormat="1" applyAlignment="1">
      <alignment horizontal="center" vertical="center" wrapText="1"/>
    </xf>
    <xf numFmtId="0" fontId="12" fillId="0" borderId="0" xfId="30" applyAlignment="1">
      <alignment horizontal="center" vertical="center" wrapText="1"/>
    </xf>
    <xf numFmtId="165" fontId="35" fillId="0" borderId="0" xfId="30" applyNumberFormat="1" applyFont="1" applyAlignment="1">
      <alignment horizontal="center" vertical="center" wrapText="1"/>
    </xf>
    <xf numFmtId="0" fontId="35" fillId="0" borderId="0" xfId="30" applyFont="1" applyAlignment="1">
      <alignment horizontal="center" vertical="center" wrapText="1"/>
    </xf>
    <xf numFmtId="0" fontId="12" fillId="0" borderId="0" xfId="30" applyAlignment="1">
      <alignment vertical="center"/>
    </xf>
    <xf numFmtId="2" fontId="12" fillId="4" borderId="0" xfId="30" applyNumberFormat="1" applyFill="1" applyAlignment="1">
      <alignment horizontal="center"/>
    </xf>
    <xf numFmtId="2" fontId="12" fillId="14" borderId="0" xfId="30" applyNumberFormat="1" applyFill="1" applyAlignment="1">
      <alignment horizontal="center"/>
    </xf>
    <xf numFmtId="2" fontId="12" fillId="16" borderId="0" xfId="30" applyNumberFormat="1" applyFill="1" applyAlignment="1">
      <alignment horizontal="center"/>
    </xf>
    <xf numFmtId="2" fontId="35" fillId="0" borderId="0" xfId="30" applyNumberFormat="1" applyFont="1" applyAlignment="1">
      <alignment horizontal="center" vertical="center"/>
    </xf>
    <xf numFmtId="2" fontId="12" fillId="0" borderId="0" xfId="30" applyNumberFormat="1"/>
    <xf numFmtId="2" fontId="12" fillId="0" borderId="0" xfId="30" applyNumberFormat="1" applyAlignment="1">
      <alignment horizontal="center"/>
    </xf>
    <xf numFmtId="2" fontId="50" fillId="16" borderId="0" xfId="30" applyNumberFormat="1" applyFont="1" applyFill="1" applyAlignment="1">
      <alignment horizontal="center"/>
    </xf>
    <xf numFmtId="0" fontId="35" fillId="0" borderId="0" xfId="30" applyFont="1" applyAlignment="1">
      <alignment horizontal="center" vertical="center"/>
    </xf>
    <xf numFmtId="2" fontId="38" fillId="0" borderId="10" xfId="30" applyNumberFormat="1" applyFont="1" applyBorder="1" applyAlignment="1">
      <alignment horizontal="center"/>
    </xf>
    <xf numFmtId="2" fontId="57" fillId="0" borderId="10" xfId="30" applyNumberFormat="1" applyFont="1" applyBorder="1" applyAlignment="1">
      <alignment horizontal="center"/>
    </xf>
    <xf numFmtId="165" fontId="12" fillId="4" borderId="0" xfId="30" applyNumberFormat="1" applyFill="1" applyAlignment="1">
      <alignment horizontal="center"/>
    </xf>
    <xf numFmtId="165" fontId="35" fillId="0" borderId="0" xfId="30" applyNumberFormat="1" applyFont="1" applyAlignment="1">
      <alignment horizontal="right"/>
    </xf>
    <xf numFmtId="0" fontId="35" fillId="0" borderId="0" xfId="30" applyFont="1"/>
    <xf numFmtId="0" fontId="12" fillId="22" borderId="0" xfId="30" applyFill="1" applyAlignment="1">
      <alignment horizontal="right"/>
    </xf>
    <xf numFmtId="0" fontId="12" fillId="22" borderId="0" xfId="30" applyFill="1"/>
    <xf numFmtId="165" fontId="12" fillId="22" borderId="0" xfId="30" applyNumberFormat="1" applyFill="1" applyAlignment="1">
      <alignment horizontal="center" vertical="center"/>
    </xf>
    <xf numFmtId="165" fontId="12" fillId="22" borderId="0" xfId="30" applyNumberFormat="1" applyFill="1" applyAlignment="1">
      <alignment horizontal="center"/>
    </xf>
    <xf numFmtId="165" fontId="35" fillId="0" borderId="0" xfId="30" applyNumberFormat="1" applyFont="1" applyAlignment="1">
      <alignment horizontal="center"/>
    </xf>
    <xf numFmtId="2" fontId="12" fillId="0" borderId="0" xfId="30" applyNumberFormat="1" applyAlignment="1">
      <alignment horizontal="center" vertical="center"/>
    </xf>
    <xf numFmtId="165" fontId="12" fillId="0" borderId="0" xfId="30" applyNumberFormat="1"/>
    <xf numFmtId="0" fontId="38" fillId="10" borderId="0" xfId="30" applyFont="1" applyFill="1" applyAlignment="1">
      <alignment horizontal="center" vertical="center"/>
    </xf>
    <xf numFmtId="0" fontId="35" fillId="0" borderId="10" xfId="29" applyFont="1" applyBorder="1" applyAlignment="1">
      <alignment horizontal="center" vertical="center"/>
    </xf>
    <xf numFmtId="0" fontId="12" fillId="0" borderId="0" xfId="29" applyAlignment="1">
      <alignment horizontal="center" vertical="center" wrapText="1"/>
    </xf>
    <xf numFmtId="0" fontId="12" fillId="0" borderId="0" xfId="29" applyAlignment="1">
      <alignment horizontal="center" vertical="center"/>
    </xf>
    <xf numFmtId="0" fontId="12" fillId="10" borderId="0" xfId="30" applyFill="1" applyAlignment="1">
      <alignment horizontal="center"/>
    </xf>
    <xf numFmtId="165" fontId="12" fillId="10" borderId="0" xfId="30" applyNumberFormat="1" applyFill="1" applyAlignment="1">
      <alignment horizontal="center" vertical="center"/>
    </xf>
    <xf numFmtId="0" fontId="12" fillId="16" borderId="0" xfId="30" applyFill="1"/>
    <xf numFmtId="2" fontId="12" fillId="0" borderId="0" xfId="29" applyNumberFormat="1"/>
    <xf numFmtId="165" fontId="35" fillId="0" borderId="10" xfId="30" applyNumberFormat="1" applyFont="1" applyBorder="1"/>
    <xf numFmtId="0" fontId="12" fillId="0" borderId="18" xfId="30" applyBorder="1"/>
    <xf numFmtId="165" fontId="12" fillId="0" borderId="18" xfId="30" applyNumberFormat="1" applyBorder="1"/>
    <xf numFmtId="165" fontId="12" fillId="0" borderId="23" xfId="30" applyNumberFormat="1" applyBorder="1"/>
    <xf numFmtId="165" fontId="12" fillId="0" borderId="9" xfId="30" applyNumberFormat="1" applyBorder="1" applyAlignment="1">
      <alignment horizontal="center" vertical="center"/>
    </xf>
    <xf numFmtId="0" fontId="38" fillId="10" borderId="0" xfId="30" applyFont="1" applyFill="1"/>
    <xf numFmtId="0" fontId="12" fillId="10" borderId="0" xfId="30" applyFill="1"/>
    <xf numFmtId="0" fontId="12" fillId="10" borderId="4" xfId="30" applyFill="1" applyBorder="1"/>
    <xf numFmtId="165" fontId="12" fillId="10" borderId="18" xfId="30" applyNumberFormat="1" applyFill="1" applyBorder="1" applyAlignment="1">
      <alignment horizontal="center" vertical="center"/>
    </xf>
    <xf numFmtId="165" fontId="12" fillId="10" borderId="19" xfId="30" applyNumberFormat="1" applyFill="1" applyBorder="1" applyAlignment="1">
      <alignment horizontal="center" vertical="center"/>
    </xf>
    <xf numFmtId="0" fontId="38" fillId="10" borderId="9" xfId="30" applyFont="1" applyFill="1" applyBorder="1"/>
    <xf numFmtId="0" fontId="12" fillId="10" borderId="9" xfId="30" applyFill="1" applyBorder="1" applyAlignment="1">
      <alignment horizontal="center"/>
    </xf>
    <xf numFmtId="0" fontId="12" fillId="10" borderId="6" xfId="30" applyFill="1" applyBorder="1" applyAlignment="1">
      <alignment horizontal="center"/>
    </xf>
    <xf numFmtId="165" fontId="12" fillId="10" borderId="23" xfId="30" applyNumberFormat="1" applyFill="1" applyBorder="1" applyAlignment="1">
      <alignment horizontal="center" vertical="center"/>
    </xf>
    <xf numFmtId="165" fontId="12" fillId="0" borderId="3" xfId="30" applyNumberFormat="1" applyBorder="1" applyAlignment="1">
      <alignment horizontal="center"/>
    </xf>
    <xf numFmtId="0" fontId="12" fillId="0" borderId="4" xfId="30" applyBorder="1" applyAlignment="1">
      <alignment horizontal="center"/>
    </xf>
    <xf numFmtId="165" fontId="12" fillId="9" borderId="18" xfId="30" applyNumberFormat="1" applyFill="1" applyBorder="1" applyAlignment="1">
      <alignment horizontal="center" vertical="center"/>
    </xf>
    <xf numFmtId="165" fontId="12" fillId="0" borderId="2" xfId="30" applyNumberFormat="1" applyBorder="1" applyAlignment="1">
      <alignment horizontal="center" vertical="center"/>
    </xf>
    <xf numFmtId="165" fontId="12" fillId="0" borderId="4" xfId="30" applyNumberFormat="1" applyBorder="1" applyAlignment="1">
      <alignment horizontal="center" vertical="center"/>
    </xf>
    <xf numFmtId="165" fontId="12" fillId="0" borderId="18" xfId="30" applyNumberFormat="1" applyBorder="1" applyAlignment="1">
      <alignment horizontal="center" vertical="center"/>
    </xf>
    <xf numFmtId="165" fontId="12" fillId="4" borderId="18" xfId="30" applyNumberFormat="1" applyFill="1" applyBorder="1" applyAlignment="1">
      <alignment horizontal="center" vertical="center"/>
    </xf>
    <xf numFmtId="165" fontId="12" fillId="0" borderId="23" xfId="30" applyNumberFormat="1" applyBorder="1" applyAlignment="1">
      <alignment horizontal="center" vertical="center"/>
    </xf>
    <xf numFmtId="165" fontId="12" fillId="0" borderId="11" xfId="30" applyNumberFormat="1" applyBorder="1" applyAlignment="1">
      <alignment horizontal="center" vertical="center"/>
    </xf>
    <xf numFmtId="0" fontId="16" fillId="0" borderId="0" xfId="21"/>
    <xf numFmtId="0" fontId="29" fillId="0" borderId="0" xfId="2"/>
    <xf numFmtId="0" fontId="29" fillId="0" borderId="0" xfId="2" applyAlignment="1">
      <alignment horizontal="center"/>
    </xf>
    <xf numFmtId="165" fontId="16" fillId="0" borderId="0" xfId="21" applyNumberFormat="1"/>
    <xf numFmtId="0" fontId="16" fillId="0" borderId="0" xfId="21" applyAlignment="1">
      <alignment horizontal="center"/>
    </xf>
    <xf numFmtId="2" fontId="16" fillId="0" borderId="0" xfId="21" applyNumberFormat="1" applyAlignment="1">
      <alignment horizontal="center"/>
    </xf>
    <xf numFmtId="0" fontId="58" fillId="0" borderId="0" xfId="0" applyFont="1" applyAlignment="1">
      <alignment horizontal="center" vertical="center" wrapText="1"/>
    </xf>
    <xf numFmtId="167" fontId="60" fillId="12" borderId="28" xfId="1" applyNumberFormat="1" applyFont="1" applyFill="1" applyBorder="1" applyAlignment="1">
      <alignment horizontal="center" vertical="center" wrapText="1"/>
    </xf>
    <xf numFmtId="2" fontId="39" fillId="12" borderId="25" xfId="1" applyNumberFormat="1" applyFont="1" applyFill="1" applyBorder="1" applyAlignment="1">
      <alignment horizontal="center" vertical="center" wrapText="1"/>
    </xf>
    <xf numFmtId="167" fontId="39" fillId="12" borderId="26" xfId="1" applyNumberFormat="1" applyFont="1" applyFill="1" applyBorder="1" applyAlignment="1">
      <alignment horizontal="center" vertical="center" wrapText="1"/>
    </xf>
    <xf numFmtId="167" fontId="60" fillId="12" borderId="27" xfId="1" applyNumberFormat="1" applyFont="1" applyFill="1" applyBorder="1" applyAlignment="1">
      <alignment horizontal="left" vertical="center" wrapText="1" indent="1"/>
    </xf>
    <xf numFmtId="2" fontId="63" fillId="13" borderId="29" xfId="1" applyNumberFormat="1" applyFont="1" applyFill="1" applyBorder="1" applyAlignment="1">
      <alignment horizontal="center" vertical="center"/>
    </xf>
    <xf numFmtId="0" fontId="29" fillId="0" borderId="0" xfId="0" applyFont="1"/>
    <xf numFmtId="2" fontId="63" fillId="4" borderId="29" xfId="1" applyNumberFormat="1" applyFont="1" applyFill="1" applyBorder="1" applyAlignment="1">
      <alignment horizontal="center" vertical="center"/>
    </xf>
    <xf numFmtId="44" fontId="0" fillId="0" borderId="0" xfId="1" applyFont="1"/>
    <xf numFmtId="165" fontId="29" fillId="0" borderId="0" xfId="2" applyNumberFormat="1" applyAlignment="1">
      <alignment horizontal="center"/>
    </xf>
    <xf numFmtId="165" fontId="16" fillId="0" borderId="0" xfId="21" applyNumberFormat="1" applyAlignment="1">
      <alignment horizontal="center"/>
    </xf>
    <xf numFmtId="9" fontId="25" fillId="7" borderId="4" xfId="13" applyFont="1" applyFill="1" applyBorder="1"/>
    <xf numFmtId="16" fontId="0" fillId="0" borderId="0" xfId="0" applyNumberFormat="1"/>
    <xf numFmtId="165" fontId="12" fillId="0" borderId="0" xfId="29" applyNumberForma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/>
    <xf numFmtId="0" fontId="30" fillId="23" borderId="0" xfId="0" applyFont="1" applyFill="1"/>
    <xf numFmtId="0" fontId="0" fillId="0" borderId="0" xfId="0" applyAlignment="1">
      <alignment horizontal="center"/>
    </xf>
    <xf numFmtId="0" fontId="30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30" fillId="9" borderId="0" xfId="0" applyFont="1" applyFill="1"/>
    <xf numFmtId="0" fontId="67" fillId="0" borderId="0" xfId="0" applyFont="1" applyAlignment="1">
      <alignment horizontal="center"/>
    </xf>
    <xf numFmtId="0" fontId="9" fillId="2" borderId="0" xfId="34" applyFill="1"/>
    <xf numFmtId="0" fontId="38" fillId="0" borderId="0" xfId="34" applyFont="1" applyAlignment="1">
      <alignment horizontal="center"/>
    </xf>
    <xf numFmtId="0" fontId="9" fillId="0" borderId="0" xfId="34" applyAlignment="1">
      <alignment horizontal="center"/>
    </xf>
    <xf numFmtId="169" fontId="50" fillId="0" borderId="0" xfId="34" applyNumberFormat="1" applyFont="1" applyAlignment="1">
      <alignment horizontal="center"/>
    </xf>
    <xf numFmtId="169" fontId="9" fillId="0" borderId="0" xfId="34" applyNumberFormat="1" applyAlignment="1">
      <alignment horizontal="center"/>
    </xf>
    <xf numFmtId="2" fontId="9" fillId="0" borderId="0" xfId="34" applyNumberFormat="1" applyAlignment="1">
      <alignment horizontal="center"/>
    </xf>
    <xf numFmtId="2" fontId="50" fillId="0" borderId="0" xfId="34" applyNumberFormat="1" applyFont="1" applyAlignment="1">
      <alignment horizontal="center"/>
    </xf>
    <xf numFmtId="49" fontId="9" fillId="0" borderId="0" xfId="34" applyNumberFormat="1" applyAlignment="1">
      <alignment horizontal="center"/>
    </xf>
    <xf numFmtId="0" fontId="65" fillId="0" borderId="0" xfId="34" applyFont="1" applyAlignment="1">
      <alignment horizontal="center"/>
    </xf>
    <xf numFmtId="169" fontId="0" fillId="0" borderId="0" xfId="0" applyNumberFormat="1"/>
    <xf numFmtId="0" fontId="9" fillId="0" borderId="0" xfId="34"/>
    <xf numFmtId="2" fontId="50" fillId="3" borderId="0" xfId="34" applyNumberFormat="1" applyFont="1" applyFill="1" applyAlignment="1">
      <alignment horizontal="center"/>
    </xf>
    <xf numFmtId="0" fontId="50" fillId="0" borderId="0" xfId="34" applyFont="1" applyAlignment="1">
      <alignment horizontal="center"/>
    </xf>
    <xf numFmtId="165" fontId="9" fillId="0" borderId="0" xfId="34" applyNumberFormat="1"/>
    <xf numFmtId="0" fontId="69" fillId="0" borderId="0" xfId="0" applyFont="1" applyAlignment="1">
      <alignment horizontal="center"/>
    </xf>
    <xf numFmtId="2" fontId="30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/>
    </xf>
    <xf numFmtId="2" fontId="29" fillId="0" borderId="0" xfId="0" applyNumberFormat="1" applyFont="1" applyAlignment="1">
      <alignment horizontal="center"/>
    </xf>
    <xf numFmtId="2" fontId="0" fillId="0" borderId="0" xfId="0" applyNumberFormat="1"/>
    <xf numFmtId="1" fontId="30" fillId="0" borderId="0" xfId="0" applyNumberFormat="1" applyFont="1" applyAlignment="1">
      <alignment horizontal="center"/>
    </xf>
    <xf numFmtId="0" fontId="0" fillId="19" borderId="0" xfId="0" applyFill="1" applyAlignment="1">
      <alignment horizontal="center" vertical="center"/>
    </xf>
    <xf numFmtId="2" fontId="29" fillId="0" borderId="0" xfId="0" applyNumberFormat="1" applyFont="1"/>
    <xf numFmtId="0" fontId="0" fillId="2" borderId="0" xfId="0" applyFill="1"/>
    <xf numFmtId="0" fontId="29" fillId="16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9" fillId="4" borderId="0" xfId="0" applyFont="1" applyFill="1" applyAlignment="1">
      <alignment horizontal="center" vertical="center"/>
    </xf>
    <xf numFmtId="0" fontId="29" fillId="0" borderId="0" xfId="0" applyFont="1" applyAlignment="1">
      <alignment vertical="center"/>
    </xf>
    <xf numFmtId="0" fontId="70" fillId="0" borderId="0" xfId="0" applyFont="1"/>
    <xf numFmtId="2" fontId="71" fillId="0" borderId="0" xfId="0" applyNumberFormat="1" applyFont="1" applyAlignment="1">
      <alignment horizontal="center"/>
    </xf>
    <xf numFmtId="0" fontId="71" fillId="0" borderId="0" xfId="0" applyFont="1" applyAlignment="1">
      <alignment horizontal="center" vertical="center"/>
    </xf>
    <xf numFmtId="0" fontId="70" fillId="0" borderId="0" xfId="0" applyFont="1" applyAlignment="1">
      <alignment horizontal="center"/>
    </xf>
    <xf numFmtId="0" fontId="70" fillId="0" borderId="0" xfId="0" applyFont="1" applyAlignment="1">
      <alignment horizontal="left" vertical="center"/>
    </xf>
    <xf numFmtId="1" fontId="70" fillId="0" borderId="0" xfId="0" applyNumberFormat="1" applyFont="1" applyAlignment="1">
      <alignment horizontal="center"/>
    </xf>
    <xf numFmtId="0" fontId="70" fillId="2" borderId="0" xfId="0" applyFont="1" applyFill="1"/>
    <xf numFmtId="0" fontId="72" fillId="0" borderId="0" xfId="0" applyFont="1" applyAlignment="1">
      <alignment horizontal="center"/>
    </xf>
    <xf numFmtId="0" fontId="73" fillId="0" borderId="0" xfId="34" applyFont="1" applyAlignment="1">
      <alignment horizontal="center"/>
    </xf>
    <xf numFmtId="0" fontId="70" fillId="0" borderId="0" xfId="0" applyFont="1" applyAlignment="1">
      <alignment horizontal="center" vertical="center"/>
    </xf>
    <xf numFmtId="1" fontId="71" fillId="0" borderId="0" xfId="0" applyNumberFormat="1" applyFont="1" applyAlignment="1">
      <alignment horizontal="center"/>
    </xf>
    <xf numFmtId="1" fontId="74" fillId="0" borderId="0" xfId="0" applyNumberFormat="1" applyFont="1" applyAlignment="1">
      <alignment horizontal="center"/>
    </xf>
    <xf numFmtId="0" fontId="74" fillId="0" borderId="0" xfId="0" applyFont="1" applyAlignment="1">
      <alignment horizontal="center"/>
    </xf>
    <xf numFmtId="0" fontId="29" fillId="2" borderId="0" xfId="2" applyFill="1"/>
    <xf numFmtId="44" fontId="29" fillId="0" borderId="0" xfId="1" applyFont="1" applyFill="1" applyAlignment="1">
      <alignment horizontal="center"/>
    </xf>
    <xf numFmtId="44" fontId="0" fillId="0" borderId="0" xfId="1" applyFont="1" applyFill="1"/>
    <xf numFmtId="165" fontId="25" fillId="0" borderId="0" xfId="0" applyNumberFormat="1" applyFont="1" applyAlignment="1">
      <alignment horizontal="center" vertical="top"/>
    </xf>
    <xf numFmtId="14" fontId="26" fillId="0" borderId="0" xfId="0" applyNumberFormat="1" applyFont="1" applyAlignment="1">
      <alignment horizontal="right" vertical="center"/>
    </xf>
    <xf numFmtId="1" fontId="29" fillId="0" borderId="0" xfId="0" applyNumberFormat="1" applyFont="1"/>
    <xf numFmtId="2" fontId="0" fillId="0" borderId="0" xfId="0" applyNumberFormat="1" applyAlignment="1">
      <alignment horizontal="center"/>
    </xf>
    <xf numFmtId="2" fontId="12" fillId="0" borderId="0" xfId="29" applyNumberFormat="1" applyAlignment="1">
      <alignment horizontal="center"/>
    </xf>
    <xf numFmtId="0" fontId="29" fillId="0" borderId="0" xfId="0" applyFont="1" applyAlignment="1">
      <alignment horizontal="left"/>
    </xf>
    <xf numFmtId="2" fontId="63" fillId="13" borderId="31" xfId="1" applyNumberFormat="1" applyFont="1" applyFill="1" applyBorder="1" applyAlignment="1">
      <alignment horizontal="center" vertical="center"/>
    </xf>
    <xf numFmtId="0" fontId="60" fillId="11" borderId="32" xfId="0" applyFont="1" applyFill="1" applyBorder="1" applyAlignment="1">
      <alignment horizontal="center" vertical="center" wrapText="1"/>
    </xf>
    <xf numFmtId="2" fontId="61" fillId="12" borderId="33" xfId="1" applyNumberFormat="1" applyFont="1" applyFill="1" applyBorder="1" applyAlignment="1">
      <alignment horizontal="left" vertical="center" wrapText="1" indent="1"/>
    </xf>
    <xf numFmtId="0" fontId="60" fillId="12" borderId="34" xfId="1" applyNumberFormat="1" applyFont="1" applyFill="1" applyBorder="1" applyAlignment="1">
      <alignment horizontal="center" vertical="center" wrapText="1"/>
    </xf>
    <xf numFmtId="167" fontId="60" fillId="12" borderId="35" xfId="1" applyNumberFormat="1" applyFont="1" applyFill="1" applyBorder="1" applyAlignment="1">
      <alignment horizontal="center" vertical="center" wrapText="1"/>
    </xf>
    <xf numFmtId="167" fontId="60" fillId="12" borderId="36" xfId="1" applyNumberFormat="1" applyFont="1" applyFill="1" applyBorder="1" applyAlignment="1">
      <alignment horizontal="center" vertical="center" wrapText="1"/>
    </xf>
    <xf numFmtId="2" fontId="64" fillId="7" borderId="37" xfId="1" applyNumberFormat="1" applyFont="1" applyFill="1" applyBorder="1" applyAlignment="1">
      <alignment horizontal="center" vertical="center"/>
    </xf>
    <xf numFmtId="0" fontId="62" fillId="0" borderId="15" xfId="0" applyFont="1" applyBorder="1" applyAlignment="1">
      <alignment horizontal="left" vertical="center" wrapText="1" indent="1"/>
    </xf>
    <xf numFmtId="2" fontId="63" fillId="0" borderId="15" xfId="1" applyNumberFormat="1" applyFont="1" applyFill="1" applyBorder="1" applyAlignment="1">
      <alignment horizontal="center" vertical="center"/>
    </xf>
    <xf numFmtId="167" fontId="63" fillId="0" borderId="15" xfId="1" applyNumberFormat="1" applyFont="1" applyFill="1" applyBorder="1" applyAlignment="1">
      <alignment horizontal="center" vertical="center"/>
    </xf>
    <xf numFmtId="169" fontId="63" fillId="0" borderId="15" xfId="1" applyNumberFormat="1" applyFont="1" applyFill="1" applyBorder="1" applyAlignment="1">
      <alignment horizontal="center" vertical="center"/>
    </xf>
    <xf numFmtId="0" fontId="0" fillId="0" borderId="15" xfId="0" applyBorder="1"/>
    <xf numFmtId="49" fontId="35" fillId="0" borderId="15" xfId="31" applyNumberFormat="1" applyFont="1" applyBorder="1" applyAlignment="1">
      <alignment horizontal="center"/>
    </xf>
    <xf numFmtId="49" fontId="56" fillId="0" borderId="15" xfId="31" applyNumberFormat="1" applyFont="1" applyBorder="1" applyAlignment="1">
      <alignment horizontal="center"/>
    </xf>
    <xf numFmtId="167" fontId="63" fillId="0" borderId="38" xfId="1" applyNumberFormat="1" applyFont="1" applyFill="1" applyBorder="1" applyAlignment="1">
      <alignment horizontal="center" vertical="center"/>
    </xf>
    <xf numFmtId="44" fontId="32" fillId="0" borderId="0" xfId="1" applyFont="1" applyFill="1" applyBorder="1" applyAlignment="1">
      <alignment horizontal="right"/>
    </xf>
    <xf numFmtId="0" fontId="8" fillId="0" borderId="0" xfId="29" applyFont="1"/>
    <xf numFmtId="0" fontId="8" fillId="0" borderId="0" xfId="29" applyFont="1" applyAlignment="1">
      <alignment horizontal="center"/>
    </xf>
    <xf numFmtId="0" fontId="29" fillId="17" borderId="0" xfId="2" applyFill="1"/>
    <xf numFmtId="0" fontId="29" fillId="17" borderId="0" xfId="2" applyFill="1" applyAlignment="1">
      <alignment horizontal="center"/>
    </xf>
    <xf numFmtId="165" fontId="16" fillId="17" borderId="0" xfId="21" applyNumberFormat="1" applyFill="1"/>
    <xf numFmtId="0" fontId="12" fillId="17" borderId="0" xfId="29" applyFill="1" applyAlignment="1">
      <alignment horizontal="center"/>
    </xf>
    <xf numFmtId="165" fontId="12" fillId="17" borderId="0" xfId="29" applyNumberFormat="1" applyFill="1"/>
    <xf numFmtId="44" fontId="8" fillId="0" borderId="0" xfId="1" applyFont="1"/>
    <xf numFmtId="9" fontId="8" fillId="0" borderId="0" xfId="8" applyFont="1"/>
    <xf numFmtId="9" fontId="8" fillId="0" borderId="0" xfId="8" applyFont="1" applyAlignment="1">
      <alignment horizontal="center"/>
    </xf>
    <xf numFmtId="2" fontId="8" fillId="4" borderId="0" xfId="8" applyNumberFormat="1" applyFont="1" applyFill="1" applyAlignment="1">
      <alignment horizontal="center" vertical="center"/>
    </xf>
    <xf numFmtId="2" fontId="8" fillId="0" borderId="0" xfId="8" applyNumberFormat="1" applyFont="1" applyAlignment="1">
      <alignment horizontal="center" vertical="center"/>
    </xf>
    <xf numFmtId="165" fontId="8" fillId="0" borderId="0" xfId="29" applyNumberFormat="1" applyFont="1" applyAlignment="1">
      <alignment horizontal="center"/>
    </xf>
    <xf numFmtId="9" fontId="8" fillId="0" borderId="0" xfId="13" applyFont="1" applyFill="1"/>
    <xf numFmtId="165" fontId="8" fillId="0" borderId="0" xfId="1" applyNumberFormat="1" applyFont="1"/>
    <xf numFmtId="10" fontId="8" fillId="0" borderId="0" xfId="8" applyNumberFormat="1" applyFont="1"/>
    <xf numFmtId="0" fontId="8" fillId="0" borderId="0" xfId="30" applyFont="1"/>
    <xf numFmtId="0" fontId="8" fillId="0" borderId="0" xfId="34" applyFont="1" applyAlignment="1">
      <alignment horizontal="center"/>
    </xf>
    <xf numFmtId="49" fontId="8" fillId="0" borderId="0" xfId="34" applyNumberFormat="1" applyFont="1" applyAlignment="1">
      <alignment horizontal="center"/>
    </xf>
    <xf numFmtId="169" fontId="8" fillId="0" borderId="0" xfId="34" applyNumberFormat="1" applyFont="1" applyAlignment="1">
      <alignment horizontal="center"/>
    </xf>
    <xf numFmtId="2" fontId="8" fillId="0" borderId="0" xfId="34" applyNumberFormat="1" applyFont="1" applyAlignment="1">
      <alignment horizontal="center"/>
    </xf>
    <xf numFmtId="0" fontId="8" fillId="0" borderId="0" xfId="34" applyFont="1"/>
    <xf numFmtId="49" fontId="8" fillId="0" borderId="15" xfId="31" applyNumberFormat="1" applyFont="1" applyBorder="1" applyAlignment="1">
      <alignment horizontal="center"/>
    </xf>
    <xf numFmtId="49" fontId="7" fillId="0" borderId="0" xfId="34" applyNumberFormat="1" applyFont="1" applyAlignment="1">
      <alignment horizontal="center"/>
    </xf>
    <xf numFmtId="0" fontId="7" fillId="0" borderId="0" xfId="34" applyFont="1" applyAlignment="1">
      <alignment horizontal="center"/>
    </xf>
    <xf numFmtId="0" fontId="9" fillId="4" borderId="0" xfId="34" applyFill="1" applyAlignment="1">
      <alignment horizontal="center"/>
    </xf>
    <xf numFmtId="49" fontId="7" fillId="0" borderId="15" xfId="31" applyNumberFormat="1" applyFont="1" applyBorder="1" applyAlignment="1">
      <alignment horizontal="center"/>
    </xf>
    <xf numFmtId="0" fontId="7" fillId="0" borderId="0" xfId="29" applyFont="1" applyAlignment="1">
      <alignment horizontal="center"/>
    </xf>
    <xf numFmtId="165" fontId="7" fillId="17" borderId="0" xfId="29" applyNumberFormat="1" applyFont="1" applyFill="1"/>
    <xf numFmtId="165" fontId="8" fillId="17" borderId="0" xfId="8" applyNumberFormat="1" applyFont="1" applyFill="1"/>
    <xf numFmtId="0" fontId="6" fillId="0" borderId="0" xfId="29" applyFont="1"/>
    <xf numFmtId="0" fontId="4" fillId="0" borderId="0" xfId="21" applyFont="1"/>
    <xf numFmtId="0" fontId="68" fillId="0" borderId="0" xfId="0" applyFont="1"/>
    <xf numFmtId="0" fontId="5" fillId="0" borderId="0" xfId="34" applyFont="1" applyAlignment="1">
      <alignment horizontal="center"/>
    </xf>
    <xf numFmtId="2" fontId="12" fillId="17" borderId="0" xfId="29" applyNumberFormat="1" applyFill="1" applyAlignment="1">
      <alignment horizontal="center"/>
    </xf>
    <xf numFmtId="0" fontId="3" fillId="0" borderId="0" xfId="29" applyFont="1"/>
    <xf numFmtId="0" fontId="3" fillId="17" borderId="0" xfId="29" applyFont="1" applyFill="1"/>
    <xf numFmtId="0" fontId="8" fillId="17" borderId="0" xfId="29" applyFont="1" applyFill="1"/>
    <xf numFmtId="0" fontId="12" fillId="17" borderId="0" xfId="29" applyFill="1"/>
    <xf numFmtId="0" fontId="3" fillId="17" borderId="0" xfId="29" applyFont="1" applyFill="1" applyAlignment="1">
      <alignment horizontal="center"/>
    </xf>
    <xf numFmtId="0" fontId="3" fillId="0" borderId="0" xfId="29" applyFont="1" applyAlignment="1">
      <alignment horizontal="center"/>
    </xf>
    <xf numFmtId="44" fontId="25" fillId="17" borderId="4" xfId="1" applyFont="1" applyFill="1" applyBorder="1" applyAlignment="1">
      <alignment horizontal="left"/>
    </xf>
    <xf numFmtId="44" fontId="25" fillId="17" borderId="6" xfId="1" applyFont="1" applyFill="1" applyBorder="1" applyAlignment="1">
      <alignment horizontal="left"/>
    </xf>
    <xf numFmtId="0" fontId="29" fillId="17" borderId="0" xfId="2" applyFill="1" applyAlignment="1">
      <alignment horizontal="center" vertical="top" wrapText="1"/>
    </xf>
    <xf numFmtId="0" fontId="29" fillId="17" borderId="0" xfId="2" applyFill="1" applyAlignment="1">
      <alignment horizontal="center" wrapText="1"/>
    </xf>
    <xf numFmtId="165" fontId="16" fillId="17" borderId="15" xfId="21" applyNumberFormat="1" applyFill="1" applyBorder="1"/>
    <xf numFmtId="0" fontId="1" fillId="0" borderId="0" xfId="29" applyFont="1"/>
    <xf numFmtId="0" fontId="1" fillId="2" borderId="0" xfId="29" applyFont="1" applyFill="1"/>
    <xf numFmtId="165" fontId="1" fillId="17" borderId="0" xfId="29" applyNumberFormat="1" applyFont="1" applyFill="1" applyAlignment="1">
      <alignment wrapText="1"/>
    </xf>
    <xf numFmtId="0" fontId="12" fillId="17" borderId="15" xfId="29" applyFill="1" applyBorder="1"/>
    <xf numFmtId="0" fontId="1" fillId="19" borderId="0" xfId="29" applyFont="1" applyFill="1"/>
    <xf numFmtId="165" fontId="12" fillId="19" borderId="0" xfId="29" applyNumberFormat="1" applyFill="1"/>
    <xf numFmtId="0" fontId="4" fillId="19" borderId="15" xfId="21" applyFont="1" applyFill="1" applyBorder="1"/>
    <xf numFmtId="0" fontId="2" fillId="19" borderId="15" xfId="21" applyFont="1" applyFill="1" applyBorder="1" applyAlignment="1">
      <alignment horizontal="center"/>
    </xf>
    <xf numFmtId="165" fontId="16" fillId="19" borderId="15" xfId="21" applyNumberFormat="1" applyFill="1" applyBorder="1"/>
    <xf numFmtId="165" fontId="1" fillId="0" borderId="0" xfId="29" applyNumberFormat="1" applyFont="1" applyAlignment="1">
      <alignment wrapText="1"/>
    </xf>
    <xf numFmtId="165" fontId="8" fillId="0" borderId="0" xfId="8" applyNumberFormat="1" applyFont="1" applyFill="1"/>
    <xf numFmtId="0" fontId="1" fillId="0" borderId="0" xfId="30" applyFont="1" applyAlignment="1">
      <alignment horizontal="right"/>
    </xf>
    <xf numFmtId="9" fontId="25" fillId="0" borderId="0" xfId="13" applyFont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8" fillId="3" borderId="2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49" fontId="26" fillId="0" borderId="0" xfId="0" applyNumberFormat="1" applyFont="1" applyAlignment="1">
      <alignment horizontal="center"/>
    </xf>
    <xf numFmtId="0" fontId="26" fillId="0" borderId="0" xfId="2" applyFont="1" applyAlignment="1">
      <alignment vertical="top" wrapText="1"/>
    </xf>
    <xf numFmtId="0" fontId="28" fillId="0" borderId="3" xfId="0" applyFont="1" applyBorder="1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165" fontId="26" fillId="0" borderId="0" xfId="0" applyNumberFormat="1" applyFont="1" applyAlignment="1">
      <alignment horizontal="center"/>
    </xf>
    <xf numFmtId="0" fontId="26" fillId="0" borderId="0" xfId="0" quotePrefix="1" applyFont="1" applyAlignment="1">
      <alignment vertical="top" wrapText="1"/>
    </xf>
    <xf numFmtId="0" fontId="30" fillId="0" borderId="0" xfId="0" applyFont="1" applyAlignment="1">
      <alignment vertical="top" wrapText="1"/>
    </xf>
    <xf numFmtId="0" fontId="27" fillId="2" borderId="0" xfId="0" applyFont="1" applyFill="1" applyAlignment="1">
      <alignment horizontal="center"/>
    </xf>
    <xf numFmtId="0" fontId="28" fillId="7" borderId="1" xfId="0" applyFont="1" applyFill="1" applyBorder="1" applyAlignment="1">
      <alignment horizontal="center"/>
    </xf>
    <xf numFmtId="0" fontId="28" fillId="7" borderId="2" xfId="0" applyFont="1" applyFill="1" applyBorder="1" applyAlignment="1">
      <alignment horizontal="center"/>
    </xf>
    <xf numFmtId="0" fontId="26" fillId="6" borderId="0" xfId="2" applyFont="1" applyFill="1" applyAlignment="1">
      <alignment horizontal="center"/>
    </xf>
    <xf numFmtId="0" fontId="30" fillId="8" borderId="12" xfId="2" applyFont="1" applyFill="1" applyBorder="1" applyAlignment="1">
      <alignment horizontal="left"/>
    </xf>
    <xf numFmtId="0" fontId="30" fillId="8" borderId="13" xfId="2" applyFont="1" applyFill="1" applyBorder="1" applyAlignment="1">
      <alignment horizontal="left"/>
    </xf>
    <xf numFmtId="0" fontId="30" fillId="8" borderId="14" xfId="2" applyFont="1" applyFill="1" applyBorder="1" applyAlignment="1">
      <alignment horizontal="left"/>
    </xf>
    <xf numFmtId="0" fontId="12" fillId="16" borderId="0" xfId="29" applyFill="1" applyAlignment="1">
      <alignment horizontal="right" vertical="center"/>
    </xf>
    <xf numFmtId="0" fontId="30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14" fontId="66" fillId="9" borderId="0" xfId="0" applyNumberFormat="1" applyFont="1" applyFill="1" applyAlignment="1">
      <alignment horizontal="center" vertical="center"/>
    </xf>
    <xf numFmtId="0" fontId="70" fillId="19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67" fillId="0" borderId="30" xfId="0" applyFont="1" applyBorder="1" applyAlignment="1">
      <alignment horizontal="center"/>
    </xf>
    <xf numFmtId="0" fontId="9" fillId="0" borderId="0" xfId="34" applyAlignment="1">
      <alignment horizontal="center"/>
    </xf>
    <xf numFmtId="0" fontId="0" fillId="19" borderId="0" xfId="0" applyFill="1" applyAlignment="1">
      <alignment horizontal="center" vertical="center"/>
    </xf>
    <xf numFmtId="0" fontId="29" fillId="16" borderId="0" xfId="0" applyFont="1" applyFill="1" applyAlignment="1">
      <alignment horizontal="center" vertical="center"/>
    </xf>
    <xf numFmtId="44" fontId="59" fillId="4" borderId="24" xfId="1" applyFont="1" applyFill="1" applyBorder="1" applyAlignment="1">
      <alignment horizontal="center" vertical="center"/>
    </xf>
    <xf numFmtId="44" fontId="39" fillId="13" borderId="24" xfId="1" applyFont="1" applyFill="1" applyBorder="1" applyAlignment="1">
      <alignment horizontal="center" vertical="center"/>
    </xf>
    <xf numFmtId="0" fontId="54" fillId="8" borderId="12" xfId="2" applyFont="1" applyFill="1" applyBorder="1" applyAlignment="1">
      <alignment horizontal="left"/>
    </xf>
    <xf numFmtId="0" fontId="54" fillId="8" borderId="13" xfId="2" applyFont="1" applyFill="1" applyBorder="1" applyAlignment="1">
      <alignment horizontal="left"/>
    </xf>
    <xf numFmtId="0" fontId="54" fillId="8" borderId="14" xfId="2" applyFont="1" applyFill="1" applyBorder="1" applyAlignment="1">
      <alignment horizontal="left"/>
    </xf>
    <xf numFmtId="164" fontId="40" fillId="3" borderId="16" xfId="11" applyFont="1" applyFill="1" applyBorder="1" applyAlignment="1">
      <alignment horizontal="center" vertical="center"/>
    </xf>
    <xf numFmtId="164" fontId="40" fillId="3" borderId="17" xfId="11" applyFont="1" applyFill="1" applyBorder="1" applyAlignment="1">
      <alignment horizontal="center" vertical="center"/>
    </xf>
    <xf numFmtId="164" fontId="40" fillId="3" borderId="15" xfId="11" applyFont="1" applyFill="1" applyBorder="1" applyAlignment="1">
      <alignment horizontal="center" vertical="center"/>
    </xf>
  </cellXfs>
  <cellStyles count="35">
    <cellStyle name="Currency" xfId="1" builtinId="4"/>
    <cellStyle name="Currency 2" xfId="11" xr:uid="{0F36E1A5-CB5D-4992-954A-997EEF2C4DE9}"/>
    <cellStyle name="Currency 2 2" xfId="7" xr:uid="{2B9E41DE-C7A5-4C91-AEE7-6F12FF94B021}"/>
    <cellStyle name="Currency 3" xfId="19" xr:uid="{4F0E7E2F-B6EA-4272-A67B-2DDB7D52BE3E}"/>
    <cellStyle name="Currency 4" xfId="24" xr:uid="{3CAD2907-F4E2-423B-9F6B-B03CA53F40F0}"/>
    <cellStyle name="Currency 5" xfId="33" xr:uid="{569C8DAD-2426-4BF9-9589-67E0CC3E900C}"/>
    <cellStyle name="Followed Hyperlink" xfId="3" builtinId="9"/>
    <cellStyle name="Normal" xfId="0" builtinId="0"/>
    <cellStyle name="Normal 2" xfId="14" xr:uid="{DEDA53BE-A214-4E85-B2FA-69CFB0522529}"/>
    <cellStyle name="Normal 2 2" xfId="21" xr:uid="{75629364-26C7-4564-9BED-8472A2C11563}"/>
    <cellStyle name="Normal 2 3" xfId="23" xr:uid="{E75120C2-9BC7-4AF6-BC4E-7C996BD5BE4E}"/>
    <cellStyle name="Normal 2 3 2" xfId="26" xr:uid="{A28A399D-24EC-4D4E-932B-BFD04A661E20}"/>
    <cellStyle name="Normal 2 4" xfId="29" xr:uid="{97DC3876-7D85-4512-956B-F6D807FE5FC3}"/>
    <cellStyle name="Normal 2 5" xfId="31" xr:uid="{6F7B53F7-54FE-4284-A43F-B28A3E665BB4}"/>
    <cellStyle name="Normal 2 6" xfId="34" xr:uid="{989FAF31-CCB6-417B-B9B8-FD76B63F6EE8}"/>
    <cellStyle name="Normal 3" xfId="2" xr:uid="{9DB87A04-4662-4A03-AD06-A57FE4DF5D45}"/>
    <cellStyle name="Normal 3 3" xfId="5" xr:uid="{7A08F4E8-F3A9-4598-AFB3-1455902BB986}"/>
    <cellStyle name="Normal 4" xfId="9" xr:uid="{0200D17B-5120-4D40-9452-487279D71696}"/>
    <cellStyle name="Normal 4 2" xfId="15" xr:uid="{6E5A5E9F-2F89-4EDA-940C-8CA300B43DF1}"/>
    <cellStyle name="Normal 4 2 2" xfId="25" xr:uid="{3755B561-7432-450A-BB1C-632DDF2BF7E7}"/>
    <cellStyle name="Normal 4 2 2 2" xfId="27" xr:uid="{15842591-BCAF-408A-8010-DC3FE8328931}"/>
    <cellStyle name="Normal 4 2 3" xfId="30" xr:uid="{603BDD31-C682-45FD-9386-8D5013131F67}"/>
    <cellStyle name="Normal 4 3" xfId="22" xr:uid="{8AB2D021-6C6B-4A0F-8BD8-7E006F386A8A}"/>
    <cellStyle name="Normal 5" xfId="10" xr:uid="{4267C145-1C1C-4F66-BE13-E064C6D154BB}"/>
    <cellStyle name="Normal 6" xfId="16" xr:uid="{953BDF38-8A29-4A99-A7F9-83C9AE81CF6A}"/>
    <cellStyle name="Normal 6 2" xfId="28" xr:uid="{AB19DAAF-9A11-4F01-ADF2-A83FECC59273}"/>
    <cellStyle name="Normal 7" xfId="18" xr:uid="{880BE257-2902-4E63-A69E-CF1B81F0EEDF}"/>
    <cellStyle name="Normal 8" xfId="32" xr:uid="{A037A296-6B1C-4CBE-B632-B25C4AE102C6}"/>
    <cellStyle name="Percent" xfId="13" builtinId="5"/>
    <cellStyle name="Percent 2" xfId="4" xr:uid="{F8A25D66-9B73-47BF-ABB2-2AF10B657DC7}"/>
    <cellStyle name="Percent 2 3" xfId="6" xr:uid="{0F378FFB-25DC-4A03-84CE-30630D7AF09A}"/>
    <cellStyle name="Percent 2 3 2" xfId="17" xr:uid="{558D3A72-A4CF-4ADA-B0DD-078ADB353E2F}"/>
    <cellStyle name="Percent 2 3 2 2" xfId="20" xr:uid="{6ABF7C33-7B93-497C-978B-94D677A1BAB8}"/>
    <cellStyle name="Percent 3" xfId="8" xr:uid="{10315948-B944-451E-8C9D-0BC9D260E69F}"/>
    <cellStyle name="Percent 4" xfId="12" xr:uid="{F4CBC213-B47F-4BEE-B90B-DF9CC4130F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438746</xdr:colOff>
      <xdr:row>0</xdr:row>
      <xdr:rowOff>58973</xdr:rowOff>
    </xdr:from>
    <xdr:to>
      <xdr:col>8</xdr:col>
      <xdr:colOff>1558886</xdr:colOff>
      <xdr:row>4</xdr:row>
      <xdr:rowOff>127553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9856D3-DE76-468D-80AC-78E0C6917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8376" y="58973"/>
          <a:ext cx="1120140" cy="11453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tony.rieck\My%20Documents\60%20Richards%20St%20Loganlea%20Costings%20V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ings V1"/>
      <sheetName val="Preliminaries"/>
      <sheetName val="Earthworks &amp; Roadworks Dave T"/>
      <sheetName val="Earthworks &amp; Roadworks"/>
      <sheetName val="Stormwater Costing"/>
      <sheetName val="Stormwater Drainage"/>
      <sheetName val="Water Costing"/>
      <sheetName val="Water"/>
      <sheetName val="Sewer Costing  "/>
      <sheetName val="Sewer"/>
      <sheetName val="Prelim inaries"/>
      <sheetName val="Prelim N6inarie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enis Zhong - TCS" id="{D238A438-1EFA-47D5-A4BC-8B8D66E64E46}" userId="S::denis.z@tricorecivil.com.au::b883df4c-e0af-41bc-98f9-8d282840690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6" dT="2026-07-17T02:16:53.61" personId="{D238A438-1EFA-47D5-A4BC-8B8D66E64E46}" id="{F5453FB5-4DF2-450A-A0D3-6120969556BC}">
    <text xml:space="preserve">Atlan estiamte include transport, could not quote accurate due to lack of specific model number </text>
  </threadedComment>
  <threadedComment ref="W10" dT="2026-07-16T07:18:10.99" personId="{D238A438-1EFA-47D5-A4BC-8B8D66E64E46}" id="{F96704FA-4994-4269-BEEF-DCDEB3762922}">
    <text xml:space="preserve">Guess </text>
  </threadedComment>
  <threadedComment ref="W11" dT="2026-07-16T07:18:37.72" personId="{D238A438-1EFA-47D5-A4BC-8B8D66E64E46}" id="{B9BFE970-8AEB-4177-9CF6-267158B93BF0}">
    <text>guess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0" dT="2026-07-16T06:29:41.63" personId="{D238A438-1EFA-47D5-A4BC-8B8D66E64E46}" id="{111C7DAD-B92F-44D0-8143-3FC723FC17BE}">
    <text xml:space="preserve">2 length </text>
  </threadedComment>
  <threadedComment ref="C15" dT="2026-07-16T06:28:24.86" personId="{D238A438-1EFA-47D5-A4BC-8B8D66E64E46}" id="{A1919919-2857-4E1A-A6D9-51432AB59F1E}">
    <text>(Class3) 695 + (class 4) 31</text>
  </threadedComment>
  <threadedComment ref="E59" dT="2026-07-16T06:35:47.48" personId="{D238A438-1EFA-47D5-A4BC-8B8D66E64E46}" id="{C62DE94A-199E-408B-B10F-443EB61BB11A}">
    <text>guess</text>
  </threadedComment>
  <threadedComment ref="E60" dT="2026-07-16T06:36:01.19" personId="{D238A438-1EFA-47D5-A4BC-8B8D66E64E46}" id="{89811FE3-633C-4596-AC21-A69621C9DFEF}">
    <text>guess</text>
  </threadedComment>
  <threadedComment ref="E61" dT="2026-07-16T06:36:05.25" personId="{D238A438-1EFA-47D5-A4BC-8B8D66E64E46}" id="{AD851FA0-5CEB-4C31-A423-CDF1EA705EF4}">
    <text>guess</text>
  </threadedComment>
  <threadedComment ref="E63" dT="2026-07-16T06:39:19.90" personId="{D238A438-1EFA-47D5-A4BC-8B8D66E64E46}" id="{83EE6FFB-20AB-4966-91E0-C91D138791DA}">
    <text xml:space="preserve">Google AI estimate </text>
  </threadedComment>
  <threadedComment ref="C167" dT="2026-07-16T07:01:53.00" personId="{D238A438-1EFA-47D5-A4BC-8B8D66E64E46}" id="{2C3BE594-262F-421C-9FD8-FB41613A7725}">
    <text xml:space="preserve">ALL 1050 ALLOW FOR 900 high mh shaft , 1 of aspro and 1 of 900x600 cover </text>
  </threadedComment>
  <threadedComment ref="C175" dT="2026-07-16T07:05:01.11" personId="{D238A438-1EFA-47D5-A4BC-8B8D66E64E46}" id="{4C8713D1-46B2-4A3F-8106-B75D563A260D}">
    <text xml:space="preserve">1200 chamber allow for 1 of 1200 high ,2 of 900 high </text>
  </threadedComment>
  <threadedComment ref="C182" dT="2026-07-17T00:56:08.65" personId="{D238A438-1EFA-47D5-A4BC-8B8D66E64E46}" id="{48851080-59BB-4BDB-8546-A1C178BAB420}">
    <text xml:space="preserve">13 for 1050 chamber ,3 for 1200 chamber </text>
  </threadedComment>
  <threadedComment ref="E202" dT="2026-07-17T01:02:37.57" personId="{D238A438-1EFA-47D5-A4BC-8B8D66E64E46}" id="{7E6BCCD1-8CC7-4B7C-BE9B-DC2DEF5BFDCA}">
    <text>Previous project last year  quote as 1299</text>
  </threadedComment>
  <threadedComment ref="E243" dT="2026-07-17T01:30:03.62" personId="{D238A438-1EFA-47D5-A4BC-8B8D66E64E46}" id="{8BCD67A2-BA28-49D0-B26C-45C3034A005F}">
    <text xml:space="preserve">Reece quote consist 1x 48942- Pro200 Type 010 Channel 1m 2x 47270- Pro200 Fibretec Slotted Grate Sw 9mm 0.5m 2x 91125- Pro300 Screw C/sunk M10x80 2x 98220- Pro200 Locking Handle 550 </text>
  </threadedComment>
  <threadedComment ref="H243" dT="2026-07-17T01:30:03.62" personId="{D238A438-1EFA-47D5-A4BC-8B8D66E64E46}" id="{BC1D4119-C4F7-4BB9-A187-28FE508CE772}">
    <text xml:space="preserve">Reece quote consist 1x 48942- Pro200 Type 010 Channel 1m 2x 47270- Pro200 Fibretec Slotted Grate Sw 9mm 0.5m 2x 91125- Pro300 Screw C/sunk M10x80 2x 98220- Pro200 Locking Handle 550 </text>
  </threadedComment>
  <threadedComment ref="E247" dT="2026-07-17T01:31:18.18" personId="{D238A438-1EFA-47D5-A4BC-8B8D66E64E46}" id="{847E4AC7-64D4-4FE2-AB1D-6A4E9F440468}">
    <text xml:space="preserve">Reece qutoe 1m Consists Of: 1x 48942 Pro200 Type 010 Channel 1m 2x 12266 Pro200 Gtec Ductile Iron Grate Sw 9mm Ktl 0.5m 2x 91124 Pro200 Screw C/sunk M10 2x 98220 </text>
  </threadedComment>
  <threadedComment ref="H247" dT="2026-07-17T01:31:18.18" personId="{D238A438-1EFA-47D5-A4BC-8B8D66E64E46}" id="{BB043A62-866C-40A2-81C1-96B14201B5C7}">
    <text xml:space="preserve">Reece qutoe 1m Consists Of: 1x 48942 Pro200 Type 010 Channel 1m 2x 12266 Pro200 Gtec Ductile Iron Grate Sw 9mm Ktl 0.5m 2x 91124 Pro200 Screw C/sunk M10 2x 98220 </text>
  </threadedComment>
  <threadedComment ref="E249" dT="2026-07-17T01:28:18.22" personId="{D238A438-1EFA-47D5-A4BC-8B8D66E64E46}" id="{C61F0A88-6CE2-4220-A727-DD45B9A1A540}">
    <text xml:space="preserve">Reece 1 meter  Consists Of: 1x 48642- Pro 100 Type 010 Channel 1.0m (hauraton) 1x 47300- Pro 100 Ss304 Heelguard Wedgewire Grate W L/down 1.0m (paige </text>
  </threadedComment>
  <threadedComment ref="H249" dT="2026-07-17T01:28:18.22" personId="{D238A438-1EFA-47D5-A4BC-8B8D66E64E46}" id="{49193A99-6323-49C9-8326-5FDD05F3F611}">
    <text xml:space="preserve">Reece 1 meter  Consists Of: 1x 48642- Pro 100 Type 010 Channel 1.0m (hauraton) 1x 47300- Pro 100 Ss304 Heelguard Wedgewire Grate W L/down 1.0m (paige </text>
  </threadedComment>
  <threadedComment ref="E255" dT="2026-07-17T01:24:07.13" personId="{D238A438-1EFA-47D5-A4BC-8B8D66E64E46}" id="{725161EF-516A-48B2-8B4C-BC7F4FD59ECE}">
    <text xml:space="preserve">Reece quote Consists Of 1x 48652- Pro100 Trash Box W Mud Bucket 1x 47072- Pro100 Fibretec Slotted Grate Sw 9mm 1x 91140- Pro100 Screw C/sunk M8x55 1x 47099- Pro100 Locking Handle </text>
  </threadedComment>
  <threadedComment ref="H255" dT="2026-07-17T01:24:07.13" personId="{D238A438-1EFA-47D5-A4BC-8B8D66E64E46}" id="{4D6220DC-C5FB-453B-A396-23ADD8B03190}">
    <text xml:space="preserve">Reece quote Consists Of 1x 48652- Pro100 Trash Box W Mud Bucket 1x 47072- Pro100 Fibretec Slotted Grate Sw 9mm 1x 91140- Pro100 Screw C/sunk M8x55 1x 47099- Pro100 Locking Handle </text>
  </threadedComment>
  <threadedComment ref="E256" dT="2026-07-17T01:23:20.04" personId="{D238A438-1EFA-47D5-A4BC-8B8D66E64E46}" id="{AC9C6090-C26B-40AD-9CC4-21CD35A05278}">
    <text xml:space="preserve">Reece quote Consists Of: 1x 47251- Pro200 Trash Box W Mud Bucket 1x 47270- Pro200 Fibretec Slotted Grate Sw 9mm 1x 91125- Pro300 Screw C/sunk M10x80 1x 98220- Pro200 Locking Handl </text>
  </threadedComment>
  <threadedComment ref="H256" dT="2026-07-17T01:23:20.04" personId="{D238A438-1EFA-47D5-A4BC-8B8D66E64E46}" id="{821806FB-7740-4057-B8E3-833770545FFC}">
    <text xml:space="preserve">Reece quote Consists Of: 1x 47251- Pro200 Trash Box W Mud Bucket 1x 47270- Pro200 Fibretec Slotted Grate Sw 9mm 1x 91125- Pro300 Screw C/sunk M10x80 1x 98220- Pro200 Locking Handl </text>
  </threadedComment>
  <threadedComment ref="E261" dT="2026-07-17T01:39:30.32" personId="{D238A438-1EFA-47D5-A4BC-8B8D66E64E46}" id="{26BD6B25-236E-43DC-9371-9D4065CF1410}">
    <text>guess</text>
  </threadedComment>
  <threadedComment ref="H261" dT="2026-07-17T01:39:30.32" personId="{D238A438-1EFA-47D5-A4BC-8B8D66E64E46}" id="{80B4E29D-D258-4643-8698-F4C3FF2E0BFD}">
    <text>guess</text>
  </threadedComment>
  <threadedComment ref="E262" dT="2026-07-17T01:39:36.44" personId="{D238A438-1EFA-47D5-A4BC-8B8D66E64E46}" id="{AB6C709E-077F-4CBD-86D8-C2ABB0B0D24C}">
    <text>guess</text>
  </threadedComment>
  <threadedComment ref="H262" dT="2026-07-17T01:39:36.44" personId="{D238A438-1EFA-47D5-A4BC-8B8D66E64E46}" id="{EABD437C-9175-41C8-8332-2BEB35E47CF1}">
    <text>guess</text>
  </threadedComment>
  <threadedComment ref="G269" dT="2026-07-16T07:21:51.15" personId="{D238A438-1EFA-47D5-A4BC-8B8D66E64E46}" id="{BA5380B9-4956-43D6-86B8-A9494538AA52}">
    <text xml:space="preserve">Measure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712A-2F34-4F01-9E64-AB4D2F6AA59F}">
  <sheetPr>
    <tabColor rgb="FFFFFF00"/>
    <pageSetUpPr fitToPage="1"/>
  </sheetPr>
  <dimension ref="B1:AD85"/>
  <sheetViews>
    <sheetView showGridLines="0" tabSelected="1" zoomScaleNormal="100" workbookViewId="0">
      <selection activeCell="M18" sqref="M18"/>
    </sheetView>
  </sheetViews>
  <sheetFormatPr defaultColWidth="9.21875" defaultRowHeight="10.199999999999999" x14ac:dyDescent="0.2"/>
  <cols>
    <col min="1" max="1" width="9.21875" style="1"/>
    <col min="2" max="2" width="6.77734375" style="1" customWidth="1"/>
    <col min="3" max="3" width="1.44140625" style="1" customWidth="1"/>
    <col min="4" max="4" width="2.21875" style="1" customWidth="1"/>
    <col min="5" max="5" width="1.21875" style="1" customWidth="1"/>
    <col min="6" max="6" width="3.21875" style="1" customWidth="1"/>
    <col min="7" max="7" width="4.21875" style="1" customWidth="1"/>
    <col min="8" max="8" width="9.21875" style="1"/>
    <col min="9" max="9" width="30.21875" style="1" customWidth="1"/>
    <col min="10" max="10" width="13.77734375" style="2" customWidth="1"/>
    <col min="11" max="11" width="15" style="1" bestFit="1" customWidth="1"/>
    <col min="12" max="12" width="11.77734375" style="1" customWidth="1"/>
    <col min="13" max="13" width="9.77734375" style="1" customWidth="1"/>
    <col min="14" max="14" width="10.77734375" style="1" bestFit="1" customWidth="1"/>
    <col min="15" max="15" width="12.5546875" style="111" customWidth="1"/>
    <col min="16" max="16" width="9.44140625" style="1" customWidth="1"/>
    <col min="17" max="17" width="10.21875" style="181" customWidth="1"/>
    <col min="18" max="18" width="12.77734375" style="1" bestFit="1" customWidth="1"/>
    <col min="19" max="19" width="12.44140625" style="1" customWidth="1"/>
    <col min="20" max="20" width="9.77734375" style="1" customWidth="1"/>
    <col min="21" max="21" width="12.5546875" style="1" customWidth="1"/>
    <col min="22" max="22" width="13.21875" style="1" customWidth="1"/>
    <col min="23" max="23" width="10.77734375" style="1" bestFit="1" customWidth="1"/>
    <col min="24" max="24" width="9.21875" style="1"/>
    <col min="25" max="25" width="11.21875" style="1" customWidth="1"/>
    <col min="26" max="26" width="10.5546875" style="1" customWidth="1"/>
    <col min="27" max="27" width="9.5546875" style="1" bestFit="1" customWidth="1"/>
    <col min="28" max="28" width="11.77734375" style="1" customWidth="1"/>
    <col min="29" max="29" width="9.5546875" style="1" bestFit="1" customWidth="1"/>
    <col min="30" max="16384" width="9.21875" style="1"/>
  </cols>
  <sheetData>
    <row r="1" spans="2:30" ht="11.25" customHeight="1" x14ac:dyDescent="0.2">
      <c r="K1" s="3"/>
    </row>
    <row r="2" spans="2:30" ht="24" customHeight="1" x14ac:dyDescent="0.2">
      <c r="K2" s="4"/>
    </row>
    <row r="3" spans="2:30" ht="38.25" customHeight="1" x14ac:dyDescent="0.2">
      <c r="B3" s="5"/>
      <c r="C3" s="6"/>
      <c r="D3" s="6"/>
      <c r="E3" s="6"/>
      <c r="F3" s="6"/>
      <c r="G3" s="7" t="s">
        <v>0</v>
      </c>
      <c r="H3" s="8"/>
      <c r="I3" s="9"/>
    </row>
    <row r="4" spans="2:30" x14ac:dyDescent="0.2">
      <c r="B4" s="6"/>
      <c r="C4" s="6"/>
      <c r="D4" s="6"/>
      <c r="E4" s="6"/>
      <c r="F4" s="6"/>
      <c r="G4" s="6"/>
      <c r="H4" s="8"/>
      <c r="I4" s="9"/>
    </row>
    <row r="5" spans="2:30" ht="10.8" thickBot="1" x14ac:dyDescent="0.25"/>
    <row r="6" spans="2:30" x14ac:dyDescent="0.2">
      <c r="B6" s="470" t="s">
        <v>1</v>
      </c>
      <c r="C6" s="470"/>
      <c r="D6" s="470"/>
      <c r="E6" s="470"/>
      <c r="F6" s="470"/>
      <c r="G6" s="470"/>
      <c r="H6" s="470"/>
      <c r="I6" s="470"/>
      <c r="J6" s="470"/>
      <c r="K6" s="470"/>
      <c r="O6" s="1"/>
      <c r="P6" s="181"/>
      <c r="V6" s="471" t="s">
        <v>603</v>
      </c>
      <c r="W6" s="472"/>
      <c r="X6" s="184"/>
      <c r="Y6" s="471"/>
      <c r="Z6" s="472"/>
      <c r="AB6" s="459"/>
      <c r="AC6" s="460"/>
    </row>
    <row r="7" spans="2:30" x14ac:dyDescent="0.2">
      <c r="B7" s="10"/>
      <c r="C7" s="10"/>
      <c r="D7" s="10"/>
      <c r="E7" s="10"/>
      <c r="F7" s="10"/>
      <c r="G7" s="10"/>
      <c r="H7" s="10"/>
      <c r="I7" s="10"/>
      <c r="J7" s="10"/>
      <c r="K7" s="10"/>
      <c r="L7" s="181"/>
      <c r="M7" s="181"/>
      <c r="N7" s="181"/>
      <c r="P7" s="181"/>
      <c r="V7" s="204" t="s">
        <v>2</v>
      </c>
      <c r="W7" s="109">
        <v>88838</v>
      </c>
      <c r="X7" s="184"/>
      <c r="Y7" s="204" t="s">
        <v>2</v>
      </c>
      <c r="Z7" s="109">
        <v>0</v>
      </c>
      <c r="AA7" s="110"/>
      <c r="AB7" s="11"/>
      <c r="AC7" s="41"/>
      <c r="AD7" s="110"/>
    </row>
    <row r="8" spans="2:30" ht="12.75" customHeight="1" x14ac:dyDescent="0.2">
      <c r="B8" s="5" t="s">
        <v>3</v>
      </c>
      <c r="C8" s="6"/>
      <c r="D8" s="6"/>
      <c r="E8" s="6"/>
      <c r="F8" s="6"/>
      <c r="G8" s="468" t="s">
        <v>543</v>
      </c>
      <c r="H8" s="469"/>
      <c r="I8" s="469"/>
      <c r="J8" s="469"/>
      <c r="K8" s="379">
        <v>46219</v>
      </c>
      <c r="L8" s="181"/>
      <c r="M8" s="181"/>
      <c r="N8" s="181"/>
      <c r="P8" s="181"/>
      <c r="V8" s="204" t="s">
        <v>4</v>
      </c>
      <c r="W8" s="320">
        <v>0.15</v>
      </c>
      <c r="Y8" s="204" t="s">
        <v>4</v>
      </c>
      <c r="Z8" s="320">
        <v>0.1</v>
      </c>
      <c r="AB8" s="11"/>
      <c r="AC8" s="12"/>
    </row>
    <row r="9" spans="2:30" ht="11.25" customHeight="1" x14ac:dyDescent="0.2">
      <c r="B9" s="5" t="s">
        <v>5</v>
      </c>
      <c r="C9" s="6"/>
      <c r="D9" s="6"/>
      <c r="E9" s="6"/>
      <c r="F9" s="6"/>
      <c r="G9" s="463" t="s">
        <v>544</v>
      </c>
      <c r="H9" s="463"/>
      <c r="I9" s="463"/>
      <c r="J9" s="378"/>
      <c r="K9" s="36" t="s">
        <v>520</v>
      </c>
      <c r="L9" s="181"/>
      <c r="M9" s="181"/>
      <c r="N9" s="181"/>
      <c r="P9" s="181"/>
      <c r="V9" s="204" t="s">
        <v>6</v>
      </c>
      <c r="W9" s="205">
        <f>W7+(W7*W8)</f>
        <v>102163.7</v>
      </c>
      <c r="Y9" s="204" t="s">
        <v>6</v>
      </c>
      <c r="Z9" s="205">
        <f>Z7+(Z7*Z8)</f>
        <v>0</v>
      </c>
      <c r="AB9" s="11"/>
      <c r="AC9" s="14"/>
    </row>
    <row r="10" spans="2:30" ht="10.8" thickBot="1" x14ac:dyDescent="0.25">
      <c r="K10" s="15"/>
      <c r="R10" s="16" t="s">
        <v>2</v>
      </c>
      <c r="S10" s="464" t="s">
        <v>7</v>
      </c>
      <c r="T10" s="465"/>
      <c r="V10" s="204" t="s">
        <v>540</v>
      </c>
      <c r="W10" s="441">
        <v>6000</v>
      </c>
      <c r="Y10" s="17"/>
      <c r="Z10" s="18"/>
      <c r="AB10" s="17"/>
      <c r="AC10" s="18"/>
    </row>
    <row r="11" spans="2:30" ht="10.8" thickBot="1" x14ac:dyDescent="0.25">
      <c r="B11" s="19"/>
      <c r="C11" s="19"/>
      <c r="D11" s="19"/>
      <c r="E11" s="19"/>
      <c r="F11" s="19"/>
      <c r="G11" s="19"/>
      <c r="H11" s="19"/>
      <c r="I11" s="19"/>
      <c r="J11" s="20"/>
      <c r="K11" s="21" t="s">
        <v>8</v>
      </c>
      <c r="P11" s="188"/>
      <c r="R11" s="22"/>
      <c r="V11" s="206" t="s">
        <v>575</v>
      </c>
      <c r="W11" s="442">
        <v>2500</v>
      </c>
      <c r="Y11" s="11"/>
      <c r="Z11" s="14"/>
      <c r="AB11" s="11"/>
      <c r="AC11" s="14"/>
    </row>
    <row r="12" spans="2:30" x14ac:dyDescent="0.2">
      <c r="B12" s="13"/>
      <c r="K12" s="15"/>
      <c r="M12" s="45"/>
      <c r="N12" s="211"/>
      <c r="O12" s="42"/>
      <c r="P12" s="13"/>
      <c r="R12" s="22"/>
      <c r="V12" s="204"/>
      <c r="W12" s="205">
        <f>W9+W10+W11</f>
        <v>110663.7</v>
      </c>
      <c r="Y12" s="115"/>
      <c r="Z12" s="116"/>
      <c r="AB12" s="115"/>
      <c r="AC12" s="116"/>
    </row>
    <row r="13" spans="2:30" ht="13.2" x14ac:dyDescent="0.25">
      <c r="B13" s="36" t="s">
        <v>9</v>
      </c>
      <c r="C13" s="34"/>
      <c r="D13" s="34"/>
      <c r="E13" s="34"/>
      <c r="F13" s="34" t="s">
        <v>10</v>
      </c>
      <c r="G13" s="34"/>
      <c r="H13" s="34"/>
      <c r="I13" s="42"/>
      <c r="J13" s="43"/>
      <c r="K13" s="35">
        <f>S13+W12</f>
        <v>890849.94603685988</v>
      </c>
      <c r="L13" s="24"/>
      <c r="M13" s="2"/>
      <c r="N13" s="185"/>
      <c r="O13" s="2"/>
      <c r="P13" s="212"/>
      <c r="Q13" s="178"/>
      <c r="R13" s="109">
        <f>'SW Zone Sumry'!F70</f>
        <v>535364.19819999998</v>
      </c>
      <c r="S13" s="25">
        <f>((R13/$R$26)*($R$36-$R$26))+R13</f>
        <v>780186.24603685993</v>
      </c>
      <c r="V13" s="208"/>
      <c r="W13" s="209"/>
      <c r="Y13" s="11"/>
      <c r="Z13" s="14"/>
    </row>
    <row r="14" spans="2:30" ht="7.2" customHeight="1" x14ac:dyDescent="0.25">
      <c r="B14" s="36"/>
      <c r="C14" s="34"/>
      <c r="D14" s="34"/>
      <c r="E14" s="34"/>
      <c r="F14" s="34"/>
      <c r="G14" s="34"/>
      <c r="H14" s="34"/>
      <c r="I14" s="42"/>
      <c r="J14" s="43"/>
      <c r="K14" s="35"/>
      <c r="L14" s="24"/>
      <c r="M14" s="2"/>
      <c r="N14" s="185"/>
      <c r="O14" s="2"/>
      <c r="P14" s="212"/>
      <c r="Q14" s="178"/>
      <c r="R14" s="109"/>
      <c r="V14" s="204"/>
      <c r="W14" s="205"/>
      <c r="Y14" s="11"/>
      <c r="Z14" s="14"/>
    </row>
    <row r="15" spans="2:30" ht="13.2" x14ac:dyDescent="0.25">
      <c r="B15" s="36"/>
      <c r="C15" s="34"/>
      <c r="D15" s="34"/>
      <c r="E15" s="34"/>
      <c r="F15" s="34" t="s">
        <v>542</v>
      </c>
      <c r="G15" s="34"/>
      <c r="H15" s="34"/>
      <c r="I15" s="42"/>
      <c r="J15" s="43"/>
      <c r="K15" s="30"/>
      <c r="L15" s="24"/>
      <c r="M15" s="24"/>
      <c r="N15" s="24"/>
      <c r="P15" s="178"/>
      <c r="Q15" s="178"/>
      <c r="R15" s="44"/>
      <c r="V15" s="204"/>
      <c r="W15" s="205"/>
      <c r="Y15" s="11"/>
      <c r="Z15" s="14"/>
    </row>
    <row r="16" spans="2:30" x14ac:dyDescent="0.2">
      <c r="B16" s="13"/>
      <c r="M16" s="210"/>
      <c r="N16" s="210"/>
      <c r="O16" s="1"/>
      <c r="P16" s="181"/>
      <c r="S16" s="112"/>
      <c r="T16" s="2"/>
      <c r="U16" s="181"/>
      <c r="V16" s="204"/>
      <c r="W16" s="205"/>
      <c r="Y16" s="11"/>
      <c r="Z16" s="14"/>
    </row>
    <row r="17" spans="2:26" x14ac:dyDescent="0.2">
      <c r="B17" s="13"/>
      <c r="M17" s="210"/>
      <c r="N17" s="210"/>
      <c r="O17" s="1"/>
      <c r="P17" s="181"/>
      <c r="S17" s="112"/>
      <c r="T17" s="2"/>
      <c r="V17" s="204"/>
      <c r="W17" s="205"/>
      <c r="Y17" s="11"/>
      <c r="Z17" s="14"/>
    </row>
    <row r="18" spans="2:26" x14ac:dyDescent="0.2">
      <c r="B18" s="13"/>
      <c r="K18" s="25"/>
      <c r="M18" s="210"/>
      <c r="N18" s="210"/>
      <c r="O18" s="1"/>
      <c r="P18" s="181"/>
      <c r="R18" s="44"/>
      <c r="V18" s="204"/>
      <c r="W18" s="205"/>
      <c r="Y18" s="11"/>
      <c r="Z18" s="14"/>
    </row>
    <row r="19" spans="2:26" x14ac:dyDescent="0.2">
      <c r="B19" s="13"/>
      <c r="K19" s="25"/>
      <c r="M19" s="210"/>
      <c r="N19" s="210"/>
      <c r="O19" s="1"/>
      <c r="P19" s="181"/>
      <c r="R19" s="44"/>
      <c r="V19" s="204"/>
      <c r="W19" s="205"/>
      <c r="Y19" s="11"/>
      <c r="Z19" s="14"/>
    </row>
    <row r="20" spans="2:26" x14ac:dyDescent="0.2">
      <c r="B20" s="13"/>
      <c r="K20" s="25"/>
      <c r="M20" s="210"/>
      <c r="N20" s="210"/>
      <c r="O20" s="1"/>
      <c r="P20" s="181"/>
      <c r="R20" s="44"/>
      <c r="V20" s="204"/>
      <c r="W20" s="205"/>
      <c r="Y20" s="11"/>
      <c r="Z20" s="14"/>
    </row>
    <row r="21" spans="2:26" x14ac:dyDescent="0.2">
      <c r="B21" s="13"/>
      <c r="K21" s="25"/>
      <c r="M21" s="210"/>
      <c r="N21" s="210"/>
      <c r="O21" s="1"/>
      <c r="P21" s="181"/>
      <c r="R21" s="44"/>
      <c r="V21" s="204"/>
      <c r="W21" s="205"/>
      <c r="Y21" s="11"/>
      <c r="Z21" s="14"/>
    </row>
    <row r="22" spans="2:26" x14ac:dyDescent="0.2">
      <c r="B22" s="13"/>
      <c r="M22" s="210"/>
      <c r="N22" s="210"/>
      <c r="O22" s="1"/>
      <c r="P22" s="181"/>
      <c r="R22" s="44"/>
      <c r="V22" s="204"/>
      <c r="W22" s="205"/>
      <c r="Y22" s="11"/>
      <c r="Z22" s="14"/>
    </row>
    <row r="23" spans="2:26" ht="13.2" x14ac:dyDescent="0.25">
      <c r="B23" s="36"/>
      <c r="C23" s="34"/>
      <c r="D23" s="34"/>
      <c r="E23" s="34"/>
      <c r="F23" s="34"/>
      <c r="G23" s="34"/>
      <c r="H23" s="34"/>
      <c r="I23" s="42"/>
      <c r="J23" s="43"/>
      <c r="K23" s="30"/>
      <c r="L23" s="24"/>
      <c r="M23" s="24"/>
      <c r="N23" s="24"/>
      <c r="P23" s="178"/>
      <c r="Q23" s="178"/>
      <c r="R23" s="44"/>
      <c r="V23" s="204"/>
      <c r="W23" s="205"/>
      <c r="Y23" s="11"/>
      <c r="Z23" s="14"/>
    </row>
    <row r="24" spans="2:26" x14ac:dyDescent="0.2">
      <c r="B24" s="13"/>
      <c r="C24" s="1" t="s">
        <v>12</v>
      </c>
      <c r="M24" s="210"/>
      <c r="N24" s="210"/>
      <c r="O24" s="1"/>
      <c r="P24" s="181"/>
      <c r="S24" s="112"/>
      <c r="T24" s="2"/>
      <c r="U24" s="181"/>
      <c r="V24" s="204"/>
      <c r="W24" s="205"/>
      <c r="Y24" s="11"/>
      <c r="Z24" s="14"/>
    </row>
    <row r="25" spans="2:26" x14ac:dyDescent="0.2">
      <c r="B25" s="13"/>
      <c r="K25" s="26"/>
      <c r="P25" s="181"/>
      <c r="R25" s="44"/>
      <c r="V25" s="204"/>
      <c r="W25" s="205"/>
      <c r="Y25" s="11"/>
      <c r="Z25" s="14"/>
    </row>
    <row r="26" spans="2:26" ht="10.8" thickBot="1" x14ac:dyDescent="0.25">
      <c r="D26" s="28"/>
      <c r="E26" s="28"/>
      <c r="F26" s="28"/>
      <c r="H26" s="28"/>
      <c r="J26" s="37" t="s">
        <v>16</v>
      </c>
      <c r="K26" s="29">
        <f>SUM(K13:K22)</f>
        <v>890849.94603685988</v>
      </c>
      <c r="O26" s="30"/>
      <c r="P26" s="181"/>
      <c r="R26" s="31">
        <f>SUM(R13:R18)</f>
        <v>535364.19819999998</v>
      </c>
      <c r="S26" s="32">
        <f>SUM(S13:S18)</f>
        <v>780186.24603685993</v>
      </c>
      <c r="V26" s="204"/>
      <c r="W26" s="205"/>
      <c r="Y26" s="11"/>
      <c r="Z26" s="14"/>
    </row>
    <row r="27" spans="2:26" ht="10.8" thickTop="1" x14ac:dyDescent="0.2">
      <c r="J27" s="37"/>
      <c r="K27" s="195"/>
      <c r="O27" s="30"/>
      <c r="P27" s="181"/>
      <c r="R27" s="23"/>
      <c r="V27" s="204"/>
      <c r="W27" s="205"/>
      <c r="Y27" s="11"/>
      <c r="Z27" s="14"/>
    </row>
    <row r="28" spans="2:26" ht="8.5500000000000007" customHeight="1" x14ac:dyDescent="0.2">
      <c r="J28" s="37"/>
      <c r="K28" s="399"/>
      <c r="M28" s="181"/>
      <c r="N28" s="181"/>
      <c r="O28" s="30"/>
      <c r="P28" s="181"/>
      <c r="T28" s="1" t="s">
        <v>13</v>
      </c>
      <c r="V28" s="204"/>
      <c r="W28" s="205"/>
      <c r="Y28" s="11"/>
      <c r="Z28" s="14"/>
    </row>
    <row r="29" spans="2:26" ht="13.2" x14ac:dyDescent="0.25">
      <c r="I29" s="466"/>
      <c r="J29" s="466"/>
      <c r="K29" s="466"/>
      <c r="L29" s="181"/>
      <c r="M29" s="467"/>
      <c r="N29" s="467"/>
      <c r="P29" s="33" t="s">
        <v>18</v>
      </c>
      <c r="Q29" s="458">
        <v>5.5E-2</v>
      </c>
      <c r="R29" s="25">
        <f>R26*Q29</f>
        <v>29445.030900999998</v>
      </c>
      <c r="S29" s="25" t="s">
        <v>14</v>
      </c>
      <c r="T29" s="25">
        <f>'Prelim_OH-Check'!F42</f>
        <v>0</v>
      </c>
      <c r="V29" s="204"/>
      <c r="W29" s="205"/>
      <c r="Y29" s="11"/>
      <c r="Z29" s="14"/>
    </row>
    <row r="30" spans="2:26" x14ac:dyDescent="0.2">
      <c r="J30" s="1"/>
      <c r="K30" s="196"/>
      <c r="L30" s="196"/>
      <c r="M30" s="2"/>
      <c r="N30" s="198"/>
      <c r="P30" s="30" t="s">
        <v>19</v>
      </c>
      <c r="Q30" s="458">
        <v>0.18</v>
      </c>
      <c r="R30" s="25">
        <f>R26*Q30</f>
        <v>96365.555675999989</v>
      </c>
      <c r="S30" s="25" t="s">
        <v>14</v>
      </c>
      <c r="T30" s="25">
        <f>'Prelim_OH-Check'!F47</f>
        <v>0</v>
      </c>
      <c r="V30" s="204"/>
      <c r="W30" s="205"/>
      <c r="Y30" s="11"/>
      <c r="Z30" s="14"/>
    </row>
    <row r="31" spans="2:26" x14ac:dyDescent="0.2">
      <c r="F31" s="34"/>
      <c r="G31" s="34"/>
      <c r="H31" s="34"/>
      <c r="I31" s="197"/>
      <c r="J31" s="188"/>
      <c r="K31" s="188"/>
      <c r="L31" s="179"/>
      <c r="M31" s="2"/>
      <c r="N31" s="198"/>
      <c r="P31" s="36"/>
      <c r="Q31" s="46"/>
      <c r="R31" s="25"/>
      <c r="S31" s="25"/>
      <c r="V31" s="204"/>
      <c r="W31" s="205"/>
      <c r="Y31" s="11"/>
      <c r="Z31" s="14"/>
    </row>
    <row r="32" spans="2:26" x14ac:dyDescent="0.2">
      <c r="I32" s="197"/>
      <c r="J32" s="188"/>
      <c r="K32" s="188"/>
      <c r="L32" s="179"/>
      <c r="M32" s="2"/>
      <c r="N32" s="198"/>
      <c r="P32" s="38" t="s">
        <v>20</v>
      </c>
      <c r="Q32" s="47"/>
      <c r="R32" s="39">
        <f>SUM(R26:R31)</f>
        <v>661174.78477699996</v>
      </c>
      <c r="S32" s="25" t="s">
        <v>15</v>
      </c>
      <c r="V32" s="204"/>
      <c r="W32" s="205"/>
      <c r="Y32" s="11"/>
      <c r="Z32" s="14"/>
    </row>
    <row r="33" spans="9:30" x14ac:dyDescent="0.2">
      <c r="I33" s="34"/>
      <c r="J33" s="13"/>
      <c r="K33" s="188"/>
      <c r="L33" s="179"/>
      <c r="M33" s="2"/>
      <c r="N33" s="198"/>
      <c r="P33" s="38"/>
      <c r="Q33" s="47"/>
      <c r="R33" s="39"/>
      <c r="S33" s="25"/>
      <c r="V33" s="204"/>
      <c r="W33" s="205"/>
      <c r="Y33" s="11"/>
      <c r="Z33" s="14"/>
    </row>
    <row r="34" spans="9:30" ht="10.8" thickBot="1" x14ac:dyDescent="0.25">
      <c r="I34" s="34"/>
      <c r="J34" s="13"/>
      <c r="K34" s="188"/>
      <c r="L34" s="179"/>
      <c r="M34" s="2"/>
      <c r="N34" s="198"/>
      <c r="P34" s="36"/>
      <c r="Q34" s="47"/>
      <c r="R34" s="39"/>
      <c r="S34" s="25"/>
      <c r="V34" s="204"/>
      <c r="W34" s="205"/>
      <c r="Y34" s="17"/>
      <c r="Z34" s="18"/>
    </row>
    <row r="35" spans="9:30" ht="10.8" thickBot="1" x14ac:dyDescent="0.25">
      <c r="I35" s="34"/>
      <c r="J35" s="13"/>
      <c r="K35" s="188"/>
      <c r="L35" s="179"/>
      <c r="M35" s="2"/>
      <c r="N35" s="198"/>
      <c r="P35" s="117" t="s">
        <v>21</v>
      </c>
      <c r="Q35" s="118">
        <v>0.18</v>
      </c>
      <c r="R35" s="119">
        <f>R32*Q35</f>
        <v>119011.46125985999</v>
      </c>
      <c r="S35" s="25" t="s">
        <v>17</v>
      </c>
      <c r="V35" s="206"/>
      <c r="W35" s="207"/>
      <c r="Y35" s="11"/>
      <c r="Z35" s="14"/>
    </row>
    <row r="36" spans="9:30" ht="12" x14ac:dyDescent="0.35">
      <c r="I36" s="34"/>
      <c r="J36" s="13"/>
      <c r="K36" s="188"/>
      <c r="L36" s="179"/>
      <c r="M36" s="2"/>
      <c r="N36" s="198"/>
      <c r="P36" s="36" t="s">
        <v>22</v>
      </c>
      <c r="Q36" s="48"/>
      <c r="R36" s="40">
        <f>SUM(R32:R35)</f>
        <v>780186.24603685993</v>
      </c>
      <c r="V36" s="204"/>
      <c r="W36" s="205"/>
      <c r="Y36" s="115"/>
      <c r="Z36" s="116"/>
    </row>
    <row r="37" spans="9:30" x14ac:dyDescent="0.2">
      <c r="I37" s="34"/>
      <c r="J37" s="13"/>
      <c r="K37" s="188"/>
      <c r="L37" s="179"/>
      <c r="M37" s="2"/>
      <c r="N37" s="198"/>
      <c r="V37" s="208"/>
      <c r="W37" s="209"/>
      <c r="Y37" s="115"/>
      <c r="Z37" s="116"/>
    </row>
    <row r="38" spans="9:30" x14ac:dyDescent="0.2">
      <c r="I38" s="34"/>
      <c r="J38" s="13"/>
      <c r="K38" s="188"/>
      <c r="L38" s="179"/>
      <c r="M38" s="2"/>
      <c r="N38" s="198"/>
      <c r="P38" s="113" t="s">
        <v>23</v>
      </c>
      <c r="Q38" s="114">
        <f>SUM(Q29:Q37)</f>
        <v>0.41499999999999998</v>
      </c>
      <c r="V38" s="208"/>
      <c r="W38" s="209"/>
      <c r="Y38" s="115"/>
      <c r="Z38" s="116"/>
    </row>
    <row r="39" spans="9:30" x14ac:dyDescent="0.2">
      <c r="I39" s="34"/>
      <c r="J39" s="13"/>
      <c r="K39" s="188"/>
      <c r="L39" s="179"/>
      <c r="P39" s="113"/>
      <c r="Q39" s="114"/>
      <c r="V39" s="208"/>
      <c r="W39" s="209"/>
      <c r="Z39" s="180"/>
    </row>
    <row r="40" spans="9:30" x14ac:dyDescent="0.2">
      <c r="I40" s="462"/>
      <c r="J40" s="462"/>
      <c r="K40" s="188"/>
      <c r="M40" s="179"/>
      <c r="N40" s="198"/>
      <c r="P40" s="120" t="s">
        <v>24</v>
      </c>
      <c r="Q40" s="121"/>
      <c r="R40" s="122">
        <f>R35</f>
        <v>119011.46125985999</v>
      </c>
      <c r="AA40" s="180"/>
      <c r="AD40" s="180"/>
    </row>
    <row r="41" spans="9:30" x14ac:dyDescent="0.2">
      <c r="K41" s="2"/>
      <c r="L41" s="179"/>
      <c r="V41" s="27"/>
      <c r="W41" s="25"/>
      <c r="AA41" s="180"/>
      <c r="AD41" s="180"/>
    </row>
    <row r="42" spans="9:30" x14ac:dyDescent="0.2">
      <c r="K42" s="199"/>
      <c r="V42" s="27"/>
      <c r="W42" s="25"/>
      <c r="AA42" s="180"/>
      <c r="AD42" s="180"/>
    </row>
    <row r="43" spans="9:30" x14ac:dyDescent="0.2">
      <c r="K43" s="2"/>
      <c r="V43" s="27"/>
      <c r="W43" s="25"/>
      <c r="AA43" s="180"/>
      <c r="AD43" s="180"/>
    </row>
    <row r="44" spans="9:30" x14ac:dyDescent="0.2">
      <c r="J44" s="187"/>
      <c r="K44" s="2"/>
      <c r="V44" s="27"/>
      <c r="W44" s="25"/>
      <c r="AA44" s="180"/>
      <c r="AD44" s="180"/>
    </row>
    <row r="45" spans="9:30" x14ac:dyDescent="0.2">
      <c r="J45" s="187"/>
      <c r="K45" s="186"/>
      <c r="V45" s="27"/>
      <c r="W45" s="25"/>
      <c r="AA45" s="180"/>
      <c r="AD45" s="180"/>
    </row>
    <row r="46" spans="9:30" x14ac:dyDescent="0.2">
      <c r="K46" s="2"/>
      <c r="V46" s="27"/>
      <c r="W46" s="25"/>
      <c r="AA46" s="180"/>
      <c r="AD46" s="180"/>
    </row>
    <row r="47" spans="9:30" x14ac:dyDescent="0.2">
      <c r="K47" s="2"/>
      <c r="V47" s="27"/>
      <c r="W47" s="25"/>
      <c r="AA47" s="180"/>
      <c r="AD47" s="180"/>
    </row>
    <row r="48" spans="9:30" x14ac:dyDescent="0.2">
      <c r="K48" s="2"/>
      <c r="V48" s="27"/>
      <c r="W48" s="25"/>
      <c r="AA48" s="180"/>
      <c r="AD48" s="180"/>
    </row>
    <row r="49" spans="11:30" ht="16.2" customHeight="1" x14ac:dyDescent="0.2">
      <c r="K49" s="2"/>
      <c r="V49" s="27"/>
      <c r="W49" s="25"/>
    </row>
    <row r="50" spans="11:30" x14ac:dyDescent="0.2">
      <c r="K50" s="2"/>
      <c r="W50" s="180"/>
      <c r="AC50" s="180"/>
    </row>
    <row r="51" spans="11:30" x14ac:dyDescent="0.2">
      <c r="K51" s="2"/>
    </row>
    <row r="52" spans="11:30" ht="10.199999999999999" customHeight="1" x14ac:dyDescent="0.2">
      <c r="K52" s="2"/>
      <c r="V52" s="461"/>
      <c r="W52" s="461"/>
      <c r="AA52" s="181"/>
      <c r="AB52" s="181"/>
      <c r="AC52" s="181"/>
      <c r="AD52" s="181"/>
    </row>
    <row r="53" spans="11:30" x14ac:dyDescent="0.2">
      <c r="K53" s="2"/>
      <c r="W53" s="27"/>
      <c r="AA53" s="181"/>
      <c r="AB53" s="181"/>
      <c r="AC53" s="181"/>
      <c r="AD53" s="181"/>
    </row>
    <row r="54" spans="11:30" x14ac:dyDescent="0.2">
      <c r="K54" s="2"/>
    </row>
    <row r="55" spans="11:30" x14ac:dyDescent="0.2">
      <c r="K55" s="2"/>
      <c r="W55" s="180"/>
    </row>
    <row r="56" spans="11:30" x14ac:dyDescent="0.2">
      <c r="W56" s="180"/>
      <c r="Z56" s="180"/>
    </row>
    <row r="57" spans="11:30" x14ac:dyDescent="0.2">
      <c r="W57" s="180"/>
      <c r="Z57" s="180"/>
    </row>
    <row r="58" spans="11:30" x14ac:dyDescent="0.2">
      <c r="W58" s="180"/>
      <c r="Z58" s="180"/>
    </row>
    <row r="59" spans="11:30" x14ac:dyDescent="0.2">
      <c r="W59" s="180"/>
      <c r="Z59" s="180"/>
    </row>
    <row r="60" spans="11:30" x14ac:dyDescent="0.2">
      <c r="X60" s="110"/>
      <c r="Z60" s="180"/>
    </row>
    <row r="61" spans="11:30" x14ac:dyDescent="0.2">
      <c r="V61" s="461"/>
      <c r="W61" s="461"/>
      <c r="Z61" s="180"/>
    </row>
    <row r="62" spans="11:30" x14ac:dyDescent="0.2">
      <c r="W62" s="27"/>
      <c r="Y62" s="461"/>
      <c r="Z62" s="461"/>
      <c r="AA62" s="181"/>
      <c r="AB62" s="181"/>
      <c r="AC62" s="181"/>
      <c r="AD62" s="181"/>
    </row>
    <row r="63" spans="11:30" x14ac:dyDescent="0.2">
      <c r="W63" s="180"/>
      <c r="Z63" s="180"/>
    </row>
    <row r="64" spans="11:30" x14ac:dyDescent="0.2">
      <c r="W64" s="180"/>
      <c r="Z64" s="180"/>
    </row>
    <row r="65" spans="23:30" x14ac:dyDescent="0.2">
      <c r="W65" s="180"/>
      <c r="Z65" s="180"/>
    </row>
    <row r="66" spans="23:30" x14ac:dyDescent="0.2">
      <c r="W66" s="180"/>
      <c r="Z66" s="180"/>
    </row>
    <row r="67" spans="23:30" x14ac:dyDescent="0.2">
      <c r="W67" s="180"/>
      <c r="Z67" s="180"/>
    </row>
    <row r="68" spans="23:30" x14ac:dyDescent="0.2">
      <c r="W68" s="180"/>
      <c r="Z68" s="180"/>
    </row>
    <row r="69" spans="23:30" x14ac:dyDescent="0.2">
      <c r="W69" s="180"/>
      <c r="Z69" s="180"/>
    </row>
    <row r="70" spans="23:30" x14ac:dyDescent="0.2">
      <c r="W70" s="180"/>
      <c r="Z70" s="180"/>
    </row>
    <row r="71" spans="23:30" x14ac:dyDescent="0.2">
      <c r="W71" s="180"/>
      <c r="Z71" s="180"/>
    </row>
    <row r="72" spans="23:30" x14ac:dyDescent="0.2">
      <c r="W72" s="180"/>
      <c r="Z72" s="180"/>
    </row>
    <row r="73" spans="23:30" x14ac:dyDescent="0.2">
      <c r="W73" s="180"/>
      <c r="Z73" s="180"/>
    </row>
    <row r="74" spans="23:30" x14ac:dyDescent="0.2">
      <c r="W74" s="180"/>
      <c r="Z74" s="180"/>
    </row>
    <row r="75" spans="23:30" x14ac:dyDescent="0.2">
      <c r="W75" s="180"/>
      <c r="Z75" s="180"/>
    </row>
    <row r="76" spans="23:30" x14ac:dyDescent="0.2">
      <c r="W76" s="180"/>
      <c r="Z76" s="180"/>
    </row>
    <row r="77" spans="23:30" x14ac:dyDescent="0.2">
      <c r="W77" s="180"/>
      <c r="Z77" s="180"/>
    </row>
    <row r="78" spans="23:30" ht="10.199999999999999" customHeight="1" x14ac:dyDescent="0.2">
      <c r="W78" s="180"/>
      <c r="Z78" s="180"/>
    </row>
    <row r="79" spans="23:30" ht="11.7" customHeight="1" x14ac:dyDescent="0.2">
      <c r="Z79" s="26"/>
      <c r="AA79" s="183"/>
      <c r="AB79" s="182"/>
      <c r="AC79" s="182"/>
      <c r="AD79" s="182"/>
    </row>
    <row r="80" spans="23:30" x14ac:dyDescent="0.2">
      <c r="W80" s="180"/>
    </row>
    <row r="81" spans="23:26" ht="10.95" customHeight="1" x14ac:dyDescent="0.2">
      <c r="W81" s="180"/>
      <c r="Z81" s="180"/>
    </row>
    <row r="82" spans="23:26" x14ac:dyDescent="0.2">
      <c r="W82" s="180"/>
      <c r="Z82" s="180"/>
    </row>
    <row r="83" spans="23:26" x14ac:dyDescent="0.2">
      <c r="W83" s="180"/>
      <c r="Z83" s="180"/>
    </row>
    <row r="84" spans="23:26" x14ac:dyDescent="0.2">
      <c r="W84" s="180"/>
      <c r="Z84" s="180"/>
    </row>
    <row r="85" spans="23:26" x14ac:dyDescent="0.2">
      <c r="W85" s="180"/>
      <c r="Z85" s="180"/>
    </row>
  </sheetData>
  <mergeCells count="13">
    <mergeCell ref="AB6:AC6"/>
    <mergeCell ref="V61:W61"/>
    <mergeCell ref="Y62:Z62"/>
    <mergeCell ref="I40:J40"/>
    <mergeCell ref="G9:I9"/>
    <mergeCell ref="S10:T10"/>
    <mergeCell ref="V52:W52"/>
    <mergeCell ref="I29:K29"/>
    <mergeCell ref="M29:N29"/>
    <mergeCell ref="G8:J8"/>
    <mergeCell ref="B6:K6"/>
    <mergeCell ref="V6:W6"/>
    <mergeCell ref="Y6:Z6"/>
  </mergeCells>
  <phoneticPr fontId="75" type="noConversion"/>
  <pageMargins left="0.7" right="0.7" top="0.75" bottom="0.75" header="0.3" footer="0.3"/>
  <pageSetup paperSize="9" scale="74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E41E-38E6-4CE9-BD46-CAEC16407C33}">
  <sheetPr>
    <tabColor rgb="FFFFFF00"/>
  </sheetPr>
  <dimension ref="A1:L58"/>
  <sheetViews>
    <sheetView topLeftCell="A9" zoomScaleNormal="100" workbookViewId="0">
      <selection activeCell="F42" sqref="F42"/>
    </sheetView>
  </sheetViews>
  <sheetFormatPr defaultColWidth="9.21875" defaultRowHeight="10.199999999999999" x14ac:dyDescent="0.2"/>
  <cols>
    <col min="1" max="1" width="8.21875" style="49" customWidth="1"/>
    <col min="2" max="2" width="79" style="49" customWidth="1"/>
    <col min="3" max="3" width="11.44140625" style="51" customWidth="1"/>
    <col min="4" max="4" width="10.44140625" style="51" customWidth="1"/>
    <col min="5" max="5" width="13.21875" style="52" customWidth="1"/>
    <col min="6" max="6" width="14.21875" style="52" customWidth="1"/>
    <col min="7" max="7" width="12.21875" style="49" customWidth="1"/>
    <col min="8" max="8" width="18.21875" style="51" customWidth="1"/>
    <col min="9" max="9" width="20.5546875" style="49" customWidth="1"/>
    <col min="10" max="10" width="14.77734375" style="49" customWidth="1"/>
    <col min="11" max="11" width="12.77734375" style="49" customWidth="1"/>
    <col min="12" max="256" width="9.21875" style="49"/>
    <col min="257" max="257" width="8.21875" style="49" customWidth="1"/>
    <col min="258" max="258" width="70.44140625" style="49" bestFit="1" customWidth="1"/>
    <col min="259" max="259" width="11.44140625" style="49" customWidth="1"/>
    <col min="260" max="260" width="10.44140625" style="49" customWidth="1"/>
    <col min="261" max="261" width="13.21875" style="49" customWidth="1"/>
    <col min="262" max="262" width="14.21875" style="49" customWidth="1"/>
    <col min="263" max="263" width="12.21875" style="49" customWidth="1"/>
    <col min="264" max="512" width="9.21875" style="49"/>
    <col min="513" max="513" width="8.21875" style="49" customWidth="1"/>
    <col min="514" max="514" width="70.44140625" style="49" bestFit="1" customWidth="1"/>
    <col min="515" max="515" width="11.44140625" style="49" customWidth="1"/>
    <col min="516" max="516" width="10.44140625" style="49" customWidth="1"/>
    <col min="517" max="517" width="13.21875" style="49" customWidth="1"/>
    <col min="518" max="518" width="14.21875" style="49" customWidth="1"/>
    <col min="519" max="519" width="12.21875" style="49" customWidth="1"/>
    <col min="520" max="768" width="9.21875" style="49"/>
    <col min="769" max="769" width="8.21875" style="49" customWidth="1"/>
    <col min="770" max="770" width="70.44140625" style="49" bestFit="1" customWidth="1"/>
    <col min="771" max="771" width="11.44140625" style="49" customWidth="1"/>
    <col min="772" max="772" width="10.44140625" style="49" customWidth="1"/>
    <col min="773" max="773" width="13.21875" style="49" customWidth="1"/>
    <col min="774" max="774" width="14.21875" style="49" customWidth="1"/>
    <col min="775" max="775" width="12.21875" style="49" customWidth="1"/>
    <col min="776" max="1024" width="9.21875" style="49"/>
    <col min="1025" max="1025" width="8.21875" style="49" customWidth="1"/>
    <col min="1026" max="1026" width="70.44140625" style="49" bestFit="1" customWidth="1"/>
    <col min="1027" max="1027" width="11.44140625" style="49" customWidth="1"/>
    <col min="1028" max="1028" width="10.44140625" style="49" customWidth="1"/>
    <col min="1029" max="1029" width="13.21875" style="49" customWidth="1"/>
    <col min="1030" max="1030" width="14.21875" style="49" customWidth="1"/>
    <col min="1031" max="1031" width="12.21875" style="49" customWidth="1"/>
    <col min="1032" max="1280" width="9.21875" style="49"/>
    <col min="1281" max="1281" width="8.21875" style="49" customWidth="1"/>
    <col min="1282" max="1282" width="70.44140625" style="49" bestFit="1" customWidth="1"/>
    <col min="1283" max="1283" width="11.44140625" style="49" customWidth="1"/>
    <col min="1284" max="1284" width="10.44140625" style="49" customWidth="1"/>
    <col min="1285" max="1285" width="13.21875" style="49" customWidth="1"/>
    <col min="1286" max="1286" width="14.21875" style="49" customWidth="1"/>
    <col min="1287" max="1287" width="12.21875" style="49" customWidth="1"/>
    <col min="1288" max="1536" width="9.21875" style="49"/>
    <col min="1537" max="1537" width="8.21875" style="49" customWidth="1"/>
    <col min="1538" max="1538" width="70.44140625" style="49" bestFit="1" customWidth="1"/>
    <col min="1539" max="1539" width="11.44140625" style="49" customWidth="1"/>
    <col min="1540" max="1540" width="10.44140625" style="49" customWidth="1"/>
    <col min="1541" max="1541" width="13.21875" style="49" customWidth="1"/>
    <col min="1542" max="1542" width="14.21875" style="49" customWidth="1"/>
    <col min="1543" max="1543" width="12.21875" style="49" customWidth="1"/>
    <col min="1544" max="1792" width="9.21875" style="49"/>
    <col min="1793" max="1793" width="8.21875" style="49" customWidth="1"/>
    <col min="1794" max="1794" width="70.44140625" style="49" bestFit="1" customWidth="1"/>
    <col min="1795" max="1795" width="11.44140625" style="49" customWidth="1"/>
    <col min="1796" max="1796" width="10.44140625" style="49" customWidth="1"/>
    <col min="1797" max="1797" width="13.21875" style="49" customWidth="1"/>
    <col min="1798" max="1798" width="14.21875" style="49" customWidth="1"/>
    <col min="1799" max="1799" width="12.21875" style="49" customWidth="1"/>
    <col min="1800" max="2048" width="9.21875" style="49"/>
    <col min="2049" max="2049" width="8.21875" style="49" customWidth="1"/>
    <col min="2050" max="2050" width="70.44140625" style="49" bestFit="1" customWidth="1"/>
    <col min="2051" max="2051" width="11.44140625" style="49" customWidth="1"/>
    <col min="2052" max="2052" width="10.44140625" style="49" customWidth="1"/>
    <col min="2053" max="2053" width="13.21875" style="49" customWidth="1"/>
    <col min="2054" max="2054" width="14.21875" style="49" customWidth="1"/>
    <col min="2055" max="2055" width="12.21875" style="49" customWidth="1"/>
    <col min="2056" max="2304" width="9.21875" style="49"/>
    <col min="2305" max="2305" width="8.21875" style="49" customWidth="1"/>
    <col min="2306" max="2306" width="70.44140625" style="49" bestFit="1" customWidth="1"/>
    <col min="2307" max="2307" width="11.44140625" style="49" customWidth="1"/>
    <col min="2308" max="2308" width="10.44140625" style="49" customWidth="1"/>
    <col min="2309" max="2309" width="13.21875" style="49" customWidth="1"/>
    <col min="2310" max="2310" width="14.21875" style="49" customWidth="1"/>
    <col min="2311" max="2311" width="12.21875" style="49" customWidth="1"/>
    <col min="2312" max="2560" width="9.21875" style="49"/>
    <col min="2561" max="2561" width="8.21875" style="49" customWidth="1"/>
    <col min="2562" max="2562" width="70.44140625" style="49" bestFit="1" customWidth="1"/>
    <col min="2563" max="2563" width="11.44140625" style="49" customWidth="1"/>
    <col min="2564" max="2564" width="10.44140625" style="49" customWidth="1"/>
    <col min="2565" max="2565" width="13.21875" style="49" customWidth="1"/>
    <col min="2566" max="2566" width="14.21875" style="49" customWidth="1"/>
    <col min="2567" max="2567" width="12.21875" style="49" customWidth="1"/>
    <col min="2568" max="2816" width="9.21875" style="49"/>
    <col min="2817" max="2817" width="8.21875" style="49" customWidth="1"/>
    <col min="2818" max="2818" width="70.44140625" style="49" bestFit="1" customWidth="1"/>
    <col min="2819" max="2819" width="11.44140625" style="49" customWidth="1"/>
    <col min="2820" max="2820" width="10.44140625" style="49" customWidth="1"/>
    <col min="2821" max="2821" width="13.21875" style="49" customWidth="1"/>
    <col min="2822" max="2822" width="14.21875" style="49" customWidth="1"/>
    <col min="2823" max="2823" width="12.21875" style="49" customWidth="1"/>
    <col min="2824" max="3072" width="9.21875" style="49"/>
    <col min="3073" max="3073" width="8.21875" style="49" customWidth="1"/>
    <col min="3074" max="3074" width="70.44140625" style="49" bestFit="1" customWidth="1"/>
    <col min="3075" max="3075" width="11.44140625" style="49" customWidth="1"/>
    <col min="3076" max="3076" width="10.44140625" style="49" customWidth="1"/>
    <col min="3077" max="3077" width="13.21875" style="49" customWidth="1"/>
    <col min="3078" max="3078" width="14.21875" style="49" customWidth="1"/>
    <col min="3079" max="3079" width="12.21875" style="49" customWidth="1"/>
    <col min="3080" max="3328" width="9.21875" style="49"/>
    <col min="3329" max="3329" width="8.21875" style="49" customWidth="1"/>
    <col min="3330" max="3330" width="70.44140625" style="49" bestFit="1" customWidth="1"/>
    <col min="3331" max="3331" width="11.44140625" style="49" customWidth="1"/>
    <col min="3332" max="3332" width="10.44140625" style="49" customWidth="1"/>
    <col min="3333" max="3333" width="13.21875" style="49" customWidth="1"/>
    <col min="3334" max="3334" width="14.21875" style="49" customWidth="1"/>
    <col min="3335" max="3335" width="12.21875" style="49" customWidth="1"/>
    <col min="3336" max="3584" width="9.21875" style="49"/>
    <col min="3585" max="3585" width="8.21875" style="49" customWidth="1"/>
    <col min="3586" max="3586" width="70.44140625" style="49" bestFit="1" customWidth="1"/>
    <col min="3587" max="3587" width="11.44140625" style="49" customWidth="1"/>
    <col min="3588" max="3588" width="10.44140625" style="49" customWidth="1"/>
    <col min="3589" max="3589" width="13.21875" style="49" customWidth="1"/>
    <col min="3590" max="3590" width="14.21875" style="49" customWidth="1"/>
    <col min="3591" max="3591" width="12.21875" style="49" customWidth="1"/>
    <col min="3592" max="3840" width="9.21875" style="49"/>
    <col min="3841" max="3841" width="8.21875" style="49" customWidth="1"/>
    <col min="3842" max="3842" width="70.44140625" style="49" bestFit="1" customWidth="1"/>
    <col min="3843" max="3843" width="11.44140625" style="49" customWidth="1"/>
    <col min="3844" max="3844" width="10.44140625" style="49" customWidth="1"/>
    <col min="3845" max="3845" width="13.21875" style="49" customWidth="1"/>
    <col min="3846" max="3846" width="14.21875" style="49" customWidth="1"/>
    <col min="3847" max="3847" width="12.21875" style="49" customWidth="1"/>
    <col min="3848" max="4096" width="9.21875" style="49"/>
    <col min="4097" max="4097" width="8.21875" style="49" customWidth="1"/>
    <col min="4098" max="4098" width="70.44140625" style="49" bestFit="1" customWidth="1"/>
    <col min="4099" max="4099" width="11.44140625" style="49" customWidth="1"/>
    <col min="4100" max="4100" width="10.44140625" style="49" customWidth="1"/>
    <col min="4101" max="4101" width="13.21875" style="49" customWidth="1"/>
    <col min="4102" max="4102" width="14.21875" style="49" customWidth="1"/>
    <col min="4103" max="4103" width="12.21875" style="49" customWidth="1"/>
    <col min="4104" max="4352" width="9.21875" style="49"/>
    <col min="4353" max="4353" width="8.21875" style="49" customWidth="1"/>
    <col min="4354" max="4354" width="70.44140625" style="49" bestFit="1" customWidth="1"/>
    <col min="4355" max="4355" width="11.44140625" style="49" customWidth="1"/>
    <col min="4356" max="4356" width="10.44140625" style="49" customWidth="1"/>
    <col min="4357" max="4357" width="13.21875" style="49" customWidth="1"/>
    <col min="4358" max="4358" width="14.21875" style="49" customWidth="1"/>
    <col min="4359" max="4359" width="12.21875" style="49" customWidth="1"/>
    <col min="4360" max="4608" width="9.21875" style="49"/>
    <col min="4609" max="4609" width="8.21875" style="49" customWidth="1"/>
    <col min="4610" max="4610" width="70.44140625" style="49" bestFit="1" customWidth="1"/>
    <col min="4611" max="4611" width="11.44140625" style="49" customWidth="1"/>
    <col min="4612" max="4612" width="10.44140625" style="49" customWidth="1"/>
    <col min="4613" max="4613" width="13.21875" style="49" customWidth="1"/>
    <col min="4614" max="4614" width="14.21875" style="49" customWidth="1"/>
    <col min="4615" max="4615" width="12.21875" style="49" customWidth="1"/>
    <col min="4616" max="4864" width="9.21875" style="49"/>
    <col min="4865" max="4865" width="8.21875" style="49" customWidth="1"/>
    <col min="4866" max="4866" width="70.44140625" style="49" bestFit="1" customWidth="1"/>
    <col min="4867" max="4867" width="11.44140625" style="49" customWidth="1"/>
    <col min="4868" max="4868" width="10.44140625" style="49" customWidth="1"/>
    <col min="4869" max="4869" width="13.21875" style="49" customWidth="1"/>
    <col min="4870" max="4870" width="14.21875" style="49" customWidth="1"/>
    <col min="4871" max="4871" width="12.21875" style="49" customWidth="1"/>
    <col min="4872" max="5120" width="9.21875" style="49"/>
    <col min="5121" max="5121" width="8.21875" style="49" customWidth="1"/>
    <col min="5122" max="5122" width="70.44140625" style="49" bestFit="1" customWidth="1"/>
    <col min="5123" max="5123" width="11.44140625" style="49" customWidth="1"/>
    <col min="5124" max="5124" width="10.44140625" style="49" customWidth="1"/>
    <col min="5125" max="5125" width="13.21875" style="49" customWidth="1"/>
    <col min="5126" max="5126" width="14.21875" style="49" customWidth="1"/>
    <col min="5127" max="5127" width="12.21875" style="49" customWidth="1"/>
    <col min="5128" max="5376" width="9.21875" style="49"/>
    <col min="5377" max="5377" width="8.21875" style="49" customWidth="1"/>
    <col min="5378" max="5378" width="70.44140625" style="49" bestFit="1" customWidth="1"/>
    <col min="5379" max="5379" width="11.44140625" style="49" customWidth="1"/>
    <col min="5380" max="5380" width="10.44140625" style="49" customWidth="1"/>
    <col min="5381" max="5381" width="13.21875" style="49" customWidth="1"/>
    <col min="5382" max="5382" width="14.21875" style="49" customWidth="1"/>
    <col min="5383" max="5383" width="12.21875" style="49" customWidth="1"/>
    <col min="5384" max="5632" width="9.21875" style="49"/>
    <col min="5633" max="5633" width="8.21875" style="49" customWidth="1"/>
    <col min="5634" max="5634" width="70.44140625" style="49" bestFit="1" customWidth="1"/>
    <col min="5635" max="5635" width="11.44140625" style="49" customWidth="1"/>
    <col min="5636" max="5636" width="10.44140625" style="49" customWidth="1"/>
    <col min="5637" max="5637" width="13.21875" style="49" customWidth="1"/>
    <col min="5638" max="5638" width="14.21875" style="49" customWidth="1"/>
    <col min="5639" max="5639" width="12.21875" style="49" customWidth="1"/>
    <col min="5640" max="5888" width="9.21875" style="49"/>
    <col min="5889" max="5889" width="8.21875" style="49" customWidth="1"/>
    <col min="5890" max="5890" width="70.44140625" style="49" bestFit="1" customWidth="1"/>
    <col min="5891" max="5891" width="11.44140625" style="49" customWidth="1"/>
    <col min="5892" max="5892" width="10.44140625" style="49" customWidth="1"/>
    <col min="5893" max="5893" width="13.21875" style="49" customWidth="1"/>
    <col min="5894" max="5894" width="14.21875" style="49" customWidth="1"/>
    <col min="5895" max="5895" width="12.21875" style="49" customWidth="1"/>
    <col min="5896" max="6144" width="9.21875" style="49"/>
    <col min="6145" max="6145" width="8.21875" style="49" customWidth="1"/>
    <col min="6146" max="6146" width="70.44140625" style="49" bestFit="1" customWidth="1"/>
    <col min="6147" max="6147" width="11.44140625" style="49" customWidth="1"/>
    <col min="6148" max="6148" width="10.44140625" style="49" customWidth="1"/>
    <col min="6149" max="6149" width="13.21875" style="49" customWidth="1"/>
    <col min="6150" max="6150" width="14.21875" style="49" customWidth="1"/>
    <col min="6151" max="6151" width="12.21875" style="49" customWidth="1"/>
    <col min="6152" max="6400" width="9.21875" style="49"/>
    <col min="6401" max="6401" width="8.21875" style="49" customWidth="1"/>
    <col min="6402" max="6402" width="70.44140625" style="49" bestFit="1" customWidth="1"/>
    <col min="6403" max="6403" width="11.44140625" style="49" customWidth="1"/>
    <col min="6404" max="6404" width="10.44140625" style="49" customWidth="1"/>
    <col min="6405" max="6405" width="13.21875" style="49" customWidth="1"/>
    <col min="6406" max="6406" width="14.21875" style="49" customWidth="1"/>
    <col min="6407" max="6407" width="12.21875" style="49" customWidth="1"/>
    <col min="6408" max="6656" width="9.21875" style="49"/>
    <col min="6657" max="6657" width="8.21875" style="49" customWidth="1"/>
    <col min="6658" max="6658" width="70.44140625" style="49" bestFit="1" customWidth="1"/>
    <col min="6659" max="6659" width="11.44140625" style="49" customWidth="1"/>
    <col min="6660" max="6660" width="10.44140625" style="49" customWidth="1"/>
    <col min="6661" max="6661" width="13.21875" style="49" customWidth="1"/>
    <col min="6662" max="6662" width="14.21875" style="49" customWidth="1"/>
    <col min="6663" max="6663" width="12.21875" style="49" customWidth="1"/>
    <col min="6664" max="6912" width="9.21875" style="49"/>
    <col min="6913" max="6913" width="8.21875" style="49" customWidth="1"/>
    <col min="6914" max="6914" width="70.44140625" style="49" bestFit="1" customWidth="1"/>
    <col min="6915" max="6915" width="11.44140625" style="49" customWidth="1"/>
    <col min="6916" max="6916" width="10.44140625" style="49" customWidth="1"/>
    <col min="6917" max="6917" width="13.21875" style="49" customWidth="1"/>
    <col min="6918" max="6918" width="14.21875" style="49" customWidth="1"/>
    <col min="6919" max="6919" width="12.21875" style="49" customWidth="1"/>
    <col min="6920" max="7168" width="9.21875" style="49"/>
    <col min="7169" max="7169" width="8.21875" style="49" customWidth="1"/>
    <col min="7170" max="7170" width="70.44140625" style="49" bestFit="1" customWidth="1"/>
    <col min="7171" max="7171" width="11.44140625" style="49" customWidth="1"/>
    <col min="7172" max="7172" width="10.44140625" style="49" customWidth="1"/>
    <col min="7173" max="7173" width="13.21875" style="49" customWidth="1"/>
    <col min="7174" max="7174" width="14.21875" style="49" customWidth="1"/>
    <col min="7175" max="7175" width="12.21875" style="49" customWidth="1"/>
    <col min="7176" max="7424" width="9.21875" style="49"/>
    <col min="7425" max="7425" width="8.21875" style="49" customWidth="1"/>
    <col min="7426" max="7426" width="70.44140625" style="49" bestFit="1" customWidth="1"/>
    <col min="7427" max="7427" width="11.44140625" style="49" customWidth="1"/>
    <col min="7428" max="7428" width="10.44140625" style="49" customWidth="1"/>
    <col min="7429" max="7429" width="13.21875" style="49" customWidth="1"/>
    <col min="7430" max="7430" width="14.21875" style="49" customWidth="1"/>
    <col min="7431" max="7431" width="12.21875" style="49" customWidth="1"/>
    <col min="7432" max="7680" width="9.21875" style="49"/>
    <col min="7681" max="7681" width="8.21875" style="49" customWidth="1"/>
    <col min="7682" max="7682" width="70.44140625" style="49" bestFit="1" customWidth="1"/>
    <col min="7683" max="7683" width="11.44140625" style="49" customWidth="1"/>
    <col min="7684" max="7684" width="10.44140625" style="49" customWidth="1"/>
    <col min="7685" max="7685" width="13.21875" style="49" customWidth="1"/>
    <col min="7686" max="7686" width="14.21875" style="49" customWidth="1"/>
    <col min="7687" max="7687" width="12.21875" style="49" customWidth="1"/>
    <col min="7688" max="7936" width="9.21875" style="49"/>
    <col min="7937" max="7937" width="8.21875" style="49" customWidth="1"/>
    <col min="7938" max="7938" width="70.44140625" style="49" bestFit="1" customWidth="1"/>
    <col min="7939" max="7939" width="11.44140625" style="49" customWidth="1"/>
    <col min="7940" max="7940" width="10.44140625" style="49" customWidth="1"/>
    <col min="7941" max="7941" width="13.21875" style="49" customWidth="1"/>
    <col min="7942" max="7942" width="14.21875" style="49" customWidth="1"/>
    <col min="7943" max="7943" width="12.21875" style="49" customWidth="1"/>
    <col min="7944" max="8192" width="9.21875" style="49"/>
    <col min="8193" max="8193" width="8.21875" style="49" customWidth="1"/>
    <col min="8194" max="8194" width="70.44140625" style="49" bestFit="1" customWidth="1"/>
    <col min="8195" max="8195" width="11.44140625" style="49" customWidth="1"/>
    <col min="8196" max="8196" width="10.44140625" style="49" customWidth="1"/>
    <col min="8197" max="8197" width="13.21875" style="49" customWidth="1"/>
    <col min="8198" max="8198" width="14.21875" style="49" customWidth="1"/>
    <col min="8199" max="8199" width="12.21875" style="49" customWidth="1"/>
    <col min="8200" max="8448" width="9.21875" style="49"/>
    <col min="8449" max="8449" width="8.21875" style="49" customWidth="1"/>
    <col min="8450" max="8450" width="70.44140625" style="49" bestFit="1" customWidth="1"/>
    <col min="8451" max="8451" width="11.44140625" style="49" customWidth="1"/>
    <col min="8452" max="8452" width="10.44140625" style="49" customWidth="1"/>
    <col min="8453" max="8453" width="13.21875" style="49" customWidth="1"/>
    <col min="8454" max="8454" width="14.21875" style="49" customWidth="1"/>
    <col min="8455" max="8455" width="12.21875" style="49" customWidth="1"/>
    <col min="8456" max="8704" width="9.21875" style="49"/>
    <col min="8705" max="8705" width="8.21875" style="49" customWidth="1"/>
    <col min="8706" max="8706" width="70.44140625" style="49" bestFit="1" customWidth="1"/>
    <col min="8707" max="8707" width="11.44140625" style="49" customWidth="1"/>
    <col min="8708" max="8708" width="10.44140625" style="49" customWidth="1"/>
    <col min="8709" max="8709" width="13.21875" style="49" customWidth="1"/>
    <col min="8710" max="8710" width="14.21875" style="49" customWidth="1"/>
    <col min="8711" max="8711" width="12.21875" style="49" customWidth="1"/>
    <col min="8712" max="8960" width="9.21875" style="49"/>
    <col min="8961" max="8961" width="8.21875" style="49" customWidth="1"/>
    <col min="8962" max="8962" width="70.44140625" style="49" bestFit="1" customWidth="1"/>
    <col min="8963" max="8963" width="11.44140625" style="49" customWidth="1"/>
    <col min="8964" max="8964" width="10.44140625" style="49" customWidth="1"/>
    <col min="8965" max="8965" width="13.21875" style="49" customWidth="1"/>
    <col min="8966" max="8966" width="14.21875" style="49" customWidth="1"/>
    <col min="8967" max="8967" width="12.21875" style="49" customWidth="1"/>
    <col min="8968" max="9216" width="9.21875" style="49"/>
    <col min="9217" max="9217" width="8.21875" style="49" customWidth="1"/>
    <col min="9218" max="9218" width="70.44140625" style="49" bestFit="1" customWidth="1"/>
    <col min="9219" max="9219" width="11.44140625" style="49" customWidth="1"/>
    <col min="9220" max="9220" width="10.44140625" style="49" customWidth="1"/>
    <col min="9221" max="9221" width="13.21875" style="49" customWidth="1"/>
    <col min="9222" max="9222" width="14.21875" style="49" customWidth="1"/>
    <col min="9223" max="9223" width="12.21875" style="49" customWidth="1"/>
    <col min="9224" max="9472" width="9.21875" style="49"/>
    <col min="9473" max="9473" width="8.21875" style="49" customWidth="1"/>
    <col min="9474" max="9474" width="70.44140625" style="49" bestFit="1" customWidth="1"/>
    <col min="9475" max="9475" width="11.44140625" style="49" customWidth="1"/>
    <col min="9476" max="9476" width="10.44140625" style="49" customWidth="1"/>
    <col min="9477" max="9477" width="13.21875" style="49" customWidth="1"/>
    <col min="9478" max="9478" width="14.21875" style="49" customWidth="1"/>
    <col min="9479" max="9479" width="12.21875" style="49" customWidth="1"/>
    <col min="9480" max="9728" width="9.21875" style="49"/>
    <col min="9729" max="9729" width="8.21875" style="49" customWidth="1"/>
    <col min="9730" max="9730" width="70.44140625" style="49" bestFit="1" customWidth="1"/>
    <col min="9731" max="9731" width="11.44140625" style="49" customWidth="1"/>
    <col min="9732" max="9732" width="10.44140625" style="49" customWidth="1"/>
    <col min="9733" max="9733" width="13.21875" style="49" customWidth="1"/>
    <col min="9734" max="9734" width="14.21875" style="49" customWidth="1"/>
    <col min="9735" max="9735" width="12.21875" style="49" customWidth="1"/>
    <col min="9736" max="9984" width="9.21875" style="49"/>
    <col min="9985" max="9985" width="8.21875" style="49" customWidth="1"/>
    <col min="9986" max="9986" width="70.44140625" style="49" bestFit="1" customWidth="1"/>
    <col min="9987" max="9987" width="11.44140625" style="49" customWidth="1"/>
    <col min="9988" max="9988" width="10.44140625" style="49" customWidth="1"/>
    <col min="9989" max="9989" width="13.21875" style="49" customWidth="1"/>
    <col min="9990" max="9990" width="14.21875" style="49" customWidth="1"/>
    <col min="9991" max="9991" width="12.21875" style="49" customWidth="1"/>
    <col min="9992" max="10240" width="9.21875" style="49"/>
    <col min="10241" max="10241" width="8.21875" style="49" customWidth="1"/>
    <col min="10242" max="10242" width="70.44140625" style="49" bestFit="1" customWidth="1"/>
    <col min="10243" max="10243" width="11.44140625" style="49" customWidth="1"/>
    <col min="10244" max="10244" width="10.44140625" style="49" customWidth="1"/>
    <col min="10245" max="10245" width="13.21875" style="49" customWidth="1"/>
    <col min="10246" max="10246" width="14.21875" style="49" customWidth="1"/>
    <col min="10247" max="10247" width="12.21875" style="49" customWidth="1"/>
    <col min="10248" max="10496" width="9.21875" style="49"/>
    <col min="10497" max="10497" width="8.21875" style="49" customWidth="1"/>
    <col min="10498" max="10498" width="70.44140625" style="49" bestFit="1" customWidth="1"/>
    <col min="10499" max="10499" width="11.44140625" style="49" customWidth="1"/>
    <col min="10500" max="10500" width="10.44140625" style="49" customWidth="1"/>
    <col min="10501" max="10501" width="13.21875" style="49" customWidth="1"/>
    <col min="10502" max="10502" width="14.21875" style="49" customWidth="1"/>
    <col min="10503" max="10503" width="12.21875" style="49" customWidth="1"/>
    <col min="10504" max="10752" width="9.21875" style="49"/>
    <col min="10753" max="10753" width="8.21875" style="49" customWidth="1"/>
    <col min="10754" max="10754" width="70.44140625" style="49" bestFit="1" customWidth="1"/>
    <col min="10755" max="10755" width="11.44140625" style="49" customWidth="1"/>
    <col min="10756" max="10756" width="10.44140625" style="49" customWidth="1"/>
    <col min="10757" max="10757" width="13.21875" style="49" customWidth="1"/>
    <col min="10758" max="10758" width="14.21875" style="49" customWidth="1"/>
    <col min="10759" max="10759" width="12.21875" style="49" customWidth="1"/>
    <col min="10760" max="11008" width="9.21875" style="49"/>
    <col min="11009" max="11009" width="8.21875" style="49" customWidth="1"/>
    <col min="11010" max="11010" width="70.44140625" style="49" bestFit="1" customWidth="1"/>
    <col min="11011" max="11011" width="11.44140625" style="49" customWidth="1"/>
    <col min="11012" max="11012" width="10.44140625" style="49" customWidth="1"/>
    <col min="11013" max="11013" width="13.21875" style="49" customWidth="1"/>
    <col min="11014" max="11014" width="14.21875" style="49" customWidth="1"/>
    <col min="11015" max="11015" width="12.21875" style="49" customWidth="1"/>
    <col min="11016" max="11264" width="9.21875" style="49"/>
    <col min="11265" max="11265" width="8.21875" style="49" customWidth="1"/>
    <col min="11266" max="11266" width="70.44140625" style="49" bestFit="1" customWidth="1"/>
    <col min="11267" max="11267" width="11.44140625" style="49" customWidth="1"/>
    <col min="11268" max="11268" width="10.44140625" style="49" customWidth="1"/>
    <col min="11269" max="11269" width="13.21875" style="49" customWidth="1"/>
    <col min="11270" max="11270" width="14.21875" style="49" customWidth="1"/>
    <col min="11271" max="11271" width="12.21875" style="49" customWidth="1"/>
    <col min="11272" max="11520" width="9.21875" style="49"/>
    <col min="11521" max="11521" width="8.21875" style="49" customWidth="1"/>
    <col min="11522" max="11522" width="70.44140625" style="49" bestFit="1" customWidth="1"/>
    <col min="11523" max="11523" width="11.44140625" style="49" customWidth="1"/>
    <col min="11524" max="11524" width="10.44140625" style="49" customWidth="1"/>
    <col min="11525" max="11525" width="13.21875" style="49" customWidth="1"/>
    <col min="11526" max="11526" width="14.21875" style="49" customWidth="1"/>
    <col min="11527" max="11527" width="12.21875" style="49" customWidth="1"/>
    <col min="11528" max="11776" width="9.21875" style="49"/>
    <col min="11777" max="11777" width="8.21875" style="49" customWidth="1"/>
    <col min="11778" max="11778" width="70.44140625" style="49" bestFit="1" customWidth="1"/>
    <col min="11779" max="11779" width="11.44140625" style="49" customWidth="1"/>
    <col min="11780" max="11780" width="10.44140625" style="49" customWidth="1"/>
    <col min="11781" max="11781" width="13.21875" style="49" customWidth="1"/>
    <col min="11782" max="11782" width="14.21875" style="49" customWidth="1"/>
    <col min="11783" max="11783" width="12.21875" style="49" customWidth="1"/>
    <col min="11784" max="12032" width="9.21875" style="49"/>
    <col min="12033" max="12033" width="8.21875" style="49" customWidth="1"/>
    <col min="12034" max="12034" width="70.44140625" style="49" bestFit="1" customWidth="1"/>
    <col min="12035" max="12035" width="11.44140625" style="49" customWidth="1"/>
    <col min="12036" max="12036" width="10.44140625" style="49" customWidth="1"/>
    <col min="12037" max="12037" width="13.21875" style="49" customWidth="1"/>
    <col min="12038" max="12038" width="14.21875" style="49" customWidth="1"/>
    <col min="12039" max="12039" width="12.21875" style="49" customWidth="1"/>
    <col min="12040" max="12288" width="9.21875" style="49"/>
    <col min="12289" max="12289" width="8.21875" style="49" customWidth="1"/>
    <col min="12290" max="12290" width="70.44140625" style="49" bestFit="1" customWidth="1"/>
    <col min="12291" max="12291" width="11.44140625" style="49" customWidth="1"/>
    <col min="12292" max="12292" width="10.44140625" style="49" customWidth="1"/>
    <col min="12293" max="12293" width="13.21875" style="49" customWidth="1"/>
    <col min="12294" max="12294" width="14.21875" style="49" customWidth="1"/>
    <col min="12295" max="12295" width="12.21875" style="49" customWidth="1"/>
    <col min="12296" max="12544" width="9.21875" style="49"/>
    <col min="12545" max="12545" width="8.21875" style="49" customWidth="1"/>
    <col min="12546" max="12546" width="70.44140625" style="49" bestFit="1" customWidth="1"/>
    <col min="12547" max="12547" width="11.44140625" style="49" customWidth="1"/>
    <col min="12548" max="12548" width="10.44140625" style="49" customWidth="1"/>
    <col min="12549" max="12549" width="13.21875" style="49" customWidth="1"/>
    <col min="12550" max="12550" width="14.21875" style="49" customWidth="1"/>
    <col min="12551" max="12551" width="12.21875" style="49" customWidth="1"/>
    <col min="12552" max="12800" width="9.21875" style="49"/>
    <col min="12801" max="12801" width="8.21875" style="49" customWidth="1"/>
    <col min="12802" max="12802" width="70.44140625" style="49" bestFit="1" customWidth="1"/>
    <col min="12803" max="12803" width="11.44140625" style="49" customWidth="1"/>
    <col min="12804" max="12804" width="10.44140625" style="49" customWidth="1"/>
    <col min="12805" max="12805" width="13.21875" style="49" customWidth="1"/>
    <col min="12806" max="12806" width="14.21875" style="49" customWidth="1"/>
    <col min="12807" max="12807" width="12.21875" style="49" customWidth="1"/>
    <col min="12808" max="13056" width="9.21875" style="49"/>
    <col min="13057" max="13057" width="8.21875" style="49" customWidth="1"/>
    <col min="13058" max="13058" width="70.44140625" style="49" bestFit="1" customWidth="1"/>
    <col min="13059" max="13059" width="11.44140625" style="49" customWidth="1"/>
    <col min="13060" max="13060" width="10.44140625" style="49" customWidth="1"/>
    <col min="13061" max="13061" width="13.21875" style="49" customWidth="1"/>
    <col min="13062" max="13062" width="14.21875" style="49" customWidth="1"/>
    <col min="13063" max="13063" width="12.21875" style="49" customWidth="1"/>
    <col min="13064" max="13312" width="9.21875" style="49"/>
    <col min="13313" max="13313" width="8.21875" style="49" customWidth="1"/>
    <col min="13314" max="13314" width="70.44140625" style="49" bestFit="1" customWidth="1"/>
    <col min="13315" max="13315" width="11.44140625" style="49" customWidth="1"/>
    <col min="13316" max="13316" width="10.44140625" style="49" customWidth="1"/>
    <col min="13317" max="13317" width="13.21875" style="49" customWidth="1"/>
    <col min="13318" max="13318" width="14.21875" style="49" customWidth="1"/>
    <col min="13319" max="13319" width="12.21875" style="49" customWidth="1"/>
    <col min="13320" max="13568" width="9.21875" style="49"/>
    <col min="13569" max="13569" width="8.21875" style="49" customWidth="1"/>
    <col min="13570" max="13570" width="70.44140625" style="49" bestFit="1" customWidth="1"/>
    <col min="13571" max="13571" width="11.44140625" style="49" customWidth="1"/>
    <col min="13572" max="13572" width="10.44140625" style="49" customWidth="1"/>
    <col min="13573" max="13573" width="13.21875" style="49" customWidth="1"/>
    <col min="13574" max="13574" width="14.21875" style="49" customWidth="1"/>
    <col min="13575" max="13575" width="12.21875" style="49" customWidth="1"/>
    <col min="13576" max="13824" width="9.21875" style="49"/>
    <col min="13825" max="13825" width="8.21875" style="49" customWidth="1"/>
    <col min="13826" max="13826" width="70.44140625" style="49" bestFit="1" customWidth="1"/>
    <col min="13827" max="13827" width="11.44140625" style="49" customWidth="1"/>
    <col min="13828" max="13828" width="10.44140625" style="49" customWidth="1"/>
    <col min="13829" max="13829" width="13.21875" style="49" customWidth="1"/>
    <col min="13830" max="13830" width="14.21875" style="49" customWidth="1"/>
    <col min="13831" max="13831" width="12.21875" style="49" customWidth="1"/>
    <col min="13832" max="14080" width="9.21875" style="49"/>
    <col min="14081" max="14081" width="8.21875" style="49" customWidth="1"/>
    <col min="14082" max="14082" width="70.44140625" style="49" bestFit="1" customWidth="1"/>
    <col min="14083" max="14083" width="11.44140625" style="49" customWidth="1"/>
    <col min="14084" max="14084" width="10.44140625" style="49" customWidth="1"/>
    <col min="14085" max="14085" width="13.21875" style="49" customWidth="1"/>
    <col min="14086" max="14086" width="14.21875" style="49" customWidth="1"/>
    <col min="14087" max="14087" width="12.21875" style="49" customWidth="1"/>
    <col min="14088" max="14336" width="9.21875" style="49"/>
    <col min="14337" max="14337" width="8.21875" style="49" customWidth="1"/>
    <col min="14338" max="14338" width="70.44140625" style="49" bestFit="1" customWidth="1"/>
    <col min="14339" max="14339" width="11.44140625" style="49" customWidth="1"/>
    <col min="14340" max="14340" width="10.44140625" style="49" customWidth="1"/>
    <col min="14341" max="14341" width="13.21875" style="49" customWidth="1"/>
    <col min="14342" max="14342" width="14.21875" style="49" customWidth="1"/>
    <col min="14343" max="14343" width="12.21875" style="49" customWidth="1"/>
    <col min="14344" max="14592" width="9.21875" style="49"/>
    <col min="14593" max="14593" width="8.21875" style="49" customWidth="1"/>
    <col min="14594" max="14594" width="70.44140625" style="49" bestFit="1" customWidth="1"/>
    <col min="14595" max="14595" width="11.44140625" style="49" customWidth="1"/>
    <col min="14596" max="14596" width="10.44140625" style="49" customWidth="1"/>
    <col min="14597" max="14597" width="13.21875" style="49" customWidth="1"/>
    <col min="14598" max="14598" width="14.21875" style="49" customWidth="1"/>
    <col min="14599" max="14599" width="12.21875" style="49" customWidth="1"/>
    <col min="14600" max="14848" width="9.21875" style="49"/>
    <col min="14849" max="14849" width="8.21875" style="49" customWidth="1"/>
    <col min="14850" max="14850" width="70.44140625" style="49" bestFit="1" customWidth="1"/>
    <col min="14851" max="14851" width="11.44140625" style="49" customWidth="1"/>
    <col min="14852" max="14852" width="10.44140625" style="49" customWidth="1"/>
    <col min="14853" max="14853" width="13.21875" style="49" customWidth="1"/>
    <col min="14854" max="14854" width="14.21875" style="49" customWidth="1"/>
    <col min="14855" max="14855" width="12.21875" style="49" customWidth="1"/>
    <col min="14856" max="15104" width="9.21875" style="49"/>
    <col min="15105" max="15105" width="8.21875" style="49" customWidth="1"/>
    <col min="15106" max="15106" width="70.44140625" style="49" bestFit="1" customWidth="1"/>
    <col min="15107" max="15107" width="11.44140625" style="49" customWidth="1"/>
    <col min="15108" max="15108" width="10.44140625" style="49" customWidth="1"/>
    <col min="15109" max="15109" width="13.21875" style="49" customWidth="1"/>
    <col min="15110" max="15110" width="14.21875" style="49" customWidth="1"/>
    <col min="15111" max="15111" width="12.21875" style="49" customWidth="1"/>
    <col min="15112" max="15360" width="9.21875" style="49"/>
    <col min="15361" max="15361" width="8.21875" style="49" customWidth="1"/>
    <col min="15362" max="15362" width="70.44140625" style="49" bestFit="1" customWidth="1"/>
    <col min="15363" max="15363" width="11.44140625" style="49" customWidth="1"/>
    <col min="15364" max="15364" width="10.44140625" style="49" customWidth="1"/>
    <col min="15365" max="15365" width="13.21875" style="49" customWidth="1"/>
    <col min="15366" max="15366" width="14.21875" style="49" customWidth="1"/>
    <col min="15367" max="15367" width="12.21875" style="49" customWidth="1"/>
    <col min="15368" max="15616" width="9.21875" style="49"/>
    <col min="15617" max="15617" width="8.21875" style="49" customWidth="1"/>
    <col min="15618" max="15618" width="70.44140625" style="49" bestFit="1" customWidth="1"/>
    <col min="15619" max="15619" width="11.44140625" style="49" customWidth="1"/>
    <col min="15620" max="15620" width="10.44140625" style="49" customWidth="1"/>
    <col min="15621" max="15621" width="13.21875" style="49" customWidth="1"/>
    <col min="15622" max="15622" width="14.21875" style="49" customWidth="1"/>
    <col min="15623" max="15623" width="12.21875" style="49" customWidth="1"/>
    <col min="15624" max="15872" width="9.21875" style="49"/>
    <col min="15873" max="15873" width="8.21875" style="49" customWidth="1"/>
    <col min="15874" max="15874" width="70.44140625" style="49" bestFit="1" customWidth="1"/>
    <col min="15875" max="15875" width="11.44140625" style="49" customWidth="1"/>
    <col min="15876" max="15876" width="10.44140625" style="49" customWidth="1"/>
    <col min="15877" max="15877" width="13.21875" style="49" customWidth="1"/>
    <col min="15878" max="15878" width="14.21875" style="49" customWidth="1"/>
    <col min="15879" max="15879" width="12.21875" style="49" customWidth="1"/>
    <col min="15880" max="16128" width="9.21875" style="49"/>
    <col min="16129" max="16129" width="8.21875" style="49" customWidth="1"/>
    <col min="16130" max="16130" width="70.44140625" style="49" bestFit="1" customWidth="1"/>
    <col min="16131" max="16131" width="11.44140625" style="49" customWidth="1"/>
    <col min="16132" max="16132" width="10.44140625" style="49" customWidth="1"/>
    <col min="16133" max="16133" width="13.21875" style="49" customWidth="1"/>
    <col min="16134" max="16134" width="14.21875" style="49" customWidth="1"/>
    <col min="16135" max="16135" width="12.21875" style="49" customWidth="1"/>
    <col min="16136" max="16384" width="9.21875" style="49"/>
  </cols>
  <sheetData>
    <row r="1" spans="1:12" x14ac:dyDescent="0.2">
      <c r="B1" s="50" t="s">
        <v>25</v>
      </c>
    </row>
    <row r="2" spans="1:12" x14ac:dyDescent="0.2">
      <c r="B2" s="50" t="s">
        <v>26</v>
      </c>
    </row>
    <row r="3" spans="1:12" x14ac:dyDescent="0.2">
      <c r="B3" s="49" t="s">
        <v>27</v>
      </c>
    </row>
    <row r="4" spans="1:12" ht="13.8" x14ac:dyDescent="0.25">
      <c r="A4" s="53" t="s">
        <v>28</v>
      </c>
      <c r="B4" s="54"/>
    </row>
    <row r="5" spans="1:12" ht="10.8" thickBot="1" x14ac:dyDescent="0.25">
      <c r="A5" s="53"/>
      <c r="B5" s="55"/>
      <c r="E5" s="56"/>
      <c r="F5" s="56"/>
      <c r="I5" s="56"/>
    </row>
    <row r="6" spans="1:12" ht="6" customHeight="1" thickBot="1" x14ac:dyDescent="0.25">
      <c r="A6" s="473"/>
      <c r="B6" s="473"/>
      <c r="C6" s="473"/>
      <c r="D6" s="473"/>
      <c r="E6" s="473"/>
      <c r="F6" s="473"/>
    </row>
    <row r="7" spans="1:12" ht="16.2" thickBot="1" x14ac:dyDescent="0.35">
      <c r="A7" s="53" t="s">
        <v>29</v>
      </c>
      <c r="B7" s="57" t="s">
        <v>30</v>
      </c>
    </row>
    <row r="8" spans="1:12" ht="16.2" thickBot="1" x14ac:dyDescent="0.35">
      <c r="A8" s="53"/>
      <c r="B8" s="58"/>
      <c r="C8" s="53" t="s">
        <v>31</v>
      </c>
      <c r="D8" s="53" t="s">
        <v>32</v>
      </c>
      <c r="E8" s="59" t="s">
        <v>33</v>
      </c>
      <c r="F8" s="59" t="s">
        <v>34</v>
      </c>
    </row>
    <row r="9" spans="1:12" ht="13.95" customHeight="1" thickBot="1" x14ac:dyDescent="0.3">
      <c r="A9" s="53"/>
      <c r="B9" s="474" t="s">
        <v>35</v>
      </c>
      <c r="C9" s="475"/>
      <c r="D9" s="475"/>
      <c r="E9" s="475"/>
      <c r="F9" s="476"/>
      <c r="H9" s="49"/>
    </row>
    <row r="10" spans="1:12" ht="15.6" x14ac:dyDescent="0.3">
      <c r="A10" s="53"/>
      <c r="B10" s="60"/>
      <c r="F10" s="52">
        <v>0</v>
      </c>
    </row>
    <row r="11" spans="1:12" x14ac:dyDescent="0.2">
      <c r="A11" s="53"/>
      <c r="B11" s="64" t="s">
        <v>36</v>
      </c>
    </row>
    <row r="12" spans="1:12" ht="7.2" customHeight="1" x14ac:dyDescent="0.3">
      <c r="A12" s="53"/>
      <c r="B12" s="60"/>
    </row>
    <row r="13" spans="1:12" s="51" customFormat="1" x14ac:dyDescent="0.2">
      <c r="A13" s="49"/>
      <c r="B13" s="49" t="s">
        <v>37</v>
      </c>
      <c r="C13" s="51" t="s">
        <v>38</v>
      </c>
      <c r="D13" s="51">
        <v>0</v>
      </c>
      <c r="E13" s="177">
        <f>'Staff Rates'!E17</f>
        <v>822.5</v>
      </c>
      <c r="F13" s="65">
        <f>D13*E13</f>
        <v>0</v>
      </c>
      <c r="I13" s="49"/>
      <c r="J13" s="49"/>
      <c r="K13" s="49"/>
      <c r="L13" s="49"/>
    </row>
    <row r="14" spans="1:12" s="51" customFormat="1" ht="11.55" customHeight="1" x14ac:dyDescent="0.2">
      <c r="A14" s="49"/>
      <c r="B14" s="49" t="s">
        <v>39</v>
      </c>
      <c r="C14" s="51" t="s">
        <v>38</v>
      </c>
      <c r="D14" s="51">
        <v>0</v>
      </c>
      <c r="E14" s="52">
        <v>400</v>
      </c>
      <c r="F14" s="65">
        <f t="shared" ref="F14:F16" si="0">D14*E14</f>
        <v>0</v>
      </c>
      <c r="G14" s="66"/>
      <c r="I14" s="49"/>
      <c r="J14" s="49"/>
      <c r="K14" s="49"/>
      <c r="L14" s="49"/>
    </row>
    <row r="15" spans="1:12" s="51" customFormat="1" ht="11.55" customHeight="1" x14ac:dyDescent="0.2">
      <c r="A15" s="53"/>
      <c r="B15" s="49" t="s">
        <v>40</v>
      </c>
      <c r="C15" s="51" t="s">
        <v>38</v>
      </c>
      <c r="D15" s="51">
        <v>0</v>
      </c>
      <c r="E15" s="52">
        <v>597.62761904761908</v>
      </c>
      <c r="F15" s="65">
        <f t="shared" si="0"/>
        <v>0</v>
      </c>
      <c r="G15" s="49"/>
      <c r="I15" s="49"/>
      <c r="J15" s="49"/>
      <c r="K15" s="49"/>
      <c r="L15" s="49"/>
    </row>
    <row r="16" spans="1:12" s="51" customFormat="1" ht="11.55" customHeight="1" x14ac:dyDescent="0.2">
      <c r="A16" s="53"/>
      <c r="B16" s="49" t="s">
        <v>41</v>
      </c>
      <c r="C16" s="51" t="s">
        <v>38</v>
      </c>
      <c r="D16" s="51">
        <v>0</v>
      </c>
      <c r="E16" s="52">
        <v>1895.3002005012531</v>
      </c>
      <c r="F16" s="65">
        <f t="shared" si="0"/>
        <v>0</v>
      </c>
      <c r="G16" s="49"/>
      <c r="I16" s="49"/>
      <c r="J16" s="49"/>
      <c r="K16" s="49"/>
      <c r="L16" s="49"/>
    </row>
    <row r="17" spans="1:12" s="51" customFormat="1" x14ac:dyDescent="0.2">
      <c r="A17" s="53"/>
      <c r="B17" s="49" t="s">
        <v>42</v>
      </c>
      <c r="C17" s="51" t="s">
        <v>38</v>
      </c>
      <c r="D17" s="51">
        <v>0</v>
      </c>
      <c r="E17" s="52">
        <v>1511.9133333333334</v>
      </c>
      <c r="F17" s="65">
        <v>0</v>
      </c>
      <c r="G17" s="49"/>
      <c r="I17" s="49"/>
      <c r="J17" s="49"/>
      <c r="K17" s="49"/>
      <c r="L17" s="49"/>
    </row>
    <row r="18" spans="1:12" ht="16.2" thickBot="1" x14ac:dyDescent="0.35">
      <c r="A18" s="53"/>
      <c r="B18" s="67"/>
    </row>
    <row r="19" spans="1:12" ht="13.95" customHeight="1" thickBot="1" x14ac:dyDescent="0.3">
      <c r="A19" s="53"/>
      <c r="B19" s="474" t="s">
        <v>43</v>
      </c>
      <c r="C19" s="475"/>
      <c r="D19" s="475"/>
      <c r="E19" s="475"/>
      <c r="F19" s="476"/>
      <c r="H19" s="49"/>
    </row>
    <row r="20" spans="1:12" x14ac:dyDescent="0.2">
      <c r="A20" s="53"/>
      <c r="C20" s="53"/>
      <c r="D20" s="53"/>
      <c r="E20" s="59"/>
      <c r="F20" s="49"/>
    </row>
    <row r="21" spans="1:12" s="51" customFormat="1" x14ac:dyDescent="0.2">
      <c r="A21" s="49"/>
      <c r="B21" s="49" t="s">
        <v>44</v>
      </c>
      <c r="C21" s="51" t="s">
        <v>45</v>
      </c>
      <c r="D21" s="51">
        <v>0</v>
      </c>
      <c r="E21" s="61">
        <v>0</v>
      </c>
      <c r="F21" s="65">
        <f>D21*E21</f>
        <v>0</v>
      </c>
      <c r="I21" s="49"/>
      <c r="J21" s="49"/>
      <c r="K21" s="49"/>
      <c r="L21" s="49"/>
    </row>
    <row r="22" spans="1:12" s="51" customFormat="1" x14ac:dyDescent="0.2">
      <c r="A22" s="49"/>
      <c r="B22" s="49" t="s">
        <v>46</v>
      </c>
      <c r="C22" s="51" t="s">
        <v>45</v>
      </c>
      <c r="D22" s="51">
        <v>0</v>
      </c>
      <c r="E22" s="61">
        <v>0</v>
      </c>
      <c r="F22" s="65">
        <f t="shared" ref="F22:F25" si="1">D22*E22</f>
        <v>0</v>
      </c>
      <c r="I22" s="49"/>
      <c r="J22" s="49"/>
      <c r="K22" s="49"/>
      <c r="L22" s="49"/>
    </row>
    <row r="23" spans="1:12" s="51" customFormat="1" x14ac:dyDescent="0.2">
      <c r="A23" s="49"/>
      <c r="B23" s="49" t="s">
        <v>47</v>
      </c>
      <c r="C23" s="51" t="s">
        <v>45</v>
      </c>
      <c r="D23" s="51">
        <v>0</v>
      </c>
      <c r="E23" s="61">
        <v>0</v>
      </c>
      <c r="F23" s="65">
        <f t="shared" si="1"/>
        <v>0</v>
      </c>
      <c r="I23" s="49"/>
      <c r="J23" s="49"/>
      <c r="K23" s="49"/>
      <c r="L23" s="49"/>
    </row>
    <row r="24" spans="1:12" s="51" customFormat="1" x14ac:dyDescent="0.2">
      <c r="A24" s="49"/>
      <c r="B24" s="49" t="s">
        <v>48</v>
      </c>
      <c r="C24" s="51" t="s">
        <v>45</v>
      </c>
      <c r="D24" s="51">
        <v>0</v>
      </c>
      <c r="E24" s="61">
        <v>0</v>
      </c>
      <c r="F24" s="65">
        <f t="shared" si="1"/>
        <v>0</v>
      </c>
      <c r="I24" s="49"/>
      <c r="J24" s="49"/>
      <c r="K24" s="49"/>
      <c r="L24" s="49"/>
    </row>
    <row r="25" spans="1:12" s="51" customFormat="1" x14ac:dyDescent="0.2">
      <c r="A25" s="49"/>
      <c r="B25" s="49"/>
      <c r="C25" s="51" t="s">
        <v>45</v>
      </c>
      <c r="D25" s="51">
        <v>0</v>
      </c>
      <c r="E25" s="61">
        <v>0</v>
      </c>
      <c r="F25" s="65">
        <f t="shared" si="1"/>
        <v>0</v>
      </c>
      <c r="I25" s="49"/>
      <c r="J25" s="49"/>
      <c r="K25" s="49"/>
      <c r="L25" s="49"/>
    </row>
    <row r="26" spans="1:12" s="51" customFormat="1" ht="10.8" thickBot="1" x14ac:dyDescent="0.25">
      <c r="A26" s="49"/>
      <c r="B26" s="68"/>
      <c r="E26" s="65"/>
      <c r="F26" s="66"/>
      <c r="I26" s="49"/>
      <c r="J26" s="49"/>
      <c r="K26" s="49"/>
      <c r="L26" s="49"/>
    </row>
    <row r="27" spans="1:12" ht="13.95" customHeight="1" thickBot="1" x14ac:dyDescent="0.3">
      <c r="A27" s="53"/>
      <c r="B27" s="474" t="s">
        <v>49</v>
      </c>
      <c r="C27" s="475"/>
      <c r="D27" s="475"/>
      <c r="E27" s="475"/>
      <c r="F27" s="476"/>
      <c r="H27" s="49"/>
    </row>
    <row r="28" spans="1:12" x14ac:dyDescent="0.2">
      <c r="A28" s="53"/>
      <c r="C28" s="53"/>
      <c r="D28" s="53"/>
      <c r="E28" s="59"/>
      <c r="F28" s="65"/>
    </row>
    <row r="29" spans="1:12" s="51" customFormat="1" x14ac:dyDescent="0.2">
      <c r="A29" s="49"/>
      <c r="B29" s="49" t="s">
        <v>50</v>
      </c>
      <c r="C29" s="51" t="s">
        <v>45</v>
      </c>
      <c r="D29" s="51">
        <v>0</v>
      </c>
      <c r="E29" s="61">
        <v>1600</v>
      </c>
      <c r="F29" s="65">
        <f t="shared" ref="F29:F39" si="2">D29*E29</f>
        <v>0</v>
      </c>
      <c r="I29" s="49"/>
      <c r="J29" s="49"/>
      <c r="K29" s="49"/>
      <c r="L29" s="49"/>
    </row>
    <row r="30" spans="1:12" s="51" customFormat="1" x14ac:dyDescent="0.2">
      <c r="A30" s="49"/>
      <c r="B30" s="49" t="s">
        <v>51</v>
      </c>
      <c r="C30" s="51" t="s">
        <v>45</v>
      </c>
      <c r="D30" s="51">
        <v>0</v>
      </c>
      <c r="E30" s="61">
        <v>400</v>
      </c>
      <c r="F30" s="65">
        <f t="shared" si="2"/>
        <v>0</v>
      </c>
      <c r="I30" s="49"/>
      <c r="J30" s="49"/>
      <c r="K30" s="49"/>
      <c r="L30" s="49"/>
    </row>
    <row r="31" spans="1:12" s="51" customFormat="1" x14ac:dyDescent="0.2">
      <c r="A31" s="49"/>
      <c r="B31" s="49" t="s">
        <v>52</v>
      </c>
      <c r="C31" s="51" t="s">
        <v>45</v>
      </c>
      <c r="D31" s="51">
        <v>0</v>
      </c>
      <c r="E31" s="61">
        <v>180</v>
      </c>
      <c r="F31" s="65">
        <f t="shared" si="2"/>
        <v>0</v>
      </c>
      <c r="I31" s="49"/>
      <c r="J31" s="49"/>
      <c r="K31" s="49"/>
      <c r="L31" s="49"/>
    </row>
    <row r="32" spans="1:12" s="51" customFormat="1" x14ac:dyDescent="0.2">
      <c r="A32" s="49"/>
      <c r="B32" s="49" t="s">
        <v>53</v>
      </c>
      <c r="C32" s="51" t="s">
        <v>45</v>
      </c>
      <c r="D32" s="51">
        <v>0</v>
      </c>
      <c r="E32" s="139">
        <v>400</v>
      </c>
      <c r="F32" s="65">
        <f t="shared" si="2"/>
        <v>0</v>
      </c>
      <c r="I32" s="49"/>
      <c r="J32" s="49"/>
      <c r="K32" s="49"/>
      <c r="L32" s="49"/>
    </row>
    <row r="33" spans="1:12" s="51" customFormat="1" x14ac:dyDescent="0.2">
      <c r="A33" s="49"/>
      <c r="B33" s="49" t="s">
        <v>54</v>
      </c>
      <c r="C33" s="51" t="s">
        <v>45</v>
      </c>
      <c r="D33" s="51">
        <v>0</v>
      </c>
      <c r="E33" s="61">
        <v>50</v>
      </c>
      <c r="F33" s="65">
        <f t="shared" si="2"/>
        <v>0</v>
      </c>
      <c r="I33" s="49"/>
      <c r="J33" s="49"/>
      <c r="K33" s="49"/>
      <c r="L33" s="49"/>
    </row>
    <row r="34" spans="1:12" s="51" customFormat="1" x14ac:dyDescent="0.2">
      <c r="A34" s="49"/>
      <c r="B34" s="49" t="s">
        <v>55</v>
      </c>
      <c r="C34" s="51" t="s">
        <v>45</v>
      </c>
      <c r="D34" s="51">
        <v>0</v>
      </c>
      <c r="E34" s="61">
        <v>50</v>
      </c>
      <c r="F34" s="65">
        <f t="shared" si="2"/>
        <v>0</v>
      </c>
      <c r="I34" s="49"/>
      <c r="J34" s="49"/>
      <c r="K34" s="49"/>
      <c r="L34" s="49"/>
    </row>
    <row r="35" spans="1:12" s="51" customFormat="1" x14ac:dyDescent="0.2">
      <c r="A35" s="49"/>
      <c r="B35" s="49" t="s">
        <v>56</v>
      </c>
      <c r="C35" s="51" t="s">
        <v>45</v>
      </c>
      <c r="D35" s="51">
        <v>0</v>
      </c>
      <c r="E35" s="61">
        <v>320</v>
      </c>
      <c r="F35" s="65">
        <f t="shared" si="2"/>
        <v>0</v>
      </c>
      <c r="I35" s="49"/>
      <c r="J35" s="49"/>
      <c r="K35" s="49"/>
      <c r="L35" s="49"/>
    </row>
    <row r="36" spans="1:12" s="51" customFormat="1" x14ac:dyDescent="0.2">
      <c r="A36" s="49"/>
      <c r="B36" s="49" t="s">
        <v>57</v>
      </c>
      <c r="C36" s="51" t="s">
        <v>45</v>
      </c>
      <c r="D36" s="51">
        <v>0</v>
      </c>
      <c r="E36" s="61">
        <v>320</v>
      </c>
      <c r="F36" s="65">
        <f t="shared" si="2"/>
        <v>0</v>
      </c>
      <c r="I36" s="49"/>
      <c r="J36" s="49"/>
      <c r="K36" s="49"/>
      <c r="L36" s="49"/>
    </row>
    <row r="37" spans="1:12" s="51" customFormat="1" x14ac:dyDescent="0.2">
      <c r="A37" s="49"/>
      <c r="B37" s="49" t="s">
        <v>58</v>
      </c>
      <c r="C37" s="51" t="s">
        <v>45</v>
      </c>
      <c r="D37" s="51">
        <v>0</v>
      </c>
      <c r="E37" s="61">
        <v>580</v>
      </c>
      <c r="F37" s="65">
        <f t="shared" si="2"/>
        <v>0</v>
      </c>
      <c r="I37" s="49"/>
      <c r="J37" s="49"/>
      <c r="K37" s="49"/>
      <c r="L37" s="49"/>
    </row>
    <row r="38" spans="1:12" s="51" customFormat="1" x14ac:dyDescent="0.2">
      <c r="A38" s="49"/>
      <c r="B38" s="49" t="s">
        <v>59</v>
      </c>
      <c r="C38" s="51" t="s">
        <v>45</v>
      </c>
      <c r="D38" s="51">
        <v>0</v>
      </c>
      <c r="E38" s="69">
        <v>0</v>
      </c>
      <c r="F38" s="65">
        <f t="shared" si="2"/>
        <v>0</v>
      </c>
      <c r="I38" s="49"/>
      <c r="J38" s="49"/>
      <c r="K38" s="49"/>
      <c r="L38" s="49"/>
    </row>
    <row r="39" spans="1:12" s="51" customFormat="1" x14ac:dyDescent="0.2">
      <c r="A39" s="49"/>
      <c r="B39" s="49" t="s">
        <v>60</v>
      </c>
      <c r="C39" s="51" t="s">
        <v>45</v>
      </c>
      <c r="D39" s="51">
        <v>0</v>
      </c>
      <c r="E39" s="61">
        <v>420</v>
      </c>
      <c r="F39" s="65">
        <f t="shared" si="2"/>
        <v>0</v>
      </c>
      <c r="I39" s="49"/>
      <c r="J39" s="49"/>
      <c r="K39" s="49"/>
      <c r="L39" s="49"/>
    </row>
    <row r="40" spans="1:12" s="51" customFormat="1" x14ac:dyDescent="0.2">
      <c r="A40" s="49"/>
      <c r="B40" s="68"/>
      <c r="E40" s="65"/>
      <c r="F40" s="66"/>
      <c r="I40" s="49"/>
      <c r="J40" s="49"/>
      <c r="K40" s="49"/>
      <c r="L40" s="49"/>
    </row>
    <row r="41" spans="1:12" s="51" customFormat="1" x14ac:dyDescent="0.2">
      <c r="A41" s="49"/>
      <c r="B41" s="68"/>
      <c r="E41" s="65"/>
      <c r="F41" s="66"/>
      <c r="I41" s="49"/>
      <c r="J41" s="49"/>
      <c r="K41" s="49"/>
      <c r="L41" s="49"/>
    </row>
    <row r="42" spans="1:12" s="51" customFormat="1" x14ac:dyDescent="0.2">
      <c r="A42" s="53"/>
      <c r="B42" s="49"/>
      <c r="E42" s="70" t="s">
        <v>61</v>
      </c>
      <c r="F42" s="71">
        <f>SUM(F11:F41)</f>
        <v>0</v>
      </c>
      <c r="I42" s="49"/>
      <c r="J42" s="49"/>
      <c r="K42" s="49"/>
      <c r="L42" s="49"/>
    </row>
    <row r="43" spans="1:12" s="51" customFormat="1" x14ac:dyDescent="0.2">
      <c r="A43" s="53"/>
      <c r="B43" s="49"/>
      <c r="E43" s="52"/>
      <c r="F43" s="72"/>
      <c r="G43" s="49"/>
      <c r="I43" s="49"/>
      <c r="J43" s="49"/>
      <c r="K43" s="49"/>
      <c r="L43" s="49"/>
    </row>
    <row r="44" spans="1:12" s="51" customFormat="1" ht="10.8" thickBot="1" x14ac:dyDescent="0.25">
      <c r="B44" s="49"/>
      <c r="E44" s="52"/>
      <c r="F44" s="73"/>
      <c r="G44" s="49"/>
      <c r="I44" s="49"/>
      <c r="J44" s="49"/>
      <c r="K44" s="49"/>
      <c r="L44" s="49"/>
    </row>
    <row r="45" spans="1:12" ht="16.2" thickBot="1" x14ac:dyDescent="0.35">
      <c r="A45" s="53" t="s">
        <v>29</v>
      </c>
      <c r="B45" s="57" t="s">
        <v>62</v>
      </c>
    </row>
    <row r="46" spans="1:12" x14ac:dyDescent="0.2">
      <c r="A46" s="53"/>
      <c r="C46" s="53" t="s">
        <v>31</v>
      </c>
      <c r="D46" s="53" t="s">
        <v>32</v>
      </c>
      <c r="E46" s="59" t="s">
        <v>33</v>
      </c>
      <c r="F46" s="59" t="s">
        <v>34</v>
      </c>
      <c r="G46" s="59"/>
      <c r="H46" s="59"/>
      <c r="I46" s="59"/>
    </row>
    <row r="47" spans="1:12" x14ac:dyDescent="0.2">
      <c r="A47" s="53"/>
      <c r="B47" s="64" t="s">
        <v>63</v>
      </c>
      <c r="C47" s="51" t="s">
        <v>45</v>
      </c>
      <c r="D47" s="127">
        <v>0</v>
      </c>
      <c r="E47" s="139">
        <v>20000</v>
      </c>
      <c r="F47" s="128">
        <f>D47*E47</f>
        <v>0</v>
      </c>
      <c r="H47" s="62"/>
      <c r="I47" s="63"/>
    </row>
    <row r="48" spans="1:12" x14ac:dyDescent="0.2">
      <c r="A48" s="53"/>
      <c r="C48" s="51" t="s">
        <v>45</v>
      </c>
      <c r="D48" s="51">
        <v>0</v>
      </c>
      <c r="E48" s="61">
        <v>0</v>
      </c>
      <c r="F48" s="52">
        <v>0</v>
      </c>
    </row>
    <row r="49" spans="1:12" x14ac:dyDescent="0.2">
      <c r="A49" s="53"/>
      <c r="C49" s="51" t="s">
        <v>45</v>
      </c>
      <c r="D49" s="51">
        <v>0</v>
      </c>
      <c r="E49" s="61">
        <v>0</v>
      </c>
      <c r="F49" s="52">
        <v>0</v>
      </c>
    </row>
    <row r="50" spans="1:12" x14ac:dyDescent="0.2">
      <c r="A50" s="53"/>
      <c r="C50" s="53"/>
      <c r="D50" s="53"/>
      <c r="E50" s="59"/>
      <c r="F50" s="59"/>
    </row>
    <row r="51" spans="1:12" x14ac:dyDescent="0.2">
      <c r="A51" s="53"/>
      <c r="C51" s="53"/>
      <c r="D51" s="53"/>
      <c r="E51" s="59"/>
      <c r="F51" s="49"/>
    </row>
    <row r="52" spans="1:12" s="51" customFormat="1" x14ac:dyDescent="0.2">
      <c r="A52" s="49"/>
      <c r="B52" s="68"/>
      <c r="E52" s="65"/>
      <c r="F52" s="66"/>
      <c r="I52" s="49"/>
      <c r="J52" s="49"/>
      <c r="K52" s="49"/>
      <c r="L52" s="49"/>
    </row>
    <row r="53" spans="1:12" s="51" customFormat="1" x14ac:dyDescent="0.2">
      <c r="A53" s="53"/>
      <c r="B53" s="49"/>
      <c r="E53" s="70" t="s">
        <v>64</v>
      </c>
      <c r="F53" s="71">
        <f>SUM(F47:F52)</f>
        <v>0</v>
      </c>
      <c r="I53" s="49"/>
      <c r="J53" s="49"/>
      <c r="K53" s="49"/>
      <c r="L53" s="49"/>
    </row>
    <row r="54" spans="1:12" s="51" customFormat="1" x14ac:dyDescent="0.2">
      <c r="A54" s="49"/>
      <c r="B54" s="49"/>
      <c r="E54" s="52"/>
      <c r="F54" s="66"/>
      <c r="G54" s="49"/>
      <c r="I54" s="49"/>
      <c r="J54" s="49"/>
      <c r="K54" s="49"/>
      <c r="L54" s="49"/>
    </row>
    <row r="55" spans="1:12" s="51" customFormat="1" x14ac:dyDescent="0.2">
      <c r="A55" s="49"/>
      <c r="B55" s="74"/>
      <c r="C55" s="49"/>
      <c r="E55" s="52"/>
      <c r="F55" s="49"/>
      <c r="G55" s="49"/>
      <c r="I55" s="49"/>
      <c r="J55" s="49"/>
      <c r="K55" s="49"/>
      <c r="L55" s="49"/>
    </row>
    <row r="56" spans="1:12" s="51" customFormat="1" x14ac:dyDescent="0.2">
      <c r="A56" s="49"/>
      <c r="B56" s="49"/>
      <c r="E56" s="52"/>
      <c r="F56" s="52"/>
      <c r="G56" s="49"/>
      <c r="I56" s="49"/>
      <c r="J56" s="49"/>
      <c r="K56" s="49"/>
      <c r="L56" s="49"/>
    </row>
    <row r="57" spans="1:12" s="51" customFormat="1" x14ac:dyDescent="0.2">
      <c r="A57" s="49"/>
      <c r="B57" s="49"/>
      <c r="E57" s="52"/>
      <c r="F57" s="52"/>
      <c r="G57" s="49"/>
      <c r="I57" s="49"/>
      <c r="J57" s="49"/>
      <c r="K57" s="49"/>
      <c r="L57" s="49"/>
    </row>
    <row r="58" spans="1:12" s="51" customFormat="1" x14ac:dyDescent="0.2">
      <c r="A58" s="49"/>
      <c r="B58" s="49"/>
      <c r="E58" s="52"/>
      <c r="F58" s="52"/>
      <c r="G58" s="49"/>
      <c r="I58" s="49"/>
      <c r="J58" s="49"/>
      <c r="K58" s="49"/>
      <c r="L58" s="49"/>
    </row>
  </sheetData>
  <mergeCells count="4">
    <mergeCell ref="A6:F6"/>
    <mergeCell ref="B9:F9"/>
    <mergeCell ref="B19:F19"/>
    <mergeCell ref="B27:F27"/>
  </mergeCells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1574-61B2-4233-BBAD-6A9A69222E97}">
  <sheetPr>
    <tabColor theme="7"/>
  </sheetPr>
  <dimension ref="A1:H73"/>
  <sheetViews>
    <sheetView topLeftCell="A33" zoomScale="90" zoomScaleNormal="130" workbookViewId="0">
      <selection activeCell="D41" sqref="D41"/>
    </sheetView>
  </sheetViews>
  <sheetFormatPr defaultColWidth="9.21875" defaultRowHeight="10.199999999999999" x14ac:dyDescent="0.2"/>
  <cols>
    <col min="1" max="1" width="8.21875" style="137" customWidth="1"/>
    <col min="2" max="2" width="79" style="49" customWidth="1"/>
    <col min="3" max="3" width="11.44140625" style="51" customWidth="1"/>
    <col min="4" max="4" width="10.44140625" style="51" customWidth="1"/>
    <col min="5" max="5" width="13.21875" style="52" customWidth="1"/>
    <col min="6" max="6" width="14.21875" style="52" customWidth="1"/>
    <col min="7" max="7" width="10.5546875" style="49" customWidth="1"/>
    <col min="8" max="8" width="14.5546875" style="49" customWidth="1"/>
    <col min="9" max="251" width="9.21875" style="49"/>
    <col min="252" max="252" width="8.21875" style="49" customWidth="1"/>
    <col min="253" max="253" width="70.44140625" style="49" bestFit="1" customWidth="1"/>
    <col min="254" max="254" width="11.44140625" style="49" customWidth="1"/>
    <col min="255" max="255" width="10.44140625" style="49" customWidth="1"/>
    <col min="256" max="256" width="13.21875" style="49" customWidth="1"/>
    <col min="257" max="257" width="14.21875" style="49" customWidth="1"/>
    <col min="258" max="258" width="12.21875" style="49" customWidth="1"/>
    <col min="259" max="507" width="9.21875" style="49"/>
    <col min="508" max="508" width="8.21875" style="49" customWidth="1"/>
    <col min="509" max="509" width="70.44140625" style="49" bestFit="1" customWidth="1"/>
    <col min="510" max="510" width="11.44140625" style="49" customWidth="1"/>
    <col min="511" max="511" width="10.44140625" style="49" customWidth="1"/>
    <col min="512" max="512" width="13.21875" style="49" customWidth="1"/>
    <col min="513" max="513" width="14.21875" style="49" customWidth="1"/>
    <col min="514" max="514" width="12.21875" style="49" customWidth="1"/>
    <col min="515" max="763" width="9.21875" style="49"/>
    <col min="764" max="764" width="8.21875" style="49" customWidth="1"/>
    <col min="765" max="765" width="70.44140625" style="49" bestFit="1" customWidth="1"/>
    <col min="766" max="766" width="11.44140625" style="49" customWidth="1"/>
    <col min="767" max="767" width="10.44140625" style="49" customWidth="1"/>
    <col min="768" max="768" width="13.21875" style="49" customWidth="1"/>
    <col min="769" max="769" width="14.21875" style="49" customWidth="1"/>
    <col min="770" max="770" width="12.21875" style="49" customWidth="1"/>
    <col min="771" max="1019" width="9.21875" style="49"/>
    <col min="1020" max="1020" width="8.21875" style="49" customWidth="1"/>
    <col min="1021" max="1021" width="70.44140625" style="49" bestFit="1" customWidth="1"/>
    <col min="1022" max="1022" width="11.44140625" style="49" customWidth="1"/>
    <col min="1023" max="1023" width="10.44140625" style="49" customWidth="1"/>
    <col min="1024" max="1024" width="13.21875" style="49" customWidth="1"/>
    <col min="1025" max="1025" width="14.21875" style="49" customWidth="1"/>
    <col min="1026" max="1026" width="12.21875" style="49" customWidth="1"/>
    <col min="1027" max="1275" width="9.21875" style="49"/>
    <col min="1276" max="1276" width="8.21875" style="49" customWidth="1"/>
    <col min="1277" max="1277" width="70.44140625" style="49" bestFit="1" customWidth="1"/>
    <col min="1278" max="1278" width="11.44140625" style="49" customWidth="1"/>
    <col min="1279" max="1279" width="10.44140625" style="49" customWidth="1"/>
    <col min="1280" max="1280" width="13.21875" style="49" customWidth="1"/>
    <col min="1281" max="1281" width="14.21875" style="49" customWidth="1"/>
    <col min="1282" max="1282" width="12.21875" style="49" customWidth="1"/>
    <col min="1283" max="1531" width="9.21875" style="49"/>
    <col min="1532" max="1532" width="8.21875" style="49" customWidth="1"/>
    <col min="1533" max="1533" width="70.44140625" style="49" bestFit="1" customWidth="1"/>
    <col min="1534" max="1534" width="11.44140625" style="49" customWidth="1"/>
    <col min="1535" max="1535" width="10.44140625" style="49" customWidth="1"/>
    <col min="1536" max="1536" width="13.21875" style="49" customWidth="1"/>
    <col min="1537" max="1537" width="14.21875" style="49" customWidth="1"/>
    <col min="1538" max="1538" width="12.21875" style="49" customWidth="1"/>
    <col min="1539" max="1787" width="9.21875" style="49"/>
    <col min="1788" max="1788" width="8.21875" style="49" customWidth="1"/>
    <col min="1789" max="1789" width="70.44140625" style="49" bestFit="1" customWidth="1"/>
    <col min="1790" max="1790" width="11.44140625" style="49" customWidth="1"/>
    <col min="1791" max="1791" width="10.44140625" style="49" customWidth="1"/>
    <col min="1792" max="1792" width="13.21875" style="49" customWidth="1"/>
    <col min="1793" max="1793" width="14.21875" style="49" customWidth="1"/>
    <col min="1794" max="1794" width="12.21875" style="49" customWidth="1"/>
    <col min="1795" max="2043" width="9.21875" style="49"/>
    <col min="2044" max="2044" width="8.21875" style="49" customWidth="1"/>
    <col min="2045" max="2045" width="70.44140625" style="49" bestFit="1" customWidth="1"/>
    <col min="2046" max="2046" width="11.44140625" style="49" customWidth="1"/>
    <col min="2047" max="2047" width="10.44140625" style="49" customWidth="1"/>
    <col min="2048" max="2048" width="13.21875" style="49" customWidth="1"/>
    <col min="2049" max="2049" width="14.21875" style="49" customWidth="1"/>
    <col min="2050" max="2050" width="12.21875" style="49" customWidth="1"/>
    <col min="2051" max="2299" width="9.21875" style="49"/>
    <col min="2300" max="2300" width="8.21875" style="49" customWidth="1"/>
    <col min="2301" max="2301" width="70.44140625" style="49" bestFit="1" customWidth="1"/>
    <col min="2302" max="2302" width="11.44140625" style="49" customWidth="1"/>
    <col min="2303" max="2303" width="10.44140625" style="49" customWidth="1"/>
    <col min="2304" max="2304" width="13.21875" style="49" customWidth="1"/>
    <col min="2305" max="2305" width="14.21875" style="49" customWidth="1"/>
    <col min="2306" max="2306" width="12.21875" style="49" customWidth="1"/>
    <col min="2307" max="2555" width="9.21875" style="49"/>
    <col min="2556" max="2556" width="8.21875" style="49" customWidth="1"/>
    <col min="2557" max="2557" width="70.44140625" style="49" bestFit="1" customWidth="1"/>
    <col min="2558" max="2558" width="11.44140625" style="49" customWidth="1"/>
    <col min="2559" max="2559" width="10.44140625" style="49" customWidth="1"/>
    <col min="2560" max="2560" width="13.21875" style="49" customWidth="1"/>
    <col min="2561" max="2561" width="14.21875" style="49" customWidth="1"/>
    <col min="2562" max="2562" width="12.21875" style="49" customWidth="1"/>
    <col min="2563" max="2811" width="9.21875" style="49"/>
    <col min="2812" max="2812" width="8.21875" style="49" customWidth="1"/>
    <col min="2813" max="2813" width="70.44140625" style="49" bestFit="1" customWidth="1"/>
    <col min="2814" max="2814" width="11.44140625" style="49" customWidth="1"/>
    <col min="2815" max="2815" width="10.44140625" style="49" customWidth="1"/>
    <col min="2816" max="2816" width="13.21875" style="49" customWidth="1"/>
    <col min="2817" max="2817" width="14.21875" style="49" customWidth="1"/>
    <col min="2818" max="2818" width="12.21875" style="49" customWidth="1"/>
    <col min="2819" max="3067" width="9.21875" style="49"/>
    <col min="3068" max="3068" width="8.21875" style="49" customWidth="1"/>
    <col min="3069" max="3069" width="70.44140625" style="49" bestFit="1" customWidth="1"/>
    <col min="3070" max="3070" width="11.44140625" style="49" customWidth="1"/>
    <col min="3071" max="3071" width="10.44140625" style="49" customWidth="1"/>
    <col min="3072" max="3072" width="13.21875" style="49" customWidth="1"/>
    <col min="3073" max="3073" width="14.21875" style="49" customWidth="1"/>
    <col min="3074" max="3074" width="12.21875" style="49" customWidth="1"/>
    <col min="3075" max="3323" width="9.21875" style="49"/>
    <col min="3324" max="3324" width="8.21875" style="49" customWidth="1"/>
    <col min="3325" max="3325" width="70.44140625" style="49" bestFit="1" customWidth="1"/>
    <col min="3326" max="3326" width="11.44140625" style="49" customWidth="1"/>
    <col min="3327" max="3327" width="10.44140625" style="49" customWidth="1"/>
    <col min="3328" max="3328" width="13.21875" style="49" customWidth="1"/>
    <col min="3329" max="3329" width="14.21875" style="49" customWidth="1"/>
    <col min="3330" max="3330" width="12.21875" style="49" customWidth="1"/>
    <col min="3331" max="3579" width="9.21875" style="49"/>
    <col min="3580" max="3580" width="8.21875" style="49" customWidth="1"/>
    <col min="3581" max="3581" width="70.44140625" style="49" bestFit="1" customWidth="1"/>
    <col min="3582" max="3582" width="11.44140625" style="49" customWidth="1"/>
    <col min="3583" max="3583" width="10.44140625" style="49" customWidth="1"/>
    <col min="3584" max="3584" width="13.21875" style="49" customWidth="1"/>
    <col min="3585" max="3585" width="14.21875" style="49" customWidth="1"/>
    <col min="3586" max="3586" width="12.21875" style="49" customWidth="1"/>
    <col min="3587" max="3835" width="9.21875" style="49"/>
    <col min="3836" max="3836" width="8.21875" style="49" customWidth="1"/>
    <col min="3837" max="3837" width="70.44140625" style="49" bestFit="1" customWidth="1"/>
    <col min="3838" max="3838" width="11.44140625" style="49" customWidth="1"/>
    <col min="3839" max="3839" width="10.44140625" style="49" customWidth="1"/>
    <col min="3840" max="3840" width="13.21875" style="49" customWidth="1"/>
    <col min="3841" max="3841" width="14.21875" style="49" customWidth="1"/>
    <col min="3842" max="3842" width="12.21875" style="49" customWidth="1"/>
    <col min="3843" max="4091" width="9.21875" style="49"/>
    <col min="4092" max="4092" width="8.21875" style="49" customWidth="1"/>
    <col min="4093" max="4093" width="70.44140625" style="49" bestFit="1" customWidth="1"/>
    <col min="4094" max="4094" width="11.44140625" style="49" customWidth="1"/>
    <col min="4095" max="4095" width="10.44140625" style="49" customWidth="1"/>
    <col min="4096" max="4096" width="13.21875" style="49" customWidth="1"/>
    <col min="4097" max="4097" width="14.21875" style="49" customWidth="1"/>
    <col min="4098" max="4098" width="12.21875" style="49" customWidth="1"/>
    <col min="4099" max="4347" width="9.21875" style="49"/>
    <col min="4348" max="4348" width="8.21875" style="49" customWidth="1"/>
    <col min="4349" max="4349" width="70.44140625" style="49" bestFit="1" customWidth="1"/>
    <col min="4350" max="4350" width="11.44140625" style="49" customWidth="1"/>
    <col min="4351" max="4351" width="10.44140625" style="49" customWidth="1"/>
    <col min="4352" max="4352" width="13.21875" style="49" customWidth="1"/>
    <col min="4353" max="4353" width="14.21875" style="49" customWidth="1"/>
    <col min="4354" max="4354" width="12.21875" style="49" customWidth="1"/>
    <col min="4355" max="4603" width="9.21875" style="49"/>
    <col min="4604" max="4604" width="8.21875" style="49" customWidth="1"/>
    <col min="4605" max="4605" width="70.44140625" style="49" bestFit="1" customWidth="1"/>
    <col min="4606" max="4606" width="11.44140625" style="49" customWidth="1"/>
    <col min="4607" max="4607" width="10.44140625" style="49" customWidth="1"/>
    <col min="4608" max="4608" width="13.21875" style="49" customWidth="1"/>
    <col min="4609" max="4609" width="14.21875" style="49" customWidth="1"/>
    <col min="4610" max="4610" width="12.21875" style="49" customWidth="1"/>
    <col min="4611" max="4859" width="9.21875" style="49"/>
    <col min="4860" max="4860" width="8.21875" style="49" customWidth="1"/>
    <col min="4861" max="4861" width="70.44140625" style="49" bestFit="1" customWidth="1"/>
    <col min="4862" max="4862" width="11.44140625" style="49" customWidth="1"/>
    <col min="4863" max="4863" width="10.44140625" style="49" customWidth="1"/>
    <col min="4864" max="4864" width="13.21875" style="49" customWidth="1"/>
    <col min="4865" max="4865" width="14.21875" style="49" customWidth="1"/>
    <col min="4866" max="4866" width="12.21875" style="49" customWidth="1"/>
    <col min="4867" max="5115" width="9.21875" style="49"/>
    <col min="5116" max="5116" width="8.21875" style="49" customWidth="1"/>
    <col min="5117" max="5117" width="70.44140625" style="49" bestFit="1" customWidth="1"/>
    <col min="5118" max="5118" width="11.44140625" style="49" customWidth="1"/>
    <col min="5119" max="5119" width="10.44140625" style="49" customWidth="1"/>
    <col min="5120" max="5120" width="13.21875" style="49" customWidth="1"/>
    <col min="5121" max="5121" width="14.21875" style="49" customWidth="1"/>
    <col min="5122" max="5122" width="12.21875" style="49" customWidth="1"/>
    <col min="5123" max="5371" width="9.21875" style="49"/>
    <col min="5372" max="5372" width="8.21875" style="49" customWidth="1"/>
    <col min="5373" max="5373" width="70.44140625" style="49" bestFit="1" customWidth="1"/>
    <col min="5374" max="5374" width="11.44140625" style="49" customWidth="1"/>
    <col min="5375" max="5375" width="10.44140625" style="49" customWidth="1"/>
    <col min="5376" max="5376" width="13.21875" style="49" customWidth="1"/>
    <col min="5377" max="5377" width="14.21875" style="49" customWidth="1"/>
    <col min="5378" max="5378" width="12.21875" style="49" customWidth="1"/>
    <col min="5379" max="5627" width="9.21875" style="49"/>
    <col min="5628" max="5628" width="8.21875" style="49" customWidth="1"/>
    <col min="5629" max="5629" width="70.44140625" style="49" bestFit="1" customWidth="1"/>
    <col min="5630" max="5630" width="11.44140625" style="49" customWidth="1"/>
    <col min="5631" max="5631" width="10.44140625" style="49" customWidth="1"/>
    <col min="5632" max="5632" width="13.21875" style="49" customWidth="1"/>
    <col min="5633" max="5633" width="14.21875" style="49" customWidth="1"/>
    <col min="5634" max="5634" width="12.21875" style="49" customWidth="1"/>
    <col min="5635" max="5883" width="9.21875" style="49"/>
    <col min="5884" max="5884" width="8.21875" style="49" customWidth="1"/>
    <col min="5885" max="5885" width="70.44140625" style="49" bestFit="1" customWidth="1"/>
    <col min="5886" max="5886" width="11.44140625" style="49" customWidth="1"/>
    <col min="5887" max="5887" width="10.44140625" style="49" customWidth="1"/>
    <col min="5888" max="5888" width="13.21875" style="49" customWidth="1"/>
    <col min="5889" max="5889" width="14.21875" style="49" customWidth="1"/>
    <col min="5890" max="5890" width="12.21875" style="49" customWidth="1"/>
    <col min="5891" max="6139" width="9.21875" style="49"/>
    <col min="6140" max="6140" width="8.21875" style="49" customWidth="1"/>
    <col min="6141" max="6141" width="70.44140625" style="49" bestFit="1" customWidth="1"/>
    <col min="6142" max="6142" width="11.44140625" style="49" customWidth="1"/>
    <col min="6143" max="6143" width="10.44140625" style="49" customWidth="1"/>
    <col min="6144" max="6144" width="13.21875" style="49" customWidth="1"/>
    <col min="6145" max="6145" width="14.21875" style="49" customWidth="1"/>
    <col min="6146" max="6146" width="12.21875" style="49" customWidth="1"/>
    <col min="6147" max="6395" width="9.21875" style="49"/>
    <col min="6396" max="6396" width="8.21875" style="49" customWidth="1"/>
    <col min="6397" max="6397" width="70.44140625" style="49" bestFit="1" customWidth="1"/>
    <col min="6398" max="6398" width="11.44140625" style="49" customWidth="1"/>
    <col min="6399" max="6399" width="10.44140625" style="49" customWidth="1"/>
    <col min="6400" max="6400" width="13.21875" style="49" customWidth="1"/>
    <col min="6401" max="6401" width="14.21875" style="49" customWidth="1"/>
    <col min="6402" max="6402" width="12.21875" style="49" customWidth="1"/>
    <col min="6403" max="6651" width="9.21875" style="49"/>
    <col min="6652" max="6652" width="8.21875" style="49" customWidth="1"/>
    <col min="6653" max="6653" width="70.44140625" style="49" bestFit="1" customWidth="1"/>
    <col min="6654" max="6654" width="11.44140625" style="49" customWidth="1"/>
    <col min="6655" max="6655" width="10.44140625" style="49" customWidth="1"/>
    <col min="6656" max="6656" width="13.21875" style="49" customWidth="1"/>
    <col min="6657" max="6657" width="14.21875" style="49" customWidth="1"/>
    <col min="6658" max="6658" width="12.21875" style="49" customWidth="1"/>
    <col min="6659" max="6907" width="9.21875" style="49"/>
    <col min="6908" max="6908" width="8.21875" style="49" customWidth="1"/>
    <col min="6909" max="6909" width="70.44140625" style="49" bestFit="1" customWidth="1"/>
    <col min="6910" max="6910" width="11.44140625" style="49" customWidth="1"/>
    <col min="6911" max="6911" width="10.44140625" style="49" customWidth="1"/>
    <col min="6912" max="6912" width="13.21875" style="49" customWidth="1"/>
    <col min="6913" max="6913" width="14.21875" style="49" customWidth="1"/>
    <col min="6914" max="6914" width="12.21875" style="49" customWidth="1"/>
    <col min="6915" max="7163" width="9.21875" style="49"/>
    <col min="7164" max="7164" width="8.21875" style="49" customWidth="1"/>
    <col min="7165" max="7165" width="70.44140625" style="49" bestFit="1" customWidth="1"/>
    <col min="7166" max="7166" width="11.44140625" style="49" customWidth="1"/>
    <col min="7167" max="7167" width="10.44140625" style="49" customWidth="1"/>
    <col min="7168" max="7168" width="13.21875" style="49" customWidth="1"/>
    <col min="7169" max="7169" width="14.21875" style="49" customWidth="1"/>
    <col min="7170" max="7170" width="12.21875" style="49" customWidth="1"/>
    <col min="7171" max="7419" width="9.21875" style="49"/>
    <col min="7420" max="7420" width="8.21875" style="49" customWidth="1"/>
    <col min="7421" max="7421" width="70.44140625" style="49" bestFit="1" customWidth="1"/>
    <col min="7422" max="7422" width="11.44140625" style="49" customWidth="1"/>
    <col min="7423" max="7423" width="10.44140625" style="49" customWidth="1"/>
    <col min="7424" max="7424" width="13.21875" style="49" customWidth="1"/>
    <col min="7425" max="7425" width="14.21875" style="49" customWidth="1"/>
    <col min="7426" max="7426" width="12.21875" style="49" customWidth="1"/>
    <col min="7427" max="7675" width="9.21875" style="49"/>
    <col min="7676" max="7676" width="8.21875" style="49" customWidth="1"/>
    <col min="7677" max="7677" width="70.44140625" style="49" bestFit="1" customWidth="1"/>
    <col min="7678" max="7678" width="11.44140625" style="49" customWidth="1"/>
    <col min="7679" max="7679" width="10.44140625" style="49" customWidth="1"/>
    <col min="7680" max="7680" width="13.21875" style="49" customWidth="1"/>
    <col min="7681" max="7681" width="14.21875" style="49" customWidth="1"/>
    <col min="7682" max="7682" width="12.21875" style="49" customWidth="1"/>
    <col min="7683" max="7931" width="9.21875" style="49"/>
    <col min="7932" max="7932" width="8.21875" style="49" customWidth="1"/>
    <col min="7933" max="7933" width="70.44140625" style="49" bestFit="1" customWidth="1"/>
    <col min="7934" max="7934" width="11.44140625" style="49" customWidth="1"/>
    <col min="7935" max="7935" width="10.44140625" style="49" customWidth="1"/>
    <col min="7936" max="7936" width="13.21875" style="49" customWidth="1"/>
    <col min="7937" max="7937" width="14.21875" style="49" customWidth="1"/>
    <col min="7938" max="7938" width="12.21875" style="49" customWidth="1"/>
    <col min="7939" max="8187" width="9.21875" style="49"/>
    <col min="8188" max="8188" width="8.21875" style="49" customWidth="1"/>
    <col min="8189" max="8189" width="70.44140625" style="49" bestFit="1" customWidth="1"/>
    <col min="8190" max="8190" width="11.44140625" style="49" customWidth="1"/>
    <col min="8191" max="8191" width="10.44140625" style="49" customWidth="1"/>
    <col min="8192" max="8192" width="13.21875" style="49" customWidth="1"/>
    <col min="8193" max="8193" width="14.21875" style="49" customWidth="1"/>
    <col min="8194" max="8194" width="12.21875" style="49" customWidth="1"/>
    <col min="8195" max="8443" width="9.21875" style="49"/>
    <col min="8444" max="8444" width="8.21875" style="49" customWidth="1"/>
    <col min="8445" max="8445" width="70.44140625" style="49" bestFit="1" customWidth="1"/>
    <col min="8446" max="8446" width="11.44140625" style="49" customWidth="1"/>
    <col min="8447" max="8447" width="10.44140625" style="49" customWidth="1"/>
    <col min="8448" max="8448" width="13.21875" style="49" customWidth="1"/>
    <col min="8449" max="8449" width="14.21875" style="49" customWidth="1"/>
    <col min="8450" max="8450" width="12.21875" style="49" customWidth="1"/>
    <col min="8451" max="8699" width="9.21875" style="49"/>
    <col min="8700" max="8700" width="8.21875" style="49" customWidth="1"/>
    <col min="8701" max="8701" width="70.44140625" style="49" bestFit="1" customWidth="1"/>
    <col min="8702" max="8702" width="11.44140625" style="49" customWidth="1"/>
    <col min="8703" max="8703" width="10.44140625" style="49" customWidth="1"/>
    <col min="8704" max="8704" width="13.21875" style="49" customWidth="1"/>
    <col min="8705" max="8705" width="14.21875" style="49" customWidth="1"/>
    <col min="8706" max="8706" width="12.21875" style="49" customWidth="1"/>
    <col min="8707" max="8955" width="9.21875" style="49"/>
    <col min="8956" max="8956" width="8.21875" style="49" customWidth="1"/>
    <col min="8957" max="8957" width="70.44140625" style="49" bestFit="1" customWidth="1"/>
    <col min="8958" max="8958" width="11.44140625" style="49" customWidth="1"/>
    <col min="8959" max="8959" width="10.44140625" style="49" customWidth="1"/>
    <col min="8960" max="8960" width="13.21875" style="49" customWidth="1"/>
    <col min="8961" max="8961" width="14.21875" style="49" customWidth="1"/>
    <col min="8962" max="8962" width="12.21875" style="49" customWidth="1"/>
    <col min="8963" max="9211" width="9.21875" style="49"/>
    <col min="9212" max="9212" width="8.21875" style="49" customWidth="1"/>
    <col min="9213" max="9213" width="70.44140625" style="49" bestFit="1" customWidth="1"/>
    <col min="9214" max="9214" width="11.44140625" style="49" customWidth="1"/>
    <col min="9215" max="9215" width="10.44140625" style="49" customWidth="1"/>
    <col min="9216" max="9216" width="13.21875" style="49" customWidth="1"/>
    <col min="9217" max="9217" width="14.21875" style="49" customWidth="1"/>
    <col min="9218" max="9218" width="12.21875" style="49" customWidth="1"/>
    <col min="9219" max="9467" width="9.21875" style="49"/>
    <col min="9468" max="9468" width="8.21875" style="49" customWidth="1"/>
    <col min="9469" max="9469" width="70.44140625" style="49" bestFit="1" customWidth="1"/>
    <col min="9470" max="9470" width="11.44140625" style="49" customWidth="1"/>
    <col min="9471" max="9471" width="10.44140625" style="49" customWidth="1"/>
    <col min="9472" max="9472" width="13.21875" style="49" customWidth="1"/>
    <col min="9473" max="9473" width="14.21875" style="49" customWidth="1"/>
    <col min="9474" max="9474" width="12.21875" style="49" customWidth="1"/>
    <col min="9475" max="9723" width="9.21875" style="49"/>
    <col min="9724" max="9724" width="8.21875" style="49" customWidth="1"/>
    <col min="9725" max="9725" width="70.44140625" style="49" bestFit="1" customWidth="1"/>
    <col min="9726" max="9726" width="11.44140625" style="49" customWidth="1"/>
    <col min="9727" max="9727" width="10.44140625" style="49" customWidth="1"/>
    <col min="9728" max="9728" width="13.21875" style="49" customWidth="1"/>
    <col min="9729" max="9729" width="14.21875" style="49" customWidth="1"/>
    <col min="9730" max="9730" width="12.21875" style="49" customWidth="1"/>
    <col min="9731" max="9979" width="9.21875" style="49"/>
    <col min="9980" max="9980" width="8.21875" style="49" customWidth="1"/>
    <col min="9981" max="9981" width="70.44140625" style="49" bestFit="1" customWidth="1"/>
    <col min="9982" max="9982" width="11.44140625" style="49" customWidth="1"/>
    <col min="9983" max="9983" width="10.44140625" style="49" customWidth="1"/>
    <col min="9984" max="9984" width="13.21875" style="49" customWidth="1"/>
    <col min="9985" max="9985" width="14.21875" style="49" customWidth="1"/>
    <col min="9986" max="9986" width="12.21875" style="49" customWidth="1"/>
    <col min="9987" max="10235" width="9.21875" style="49"/>
    <col min="10236" max="10236" width="8.21875" style="49" customWidth="1"/>
    <col min="10237" max="10237" width="70.44140625" style="49" bestFit="1" customWidth="1"/>
    <col min="10238" max="10238" width="11.44140625" style="49" customWidth="1"/>
    <col min="10239" max="10239" width="10.44140625" style="49" customWidth="1"/>
    <col min="10240" max="10240" width="13.21875" style="49" customWidth="1"/>
    <col min="10241" max="10241" width="14.21875" style="49" customWidth="1"/>
    <col min="10242" max="10242" width="12.21875" style="49" customWidth="1"/>
    <col min="10243" max="10491" width="9.21875" style="49"/>
    <col min="10492" max="10492" width="8.21875" style="49" customWidth="1"/>
    <col min="10493" max="10493" width="70.44140625" style="49" bestFit="1" customWidth="1"/>
    <col min="10494" max="10494" width="11.44140625" style="49" customWidth="1"/>
    <col min="10495" max="10495" width="10.44140625" style="49" customWidth="1"/>
    <col min="10496" max="10496" width="13.21875" style="49" customWidth="1"/>
    <col min="10497" max="10497" width="14.21875" style="49" customWidth="1"/>
    <col min="10498" max="10498" width="12.21875" style="49" customWidth="1"/>
    <col min="10499" max="10747" width="9.21875" style="49"/>
    <col min="10748" max="10748" width="8.21875" style="49" customWidth="1"/>
    <col min="10749" max="10749" width="70.44140625" style="49" bestFit="1" customWidth="1"/>
    <col min="10750" max="10750" width="11.44140625" style="49" customWidth="1"/>
    <col min="10751" max="10751" width="10.44140625" style="49" customWidth="1"/>
    <col min="10752" max="10752" width="13.21875" style="49" customWidth="1"/>
    <col min="10753" max="10753" width="14.21875" style="49" customWidth="1"/>
    <col min="10754" max="10754" width="12.21875" style="49" customWidth="1"/>
    <col min="10755" max="11003" width="9.21875" style="49"/>
    <col min="11004" max="11004" width="8.21875" style="49" customWidth="1"/>
    <col min="11005" max="11005" width="70.44140625" style="49" bestFit="1" customWidth="1"/>
    <col min="11006" max="11006" width="11.44140625" style="49" customWidth="1"/>
    <col min="11007" max="11007" width="10.44140625" style="49" customWidth="1"/>
    <col min="11008" max="11008" width="13.21875" style="49" customWidth="1"/>
    <col min="11009" max="11009" width="14.21875" style="49" customWidth="1"/>
    <col min="11010" max="11010" width="12.21875" style="49" customWidth="1"/>
    <col min="11011" max="11259" width="9.21875" style="49"/>
    <col min="11260" max="11260" width="8.21875" style="49" customWidth="1"/>
    <col min="11261" max="11261" width="70.44140625" style="49" bestFit="1" customWidth="1"/>
    <col min="11262" max="11262" width="11.44140625" style="49" customWidth="1"/>
    <col min="11263" max="11263" width="10.44140625" style="49" customWidth="1"/>
    <col min="11264" max="11264" width="13.21875" style="49" customWidth="1"/>
    <col min="11265" max="11265" width="14.21875" style="49" customWidth="1"/>
    <col min="11266" max="11266" width="12.21875" style="49" customWidth="1"/>
    <col min="11267" max="11515" width="9.21875" style="49"/>
    <col min="11516" max="11516" width="8.21875" style="49" customWidth="1"/>
    <col min="11517" max="11517" width="70.44140625" style="49" bestFit="1" customWidth="1"/>
    <col min="11518" max="11518" width="11.44140625" style="49" customWidth="1"/>
    <col min="11519" max="11519" width="10.44140625" style="49" customWidth="1"/>
    <col min="11520" max="11520" width="13.21875" style="49" customWidth="1"/>
    <col min="11521" max="11521" width="14.21875" style="49" customWidth="1"/>
    <col min="11522" max="11522" width="12.21875" style="49" customWidth="1"/>
    <col min="11523" max="11771" width="9.21875" style="49"/>
    <col min="11772" max="11772" width="8.21875" style="49" customWidth="1"/>
    <col min="11773" max="11773" width="70.44140625" style="49" bestFit="1" customWidth="1"/>
    <col min="11774" max="11774" width="11.44140625" style="49" customWidth="1"/>
    <col min="11775" max="11775" width="10.44140625" style="49" customWidth="1"/>
    <col min="11776" max="11776" width="13.21875" style="49" customWidth="1"/>
    <col min="11777" max="11777" width="14.21875" style="49" customWidth="1"/>
    <col min="11778" max="11778" width="12.21875" style="49" customWidth="1"/>
    <col min="11779" max="12027" width="9.21875" style="49"/>
    <col min="12028" max="12028" width="8.21875" style="49" customWidth="1"/>
    <col min="12029" max="12029" width="70.44140625" style="49" bestFit="1" customWidth="1"/>
    <col min="12030" max="12030" width="11.44140625" style="49" customWidth="1"/>
    <col min="12031" max="12031" width="10.44140625" style="49" customWidth="1"/>
    <col min="12032" max="12032" width="13.21875" style="49" customWidth="1"/>
    <col min="12033" max="12033" width="14.21875" style="49" customWidth="1"/>
    <col min="12034" max="12034" width="12.21875" style="49" customWidth="1"/>
    <col min="12035" max="12283" width="9.21875" style="49"/>
    <col min="12284" max="12284" width="8.21875" style="49" customWidth="1"/>
    <col min="12285" max="12285" width="70.44140625" style="49" bestFit="1" customWidth="1"/>
    <col min="12286" max="12286" width="11.44140625" style="49" customWidth="1"/>
    <col min="12287" max="12287" width="10.44140625" style="49" customWidth="1"/>
    <col min="12288" max="12288" width="13.21875" style="49" customWidth="1"/>
    <col min="12289" max="12289" width="14.21875" style="49" customWidth="1"/>
    <col min="12290" max="12290" width="12.21875" style="49" customWidth="1"/>
    <col min="12291" max="12539" width="9.21875" style="49"/>
    <col min="12540" max="12540" width="8.21875" style="49" customWidth="1"/>
    <col min="12541" max="12541" width="70.44140625" style="49" bestFit="1" customWidth="1"/>
    <col min="12542" max="12542" width="11.44140625" style="49" customWidth="1"/>
    <col min="12543" max="12543" width="10.44140625" style="49" customWidth="1"/>
    <col min="12544" max="12544" width="13.21875" style="49" customWidth="1"/>
    <col min="12545" max="12545" width="14.21875" style="49" customWidth="1"/>
    <col min="12546" max="12546" width="12.21875" style="49" customWidth="1"/>
    <col min="12547" max="12795" width="9.21875" style="49"/>
    <col min="12796" max="12796" width="8.21875" style="49" customWidth="1"/>
    <col min="12797" max="12797" width="70.44140625" style="49" bestFit="1" customWidth="1"/>
    <col min="12798" max="12798" width="11.44140625" style="49" customWidth="1"/>
    <col min="12799" max="12799" width="10.44140625" style="49" customWidth="1"/>
    <col min="12800" max="12800" width="13.21875" style="49" customWidth="1"/>
    <col min="12801" max="12801" width="14.21875" style="49" customWidth="1"/>
    <col min="12802" max="12802" width="12.21875" style="49" customWidth="1"/>
    <col min="12803" max="13051" width="9.21875" style="49"/>
    <col min="13052" max="13052" width="8.21875" style="49" customWidth="1"/>
    <col min="13053" max="13053" width="70.44140625" style="49" bestFit="1" customWidth="1"/>
    <col min="13054" max="13054" width="11.44140625" style="49" customWidth="1"/>
    <col min="13055" max="13055" width="10.44140625" style="49" customWidth="1"/>
    <col min="13056" max="13056" width="13.21875" style="49" customWidth="1"/>
    <col min="13057" max="13057" width="14.21875" style="49" customWidth="1"/>
    <col min="13058" max="13058" width="12.21875" style="49" customWidth="1"/>
    <col min="13059" max="13307" width="9.21875" style="49"/>
    <col min="13308" max="13308" width="8.21875" style="49" customWidth="1"/>
    <col min="13309" max="13309" width="70.44140625" style="49" bestFit="1" customWidth="1"/>
    <col min="13310" max="13310" width="11.44140625" style="49" customWidth="1"/>
    <col min="13311" max="13311" width="10.44140625" style="49" customWidth="1"/>
    <col min="13312" max="13312" width="13.21875" style="49" customWidth="1"/>
    <col min="13313" max="13313" width="14.21875" style="49" customWidth="1"/>
    <col min="13314" max="13314" width="12.21875" style="49" customWidth="1"/>
    <col min="13315" max="13563" width="9.21875" style="49"/>
    <col min="13564" max="13564" width="8.21875" style="49" customWidth="1"/>
    <col min="13565" max="13565" width="70.44140625" style="49" bestFit="1" customWidth="1"/>
    <col min="13566" max="13566" width="11.44140625" style="49" customWidth="1"/>
    <col min="13567" max="13567" width="10.44140625" style="49" customWidth="1"/>
    <col min="13568" max="13568" width="13.21875" style="49" customWidth="1"/>
    <col min="13569" max="13569" width="14.21875" style="49" customWidth="1"/>
    <col min="13570" max="13570" width="12.21875" style="49" customWidth="1"/>
    <col min="13571" max="13819" width="9.21875" style="49"/>
    <col min="13820" max="13820" width="8.21875" style="49" customWidth="1"/>
    <col min="13821" max="13821" width="70.44140625" style="49" bestFit="1" customWidth="1"/>
    <col min="13822" max="13822" width="11.44140625" style="49" customWidth="1"/>
    <col min="13823" max="13823" width="10.44140625" style="49" customWidth="1"/>
    <col min="13824" max="13824" width="13.21875" style="49" customWidth="1"/>
    <col min="13825" max="13825" width="14.21875" style="49" customWidth="1"/>
    <col min="13826" max="13826" width="12.21875" style="49" customWidth="1"/>
    <col min="13827" max="14075" width="9.21875" style="49"/>
    <col min="14076" max="14076" width="8.21875" style="49" customWidth="1"/>
    <col min="14077" max="14077" width="70.44140625" style="49" bestFit="1" customWidth="1"/>
    <col min="14078" max="14078" width="11.44140625" style="49" customWidth="1"/>
    <col min="14079" max="14079" width="10.44140625" style="49" customWidth="1"/>
    <col min="14080" max="14080" width="13.21875" style="49" customWidth="1"/>
    <col min="14081" max="14081" width="14.21875" style="49" customWidth="1"/>
    <col min="14082" max="14082" width="12.21875" style="49" customWidth="1"/>
    <col min="14083" max="14331" width="9.21875" style="49"/>
    <col min="14332" max="14332" width="8.21875" style="49" customWidth="1"/>
    <col min="14333" max="14333" width="70.44140625" style="49" bestFit="1" customWidth="1"/>
    <col min="14334" max="14334" width="11.44140625" style="49" customWidth="1"/>
    <col min="14335" max="14335" width="10.44140625" style="49" customWidth="1"/>
    <col min="14336" max="14336" width="13.21875" style="49" customWidth="1"/>
    <col min="14337" max="14337" width="14.21875" style="49" customWidth="1"/>
    <col min="14338" max="14338" width="12.21875" style="49" customWidth="1"/>
    <col min="14339" max="14587" width="9.21875" style="49"/>
    <col min="14588" max="14588" width="8.21875" style="49" customWidth="1"/>
    <col min="14589" max="14589" width="70.44140625" style="49" bestFit="1" customWidth="1"/>
    <col min="14590" max="14590" width="11.44140625" style="49" customWidth="1"/>
    <col min="14591" max="14591" width="10.44140625" style="49" customWidth="1"/>
    <col min="14592" max="14592" width="13.21875" style="49" customWidth="1"/>
    <col min="14593" max="14593" width="14.21875" style="49" customWidth="1"/>
    <col min="14594" max="14594" width="12.21875" style="49" customWidth="1"/>
    <col min="14595" max="14843" width="9.21875" style="49"/>
    <col min="14844" max="14844" width="8.21875" style="49" customWidth="1"/>
    <col min="14845" max="14845" width="70.44140625" style="49" bestFit="1" customWidth="1"/>
    <col min="14846" max="14846" width="11.44140625" style="49" customWidth="1"/>
    <col min="14847" max="14847" width="10.44140625" style="49" customWidth="1"/>
    <col min="14848" max="14848" width="13.21875" style="49" customWidth="1"/>
    <col min="14849" max="14849" width="14.21875" style="49" customWidth="1"/>
    <col min="14850" max="14850" width="12.21875" style="49" customWidth="1"/>
    <col min="14851" max="15099" width="9.21875" style="49"/>
    <col min="15100" max="15100" width="8.21875" style="49" customWidth="1"/>
    <col min="15101" max="15101" width="70.44140625" style="49" bestFit="1" customWidth="1"/>
    <col min="15102" max="15102" width="11.44140625" style="49" customWidth="1"/>
    <col min="15103" max="15103" width="10.44140625" style="49" customWidth="1"/>
    <col min="15104" max="15104" width="13.21875" style="49" customWidth="1"/>
    <col min="15105" max="15105" width="14.21875" style="49" customWidth="1"/>
    <col min="15106" max="15106" width="12.21875" style="49" customWidth="1"/>
    <col min="15107" max="15355" width="9.21875" style="49"/>
    <col min="15356" max="15356" width="8.21875" style="49" customWidth="1"/>
    <col min="15357" max="15357" width="70.44140625" style="49" bestFit="1" customWidth="1"/>
    <col min="15358" max="15358" width="11.44140625" style="49" customWidth="1"/>
    <col min="15359" max="15359" width="10.44140625" style="49" customWidth="1"/>
    <col min="15360" max="15360" width="13.21875" style="49" customWidth="1"/>
    <col min="15361" max="15361" width="14.21875" style="49" customWidth="1"/>
    <col min="15362" max="15362" width="12.21875" style="49" customWidth="1"/>
    <col min="15363" max="15611" width="9.21875" style="49"/>
    <col min="15612" max="15612" width="8.21875" style="49" customWidth="1"/>
    <col min="15613" max="15613" width="70.44140625" style="49" bestFit="1" customWidth="1"/>
    <col min="15614" max="15614" width="11.44140625" style="49" customWidth="1"/>
    <col min="15615" max="15615" width="10.44140625" style="49" customWidth="1"/>
    <col min="15616" max="15616" width="13.21875" style="49" customWidth="1"/>
    <col min="15617" max="15617" width="14.21875" style="49" customWidth="1"/>
    <col min="15618" max="15618" width="12.21875" style="49" customWidth="1"/>
    <col min="15619" max="15867" width="9.21875" style="49"/>
    <col min="15868" max="15868" width="8.21875" style="49" customWidth="1"/>
    <col min="15869" max="15869" width="70.44140625" style="49" bestFit="1" customWidth="1"/>
    <col min="15870" max="15870" width="11.44140625" style="49" customWidth="1"/>
    <col min="15871" max="15871" width="10.44140625" style="49" customWidth="1"/>
    <col min="15872" max="15872" width="13.21875" style="49" customWidth="1"/>
    <col min="15873" max="15873" width="14.21875" style="49" customWidth="1"/>
    <col min="15874" max="15874" width="12.21875" style="49" customWidth="1"/>
    <col min="15875" max="16123" width="9.21875" style="49"/>
    <col min="16124" max="16124" width="8.21875" style="49" customWidth="1"/>
    <col min="16125" max="16125" width="70.44140625" style="49" bestFit="1" customWidth="1"/>
    <col min="16126" max="16126" width="11.44140625" style="49" customWidth="1"/>
    <col min="16127" max="16127" width="10.44140625" style="49" customWidth="1"/>
    <col min="16128" max="16128" width="13.21875" style="49" customWidth="1"/>
    <col min="16129" max="16129" width="14.21875" style="49" customWidth="1"/>
    <col min="16130" max="16130" width="12.21875" style="49" customWidth="1"/>
    <col min="16131" max="16384" width="9.21875" style="49"/>
  </cols>
  <sheetData>
    <row r="1" spans="1:8" x14ac:dyDescent="0.2">
      <c r="A1" s="49"/>
      <c r="B1" s="50" t="s">
        <v>25</v>
      </c>
    </row>
    <row r="2" spans="1:8" x14ac:dyDescent="0.2">
      <c r="A2" s="49"/>
      <c r="B2" s="50" t="s">
        <v>26</v>
      </c>
    </row>
    <row r="3" spans="1:8" x14ac:dyDescent="0.2">
      <c r="A3" s="49"/>
      <c r="B3" s="49" t="s">
        <v>27</v>
      </c>
    </row>
    <row r="4" spans="1:8" ht="13.8" x14ac:dyDescent="0.25">
      <c r="A4" s="53" t="s">
        <v>28</v>
      </c>
      <c r="B4" s="54"/>
    </row>
    <row r="5" spans="1:8" ht="10.8" thickBot="1" x14ac:dyDescent="0.25">
      <c r="A5" s="53"/>
      <c r="B5" s="55"/>
      <c r="E5" s="56"/>
      <c r="F5" s="56"/>
    </row>
    <row r="6" spans="1:8" ht="6" customHeight="1" x14ac:dyDescent="0.2">
      <c r="A6" s="473"/>
      <c r="B6" s="473"/>
      <c r="C6" s="473"/>
      <c r="D6" s="473"/>
      <c r="E6" s="473"/>
      <c r="F6" s="473"/>
    </row>
    <row r="7" spans="1:8" s="51" customFormat="1" ht="10.8" thickBot="1" x14ac:dyDescent="0.25">
      <c r="A7" s="49"/>
      <c r="B7" s="68"/>
      <c r="E7" s="65"/>
      <c r="F7" s="65"/>
      <c r="G7" s="49"/>
      <c r="H7" s="49"/>
    </row>
    <row r="8" spans="1:8" s="51" customFormat="1" ht="10.8" thickBot="1" x14ac:dyDescent="0.25">
      <c r="A8" s="53" t="s">
        <v>11</v>
      </c>
      <c r="B8" s="123" t="s">
        <v>35</v>
      </c>
      <c r="C8" s="53"/>
      <c r="D8" s="53"/>
      <c r="E8" s="124"/>
      <c r="F8" s="65"/>
      <c r="G8" s="49"/>
      <c r="H8" s="49"/>
    </row>
    <row r="9" spans="1:8" s="51" customFormat="1" x14ac:dyDescent="0.2">
      <c r="A9" s="53"/>
      <c r="B9" s="50"/>
      <c r="C9" s="53"/>
      <c r="D9" s="53"/>
      <c r="E9" s="124"/>
      <c r="F9" s="65"/>
      <c r="G9" s="49"/>
      <c r="H9" s="53" t="s">
        <v>65</v>
      </c>
    </row>
    <row r="10" spans="1:8" s="51" customFormat="1" x14ac:dyDescent="0.2">
      <c r="A10" s="53"/>
      <c r="B10" s="50" t="s">
        <v>66</v>
      </c>
      <c r="C10" s="53"/>
      <c r="D10" s="53"/>
      <c r="E10" s="124"/>
      <c r="F10" s="65"/>
      <c r="G10" s="49"/>
      <c r="H10" s="49"/>
    </row>
    <row r="11" spans="1:8" s="51" customFormat="1" x14ac:dyDescent="0.2">
      <c r="A11" s="53"/>
      <c r="B11" s="50"/>
      <c r="C11" s="53"/>
      <c r="D11" s="53"/>
      <c r="E11" s="124"/>
      <c r="F11" s="65"/>
      <c r="G11" s="49"/>
      <c r="H11" s="66">
        <f>SUM(F13:F19)</f>
        <v>0</v>
      </c>
    </row>
    <row r="12" spans="1:8" s="51" customFormat="1" x14ac:dyDescent="0.2">
      <c r="A12" s="49"/>
      <c r="B12" s="125" t="s">
        <v>67</v>
      </c>
      <c r="C12" s="53"/>
      <c r="D12" s="53"/>
      <c r="E12" s="124"/>
      <c r="F12" s="65"/>
      <c r="G12" s="49"/>
    </row>
    <row r="13" spans="1:8" s="51" customFormat="1" x14ac:dyDescent="0.2">
      <c r="A13" s="49"/>
      <c r="B13" s="49" t="s">
        <v>37</v>
      </c>
      <c r="C13" s="51" t="s">
        <v>38</v>
      </c>
      <c r="E13" s="189">
        <f>'Staff Rates'!E17</f>
        <v>822.5</v>
      </c>
      <c r="F13" s="65">
        <f>E13*D13</f>
        <v>0</v>
      </c>
      <c r="G13" s="49"/>
    </row>
    <row r="14" spans="1:8" s="51" customFormat="1" ht="11.55" customHeight="1" x14ac:dyDescent="0.2">
      <c r="A14" s="53"/>
      <c r="B14" s="49" t="s">
        <v>143</v>
      </c>
      <c r="C14" s="51" t="s">
        <v>38</v>
      </c>
      <c r="E14" s="189">
        <f>'Staff Rates'!E24</f>
        <v>2152.5</v>
      </c>
      <c r="F14" s="65">
        <f t="shared" ref="F14:F19" si="0">E14*D14</f>
        <v>0</v>
      </c>
      <c r="G14" s="49"/>
      <c r="H14" s="49"/>
    </row>
    <row r="15" spans="1:8" s="51" customFormat="1" x14ac:dyDescent="0.2">
      <c r="A15" s="53"/>
      <c r="B15" s="49" t="s">
        <v>144</v>
      </c>
      <c r="C15" s="51" t="s">
        <v>38</v>
      </c>
      <c r="E15" s="189">
        <f>'Staff Rates'!E24</f>
        <v>2152.5</v>
      </c>
      <c r="F15" s="65">
        <f t="shared" si="0"/>
        <v>0</v>
      </c>
      <c r="G15" s="49"/>
      <c r="H15" s="49"/>
    </row>
    <row r="16" spans="1:8" s="51" customFormat="1" x14ac:dyDescent="0.2">
      <c r="A16" s="53"/>
      <c r="B16" s="49" t="s">
        <v>145</v>
      </c>
      <c r="C16" s="51" t="s">
        <v>38</v>
      </c>
      <c r="E16" s="189">
        <f>'Staff Rates'!E31</f>
        <v>2152.5</v>
      </c>
      <c r="F16" s="65">
        <f t="shared" si="0"/>
        <v>0</v>
      </c>
      <c r="G16" s="49"/>
      <c r="H16" s="49"/>
    </row>
    <row r="17" spans="1:8" s="51" customFormat="1" ht="11.55" customHeight="1" x14ac:dyDescent="0.2">
      <c r="A17" s="53"/>
      <c r="B17" s="49" t="s">
        <v>40</v>
      </c>
      <c r="C17" s="51" t="s">
        <v>38</v>
      </c>
      <c r="E17" s="189">
        <f>'Staff Rates'!E52</f>
        <v>612.5</v>
      </c>
      <c r="F17" s="65">
        <f t="shared" si="0"/>
        <v>0</v>
      </c>
      <c r="G17" s="49"/>
      <c r="H17" s="49"/>
    </row>
    <row r="18" spans="1:8" s="51" customFormat="1" ht="11.55" customHeight="1" x14ac:dyDescent="0.2">
      <c r="A18" s="49"/>
      <c r="B18" s="49" t="s">
        <v>146</v>
      </c>
      <c r="C18" s="51" t="s">
        <v>38</v>
      </c>
      <c r="E18" s="189">
        <f>'Staff Rates'!E45</f>
        <v>770</v>
      </c>
      <c r="F18" s="65">
        <f t="shared" si="0"/>
        <v>0</v>
      </c>
      <c r="G18" s="49"/>
      <c r="H18" s="49"/>
    </row>
    <row r="19" spans="1:8" s="51" customFormat="1" ht="11.55" customHeight="1" x14ac:dyDescent="0.2">
      <c r="A19" s="49"/>
      <c r="B19" s="49" t="s">
        <v>147</v>
      </c>
      <c r="C19" s="51" t="s">
        <v>38</v>
      </c>
      <c r="E19" s="189">
        <f>'Staff Rates'!E45</f>
        <v>770</v>
      </c>
      <c r="F19" s="65">
        <f t="shared" si="0"/>
        <v>0</v>
      </c>
      <c r="G19" s="49"/>
      <c r="H19" s="49"/>
    </row>
    <row r="20" spans="1:8" s="51" customFormat="1" ht="6.6" customHeight="1" x14ac:dyDescent="0.2">
      <c r="A20" s="53"/>
      <c r="B20" s="49"/>
      <c r="E20" s="126"/>
      <c r="F20" s="52"/>
      <c r="G20" s="49"/>
      <c r="H20" s="49"/>
    </row>
    <row r="21" spans="1:8" s="51" customFormat="1" x14ac:dyDescent="0.2">
      <c r="A21" s="49"/>
      <c r="B21" s="125" t="s">
        <v>68</v>
      </c>
      <c r="C21" s="53"/>
      <c r="D21" s="53"/>
      <c r="E21" s="124"/>
      <c r="F21" s="65"/>
      <c r="G21" s="49"/>
      <c r="H21" s="49"/>
    </row>
    <row r="22" spans="1:8" s="51" customFormat="1" x14ac:dyDescent="0.2">
      <c r="A22" s="49"/>
      <c r="B22" s="49" t="s">
        <v>37</v>
      </c>
      <c r="C22" s="51" t="s">
        <v>69</v>
      </c>
      <c r="E22" s="52">
        <v>0</v>
      </c>
      <c r="F22" s="65">
        <f t="shared" ref="F22:F26" si="1">E22*D22</f>
        <v>0</v>
      </c>
      <c r="G22" s="49"/>
      <c r="H22" s="49"/>
    </row>
    <row r="23" spans="1:8" s="51" customFormat="1" ht="11.55" customHeight="1" x14ac:dyDescent="0.2">
      <c r="A23" s="49"/>
      <c r="B23" s="49" t="s">
        <v>39</v>
      </c>
      <c r="C23" s="51" t="s">
        <v>69</v>
      </c>
      <c r="E23" s="52">
        <v>0</v>
      </c>
      <c r="F23" s="65">
        <f t="shared" si="1"/>
        <v>0</v>
      </c>
      <c r="G23" s="49"/>
      <c r="H23" s="49"/>
    </row>
    <row r="24" spans="1:8" s="51" customFormat="1" ht="11.55" customHeight="1" x14ac:dyDescent="0.2">
      <c r="A24" s="53"/>
      <c r="B24" s="49" t="s">
        <v>40</v>
      </c>
      <c r="C24" s="51" t="s">
        <v>69</v>
      </c>
      <c r="E24" s="52">
        <v>0</v>
      </c>
      <c r="F24" s="65">
        <f t="shared" si="1"/>
        <v>0</v>
      </c>
      <c r="G24" s="49"/>
    </row>
    <row r="25" spans="1:8" s="51" customFormat="1" ht="11.55" customHeight="1" x14ac:dyDescent="0.2">
      <c r="A25" s="53"/>
      <c r="B25" s="49" t="s">
        <v>41</v>
      </c>
      <c r="C25" s="51" t="s">
        <v>69</v>
      </c>
      <c r="E25" s="52">
        <v>0</v>
      </c>
      <c r="F25" s="65">
        <f t="shared" si="1"/>
        <v>0</v>
      </c>
      <c r="G25" s="49"/>
      <c r="H25" s="49"/>
    </row>
    <row r="26" spans="1:8" s="51" customFormat="1" x14ac:dyDescent="0.2">
      <c r="A26" s="53"/>
      <c r="B26" s="49" t="s">
        <v>42</v>
      </c>
      <c r="C26" s="51" t="s">
        <v>69</v>
      </c>
      <c r="E26" s="52">
        <v>0</v>
      </c>
      <c r="F26" s="65">
        <f t="shared" si="1"/>
        <v>0</v>
      </c>
      <c r="G26" s="49"/>
      <c r="H26" s="49"/>
    </row>
    <row r="27" spans="1:8" ht="10.8" thickBot="1" x14ac:dyDescent="0.25">
      <c r="A27" s="49"/>
    </row>
    <row r="28" spans="1:8" ht="10.8" thickBot="1" x14ac:dyDescent="0.25">
      <c r="A28" s="53" t="s">
        <v>70</v>
      </c>
      <c r="B28" s="123" t="s">
        <v>43</v>
      </c>
      <c r="F28" s="65"/>
      <c r="G28" s="51"/>
      <c r="H28" s="53" t="s">
        <v>71</v>
      </c>
    </row>
    <row r="29" spans="1:8" x14ac:dyDescent="0.2">
      <c r="A29" s="51"/>
      <c r="F29" s="65"/>
    </row>
    <row r="30" spans="1:8" x14ac:dyDescent="0.2">
      <c r="A30" s="49"/>
      <c r="B30" s="140" t="s">
        <v>72</v>
      </c>
      <c r="C30" s="51" t="s">
        <v>73</v>
      </c>
      <c r="E30" s="192">
        <v>300</v>
      </c>
      <c r="F30" s="65">
        <f>E30*D30</f>
        <v>0</v>
      </c>
      <c r="H30" s="66">
        <f>SUM(F30:F39)</f>
        <v>0</v>
      </c>
    </row>
    <row r="31" spans="1:8" x14ac:dyDescent="0.2">
      <c r="A31" s="49"/>
      <c r="B31" s="140" t="s">
        <v>72</v>
      </c>
      <c r="C31" s="51" t="s">
        <v>73</v>
      </c>
      <c r="E31" s="192">
        <v>300</v>
      </c>
      <c r="F31" s="65">
        <f>E31*D31</f>
        <v>0</v>
      </c>
    </row>
    <row r="32" spans="1:8" x14ac:dyDescent="0.2">
      <c r="A32" s="49"/>
      <c r="B32" s="140" t="s">
        <v>74</v>
      </c>
      <c r="C32" s="51" t="s">
        <v>73</v>
      </c>
      <c r="E32" s="193">
        <v>300</v>
      </c>
      <c r="F32" s="65">
        <f>E32*D32</f>
        <v>0</v>
      </c>
      <c r="H32" s="66"/>
    </row>
    <row r="33" spans="1:6" x14ac:dyDescent="0.2">
      <c r="A33" s="49"/>
      <c r="B33" s="140" t="s">
        <v>75</v>
      </c>
      <c r="C33" s="51" t="s">
        <v>73</v>
      </c>
      <c r="E33" s="191">
        <v>450</v>
      </c>
      <c r="F33" s="65">
        <f t="shared" ref="F33:F40" si="2">E33*D33</f>
        <v>0</v>
      </c>
    </row>
    <row r="34" spans="1:6" x14ac:dyDescent="0.2">
      <c r="A34" s="49"/>
      <c r="B34" s="140" t="s">
        <v>76</v>
      </c>
      <c r="C34" s="51" t="s">
        <v>73</v>
      </c>
      <c r="E34" s="192">
        <v>440</v>
      </c>
      <c r="F34" s="65">
        <f t="shared" si="2"/>
        <v>0</v>
      </c>
    </row>
    <row r="35" spans="1:6" x14ac:dyDescent="0.2">
      <c r="A35" s="51"/>
      <c r="B35" s="49" t="s">
        <v>77</v>
      </c>
      <c r="C35" s="51" t="s">
        <v>73</v>
      </c>
      <c r="E35" s="191">
        <v>400</v>
      </c>
      <c r="F35" s="65">
        <f t="shared" si="2"/>
        <v>0</v>
      </c>
    </row>
    <row r="36" spans="1:6" x14ac:dyDescent="0.2">
      <c r="A36" s="51"/>
      <c r="B36" s="49" t="s">
        <v>78</v>
      </c>
      <c r="C36" s="51" t="s">
        <v>73</v>
      </c>
      <c r="E36" s="192">
        <v>341</v>
      </c>
      <c r="F36" s="65">
        <f t="shared" si="2"/>
        <v>0</v>
      </c>
    </row>
    <row r="37" spans="1:6" x14ac:dyDescent="0.2">
      <c r="A37" s="51"/>
      <c r="B37" s="49" t="s">
        <v>79</v>
      </c>
      <c r="C37" s="51" t="s">
        <v>73</v>
      </c>
      <c r="E37" s="192">
        <v>180</v>
      </c>
      <c r="F37" s="65">
        <f t="shared" si="2"/>
        <v>0</v>
      </c>
    </row>
    <row r="38" spans="1:6" ht="12" customHeight="1" x14ac:dyDescent="0.2">
      <c r="A38" s="51"/>
      <c r="B38" s="49" t="s">
        <v>79</v>
      </c>
      <c r="C38" s="51" t="s">
        <v>73</v>
      </c>
      <c r="E38" s="192">
        <v>180</v>
      </c>
      <c r="F38" s="65">
        <f t="shared" si="2"/>
        <v>0</v>
      </c>
    </row>
    <row r="39" spans="1:6" ht="12" customHeight="1" x14ac:dyDescent="0.2">
      <c r="A39" s="51"/>
      <c r="B39" s="49" t="s">
        <v>148</v>
      </c>
      <c r="C39" s="51" t="s">
        <v>73</v>
      </c>
      <c r="E39" s="192">
        <v>150</v>
      </c>
      <c r="F39" s="65">
        <f t="shared" si="2"/>
        <v>0</v>
      </c>
    </row>
    <row r="40" spans="1:6" ht="12" customHeight="1" x14ac:dyDescent="0.2">
      <c r="A40" s="51"/>
      <c r="B40" s="49" t="s">
        <v>80</v>
      </c>
      <c r="C40" s="51" t="s">
        <v>73</v>
      </c>
      <c r="E40" s="192">
        <v>122</v>
      </c>
      <c r="F40" s="65">
        <f t="shared" si="2"/>
        <v>0</v>
      </c>
    </row>
    <row r="41" spans="1:6" ht="12" customHeight="1" x14ac:dyDescent="0.2">
      <c r="A41" s="51"/>
      <c r="B41" s="49" t="s">
        <v>81</v>
      </c>
      <c r="C41" s="51" t="s">
        <v>73</v>
      </c>
      <c r="E41" s="192">
        <v>1680</v>
      </c>
      <c r="F41" s="65">
        <f t="shared" ref="F41" si="3">E41*D41</f>
        <v>0</v>
      </c>
    </row>
    <row r="42" spans="1:6" ht="12" customHeight="1" x14ac:dyDescent="0.2">
      <c r="A42" s="51"/>
      <c r="B42" s="49" t="s">
        <v>149</v>
      </c>
      <c r="C42" s="51" t="s">
        <v>73</v>
      </c>
      <c r="E42" s="192">
        <v>1680</v>
      </c>
      <c r="F42" s="65">
        <f t="shared" ref="F42" si="4">E42*D42</f>
        <v>0</v>
      </c>
    </row>
    <row r="43" spans="1:6" ht="12" customHeight="1" x14ac:dyDescent="0.2">
      <c r="A43" s="51"/>
      <c r="B43" s="49" t="s">
        <v>519</v>
      </c>
      <c r="C43" s="51" t="s">
        <v>73</v>
      </c>
      <c r="E43" s="192">
        <v>1680</v>
      </c>
      <c r="F43" s="65">
        <f t="shared" ref="F43" si="5">E43*D43</f>
        <v>0</v>
      </c>
    </row>
    <row r="44" spans="1:6" ht="12" customHeight="1" x14ac:dyDescent="0.2">
      <c r="A44" s="51"/>
      <c r="B44" s="49" t="s">
        <v>523</v>
      </c>
      <c r="C44" s="51" t="s">
        <v>73</v>
      </c>
      <c r="E44" s="192">
        <v>4200</v>
      </c>
      <c r="F44" s="65">
        <f t="shared" ref="F44" si="6">E44*D44</f>
        <v>0</v>
      </c>
    </row>
    <row r="45" spans="1:6" ht="12" customHeight="1" x14ac:dyDescent="0.2">
      <c r="A45" s="51"/>
      <c r="E45" s="192"/>
      <c r="F45" s="65"/>
    </row>
    <row r="46" spans="1:6" ht="12" customHeight="1" x14ac:dyDescent="0.2">
      <c r="A46" s="51"/>
      <c r="B46" s="49" t="s">
        <v>521</v>
      </c>
      <c r="C46" s="51" t="s">
        <v>73</v>
      </c>
      <c r="E46" s="192">
        <v>1680</v>
      </c>
      <c r="F46" s="65">
        <f t="shared" ref="F46" si="7">E46*D46</f>
        <v>0</v>
      </c>
    </row>
    <row r="47" spans="1:6" ht="12" customHeight="1" x14ac:dyDescent="0.2">
      <c r="A47" s="51"/>
      <c r="B47" s="49" t="s">
        <v>522</v>
      </c>
      <c r="C47" s="51" t="s">
        <v>73</v>
      </c>
      <c r="E47" s="192">
        <v>1680</v>
      </c>
      <c r="F47" s="65">
        <f t="shared" ref="F47" si="8">E47*D47</f>
        <v>0</v>
      </c>
    </row>
    <row r="48" spans="1:6" ht="12" customHeight="1" x14ac:dyDescent="0.2">
      <c r="A48" s="51"/>
      <c r="B48" s="49" t="s">
        <v>541</v>
      </c>
      <c r="C48" s="51" t="s">
        <v>73</v>
      </c>
      <c r="E48" s="192">
        <v>2677</v>
      </c>
      <c r="F48" s="65">
        <f t="shared" ref="F48" si="9">E48*D48</f>
        <v>0</v>
      </c>
    </row>
    <row r="49" spans="1:8" x14ac:dyDescent="0.2">
      <c r="A49" s="51"/>
      <c r="E49" s="192"/>
      <c r="F49" s="65"/>
      <c r="H49" s="53"/>
    </row>
    <row r="50" spans="1:8" x14ac:dyDescent="0.2">
      <c r="A50" s="51"/>
      <c r="B50" s="49" t="s">
        <v>82</v>
      </c>
      <c r="C50" s="51" t="s">
        <v>73</v>
      </c>
      <c r="D50" s="194">
        <v>0</v>
      </c>
      <c r="E50" s="177">
        <v>2500</v>
      </c>
      <c r="F50" s="65">
        <f>E50*D50</f>
        <v>0</v>
      </c>
      <c r="H50" s="66"/>
    </row>
    <row r="51" spans="1:8" x14ac:dyDescent="0.2">
      <c r="A51" s="51"/>
      <c r="E51" s="49" t="s">
        <v>83</v>
      </c>
      <c r="F51" s="65"/>
    </row>
    <row r="52" spans="1:8" ht="10.8" thickBot="1" x14ac:dyDescent="0.25">
      <c r="A52" s="49"/>
      <c r="F52" s="65"/>
    </row>
    <row r="53" spans="1:8" ht="10.8" thickBot="1" x14ac:dyDescent="0.25">
      <c r="A53" s="53" t="s">
        <v>84</v>
      </c>
      <c r="B53" s="123" t="s">
        <v>85</v>
      </c>
      <c r="F53" s="65"/>
    </row>
    <row r="54" spans="1:8" x14ac:dyDescent="0.2">
      <c r="A54" s="49"/>
      <c r="F54" s="65"/>
      <c r="H54" s="53"/>
    </row>
    <row r="55" spans="1:8" x14ac:dyDescent="0.2">
      <c r="A55" s="49"/>
      <c r="B55" s="49" t="s">
        <v>150</v>
      </c>
      <c r="C55" s="51" t="s">
        <v>73</v>
      </c>
      <c r="D55" s="51">
        <v>1</v>
      </c>
      <c r="E55" s="52">
        <f>SW_Mataterial!F302</f>
        <v>502184.98499999999</v>
      </c>
      <c r="F55" s="65">
        <f>E55*D55</f>
        <v>502184.98499999999</v>
      </c>
      <c r="H55" s="66"/>
    </row>
    <row r="56" spans="1:8" x14ac:dyDescent="0.2">
      <c r="A56" s="49"/>
      <c r="B56" s="49" t="s">
        <v>151</v>
      </c>
      <c r="C56" s="51" t="s">
        <v>73</v>
      </c>
      <c r="D56" s="51">
        <v>1</v>
      </c>
      <c r="E56" s="52">
        <f>SW_Mataterial!N343</f>
        <v>33179.213199999998</v>
      </c>
      <c r="F56" s="65">
        <f t="shared" ref="F56:F59" si="10">E56*D56</f>
        <v>33179.213199999998</v>
      </c>
      <c r="H56" s="66"/>
    </row>
    <row r="57" spans="1:8" x14ac:dyDescent="0.2">
      <c r="A57" s="49"/>
      <c r="B57" s="49" t="s">
        <v>152</v>
      </c>
      <c r="C57" s="51" t="s">
        <v>73</v>
      </c>
      <c r="D57" s="51">
        <v>1</v>
      </c>
      <c r="E57" s="52">
        <f>SW_Mataterial!H337</f>
        <v>0</v>
      </c>
      <c r="F57" s="65">
        <f>E57*D57</f>
        <v>0</v>
      </c>
      <c r="H57" s="66"/>
    </row>
    <row r="58" spans="1:8" x14ac:dyDescent="0.2">
      <c r="A58" s="49"/>
      <c r="B58" s="49" t="s">
        <v>153</v>
      </c>
      <c r="C58" s="51" t="s">
        <v>73</v>
      </c>
      <c r="D58" s="51">
        <v>0</v>
      </c>
      <c r="E58" s="52">
        <v>2120</v>
      </c>
      <c r="F58" s="65">
        <f t="shared" si="10"/>
        <v>0</v>
      </c>
      <c r="H58" s="66"/>
    </row>
    <row r="59" spans="1:8" x14ac:dyDescent="0.2">
      <c r="A59" s="49"/>
      <c r="B59" s="49" t="s">
        <v>154</v>
      </c>
      <c r="C59" s="51" t="s">
        <v>73</v>
      </c>
      <c r="D59" s="51">
        <v>0</v>
      </c>
      <c r="E59" s="124">
        <v>1650</v>
      </c>
      <c r="F59" s="65">
        <f t="shared" si="10"/>
        <v>0</v>
      </c>
    </row>
    <row r="60" spans="1:8" x14ac:dyDescent="0.2">
      <c r="A60" s="49"/>
      <c r="E60" s="124"/>
      <c r="F60" s="65"/>
    </row>
    <row r="61" spans="1:8" ht="10.8" thickBot="1" x14ac:dyDescent="0.25">
      <c r="A61" s="49"/>
      <c r="E61" s="124"/>
      <c r="F61" s="65"/>
    </row>
    <row r="62" spans="1:8" ht="10.8" thickBot="1" x14ac:dyDescent="0.25">
      <c r="A62" s="53" t="s">
        <v>86</v>
      </c>
      <c r="B62" s="123" t="s">
        <v>87</v>
      </c>
    </row>
    <row r="63" spans="1:8" x14ac:dyDescent="0.2">
      <c r="A63" s="53"/>
    </row>
    <row r="64" spans="1:8" x14ac:dyDescent="0.2">
      <c r="A64" s="49"/>
      <c r="B64" s="129"/>
      <c r="C64" s="51" t="s">
        <v>88</v>
      </c>
      <c r="D64" s="130">
        <v>0</v>
      </c>
      <c r="E64" s="52">
        <v>0</v>
      </c>
      <c r="F64" s="65">
        <f>E64*D64</f>
        <v>0</v>
      </c>
    </row>
    <row r="65" spans="1:8" x14ac:dyDescent="0.2">
      <c r="A65" s="53"/>
    </row>
    <row r="66" spans="1:8" s="51" customFormat="1" x14ac:dyDescent="0.2">
      <c r="A66" s="53"/>
      <c r="B66" s="68"/>
      <c r="E66" s="52"/>
      <c r="F66" s="56"/>
      <c r="G66" s="49"/>
      <c r="H66" s="49"/>
    </row>
    <row r="67" spans="1:8" s="51" customFormat="1" x14ac:dyDescent="0.2">
      <c r="A67" s="53"/>
      <c r="B67" s="68"/>
      <c r="E67" s="124"/>
      <c r="F67" s="56"/>
      <c r="G67" s="49"/>
      <c r="H67" s="49"/>
    </row>
    <row r="68" spans="1:8" s="51" customFormat="1" x14ac:dyDescent="0.2">
      <c r="A68" s="49"/>
      <c r="B68" s="68"/>
      <c r="E68" s="124"/>
      <c r="F68" s="131"/>
      <c r="G68" s="49"/>
      <c r="H68" s="49"/>
    </row>
    <row r="69" spans="1:8" s="51" customFormat="1" x14ac:dyDescent="0.2">
      <c r="A69" s="49"/>
      <c r="B69" s="68"/>
      <c r="E69" s="124"/>
      <c r="F69" s="131"/>
      <c r="G69" s="49"/>
      <c r="H69" s="53"/>
    </row>
    <row r="70" spans="1:8" s="51" customFormat="1" ht="10.8" thickBot="1" x14ac:dyDescent="0.25">
      <c r="A70" s="49"/>
      <c r="B70" s="132" t="s">
        <v>89</v>
      </c>
      <c r="C70" s="133"/>
      <c r="D70" s="134"/>
      <c r="E70" s="138" t="s">
        <v>90</v>
      </c>
      <c r="F70" s="135">
        <f>SUM(F12:F69)</f>
        <v>535364.19819999998</v>
      </c>
      <c r="G70" s="49"/>
      <c r="H70" s="66"/>
    </row>
    <row r="71" spans="1:8" s="51" customFormat="1" ht="10.8" thickTop="1" x14ac:dyDescent="0.2">
      <c r="A71" s="53"/>
      <c r="B71" s="49"/>
      <c r="E71" s="124"/>
      <c r="F71" s="136"/>
      <c r="G71" s="49"/>
      <c r="H71" s="49"/>
    </row>
    <row r="72" spans="1:8" s="51" customFormat="1" x14ac:dyDescent="0.2">
      <c r="A72" s="53"/>
      <c r="B72" s="49"/>
      <c r="E72" s="52"/>
      <c r="F72" s="72"/>
      <c r="G72" s="49"/>
      <c r="H72" s="49"/>
    </row>
    <row r="73" spans="1:8" s="51" customFormat="1" x14ac:dyDescent="0.2">
      <c r="B73" s="49"/>
      <c r="E73" s="52"/>
      <c r="F73" s="73"/>
      <c r="G73" s="49"/>
      <c r="H73" s="49"/>
    </row>
  </sheetData>
  <mergeCells count="1">
    <mergeCell ref="A6:F6"/>
  </mergeCells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76AE-EF73-4458-8BF5-87A77EB5EFB0}">
  <sheetPr>
    <tabColor rgb="FFFFC000"/>
  </sheetPr>
  <dimension ref="B1:R370"/>
  <sheetViews>
    <sheetView topLeftCell="A208" zoomScale="110" zoomScaleNormal="110" workbookViewId="0">
      <selection activeCell="E215" sqref="E215"/>
    </sheetView>
  </sheetViews>
  <sheetFormatPr defaultColWidth="8.77734375" defaultRowHeight="14.4" x14ac:dyDescent="0.3"/>
  <cols>
    <col min="1" max="1" width="8.77734375" style="215"/>
    <col min="2" max="2" width="82.77734375" style="215" customWidth="1"/>
    <col min="3" max="3" width="17.5546875" style="216" customWidth="1"/>
    <col min="4" max="4" width="8.77734375" style="216"/>
    <col min="5" max="5" width="24.44140625" style="217" customWidth="1"/>
    <col min="6" max="6" width="14.21875" style="217" customWidth="1"/>
    <col min="7" max="7" width="9" style="215" customWidth="1"/>
    <col min="8" max="8" width="12.21875" style="215" customWidth="1"/>
    <col min="9" max="9" width="12.77734375" style="215" customWidth="1"/>
    <col min="10" max="10" width="12" style="215" bestFit="1" customWidth="1"/>
    <col min="11" max="11" width="17.44140625" style="215" customWidth="1"/>
    <col min="12" max="12" width="12" style="215" bestFit="1" customWidth="1"/>
    <col min="13" max="13" width="12.77734375" style="215" customWidth="1"/>
    <col min="14" max="14" width="14.77734375" style="215" customWidth="1"/>
    <col min="15" max="15" width="12.5546875" style="215" customWidth="1"/>
    <col min="16" max="18" width="10.21875" style="215" bestFit="1" customWidth="1"/>
    <col min="19" max="16384" width="8.77734375" style="215"/>
  </cols>
  <sheetData>
    <row r="1" spans="2:16" ht="15" thickBot="1" x14ac:dyDescent="0.35"/>
    <row r="2" spans="2:16" ht="15" thickBot="1" x14ac:dyDescent="0.35">
      <c r="B2" s="218" t="s">
        <v>155</v>
      </c>
      <c r="C2" s="219"/>
      <c r="D2" s="220"/>
    </row>
    <row r="3" spans="2:16" x14ac:dyDescent="0.3">
      <c r="B3" s="221" t="s">
        <v>156</v>
      </c>
      <c r="C3" s="222"/>
      <c r="D3" s="222"/>
      <c r="J3" s="401"/>
      <c r="K3" s="401"/>
      <c r="L3" s="401"/>
      <c r="N3" s="322"/>
      <c r="P3" s="412"/>
    </row>
    <row r="4" spans="2:16" x14ac:dyDescent="0.3">
      <c r="B4" s="224" t="s">
        <v>91</v>
      </c>
      <c r="C4" s="222" t="s">
        <v>92</v>
      </c>
      <c r="D4" s="222" t="s">
        <v>31</v>
      </c>
      <c r="E4" s="223" t="s">
        <v>93</v>
      </c>
      <c r="F4" s="223" t="s">
        <v>90</v>
      </c>
      <c r="H4" s="216"/>
      <c r="J4" s="216"/>
      <c r="K4" s="216"/>
      <c r="L4" s="216"/>
      <c r="P4" s="413"/>
    </row>
    <row r="6" spans="2:16" x14ac:dyDescent="0.3">
      <c r="B6" s="375" t="s">
        <v>157</v>
      </c>
    </row>
    <row r="7" spans="2:16" x14ac:dyDescent="0.3">
      <c r="B7" s="400" t="s">
        <v>158</v>
      </c>
      <c r="D7" s="216" t="s">
        <v>97</v>
      </c>
      <c r="E7" s="217">
        <v>270</v>
      </c>
      <c r="F7" s="217">
        <f t="shared" ref="F7:F16" si="0">C7*E7</f>
        <v>0</v>
      </c>
      <c r="J7" s="217"/>
      <c r="N7" s="217"/>
      <c r="P7" s="217"/>
    </row>
    <row r="8" spans="2:16" x14ac:dyDescent="0.3">
      <c r="B8" s="400" t="s">
        <v>159</v>
      </c>
      <c r="D8" s="216" t="s">
        <v>97</v>
      </c>
      <c r="E8" s="217">
        <f>13169/60</f>
        <v>219.48333333333332</v>
      </c>
      <c r="F8" s="217">
        <f t="shared" si="0"/>
        <v>0</v>
      </c>
      <c r="H8" s="217"/>
      <c r="J8" s="217"/>
      <c r="N8" s="217"/>
      <c r="P8" s="217"/>
    </row>
    <row r="9" spans="2:16" x14ac:dyDescent="0.3">
      <c r="B9" s="400" t="s">
        <v>160</v>
      </c>
      <c r="C9" s="216">
        <v>1</v>
      </c>
      <c r="D9" s="401" t="s">
        <v>73</v>
      </c>
      <c r="E9" s="217">
        <v>24</v>
      </c>
      <c r="F9" s="217">
        <f t="shared" si="0"/>
        <v>24</v>
      </c>
      <c r="H9" s="217"/>
      <c r="J9" s="217"/>
      <c r="N9" s="217"/>
      <c r="P9" s="217"/>
    </row>
    <row r="10" spans="2:16" x14ac:dyDescent="0.3">
      <c r="B10" s="435" t="s">
        <v>545</v>
      </c>
      <c r="C10" s="405">
        <v>5</v>
      </c>
      <c r="D10" s="216" t="s">
        <v>97</v>
      </c>
      <c r="E10" s="217">
        <f>896/5</f>
        <v>179.2</v>
      </c>
      <c r="F10" s="217">
        <f t="shared" si="0"/>
        <v>896</v>
      </c>
      <c r="H10" s="217"/>
      <c r="J10" s="217"/>
      <c r="N10" s="217"/>
      <c r="P10" s="217"/>
    </row>
    <row r="11" spans="2:16" x14ac:dyDescent="0.3">
      <c r="B11" s="400" t="s">
        <v>161</v>
      </c>
      <c r="D11" s="216" t="s">
        <v>97</v>
      </c>
      <c r="E11" s="217">
        <v>187</v>
      </c>
      <c r="F11" s="217">
        <f t="shared" si="0"/>
        <v>0</v>
      </c>
      <c r="H11" s="217"/>
      <c r="J11" s="217"/>
      <c r="N11" s="217"/>
      <c r="P11" s="217"/>
    </row>
    <row r="12" spans="2:16" x14ac:dyDescent="0.3">
      <c r="B12" s="400" t="s">
        <v>162</v>
      </c>
      <c r="D12" s="216" t="s">
        <v>97</v>
      </c>
      <c r="E12" s="217">
        <v>140.91</v>
      </c>
      <c r="F12" s="217">
        <f t="shared" si="0"/>
        <v>0</v>
      </c>
      <c r="H12" s="217"/>
      <c r="J12" s="217"/>
      <c r="N12" s="217"/>
      <c r="P12" s="217"/>
    </row>
    <row r="13" spans="2:16" x14ac:dyDescent="0.3">
      <c r="B13" s="400" t="s">
        <v>163</v>
      </c>
      <c r="D13" s="216" t="s">
        <v>97</v>
      </c>
      <c r="E13" s="217">
        <f>7072.78/53</f>
        <v>133.44867924528302</v>
      </c>
      <c r="F13" s="217">
        <f t="shared" si="0"/>
        <v>0</v>
      </c>
      <c r="H13" s="217"/>
      <c r="J13" s="217"/>
      <c r="N13" s="217"/>
      <c r="P13" s="217"/>
    </row>
    <row r="14" spans="2:16" x14ac:dyDescent="0.3">
      <c r="B14" s="446" t="s">
        <v>164</v>
      </c>
      <c r="D14" s="401" t="s">
        <v>73</v>
      </c>
      <c r="E14" s="217">
        <v>14.68</v>
      </c>
      <c r="F14" s="217">
        <f t="shared" si="0"/>
        <v>0</v>
      </c>
      <c r="H14" s="217"/>
      <c r="J14" s="217"/>
      <c r="N14" s="217"/>
      <c r="P14" s="217"/>
    </row>
    <row r="15" spans="2:16" x14ac:dyDescent="0.3">
      <c r="B15" s="400" t="s">
        <v>165</v>
      </c>
      <c r="C15" s="434">
        <f>31+696</f>
        <v>727</v>
      </c>
      <c r="D15" s="216" t="s">
        <v>97</v>
      </c>
      <c r="E15" s="217">
        <f>76604/727</f>
        <v>105.37001375515818</v>
      </c>
      <c r="F15" s="217">
        <f t="shared" si="0"/>
        <v>76604</v>
      </c>
      <c r="G15" s="400"/>
      <c r="H15" s="217"/>
      <c r="J15" s="217"/>
      <c r="N15" s="217"/>
      <c r="P15" s="217"/>
    </row>
    <row r="16" spans="2:16" x14ac:dyDescent="0.3">
      <c r="B16" s="400" t="s">
        <v>166</v>
      </c>
      <c r="C16" s="382">
        <v>1</v>
      </c>
      <c r="D16" s="401" t="s">
        <v>73</v>
      </c>
      <c r="E16" s="217">
        <v>1435.2</v>
      </c>
      <c r="F16" s="217">
        <f t="shared" si="0"/>
        <v>1435.2</v>
      </c>
      <c r="G16" s="400"/>
      <c r="H16" s="217"/>
      <c r="J16" s="217"/>
      <c r="N16" s="217"/>
      <c r="P16" s="217"/>
    </row>
    <row r="17" spans="2:16" x14ac:dyDescent="0.3">
      <c r="B17" s="400" t="s">
        <v>167</v>
      </c>
      <c r="C17" s="382"/>
      <c r="D17" s="216" t="s">
        <v>97</v>
      </c>
      <c r="E17" s="217">
        <v>87.11</v>
      </c>
      <c r="F17" s="217">
        <f t="shared" ref="F17:F44" si="1">C17*E17</f>
        <v>0</v>
      </c>
      <c r="J17" s="217"/>
      <c r="N17" s="217"/>
      <c r="P17" s="217"/>
    </row>
    <row r="18" spans="2:16" x14ac:dyDescent="0.3">
      <c r="B18" s="400" t="s">
        <v>168</v>
      </c>
      <c r="C18" s="382"/>
      <c r="D18" s="216" t="s">
        <v>97</v>
      </c>
      <c r="E18" s="217">
        <v>87.11</v>
      </c>
      <c r="F18" s="217">
        <f t="shared" si="1"/>
        <v>0</v>
      </c>
      <c r="J18" s="217"/>
      <c r="N18" s="217"/>
      <c r="P18" s="217"/>
    </row>
    <row r="19" spans="2:16" x14ac:dyDescent="0.3">
      <c r="B19" s="375" t="s">
        <v>169</v>
      </c>
      <c r="D19" s="216" t="s">
        <v>97</v>
      </c>
      <c r="H19" s="217"/>
      <c r="J19" s="217"/>
      <c r="N19" s="217"/>
      <c r="P19" s="217"/>
    </row>
    <row r="20" spans="2:16" x14ac:dyDescent="0.3">
      <c r="B20" s="375"/>
      <c r="H20" s="217"/>
      <c r="J20" s="217"/>
      <c r="N20" s="217"/>
      <c r="P20" s="217"/>
    </row>
    <row r="21" spans="2:16" x14ac:dyDescent="0.3">
      <c r="B21" s="304" t="s">
        <v>530</v>
      </c>
      <c r="D21" s="216" t="s">
        <v>97</v>
      </c>
      <c r="E21" s="217">
        <f>46246/111</f>
        <v>416.63063063063061</v>
      </c>
      <c r="F21" s="217">
        <f t="shared" si="1"/>
        <v>0</v>
      </c>
      <c r="H21" s="217"/>
      <c r="J21" s="217"/>
      <c r="N21" s="217"/>
      <c r="P21" s="217"/>
    </row>
    <row r="22" spans="2:16" x14ac:dyDescent="0.3">
      <c r="B22" s="304" t="s">
        <v>170</v>
      </c>
      <c r="D22" s="216" t="s">
        <v>97</v>
      </c>
      <c r="E22" s="217">
        <f>39160/127</f>
        <v>308.34645669291336</v>
      </c>
      <c r="F22" s="217">
        <f t="shared" si="1"/>
        <v>0</v>
      </c>
      <c r="J22" s="217"/>
      <c r="N22" s="217"/>
      <c r="P22" s="217"/>
    </row>
    <row r="23" spans="2:16" x14ac:dyDescent="0.3">
      <c r="B23" s="304" t="s">
        <v>171</v>
      </c>
      <c r="D23" s="216" t="s">
        <v>97</v>
      </c>
      <c r="F23" s="217">
        <f t="shared" si="1"/>
        <v>0</v>
      </c>
      <c r="J23" s="217"/>
      <c r="N23" s="217"/>
      <c r="P23" s="217"/>
    </row>
    <row r="24" spans="2:16" x14ac:dyDescent="0.3">
      <c r="B24" s="304" t="s">
        <v>172</v>
      </c>
      <c r="D24" s="216" t="s">
        <v>97</v>
      </c>
      <c r="E24" s="217">
        <f>21376/96</f>
        <v>222.66666666666666</v>
      </c>
      <c r="F24" s="217">
        <f t="shared" si="1"/>
        <v>0</v>
      </c>
      <c r="J24" s="217"/>
      <c r="N24" s="217"/>
      <c r="P24" s="217"/>
    </row>
    <row r="25" spans="2:16" x14ac:dyDescent="0.3">
      <c r="B25" s="304" t="s">
        <v>173</v>
      </c>
      <c r="D25" s="216" t="s">
        <v>97</v>
      </c>
      <c r="E25" s="217">
        <v>232</v>
      </c>
      <c r="F25" s="217">
        <f t="shared" si="1"/>
        <v>0</v>
      </c>
      <c r="J25" s="217"/>
      <c r="N25" s="217"/>
      <c r="P25" s="217"/>
    </row>
    <row r="26" spans="2:16" x14ac:dyDescent="0.3">
      <c r="B26" s="304" t="s">
        <v>174</v>
      </c>
      <c r="C26" s="216">
        <v>39</v>
      </c>
      <c r="D26" s="216" t="s">
        <v>97</v>
      </c>
      <c r="E26" s="306">
        <f>5803/39</f>
        <v>148.7948717948718</v>
      </c>
      <c r="F26" s="217">
        <f t="shared" si="1"/>
        <v>5803</v>
      </c>
      <c r="J26" s="217"/>
      <c r="N26" s="217"/>
      <c r="P26" s="217"/>
    </row>
    <row r="27" spans="2:16" x14ac:dyDescent="0.3">
      <c r="B27" s="304" t="s">
        <v>175</v>
      </c>
      <c r="D27" s="216" t="s">
        <v>97</v>
      </c>
      <c r="E27" s="306">
        <f>9366/81</f>
        <v>115.62962962962963</v>
      </c>
      <c r="F27" s="217">
        <f t="shared" si="1"/>
        <v>0</v>
      </c>
      <c r="J27" s="217"/>
      <c r="N27" s="217"/>
      <c r="P27" s="217"/>
    </row>
    <row r="28" spans="2:16" x14ac:dyDescent="0.3">
      <c r="B28" s="304" t="s">
        <v>176</v>
      </c>
      <c r="C28" s="382">
        <v>42</v>
      </c>
      <c r="D28" s="216" t="s">
        <v>97</v>
      </c>
      <c r="E28" s="306">
        <f>3724/42</f>
        <v>88.666666666666671</v>
      </c>
      <c r="F28" s="217">
        <f t="shared" si="1"/>
        <v>3724</v>
      </c>
      <c r="J28" s="217"/>
      <c r="N28" s="217"/>
      <c r="P28" s="217"/>
    </row>
    <row r="29" spans="2:16" x14ac:dyDescent="0.3">
      <c r="B29" s="304" t="s">
        <v>177</v>
      </c>
      <c r="C29" s="216">
        <v>211</v>
      </c>
      <c r="D29" s="216" t="s">
        <v>97</v>
      </c>
      <c r="E29" s="306">
        <f>12708/211</f>
        <v>60.227488151658768</v>
      </c>
      <c r="F29" s="217">
        <f t="shared" si="1"/>
        <v>12708</v>
      </c>
      <c r="J29" s="217"/>
      <c r="N29" s="217"/>
      <c r="P29" s="217"/>
    </row>
    <row r="30" spans="2:16" x14ac:dyDescent="0.3">
      <c r="B30" s="304" t="s">
        <v>178</v>
      </c>
      <c r="C30" s="216">
        <v>59</v>
      </c>
      <c r="D30" s="216" t="s">
        <v>97</v>
      </c>
      <c r="E30" s="306">
        <f>2350/59</f>
        <v>39.83050847457627</v>
      </c>
      <c r="F30" s="217">
        <f t="shared" si="1"/>
        <v>2350</v>
      </c>
      <c r="J30" s="217"/>
      <c r="N30" s="217"/>
      <c r="P30" s="217"/>
    </row>
    <row r="31" spans="2:16" x14ac:dyDescent="0.3">
      <c r="B31" s="304" t="s">
        <v>179</v>
      </c>
      <c r="C31" s="216">
        <v>138</v>
      </c>
      <c r="D31" s="216" t="s">
        <v>97</v>
      </c>
      <c r="E31" s="306">
        <f>3473/138</f>
        <v>25.166666666666668</v>
      </c>
      <c r="F31" s="217">
        <f t="shared" si="1"/>
        <v>3473</v>
      </c>
      <c r="H31" s="217"/>
      <c r="J31" s="217"/>
      <c r="N31" s="217"/>
      <c r="P31" s="217"/>
    </row>
    <row r="32" spans="2:16" x14ac:dyDescent="0.3">
      <c r="B32" s="304" t="s">
        <v>180</v>
      </c>
      <c r="D32" s="216" t="s">
        <v>97</v>
      </c>
      <c r="E32" s="306">
        <v>9.7200000000000006</v>
      </c>
      <c r="F32" s="217">
        <f t="shared" si="1"/>
        <v>0</v>
      </c>
      <c r="J32" s="217"/>
      <c r="N32" s="217"/>
      <c r="P32" s="217"/>
    </row>
    <row r="33" spans="2:16" x14ac:dyDescent="0.3">
      <c r="B33" s="304" t="s">
        <v>532</v>
      </c>
      <c r="C33" s="216">
        <v>10</v>
      </c>
      <c r="D33" s="427" t="s">
        <v>73</v>
      </c>
      <c r="E33" s="306">
        <v>17</v>
      </c>
      <c r="F33" s="217">
        <f t="shared" si="1"/>
        <v>170</v>
      </c>
      <c r="H33" s="217"/>
      <c r="J33" s="217"/>
      <c r="K33" s="217"/>
      <c r="N33" s="217"/>
      <c r="P33" s="217"/>
    </row>
    <row r="34" spans="2:16" x14ac:dyDescent="0.3">
      <c r="B34" s="304"/>
      <c r="D34" s="427"/>
      <c r="E34" s="306"/>
      <c r="H34" s="217"/>
      <c r="J34" s="217"/>
      <c r="K34" s="217"/>
      <c r="N34" s="217"/>
      <c r="P34" s="217"/>
    </row>
    <row r="35" spans="2:16" x14ac:dyDescent="0.3">
      <c r="B35" s="375" t="s">
        <v>181</v>
      </c>
      <c r="J35" s="217"/>
      <c r="N35" s="217"/>
      <c r="P35" s="217"/>
    </row>
    <row r="36" spans="2:16" x14ac:dyDescent="0.3">
      <c r="B36" s="304" t="s">
        <v>182</v>
      </c>
      <c r="D36" s="216" t="s">
        <v>97</v>
      </c>
      <c r="E36" s="217">
        <v>96.33</v>
      </c>
      <c r="F36" s="217">
        <f t="shared" si="1"/>
        <v>0</v>
      </c>
      <c r="J36" s="217"/>
      <c r="N36" s="217"/>
      <c r="P36" s="217"/>
    </row>
    <row r="37" spans="2:16" x14ac:dyDescent="0.3">
      <c r="B37" s="215" t="s">
        <v>183</v>
      </c>
      <c r="D37" s="216" t="s">
        <v>97</v>
      </c>
      <c r="E37" s="217">
        <v>49.833333333333336</v>
      </c>
      <c r="F37" s="217">
        <f t="shared" si="1"/>
        <v>0</v>
      </c>
    </row>
    <row r="38" spans="2:16" x14ac:dyDescent="0.3">
      <c r="B38" s="215" t="s">
        <v>184</v>
      </c>
      <c r="D38" s="216" t="s">
        <v>97</v>
      </c>
      <c r="E38" s="217">
        <v>40</v>
      </c>
      <c r="F38" s="217">
        <f t="shared" si="1"/>
        <v>0</v>
      </c>
    </row>
    <row r="39" spans="2:16" x14ac:dyDescent="0.3">
      <c r="B39" s="215" t="s">
        <v>185</v>
      </c>
      <c r="C39" s="216">
        <v>181</v>
      </c>
      <c r="D39" s="216" t="s">
        <v>97</v>
      </c>
      <c r="E39" s="217">
        <f>12816/181</f>
        <v>70.806629834254139</v>
      </c>
      <c r="F39" s="217">
        <f t="shared" si="1"/>
        <v>12816</v>
      </c>
    </row>
    <row r="40" spans="2:16" x14ac:dyDescent="0.3">
      <c r="B40" s="215" t="s">
        <v>186</v>
      </c>
      <c r="D40" s="216" t="s">
        <v>97</v>
      </c>
      <c r="E40" s="217">
        <v>31</v>
      </c>
      <c r="F40" s="217">
        <f t="shared" si="1"/>
        <v>0</v>
      </c>
    </row>
    <row r="41" spans="2:16" x14ac:dyDescent="0.3">
      <c r="B41" s="215" t="s">
        <v>187</v>
      </c>
      <c r="D41" s="216" t="s">
        <v>97</v>
      </c>
      <c r="E41" s="217">
        <v>18</v>
      </c>
      <c r="F41" s="217">
        <f t="shared" si="1"/>
        <v>0</v>
      </c>
    </row>
    <row r="42" spans="2:16" x14ac:dyDescent="0.3">
      <c r="B42" s="215" t="s">
        <v>188</v>
      </c>
      <c r="C42" s="216">
        <v>63</v>
      </c>
      <c r="D42" s="216" t="s">
        <v>97</v>
      </c>
      <c r="E42" s="217">
        <v>25.5</v>
      </c>
      <c r="F42" s="217">
        <f t="shared" si="1"/>
        <v>1606.5</v>
      </c>
    </row>
    <row r="43" spans="2:16" ht="16.5" customHeight="1" x14ac:dyDescent="0.3">
      <c r="B43" s="215" t="s">
        <v>189</v>
      </c>
      <c r="D43" s="216" t="s">
        <v>97</v>
      </c>
      <c r="E43" s="217">
        <v>11.666666666666666</v>
      </c>
      <c r="F43" s="217">
        <f t="shared" si="1"/>
        <v>0</v>
      </c>
    </row>
    <row r="44" spans="2:16" x14ac:dyDescent="0.3">
      <c r="B44" s="215" t="s">
        <v>190</v>
      </c>
      <c r="C44" s="216">
        <v>284</v>
      </c>
      <c r="D44" s="216" t="s">
        <v>97</v>
      </c>
      <c r="E44" s="217">
        <v>15</v>
      </c>
      <c r="F44" s="217">
        <f t="shared" si="1"/>
        <v>4260</v>
      </c>
      <c r="H44" s="217"/>
    </row>
    <row r="45" spans="2:16" x14ac:dyDescent="0.3">
      <c r="B45" s="232" t="s">
        <v>191</v>
      </c>
      <c r="E45" s="216"/>
    </row>
    <row r="46" spans="2:16" x14ac:dyDescent="0.3">
      <c r="B46" s="400" t="s">
        <v>192</v>
      </c>
      <c r="D46" s="216" t="s">
        <v>73</v>
      </c>
      <c r="E46" s="217">
        <v>159</v>
      </c>
      <c r="F46" s="217">
        <f t="shared" ref="F46:F63" si="2">C46*E46</f>
        <v>0</v>
      </c>
    </row>
    <row r="47" spans="2:16" x14ac:dyDescent="0.3">
      <c r="B47" s="400" t="s">
        <v>193</v>
      </c>
      <c r="D47" s="216" t="s">
        <v>73</v>
      </c>
      <c r="E47" s="217">
        <v>141.5</v>
      </c>
      <c r="F47" s="217">
        <f t="shared" si="2"/>
        <v>0</v>
      </c>
    </row>
    <row r="48" spans="2:16" x14ac:dyDescent="0.3">
      <c r="B48" s="400" t="s">
        <v>194</v>
      </c>
      <c r="D48" s="216" t="s">
        <v>73</v>
      </c>
      <c r="E48" s="217">
        <v>45</v>
      </c>
      <c r="F48" s="217">
        <f t="shared" si="2"/>
        <v>0</v>
      </c>
    </row>
    <row r="49" spans="2:6" x14ac:dyDescent="0.3">
      <c r="B49" s="430" t="s">
        <v>537</v>
      </c>
      <c r="D49" s="216" t="s">
        <v>73</v>
      </c>
      <c r="E49" s="217">
        <v>49</v>
      </c>
      <c r="F49" s="217">
        <f t="shared" si="2"/>
        <v>0</v>
      </c>
    </row>
    <row r="50" spans="2:6" x14ac:dyDescent="0.3">
      <c r="B50" s="400" t="s">
        <v>195</v>
      </c>
      <c r="D50" s="216" t="s">
        <v>73</v>
      </c>
      <c r="E50" s="217">
        <v>44</v>
      </c>
      <c r="F50" s="217">
        <f t="shared" si="2"/>
        <v>0</v>
      </c>
    </row>
    <row r="51" spans="2:6" x14ac:dyDescent="0.3">
      <c r="B51" s="400" t="s">
        <v>196</v>
      </c>
      <c r="C51" s="216">
        <v>1</v>
      </c>
      <c r="D51" s="216" t="s">
        <v>73</v>
      </c>
      <c r="E51" s="217">
        <v>60.1</v>
      </c>
      <c r="F51" s="217">
        <f t="shared" si="2"/>
        <v>60.1</v>
      </c>
    </row>
    <row r="52" spans="2:6" x14ac:dyDescent="0.3">
      <c r="B52" s="400" t="s">
        <v>197</v>
      </c>
      <c r="D52" s="216" t="s">
        <v>73</v>
      </c>
      <c r="E52" s="217">
        <v>37</v>
      </c>
      <c r="F52" s="217">
        <f t="shared" si="2"/>
        <v>0</v>
      </c>
    </row>
    <row r="53" spans="2:6" x14ac:dyDescent="0.3">
      <c r="B53" s="435" t="s">
        <v>547</v>
      </c>
      <c r="C53" s="216">
        <v>11</v>
      </c>
      <c r="D53" s="216" t="s">
        <v>73</v>
      </c>
      <c r="E53" s="217">
        <v>38.549999999999997</v>
      </c>
      <c r="F53" s="217">
        <f t="shared" si="2"/>
        <v>424.04999999999995</v>
      </c>
    </row>
    <row r="54" spans="2:6" x14ac:dyDescent="0.3">
      <c r="B54" s="400" t="s">
        <v>198</v>
      </c>
      <c r="C54" s="216">
        <v>1</v>
      </c>
      <c r="D54" s="216" t="s">
        <v>73</v>
      </c>
      <c r="E54" s="217">
        <v>23.5</v>
      </c>
      <c r="F54" s="217">
        <f t="shared" si="2"/>
        <v>23.5</v>
      </c>
    </row>
    <row r="55" spans="2:6" x14ac:dyDescent="0.3">
      <c r="B55" s="215" t="s">
        <v>199</v>
      </c>
      <c r="D55" s="216" t="s">
        <v>73</v>
      </c>
      <c r="E55" s="217">
        <v>15</v>
      </c>
      <c r="F55" s="217">
        <f t="shared" si="2"/>
        <v>0</v>
      </c>
    </row>
    <row r="56" spans="2:6" x14ac:dyDescent="0.3">
      <c r="B56" s="215" t="s">
        <v>200</v>
      </c>
      <c r="D56" s="216" t="s">
        <v>73</v>
      </c>
      <c r="E56" s="217">
        <v>12.5</v>
      </c>
      <c r="F56" s="217">
        <f t="shared" si="2"/>
        <v>0</v>
      </c>
    </row>
    <row r="57" spans="2:6" x14ac:dyDescent="0.3">
      <c r="B57" s="215" t="s">
        <v>201</v>
      </c>
      <c r="D57" s="216" t="s">
        <v>73</v>
      </c>
      <c r="E57" s="217">
        <v>5.5</v>
      </c>
      <c r="F57" s="217">
        <f t="shared" si="2"/>
        <v>0</v>
      </c>
    </row>
    <row r="58" spans="2:6" x14ac:dyDescent="0.3">
      <c r="B58" s="215" t="s">
        <v>202</v>
      </c>
      <c r="D58" s="216" t="s">
        <v>73</v>
      </c>
      <c r="E58" s="217">
        <v>5.5</v>
      </c>
      <c r="F58" s="217">
        <f t="shared" si="2"/>
        <v>0</v>
      </c>
    </row>
    <row r="59" spans="2:6" x14ac:dyDescent="0.3">
      <c r="B59" s="436" t="s">
        <v>546</v>
      </c>
      <c r="C59" s="405">
        <v>26</v>
      </c>
      <c r="D59" s="405" t="s">
        <v>73</v>
      </c>
      <c r="E59" s="406">
        <v>10</v>
      </c>
      <c r="F59" s="406">
        <f t="shared" si="2"/>
        <v>260</v>
      </c>
    </row>
    <row r="60" spans="2:6" x14ac:dyDescent="0.3">
      <c r="B60" s="437" t="s">
        <v>233</v>
      </c>
      <c r="C60" s="405">
        <v>17</v>
      </c>
      <c r="D60" s="405" t="s">
        <v>73</v>
      </c>
      <c r="E60" s="406">
        <v>3.5</v>
      </c>
      <c r="F60" s="406">
        <f t="shared" si="2"/>
        <v>59.5</v>
      </c>
    </row>
    <row r="61" spans="2:6" x14ac:dyDescent="0.3">
      <c r="B61" s="438" t="s">
        <v>234</v>
      </c>
      <c r="C61" s="405">
        <v>9</v>
      </c>
      <c r="D61" s="405" t="s">
        <v>73</v>
      </c>
      <c r="E61" s="406">
        <v>3.5</v>
      </c>
      <c r="F61" s="406">
        <f t="shared" si="2"/>
        <v>31.5</v>
      </c>
    </row>
    <row r="63" spans="2:6" x14ac:dyDescent="0.3">
      <c r="B63" s="436" t="s">
        <v>548</v>
      </c>
      <c r="C63" s="405">
        <v>3</v>
      </c>
      <c r="D63" s="439" t="s">
        <v>73</v>
      </c>
      <c r="E63" s="406">
        <v>150</v>
      </c>
      <c r="F63" s="406">
        <f t="shared" si="2"/>
        <v>450</v>
      </c>
    </row>
    <row r="64" spans="2:6" x14ac:dyDescent="0.3">
      <c r="B64" s="435"/>
      <c r="D64" s="440"/>
    </row>
    <row r="65" spans="2:9" x14ac:dyDescent="0.3">
      <c r="B65" s="447" t="s">
        <v>592</v>
      </c>
      <c r="D65" s="440"/>
    </row>
    <row r="66" spans="2:9" x14ac:dyDescent="0.3">
      <c r="B66" s="436" t="s">
        <v>566</v>
      </c>
      <c r="C66" s="405">
        <v>4</v>
      </c>
      <c r="D66" s="439" t="s">
        <v>73</v>
      </c>
      <c r="E66" s="406">
        <v>150</v>
      </c>
      <c r="F66" s="406">
        <f t="shared" ref="F66:F72" si="3">C66*E66</f>
        <v>600</v>
      </c>
    </row>
    <row r="67" spans="2:9" x14ac:dyDescent="0.3">
      <c r="B67" s="436" t="s">
        <v>567</v>
      </c>
      <c r="C67" s="405">
        <v>1</v>
      </c>
      <c r="D67" s="439" t="s">
        <v>73</v>
      </c>
      <c r="E67" s="406">
        <v>350</v>
      </c>
      <c r="F67" s="406">
        <f t="shared" si="3"/>
        <v>350</v>
      </c>
    </row>
    <row r="68" spans="2:9" x14ac:dyDescent="0.3">
      <c r="B68" s="436" t="s">
        <v>568</v>
      </c>
      <c r="C68" s="405">
        <v>9</v>
      </c>
      <c r="D68" s="439" t="s">
        <v>73</v>
      </c>
      <c r="E68" s="406">
        <v>310</v>
      </c>
      <c r="F68" s="406">
        <f t="shared" si="3"/>
        <v>2790</v>
      </c>
    </row>
    <row r="69" spans="2:9" x14ac:dyDescent="0.3">
      <c r="B69" s="436" t="s">
        <v>571</v>
      </c>
      <c r="C69" s="405">
        <v>2</v>
      </c>
      <c r="D69" s="439" t="s">
        <v>73</v>
      </c>
      <c r="E69" s="406">
        <v>400</v>
      </c>
      <c r="F69" s="406">
        <f t="shared" si="3"/>
        <v>800</v>
      </c>
    </row>
    <row r="70" spans="2:9" x14ac:dyDescent="0.3">
      <c r="B70" s="436" t="s">
        <v>572</v>
      </c>
      <c r="C70" s="405">
        <v>1</v>
      </c>
      <c r="D70" s="439" t="s">
        <v>73</v>
      </c>
      <c r="E70" s="406">
        <v>600</v>
      </c>
      <c r="F70" s="406">
        <f t="shared" si="3"/>
        <v>600</v>
      </c>
    </row>
    <row r="71" spans="2:9" x14ac:dyDescent="0.3">
      <c r="B71" s="436" t="s">
        <v>569</v>
      </c>
      <c r="C71" s="405">
        <v>1</v>
      </c>
      <c r="D71" s="439" t="s">
        <v>73</v>
      </c>
      <c r="E71" s="406">
        <v>260</v>
      </c>
      <c r="F71" s="406">
        <f t="shared" si="3"/>
        <v>260</v>
      </c>
    </row>
    <row r="72" spans="2:9" x14ac:dyDescent="0.3">
      <c r="B72" s="436" t="s">
        <v>570</v>
      </c>
      <c r="C72" s="405">
        <v>1</v>
      </c>
      <c r="D72" s="439" t="s">
        <v>73</v>
      </c>
      <c r="E72" s="406">
        <v>200</v>
      </c>
      <c r="F72" s="406">
        <f t="shared" si="3"/>
        <v>200</v>
      </c>
    </row>
    <row r="73" spans="2:9" x14ac:dyDescent="0.3">
      <c r="B73" s="436"/>
      <c r="C73" s="405"/>
      <c r="D73" s="439"/>
      <c r="E73" s="406"/>
      <c r="F73" s="406"/>
    </row>
    <row r="75" spans="2:9" ht="13.95" customHeight="1" x14ac:dyDescent="0.3">
      <c r="B75" s="232" t="s">
        <v>203</v>
      </c>
      <c r="D75" s="215"/>
      <c r="E75" s="215"/>
      <c r="F75" s="215"/>
      <c r="H75" s="217"/>
      <c r="I75" s="407"/>
    </row>
    <row r="76" spans="2:9" x14ac:dyDescent="0.3">
      <c r="D76" s="215"/>
      <c r="E76" s="215"/>
      <c r="F76" s="215"/>
    </row>
    <row r="77" spans="2:9" x14ac:dyDescent="0.3">
      <c r="B77" t="s">
        <v>204</v>
      </c>
      <c r="D77" s="216" t="s">
        <v>73</v>
      </c>
      <c r="E77" s="217">
        <v>490</v>
      </c>
      <c r="F77" s="217">
        <f>C77*E77</f>
        <v>0</v>
      </c>
    </row>
    <row r="78" spans="2:9" x14ac:dyDescent="0.3">
      <c r="B78" t="s">
        <v>205</v>
      </c>
      <c r="D78" s="216" t="s">
        <v>73</v>
      </c>
      <c r="E78" s="217">
        <v>650</v>
      </c>
      <c r="F78" s="217">
        <f>C78*E78</f>
        <v>0</v>
      </c>
    </row>
    <row r="79" spans="2:9" x14ac:dyDescent="0.3">
      <c r="B79" t="s">
        <v>206</v>
      </c>
      <c r="D79" s="216" t="s">
        <v>73</v>
      </c>
      <c r="E79" s="217">
        <v>1100</v>
      </c>
      <c r="F79" s="217">
        <f>C79*E79</f>
        <v>0</v>
      </c>
    </row>
    <row r="80" spans="2:9" x14ac:dyDescent="0.3">
      <c r="B80" t="s">
        <v>207</v>
      </c>
      <c r="D80" s="216" t="s">
        <v>73</v>
      </c>
      <c r="E80" s="217">
        <v>460</v>
      </c>
      <c r="F80" s="217">
        <f>C80*E80</f>
        <v>0</v>
      </c>
    </row>
    <row r="81" spans="2:6" x14ac:dyDescent="0.3">
      <c r="B81" t="s">
        <v>208</v>
      </c>
      <c r="D81" s="216" t="s">
        <v>73</v>
      </c>
      <c r="E81" s="217">
        <v>580</v>
      </c>
      <c r="F81" s="217">
        <f>C81*E81</f>
        <v>0</v>
      </c>
    </row>
    <row r="82" spans="2:6" x14ac:dyDescent="0.3">
      <c r="B82" t="s">
        <v>209</v>
      </c>
      <c r="D82" s="216" t="s">
        <v>73</v>
      </c>
      <c r="E82" s="217">
        <v>320</v>
      </c>
      <c r="F82" s="217">
        <f t="shared" ref="F82:F181" si="4">C82*E82</f>
        <v>0</v>
      </c>
    </row>
    <row r="83" spans="2:6" x14ac:dyDescent="0.3">
      <c r="B83" s="215" t="s">
        <v>210</v>
      </c>
      <c r="D83" s="216" t="s">
        <v>73</v>
      </c>
      <c r="E83" s="217">
        <v>420</v>
      </c>
      <c r="F83" s="217">
        <f t="shared" si="4"/>
        <v>0</v>
      </c>
    </row>
    <row r="84" spans="2:6" x14ac:dyDescent="0.3">
      <c r="B84" s="215" t="s">
        <v>211</v>
      </c>
      <c r="D84" s="216" t="s">
        <v>73</v>
      </c>
      <c r="E84" s="217">
        <v>562.39</v>
      </c>
      <c r="F84" s="217">
        <f t="shared" si="4"/>
        <v>0</v>
      </c>
    </row>
    <row r="85" spans="2:6" x14ac:dyDescent="0.3">
      <c r="B85" s="215" t="s">
        <v>212</v>
      </c>
      <c r="D85" s="216" t="s">
        <v>73</v>
      </c>
      <c r="E85" s="217">
        <v>563.39</v>
      </c>
      <c r="F85" s="217">
        <f t="shared" si="4"/>
        <v>0</v>
      </c>
    </row>
    <row r="86" spans="2:6" x14ac:dyDescent="0.3">
      <c r="B86" s="215" t="s">
        <v>213</v>
      </c>
      <c r="D86" s="216" t="s">
        <v>73</v>
      </c>
      <c r="E86" s="217">
        <v>380</v>
      </c>
      <c r="F86" s="217">
        <f t="shared" si="4"/>
        <v>0</v>
      </c>
    </row>
    <row r="87" spans="2:6" x14ac:dyDescent="0.3">
      <c r="B87" s="400" t="s">
        <v>214</v>
      </c>
      <c r="D87" s="216" t="s">
        <v>73</v>
      </c>
      <c r="E87" s="217">
        <v>360</v>
      </c>
      <c r="F87" s="217">
        <f t="shared" si="4"/>
        <v>0</v>
      </c>
    </row>
    <row r="88" spans="2:6" x14ac:dyDescent="0.3">
      <c r="B88" s="215" t="s">
        <v>215</v>
      </c>
      <c r="D88" s="216" t="s">
        <v>73</v>
      </c>
      <c r="E88" s="217">
        <v>540</v>
      </c>
      <c r="F88" s="217">
        <f t="shared" si="4"/>
        <v>0</v>
      </c>
    </row>
    <row r="89" spans="2:6" x14ac:dyDescent="0.3">
      <c r="B89" s="215" t="s">
        <v>216</v>
      </c>
      <c r="D89" s="216" t="s">
        <v>73</v>
      </c>
      <c r="E89" s="217">
        <v>450</v>
      </c>
      <c r="F89" s="217">
        <f t="shared" si="4"/>
        <v>0</v>
      </c>
    </row>
    <row r="90" spans="2:6" x14ac:dyDescent="0.3">
      <c r="B90" s="215" t="s">
        <v>217</v>
      </c>
      <c r="D90" s="216" t="s">
        <v>73</v>
      </c>
      <c r="E90" s="217">
        <v>360</v>
      </c>
      <c r="F90" s="217">
        <f t="shared" si="4"/>
        <v>0</v>
      </c>
    </row>
    <row r="91" spans="2:6" x14ac:dyDescent="0.3">
      <c r="B91" s="215" t="s">
        <v>218</v>
      </c>
      <c r="D91" s="216" t="s">
        <v>73</v>
      </c>
      <c r="E91" s="217">
        <v>320</v>
      </c>
      <c r="F91" s="217">
        <f t="shared" si="4"/>
        <v>0</v>
      </c>
    </row>
    <row r="92" spans="2:6" x14ac:dyDescent="0.3">
      <c r="B92" s="215" t="s">
        <v>219</v>
      </c>
      <c r="D92" s="216" t="s">
        <v>73</v>
      </c>
      <c r="E92" s="217">
        <v>190</v>
      </c>
      <c r="F92" s="217">
        <f t="shared" si="4"/>
        <v>0</v>
      </c>
    </row>
    <row r="93" spans="2:6" x14ac:dyDescent="0.3">
      <c r="B93" s="215" t="s">
        <v>220</v>
      </c>
      <c r="D93" s="216" t="s">
        <v>73</v>
      </c>
      <c r="E93" s="217">
        <v>250</v>
      </c>
      <c r="F93" s="217">
        <f t="shared" si="4"/>
        <v>0</v>
      </c>
    </row>
    <row r="94" spans="2:6" x14ac:dyDescent="0.3">
      <c r="B94" s="215" t="s">
        <v>221</v>
      </c>
      <c r="D94" s="216" t="s">
        <v>73</v>
      </c>
      <c r="E94" s="217">
        <v>190</v>
      </c>
      <c r="F94" s="217">
        <f t="shared" si="4"/>
        <v>0</v>
      </c>
    </row>
    <row r="95" spans="2:6" x14ac:dyDescent="0.3">
      <c r="B95" s="215" t="s">
        <v>222</v>
      </c>
    </row>
    <row r="96" spans="2:6" x14ac:dyDescent="0.3">
      <c r="B96" s="215" t="s">
        <v>223</v>
      </c>
      <c r="D96" s="216" t="s">
        <v>73</v>
      </c>
      <c r="E96" s="217">
        <v>85.25</v>
      </c>
      <c r="F96" s="217">
        <f t="shared" si="4"/>
        <v>0</v>
      </c>
    </row>
    <row r="97" spans="2:6" x14ac:dyDescent="0.3">
      <c r="B97" s="215" t="s">
        <v>224</v>
      </c>
      <c r="D97" s="216" t="s">
        <v>73</v>
      </c>
      <c r="E97" s="217">
        <v>210</v>
      </c>
      <c r="F97" s="217">
        <f t="shared" si="4"/>
        <v>0</v>
      </c>
    </row>
    <row r="98" spans="2:6" x14ac:dyDescent="0.3">
      <c r="B98" s="400" t="s">
        <v>225</v>
      </c>
      <c r="D98" s="216" t="s">
        <v>73</v>
      </c>
      <c r="E98" s="217">
        <v>62</v>
      </c>
      <c r="F98" s="217">
        <f t="shared" si="4"/>
        <v>0</v>
      </c>
    </row>
    <row r="99" spans="2:6" x14ac:dyDescent="0.3">
      <c r="B99" s="400" t="s">
        <v>226</v>
      </c>
      <c r="D99" s="216" t="s">
        <v>73</v>
      </c>
      <c r="E99" s="217">
        <v>61</v>
      </c>
      <c r="F99" s="217">
        <f t="shared" si="4"/>
        <v>0</v>
      </c>
    </row>
    <row r="100" spans="2:6" x14ac:dyDescent="0.3">
      <c r="B100" s="215" t="s">
        <v>227</v>
      </c>
      <c r="D100" s="216" t="s">
        <v>73</v>
      </c>
      <c r="E100" s="217">
        <v>120</v>
      </c>
      <c r="F100" s="217">
        <f t="shared" si="4"/>
        <v>0</v>
      </c>
    </row>
    <row r="101" spans="2:6" x14ac:dyDescent="0.3">
      <c r="B101" s="215" t="s">
        <v>228</v>
      </c>
      <c r="D101" s="216" t="s">
        <v>73</v>
      </c>
      <c r="E101" s="217">
        <v>85</v>
      </c>
      <c r="F101" s="217">
        <f t="shared" si="4"/>
        <v>0</v>
      </c>
    </row>
    <row r="102" spans="2:6" x14ac:dyDescent="0.3">
      <c r="B102" s="215" t="s">
        <v>229</v>
      </c>
      <c r="D102" s="216" t="s">
        <v>73</v>
      </c>
      <c r="E102" s="217">
        <v>18</v>
      </c>
      <c r="F102" s="217">
        <f t="shared" si="4"/>
        <v>0</v>
      </c>
    </row>
    <row r="103" spans="2:6" x14ac:dyDescent="0.3">
      <c r="B103" s="215" t="s">
        <v>230</v>
      </c>
      <c r="D103" s="216" t="s">
        <v>73</v>
      </c>
      <c r="E103" s="217">
        <v>16</v>
      </c>
      <c r="F103" s="217">
        <f t="shared" si="4"/>
        <v>0</v>
      </c>
    </row>
    <row r="104" spans="2:6" x14ac:dyDescent="0.3">
      <c r="B104" s="215" t="s">
        <v>231</v>
      </c>
      <c r="D104" s="216" t="s">
        <v>73</v>
      </c>
      <c r="E104" s="217">
        <v>12</v>
      </c>
      <c r="F104" s="217">
        <f t="shared" si="4"/>
        <v>0</v>
      </c>
    </row>
    <row r="105" spans="2:6" x14ac:dyDescent="0.3">
      <c r="B105" s="435" t="s">
        <v>232</v>
      </c>
      <c r="D105" s="216" t="s">
        <v>73</v>
      </c>
      <c r="E105" s="217">
        <v>16</v>
      </c>
      <c r="F105" s="217">
        <f t="shared" si="4"/>
        <v>0</v>
      </c>
    </row>
    <row r="106" spans="2:6" x14ac:dyDescent="0.3">
      <c r="B106" s="435" t="s">
        <v>546</v>
      </c>
      <c r="D106" s="216" t="s">
        <v>73</v>
      </c>
      <c r="E106" s="217">
        <v>13</v>
      </c>
      <c r="F106" s="217">
        <f t="shared" si="4"/>
        <v>0</v>
      </c>
    </row>
    <row r="107" spans="2:6" x14ac:dyDescent="0.3">
      <c r="B107" s="400" t="s">
        <v>233</v>
      </c>
      <c r="D107" s="216" t="s">
        <v>73</v>
      </c>
      <c r="E107" s="217">
        <v>12</v>
      </c>
      <c r="F107" s="217">
        <f t="shared" si="4"/>
        <v>0</v>
      </c>
    </row>
    <row r="108" spans="2:6" x14ac:dyDescent="0.3">
      <c r="B108" s="215" t="s">
        <v>234</v>
      </c>
      <c r="D108" s="216" t="s">
        <v>73</v>
      </c>
      <c r="E108" s="217">
        <v>12</v>
      </c>
      <c r="F108" s="217">
        <f t="shared" si="4"/>
        <v>0</v>
      </c>
    </row>
    <row r="109" spans="2:6" x14ac:dyDescent="0.3">
      <c r="B109" s="215" t="s">
        <v>235</v>
      </c>
      <c r="D109" s="216" t="s">
        <v>73</v>
      </c>
      <c r="E109" s="217">
        <v>1.9</v>
      </c>
      <c r="F109" s="217">
        <f t="shared" si="4"/>
        <v>0</v>
      </c>
    </row>
    <row r="110" spans="2:6" x14ac:dyDescent="0.3">
      <c r="B110" s="215" t="s">
        <v>236</v>
      </c>
      <c r="D110" s="216" t="s">
        <v>97</v>
      </c>
      <c r="E110" s="217">
        <v>2</v>
      </c>
      <c r="F110" s="217">
        <f t="shared" si="4"/>
        <v>0</v>
      </c>
    </row>
    <row r="111" spans="2:6" x14ac:dyDescent="0.3">
      <c r="B111" s="215" t="s">
        <v>237</v>
      </c>
      <c r="D111" s="216" t="s">
        <v>73</v>
      </c>
      <c r="E111" s="231">
        <v>26.4</v>
      </c>
      <c r="F111" s="217">
        <f t="shared" si="4"/>
        <v>0</v>
      </c>
    </row>
    <row r="112" spans="2:6" x14ac:dyDescent="0.3">
      <c r="B112" s="215" t="s">
        <v>238</v>
      </c>
      <c r="D112" s="216" t="s">
        <v>73</v>
      </c>
      <c r="E112" s="231">
        <v>23</v>
      </c>
      <c r="F112" s="217">
        <f t="shared" si="4"/>
        <v>0</v>
      </c>
    </row>
    <row r="113" spans="2:6" x14ac:dyDescent="0.3">
      <c r="B113" s="215" t="s">
        <v>239</v>
      </c>
      <c r="D113" s="216" t="s">
        <v>73</v>
      </c>
      <c r="E113" s="217">
        <v>990</v>
      </c>
      <c r="F113" s="217">
        <f t="shared" si="4"/>
        <v>0</v>
      </c>
    </row>
    <row r="115" spans="2:6" x14ac:dyDescent="0.3">
      <c r="B115" s="375" t="s">
        <v>240</v>
      </c>
    </row>
    <row r="116" spans="2:6" x14ac:dyDescent="0.3">
      <c r="B116" t="s">
        <v>241</v>
      </c>
      <c r="D116" s="216" t="s">
        <v>73</v>
      </c>
    </row>
    <row r="117" spans="2:6" x14ac:dyDescent="0.3">
      <c r="B117" t="s">
        <v>242</v>
      </c>
      <c r="D117" s="216" t="s">
        <v>73</v>
      </c>
    </row>
    <row r="118" spans="2:6" x14ac:dyDescent="0.3">
      <c r="B118" t="s">
        <v>243</v>
      </c>
      <c r="D118" s="216" t="s">
        <v>73</v>
      </c>
    </row>
    <row r="119" spans="2:6" x14ac:dyDescent="0.3">
      <c r="B119" t="s">
        <v>244</v>
      </c>
      <c r="D119" s="216" t="s">
        <v>73</v>
      </c>
    </row>
    <row r="120" spans="2:6" x14ac:dyDescent="0.3">
      <c r="B120" t="s">
        <v>245</v>
      </c>
      <c r="D120" s="216" t="s">
        <v>73</v>
      </c>
    </row>
    <row r="121" spans="2:6" x14ac:dyDescent="0.3">
      <c r="B121" t="s">
        <v>246</v>
      </c>
      <c r="D121" s="216" t="s">
        <v>73</v>
      </c>
    </row>
    <row r="122" spans="2:6" x14ac:dyDescent="0.3">
      <c r="B122" t="s">
        <v>247</v>
      </c>
      <c r="C122" s="216">
        <v>3</v>
      </c>
      <c r="D122" s="216" t="s">
        <v>73</v>
      </c>
      <c r="E122" s="317">
        <v>168</v>
      </c>
      <c r="F122" s="217">
        <f t="shared" si="4"/>
        <v>504</v>
      </c>
    </row>
    <row r="123" spans="2:6" x14ac:dyDescent="0.3">
      <c r="B123" t="s">
        <v>248</v>
      </c>
      <c r="D123" s="216" t="s">
        <v>73</v>
      </c>
      <c r="E123" s="317"/>
    </row>
    <row r="124" spans="2:6" x14ac:dyDescent="0.3">
      <c r="B124" t="s">
        <v>249</v>
      </c>
      <c r="D124" s="216" t="s">
        <v>73</v>
      </c>
      <c r="E124" s="317"/>
    </row>
    <row r="125" spans="2:6" x14ac:dyDescent="0.3">
      <c r="B125" s="315" t="s">
        <v>250</v>
      </c>
      <c r="D125" s="216" t="s">
        <v>73</v>
      </c>
      <c r="E125" s="317">
        <v>365.7</v>
      </c>
      <c r="F125" s="217">
        <f>C125*E125</f>
        <v>0</v>
      </c>
    </row>
    <row r="126" spans="2:6" x14ac:dyDescent="0.3">
      <c r="B126" t="s">
        <v>251</v>
      </c>
      <c r="D126" s="216" t="s">
        <v>73</v>
      </c>
      <c r="E126" s="317">
        <v>109</v>
      </c>
      <c r="F126" s="217">
        <f>C126*E126</f>
        <v>0</v>
      </c>
    </row>
    <row r="127" spans="2:6" x14ac:dyDescent="0.3">
      <c r="B127" t="s">
        <v>252</v>
      </c>
      <c r="D127" s="216" t="s">
        <v>73</v>
      </c>
      <c r="E127" s="317">
        <v>138</v>
      </c>
      <c r="F127" s="217">
        <f t="shared" si="4"/>
        <v>0</v>
      </c>
    </row>
    <row r="128" spans="2:6" x14ac:dyDescent="0.3">
      <c r="B128" t="s">
        <v>253</v>
      </c>
      <c r="D128" s="216" t="s">
        <v>73</v>
      </c>
      <c r="E128" s="317">
        <v>201.25</v>
      </c>
      <c r="F128" s="217">
        <f t="shared" si="4"/>
        <v>0</v>
      </c>
    </row>
    <row r="129" spans="2:6" x14ac:dyDescent="0.3">
      <c r="B129" t="s">
        <v>254</v>
      </c>
      <c r="D129" s="216" t="s">
        <v>73</v>
      </c>
      <c r="E129" s="377"/>
    </row>
    <row r="130" spans="2:6" x14ac:dyDescent="0.3">
      <c r="B130" s="315" t="s">
        <v>250</v>
      </c>
      <c r="D130" s="216" t="s">
        <v>73</v>
      </c>
      <c r="E130" s="317">
        <v>390</v>
      </c>
      <c r="F130" s="217">
        <f t="shared" si="4"/>
        <v>0</v>
      </c>
    </row>
    <row r="131" spans="2:6" x14ac:dyDescent="0.3">
      <c r="B131" t="s">
        <v>255</v>
      </c>
      <c r="D131" s="216" t="s">
        <v>73</v>
      </c>
      <c r="E131" s="317">
        <v>162</v>
      </c>
      <c r="F131" s="217">
        <f t="shared" si="4"/>
        <v>0</v>
      </c>
    </row>
    <row r="132" spans="2:6" x14ac:dyDescent="0.3">
      <c r="B132" t="s">
        <v>256</v>
      </c>
      <c r="D132" s="216" t="s">
        <v>73</v>
      </c>
      <c r="E132" s="317">
        <v>218</v>
      </c>
      <c r="F132" s="217">
        <f t="shared" si="4"/>
        <v>0</v>
      </c>
    </row>
    <row r="133" spans="2:6" hidden="1" x14ac:dyDescent="0.3">
      <c r="B133" t="s">
        <v>257</v>
      </c>
      <c r="D133" s="216" t="s">
        <v>73</v>
      </c>
      <c r="E133" s="317"/>
    </row>
    <row r="134" spans="2:6" x14ac:dyDescent="0.3">
      <c r="B134" t="s">
        <v>258</v>
      </c>
      <c r="D134" s="216" t="s">
        <v>73</v>
      </c>
      <c r="E134" s="317">
        <v>309</v>
      </c>
      <c r="F134" s="217">
        <f t="shared" si="4"/>
        <v>0</v>
      </c>
    </row>
    <row r="135" spans="2:6" x14ac:dyDescent="0.3">
      <c r="B135" t="s">
        <v>259</v>
      </c>
      <c r="D135" s="216" t="s">
        <v>73</v>
      </c>
      <c r="E135" s="317">
        <v>375</v>
      </c>
      <c r="F135" s="217">
        <f t="shared" si="4"/>
        <v>0</v>
      </c>
    </row>
    <row r="136" spans="2:6" x14ac:dyDescent="0.3">
      <c r="B136" s="304"/>
    </row>
    <row r="137" spans="2:6" x14ac:dyDescent="0.3">
      <c r="B137" s="304"/>
    </row>
    <row r="138" spans="2:6" x14ac:dyDescent="0.3">
      <c r="B138" s="304" t="s">
        <v>260</v>
      </c>
      <c r="D138" s="216" t="s">
        <v>73</v>
      </c>
      <c r="F138" s="217">
        <f t="shared" si="4"/>
        <v>0</v>
      </c>
    </row>
    <row r="139" spans="2:6" x14ac:dyDescent="0.3">
      <c r="B139" s="304" t="s">
        <v>261</v>
      </c>
      <c r="D139" s="216" t="s">
        <v>73</v>
      </c>
      <c r="F139" s="217">
        <f t="shared" si="4"/>
        <v>0</v>
      </c>
    </row>
    <row r="140" spans="2:6" x14ac:dyDescent="0.3">
      <c r="B140" s="304" t="s">
        <v>262</v>
      </c>
      <c r="D140" s="216" t="s">
        <v>73</v>
      </c>
      <c r="E140" s="217">
        <v>1000</v>
      </c>
      <c r="F140" s="217">
        <f t="shared" si="4"/>
        <v>0</v>
      </c>
    </row>
    <row r="141" spans="2:6" x14ac:dyDescent="0.3">
      <c r="B141" s="304" t="s">
        <v>263</v>
      </c>
      <c r="D141" s="216" t="s">
        <v>73</v>
      </c>
      <c r="E141" s="217">
        <v>330</v>
      </c>
      <c r="F141" s="217">
        <f t="shared" si="4"/>
        <v>0</v>
      </c>
    </row>
    <row r="142" spans="2:6" x14ac:dyDescent="0.3">
      <c r="B142" s="304" t="s">
        <v>264</v>
      </c>
      <c r="D142" s="216" t="s">
        <v>73</v>
      </c>
      <c r="E142" s="217">
        <v>410</v>
      </c>
      <c r="F142" s="217">
        <f t="shared" si="4"/>
        <v>0</v>
      </c>
    </row>
    <row r="143" spans="2:6" x14ac:dyDescent="0.3">
      <c r="B143" s="315" t="s">
        <v>265</v>
      </c>
      <c r="D143" s="216" t="s">
        <v>73</v>
      </c>
      <c r="E143" s="217">
        <v>1082</v>
      </c>
      <c r="F143" s="217">
        <f t="shared" si="4"/>
        <v>0</v>
      </c>
    </row>
    <row r="144" spans="2:6" x14ac:dyDescent="0.3">
      <c r="B144" s="315" t="s">
        <v>266</v>
      </c>
      <c r="D144" s="216" t="s">
        <v>73</v>
      </c>
      <c r="E144" s="217">
        <v>286.10000000000002</v>
      </c>
      <c r="F144" s="217">
        <f t="shared" si="4"/>
        <v>0</v>
      </c>
    </row>
    <row r="145" spans="2:6" x14ac:dyDescent="0.3">
      <c r="B145" s="315" t="s">
        <v>267</v>
      </c>
      <c r="D145" s="216" t="s">
        <v>73</v>
      </c>
      <c r="E145" s="217">
        <v>409.4</v>
      </c>
      <c r="F145" s="217">
        <f t="shared" si="4"/>
        <v>0</v>
      </c>
    </row>
    <row r="146" spans="2:6" x14ac:dyDescent="0.3">
      <c r="B146" s="315" t="s">
        <v>268</v>
      </c>
      <c r="D146" s="216" t="s">
        <v>73</v>
      </c>
      <c r="E146" s="317">
        <v>991</v>
      </c>
      <c r="F146" s="217">
        <f t="shared" si="4"/>
        <v>0</v>
      </c>
    </row>
    <row r="147" spans="2:6" x14ac:dyDescent="0.3">
      <c r="B147" s="315" t="s">
        <v>269</v>
      </c>
      <c r="D147" s="216" t="s">
        <v>73</v>
      </c>
      <c r="E147" s="317">
        <v>286.10000000000002</v>
      </c>
      <c r="F147" s="217">
        <f t="shared" si="4"/>
        <v>0</v>
      </c>
    </row>
    <row r="148" spans="2:6" x14ac:dyDescent="0.3">
      <c r="B148" s="315" t="s">
        <v>270</v>
      </c>
      <c r="D148" s="216" t="s">
        <v>73</v>
      </c>
      <c r="E148" s="317">
        <v>409.4</v>
      </c>
      <c r="F148" s="217">
        <f t="shared" si="4"/>
        <v>0</v>
      </c>
    </row>
    <row r="149" spans="2:6" x14ac:dyDescent="0.3">
      <c r="B149" t="s">
        <v>271</v>
      </c>
      <c r="D149" s="216" t="s">
        <v>73</v>
      </c>
      <c r="E149" s="317">
        <v>662.4</v>
      </c>
      <c r="F149" s="217">
        <f t="shared" si="4"/>
        <v>0</v>
      </c>
    </row>
    <row r="150" spans="2:6" x14ac:dyDescent="0.3">
      <c r="B150" t="s">
        <v>272</v>
      </c>
      <c r="D150" s="216" t="s">
        <v>73</v>
      </c>
      <c r="E150" s="317">
        <v>828</v>
      </c>
      <c r="F150" s="217">
        <f t="shared" si="4"/>
        <v>0</v>
      </c>
    </row>
    <row r="151" spans="2:6" x14ac:dyDescent="0.3">
      <c r="B151" t="s">
        <v>273</v>
      </c>
      <c r="D151" s="216" t="s">
        <v>73</v>
      </c>
      <c r="E151" s="317">
        <v>1810.1</v>
      </c>
      <c r="F151" s="217">
        <f t="shared" si="4"/>
        <v>0</v>
      </c>
    </row>
    <row r="152" spans="2:6" x14ac:dyDescent="0.3">
      <c r="B152" t="s">
        <v>274</v>
      </c>
      <c r="D152" s="216" t="s">
        <v>73</v>
      </c>
      <c r="E152" s="317">
        <v>637.1</v>
      </c>
      <c r="F152" s="217">
        <f t="shared" si="4"/>
        <v>0</v>
      </c>
    </row>
    <row r="153" spans="2:6" x14ac:dyDescent="0.3">
      <c r="B153" t="s">
        <v>275</v>
      </c>
      <c r="D153" s="216" t="s">
        <v>73</v>
      </c>
      <c r="E153" s="317">
        <v>841.25</v>
      </c>
      <c r="F153" s="217">
        <f t="shared" si="4"/>
        <v>0</v>
      </c>
    </row>
    <row r="154" spans="2:6" x14ac:dyDescent="0.3">
      <c r="B154" t="s">
        <v>276</v>
      </c>
      <c r="D154" s="216" t="s">
        <v>73</v>
      </c>
      <c r="E154" s="317">
        <v>1528.35</v>
      </c>
      <c r="F154" s="217">
        <f t="shared" si="4"/>
        <v>0</v>
      </c>
    </row>
    <row r="155" spans="2:6" x14ac:dyDescent="0.3">
      <c r="B155" t="s">
        <v>276</v>
      </c>
      <c r="D155" s="216" t="s">
        <v>73</v>
      </c>
    </row>
    <row r="156" spans="2:6" x14ac:dyDescent="0.3">
      <c r="B156" s="304"/>
    </row>
    <row r="157" spans="2:6" x14ac:dyDescent="0.3">
      <c r="B157" s="304"/>
    </row>
    <row r="158" spans="2:6" x14ac:dyDescent="0.3">
      <c r="B158" s="304" t="s">
        <v>277</v>
      </c>
      <c r="D158" s="216" t="s">
        <v>73</v>
      </c>
      <c r="E158" s="306">
        <v>326</v>
      </c>
      <c r="F158" s="217">
        <f t="shared" si="4"/>
        <v>0</v>
      </c>
    </row>
    <row r="159" spans="2:6" x14ac:dyDescent="0.3">
      <c r="B159" s="304" t="s">
        <v>278</v>
      </c>
      <c r="D159" s="216" t="s">
        <v>73</v>
      </c>
      <c r="E159" s="306">
        <v>355</v>
      </c>
      <c r="F159" s="217">
        <f t="shared" si="4"/>
        <v>0</v>
      </c>
    </row>
    <row r="160" spans="2:6" x14ac:dyDescent="0.3">
      <c r="B160" s="304" t="s">
        <v>279</v>
      </c>
      <c r="D160" s="216" t="s">
        <v>73</v>
      </c>
      <c r="E160" s="306">
        <v>150</v>
      </c>
      <c r="F160" s="217">
        <f t="shared" si="4"/>
        <v>0</v>
      </c>
    </row>
    <row r="161" spans="2:6" x14ac:dyDescent="0.3">
      <c r="B161" s="304" t="s">
        <v>280</v>
      </c>
      <c r="D161" s="216" t="s">
        <v>73</v>
      </c>
      <c r="E161" s="306">
        <v>150</v>
      </c>
      <c r="F161" s="217">
        <f t="shared" si="4"/>
        <v>0</v>
      </c>
    </row>
    <row r="162" spans="2:6" x14ac:dyDescent="0.3">
      <c r="B162" s="304" t="s">
        <v>281</v>
      </c>
      <c r="D162" s="216" t="s">
        <v>73</v>
      </c>
      <c r="E162" s="217">
        <v>197</v>
      </c>
      <c r="F162" s="217">
        <f t="shared" si="4"/>
        <v>0</v>
      </c>
    </row>
    <row r="163" spans="2:6" x14ac:dyDescent="0.3">
      <c r="B163" s="304" t="s">
        <v>282</v>
      </c>
      <c r="D163" s="216" t="s">
        <v>73</v>
      </c>
      <c r="E163" s="217">
        <v>275</v>
      </c>
      <c r="F163" s="217">
        <f t="shared" si="4"/>
        <v>0</v>
      </c>
    </row>
    <row r="164" spans="2:6" x14ac:dyDescent="0.3">
      <c r="B164" s="304" t="s">
        <v>283</v>
      </c>
      <c r="D164" s="216" t="s">
        <v>73</v>
      </c>
      <c r="E164" s="217">
        <v>350</v>
      </c>
      <c r="F164" s="217">
        <f t="shared" si="4"/>
        <v>0</v>
      </c>
    </row>
    <row r="165" spans="2:6" x14ac:dyDescent="0.3">
      <c r="B165" s="304" t="s">
        <v>284</v>
      </c>
      <c r="D165" s="216" t="s">
        <v>73</v>
      </c>
      <c r="E165" s="306">
        <v>263</v>
      </c>
      <c r="F165" s="217">
        <f t="shared" si="4"/>
        <v>0</v>
      </c>
    </row>
    <row r="166" spans="2:6" x14ac:dyDescent="0.3">
      <c r="B166" s="304" t="s">
        <v>285</v>
      </c>
      <c r="D166" s="216" t="s">
        <v>73</v>
      </c>
      <c r="E166" s="306">
        <v>293</v>
      </c>
      <c r="F166" s="217">
        <f t="shared" si="4"/>
        <v>0</v>
      </c>
    </row>
    <row r="167" spans="2:6" x14ac:dyDescent="0.3">
      <c r="B167" s="402" t="s">
        <v>286</v>
      </c>
      <c r="C167" s="405">
        <v>13</v>
      </c>
      <c r="D167" s="405" t="s">
        <v>73</v>
      </c>
      <c r="E167" s="404">
        <v>364</v>
      </c>
      <c r="F167" s="406">
        <f t="shared" si="4"/>
        <v>4732</v>
      </c>
    </row>
    <row r="168" spans="2:6" x14ac:dyDescent="0.3">
      <c r="B168" s="304" t="s">
        <v>287</v>
      </c>
      <c r="D168" s="216" t="s">
        <v>73</v>
      </c>
      <c r="E168" s="306">
        <v>445</v>
      </c>
      <c r="F168" s="217">
        <f t="shared" si="4"/>
        <v>0</v>
      </c>
    </row>
    <row r="169" spans="2:6" x14ac:dyDescent="0.3">
      <c r="B169" s="304" t="s">
        <v>288</v>
      </c>
      <c r="D169" s="216" t="s">
        <v>73</v>
      </c>
      <c r="E169" s="306">
        <v>600</v>
      </c>
      <c r="F169" s="217">
        <f t="shared" si="4"/>
        <v>0</v>
      </c>
    </row>
    <row r="170" spans="2:6" x14ac:dyDescent="0.3">
      <c r="B170" s="304" t="s">
        <v>289</v>
      </c>
      <c r="D170" s="216" t="s">
        <v>73</v>
      </c>
      <c r="E170" s="306">
        <f>E151</f>
        <v>1810.1</v>
      </c>
      <c r="F170" s="217">
        <f t="shared" si="4"/>
        <v>0</v>
      </c>
    </row>
    <row r="171" spans="2:6" x14ac:dyDescent="0.3">
      <c r="B171" s="304" t="s">
        <v>290</v>
      </c>
      <c r="D171" s="216" t="s">
        <v>73</v>
      </c>
      <c r="E171" s="306">
        <f>E152</f>
        <v>637.1</v>
      </c>
      <c r="F171" s="217">
        <f t="shared" si="4"/>
        <v>0</v>
      </c>
    </row>
    <row r="172" spans="2:6" x14ac:dyDescent="0.3">
      <c r="B172" s="304" t="s">
        <v>291</v>
      </c>
      <c r="D172" s="216" t="s">
        <v>73</v>
      </c>
      <c r="E172" s="306"/>
    </row>
    <row r="173" spans="2:6" x14ac:dyDescent="0.3">
      <c r="B173" s="304" t="s">
        <v>292</v>
      </c>
      <c r="D173" s="216" t="s">
        <v>73</v>
      </c>
      <c r="E173" s="306">
        <v>564</v>
      </c>
      <c r="F173" s="217">
        <f t="shared" si="4"/>
        <v>0</v>
      </c>
    </row>
    <row r="174" spans="2:6" x14ac:dyDescent="0.3">
      <c r="B174" s="304" t="s">
        <v>293</v>
      </c>
      <c r="D174" s="216" t="s">
        <v>73</v>
      </c>
      <c r="E174" s="306">
        <v>820</v>
      </c>
      <c r="F174" s="217">
        <f t="shared" si="4"/>
        <v>0</v>
      </c>
    </row>
    <row r="175" spans="2:6" x14ac:dyDescent="0.3">
      <c r="B175" s="304" t="s">
        <v>294</v>
      </c>
      <c r="C175" s="405">
        <v>2</v>
      </c>
      <c r="D175" s="216" t="s">
        <v>73</v>
      </c>
      <c r="E175" s="306">
        <v>1101</v>
      </c>
      <c r="F175" s="217">
        <f t="shared" si="4"/>
        <v>2202</v>
      </c>
    </row>
    <row r="176" spans="2:6" x14ac:dyDescent="0.3">
      <c r="B176" s="304" t="s">
        <v>534</v>
      </c>
      <c r="C176" s="405">
        <v>1</v>
      </c>
      <c r="D176" s="427" t="s">
        <v>73</v>
      </c>
      <c r="E176" s="376">
        <v>1403</v>
      </c>
      <c r="F176" s="217">
        <f t="shared" si="4"/>
        <v>1403</v>
      </c>
    </row>
    <row r="177" spans="2:6" x14ac:dyDescent="0.3">
      <c r="B177" s="304" t="s">
        <v>295</v>
      </c>
      <c r="D177" s="401" t="s">
        <v>73</v>
      </c>
      <c r="E177" s="376">
        <v>286</v>
      </c>
      <c r="F177" s="217">
        <f t="shared" si="4"/>
        <v>0</v>
      </c>
    </row>
    <row r="178" spans="2:6" x14ac:dyDescent="0.3">
      <c r="B178" t="s">
        <v>296</v>
      </c>
      <c r="C178" s="216">
        <v>3</v>
      </c>
      <c r="D178" s="216" t="s">
        <v>73</v>
      </c>
      <c r="E178" s="377">
        <v>195</v>
      </c>
      <c r="F178" s="217">
        <f t="shared" si="4"/>
        <v>585</v>
      </c>
    </row>
    <row r="179" spans="2:6" x14ac:dyDescent="0.3">
      <c r="B179" t="s">
        <v>297</v>
      </c>
      <c r="D179" s="401" t="s">
        <v>73</v>
      </c>
      <c r="E179" s="377">
        <v>501</v>
      </c>
      <c r="F179" s="217">
        <f t="shared" si="4"/>
        <v>0</v>
      </c>
    </row>
    <row r="180" spans="2:6" x14ac:dyDescent="0.3">
      <c r="B180" t="s">
        <v>298</v>
      </c>
      <c r="D180" s="216" t="s">
        <v>73</v>
      </c>
      <c r="E180" s="377">
        <v>410</v>
      </c>
      <c r="F180" s="217">
        <f t="shared" si="4"/>
        <v>0</v>
      </c>
    </row>
    <row r="181" spans="2:6" x14ac:dyDescent="0.3">
      <c r="B181" t="s">
        <v>299</v>
      </c>
      <c r="D181" s="401" t="s">
        <v>73</v>
      </c>
      <c r="E181" s="377">
        <v>390</v>
      </c>
      <c r="F181" s="217">
        <f t="shared" si="4"/>
        <v>0</v>
      </c>
    </row>
    <row r="182" spans="2:6" x14ac:dyDescent="0.3">
      <c r="B182" t="s">
        <v>300</v>
      </c>
      <c r="C182" s="216">
        <v>16</v>
      </c>
      <c r="D182" s="216" t="s">
        <v>73</v>
      </c>
      <c r="E182" s="317">
        <v>298</v>
      </c>
      <c r="F182" s="217">
        <f t="shared" ref="F182:F184" si="5">C182*E182</f>
        <v>4768</v>
      </c>
    </row>
    <row r="183" spans="2:6" x14ac:dyDescent="0.3">
      <c r="B183" s="383" t="s">
        <v>301</v>
      </c>
      <c r="D183" s="216" t="s">
        <v>73</v>
      </c>
      <c r="E183" s="377">
        <v>572</v>
      </c>
      <c r="F183" s="217">
        <f t="shared" si="5"/>
        <v>0</v>
      </c>
    </row>
    <row r="184" spans="2:6" x14ac:dyDescent="0.3">
      <c r="B184" t="s">
        <v>302</v>
      </c>
      <c r="D184" s="216" t="s">
        <v>73</v>
      </c>
      <c r="E184" s="377">
        <v>829</v>
      </c>
      <c r="F184" s="217">
        <f t="shared" si="5"/>
        <v>0</v>
      </c>
    </row>
    <row r="185" spans="2:6" x14ac:dyDescent="0.3">
      <c r="B185" t="s">
        <v>303</v>
      </c>
      <c r="D185" s="216" t="s">
        <v>73</v>
      </c>
      <c r="E185" s="317">
        <v>530.4</v>
      </c>
      <c r="F185" s="217">
        <f t="shared" ref="F185" si="6">C185*E185</f>
        <v>0</v>
      </c>
    </row>
    <row r="186" spans="2:6" x14ac:dyDescent="0.3">
      <c r="B186" t="s">
        <v>304</v>
      </c>
      <c r="E186" s="317"/>
    </row>
    <row r="187" spans="2:6" x14ac:dyDescent="0.3">
      <c r="B187" t="s">
        <v>305</v>
      </c>
      <c r="E187" s="377"/>
    </row>
    <row r="188" spans="2:6" x14ac:dyDescent="0.3">
      <c r="B188" t="s">
        <v>306</v>
      </c>
      <c r="E188" s="377"/>
    </row>
    <row r="189" spans="2:6" x14ac:dyDescent="0.3">
      <c r="B189" t="s">
        <v>307</v>
      </c>
      <c r="E189" s="317"/>
    </row>
    <row r="190" spans="2:6" x14ac:dyDescent="0.3">
      <c r="B190" t="s">
        <v>308</v>
      </c>
      <c r="E190" s="317"/>
    </row>
    <row r="191" spans="2:6" x14ac:dyDescent="0.3">
      <c r="B191" t="s">
        <v>309</v>
      </c>
      <c r="E191" s="317"/>
    </row>
    <row r="192" spans="2:6" x14ac:dyDescent="0.3">
      <c r="B192" t="s">
        <v>310</v>
      </c>
      <c r="D192" s="216" t="s">
        <v>73</v>
      </c>
      <c r="E192" s="317">
        <v>351</v>
      </c>
      <c r="F192" s="217">
        <f>C192*E192</f>
        <v>0</v>
      </c>
    </row>
    <row r="193" spans="2:16" x14ac:dyDescent="0.3">
      <c r="B193" t="s">
        <v>311</v>
      </c>
      <c r="E193" s="317"/>
    </row>
    <row r="194" spans="2:16" hidden="1" x14ac:dyDescent="0.3">
      <c r="B194" s="304"/>
      <c r="E194" s="376"/>
    </row>
    <row r="195" spans="2:16" hidden="1" x14ac:dyDescent="0.3">
      <c r="B195" s="304"/>
      <c r="E195" s="376"/>
    </row>
    <row r="196" spans="2:16" hidden="1" x14ac:dyDescent="0.3">
      <c r="B196" s="304"/>
      <c r="E196" s="376"/>
    </row>
    <row r="197" spans="2:16" hidden="1" x14ac:dyDescent="0.3">
      <c r="B197" s="304"/>
      <c r="E197" s="376"/>
    </row>
    <row r="198" spans="2:16" hidden="1" x14ac:dyDescent="0.3">
      <c r="B198" s="304"/>
      <c r="E198" s="376"/>
    </row>
    <row r="199" spans="2:16" hidden="1" x14ac:dyDescent="0.3"/>
    <row r="201" spans="2:16" x14ac:dyDescent="0.3">
      <c r="B201" s="304" t="s">
        <v>312</v>
      </c>
      <c r="C201" s="305"/>
      <c r="D201" s="305" t="s">
        <v>73</v>
      </c>
      <c r="E201" s="306">
        <v>1780</v>
      </c>
      <c r="F201" s="306">
        <f t="shared" ref="F201:F240" si="7">C201*E201</f>
        <v>0</v>
      </c>
      <c r="P201" s="217"/>
    </row>
    <row r="202" spans="2:16" x14ac:dyDescent="0.3">
      <c r="B202" s="402" t="s">
        <v>564</v>
      </c>
      <c r="C202" s="403">
        <v>28</v>
      </c>
      <c r="D202" s="403" t="s">
        <v>73</v>
      </c>
      <c r="E202" s="404">
        <v>1350</v>
      </c>
      <c r="F202" s="404">
        <f t="shared" si="7"/>
        <v>37800</v>
      </c>
      <c r="P202" s="217"/>
    </row>
    <row r="203" spans="2:16" x14ac:dyDescent="0.3">
      <c r="B203" s="402" t="s">
        <v>565</v>
      </c>
      <c r="C203" s="403">
        <v>5</v>
      </c>
      <c r="D203" s="403" t="s">
        <v>73</v>
      </c>
      <c r="E203" s="404">
        <v>1350</v>
      </c>
      <c r="F203" s="404">
        <f t="shared" si="7"/>
        <v>6750</v>
      </c>
      <c r="P203" s="217"/>
    </row>
    <row r="204" spans="2:16" x14ac:dyDescent="0.3">
      <c r="B204" s="304" t="s">
        <v>313</v>
      </c>
      <c r="C204" s="305"/>
      <c r="D204" s="305" t="s">
        <v>73</v>
      </c>
      <c r="E204" s="306">
        <v>402</v>
      </c>
      <c r="F204" s="306">
        <f t="shared" si="7"/>
        <v>0</v>
      </c>
      <c r="P204" s="217"/>
    </row>
    <row r="205" spans="2:16" x14ac:dyDescent="0.3">
      <c r="B205" s="304" t="s">
        <v>314</v>
      </c>
      <c r="C205" s="305"/>
      <c r="D205" s="305" t="s">
        <v>73</v>
      </c>
      <c r="E205" s="306">
        <v>295</v>
      </c>
      <c r="F205" s="306">
        <f t="shared" si="7"/>
        <v>0</v>
      </c>
      <c r="P205" s="217"/>
    </row>
    <row r="206" spans="2:16" x14ac:dyDescent="0.3">
      <c r="B206" s="304" t="s">
        <v>315</v>
      </c>
      <c r="C206" s="305"/>
      <c r="D206" s="305" t="s">
        <v>73</v>
      </c>
      <c r="E206" s="306"/>
      <c r="F206" s="306">
        <f t="shared" si="7"/>
        <v>0</v>
      </c>
      <c r="P206" s="217"/>
    </row>
    <row r="207" spans="2:16" x14ac:dyDescent="0.3">
      <c r="B207" s="304" t="s">
        <v>316</v>
      </c>
      <c r="C207" s="305">
        <v>13</v>
      </c>
      <c r="D207" s="305" t="s">
        <v>73</v>
      </c>
      <c r="E207" s="306">
        <v>400</v>
      </c>
      <c r="F207" s="306">
        <f t="shared" si="7"/>
        <v>5200</v>
      </c>
      <c r="P207" s="217"/>
    </row>
    <row r="208" spans="2:16" x14ac:dyDescent="0.3">
      <c r="B208" s="304" t="s">
        <v>317</v>
      </c>
      <c r="C208" s="305"/>
      <c r="D208" s="305" t="s">
        <v>73</v>
      </c>
      <c r="E208" s="306"/>
      <c r="F208" s="306">
        <f t="shared" ref="F208" si="8">C208*E208</f>
        <v>0</v>
      </c>
      <c r="P208" s="217"/>
    </row>
    <row r="209" spans="2:16" x14ac:dyDescent="0.3">
      <c r="B209" s="304" t="s">
        <v>318</v>
      </c>
      <c r="C209" s="305"/>
      <c r="D209" s="305" t="s">
        <v>73</v>
      </c>
      <c r="E209" s="306">
        <v>600</v>
      </c>
      <c r="F209" s="306">
        <f>C209*E209</f>
        <v>0</v>
      </c>
      <c r="P209" s="217"/>
    </row>
    <row r="210" spans="2:16" x14ac:dyDescent="0.3">
      <c r="B210" s="402" t="s">
        <v>319</v>
      </c>
      <c r="C210" s="403">
        <v>3</v>
      </c>
      <c r="D210" s="403" t="s">
        <v>73</v>
      </c>
      <c r="E210" s="404">
        <v>400</v>
      </c>
      <c r="F210" s="404">
        <f>C210*E210</f>
        <v>1200</v>
      </c>
      <c r="P210" s="217"/>
    </row>
    <row r="211" spans="2:16" x14ac:dyDescent="0.3">
      <c r="B211" s="304" t="s">
        <v>535</v>
      </c>
      <c r="C211" s="305"/>
      <c r="D211" s="305" t="s">
        <v>73</v>
      </c>
      <c r="E211" s="306">
        <v>794</v>
      </c>
      <c r="F211" s="306">
        <f>C211*E211</f>
        <v>0</v>
      </c>
      <c r="P211" s="217"/>
    </row>
    <row r="212" spans="2:16" x14ac:dyDescent="0.3">
      <c r="B212" s="304" t="s">
        <v>320</v>
      </c>
      <c r="C212" s="305"/>
      <c r="D212" s="305" t="s">
        <v>73</v>
      </c>
      <c r="E212" s="306">
        <v>1800</v>
      </c>
      <c r="F212" s="306">
        <f>C212*E212</f>
        <v>0</v>
      </c>
      <c r="P212" s="217"/>
    </row>
    <row r="213" spans="2:16" x14ac:dyDescent="0.3">
      <c r="B213" s="304"/>
      <c r="C213" s="305"/>
      <c r="D213" s="305"/>
      <c r="E213" s="306"/>
      <c r="F213" s="306"/>
      <c r="P213" s="217"/>
    </row>
    <row r="214" spans="2:16" x14ac:dyDescent="0.3">
      <c r="B214" s="375" t="s">
        <v>549</v>
      </c>
      <c r="C214" s="305"/>
      <c r="D214" s="305"/>
      <c r="E214" s="306"/>
      <c r="F214" s="306"/>
      <c r="P214" s="217"/>
    </row>
    <row r="215" spans="2:16" x14ac:dyDescent="0.3">
      <c r="B215" s="304" t="s">
        <v>593</v>
      </c>
      <c r="C215" s="305">
        <v>34</v>
      </c>
      <c r="D215" s="305" t="s">
        <v>97</v>
      </c>
      <c r="E215" s="306">
        <f>16425/34</f>
        <v>483.08823529411762</v>
      </c>
      <c r="F215" s="306">
        <f t="shared" ref="F215:F220" si="9">C215*E215</f>
        <v>16425</v>
      </c>
      <c r="P215" s="217"/>
    </row>
    <row r="216" spans="2:16" x14ac:dyDescent="0.3">
      <c r="B216" s="304" t="s">
        <v>594</v>
      </c>
      <c r="C216" s="305">
        <v>6</v>
      </c>
      <c r="D216" s="305" t="s">
        <v>97</v>
      </c>
      <c r="E216" s="306">
        <f>3513.6/6</f>
        <v>585.6</v>
      </c>
      <c r="F216" s="306">
        <f t="shared" si="9"/>
        <v>3513.6000000000004</v>
      </c>
      <c r="P216" s="217"/>
    </row>
    <row r="217" spans="2:16" x14ac:dyDescent="0.3">
      <c r="B217" s="304" t="s">
        <v>550</v>
      </c>
      <c r="C217" s="305">
        <v>28</v>
      </c>
      <c r="D217" s="305" t="s">
        <v>97</v>
      </c>
      <c r="E217" s="306">
        <f>16601/28</f>
        <v>592.89285714285711</v>
      </c>
      <c r="F217" s="306">
        <f t="shared" si="9"/>
        <v>16601</v>
      </c>
      <c r="P217" s="217"/>
    </row>
    <row r="218" spans="2:16" x14ac:dyDescent="0.3">
      <c r="B218" s="304" t="s">
        <v>551</v>
      </c>
      <c r="C218" s="305">
        <v>18</v>
      </c>
      <c r="D218" s="305" t="s">
        <v>97</v>
      </c>
      <c r="E218" s="306">
        <f>13747.2/18</f>
        <v>763.73333333333335</v>
      </c>
      <c r="F218" s="306">
        <f t="shared" si="9"/>
        <v>13747.2</v>
      </c>
      <c r="P218" s="217"/>
    </row>
    <row r="219" spans="2:16" x14ac:dyDescent="0.3">
      <c r="B219" s="304" t="s">
        <v>552</v>
      </c>
      <c r="C219" s="305">
        <v>30</v>
      </c>
      <c r="D219" s="305" t="s">
        <v>97</v>
      </c>
      <c r="E219" s="306">
        <f>39854/30</f>
        <v>1328.4666666666667</v>
      </c>
      <c r="F219" s="306">
        <f t="shared" si="9"/>
        <v>39854</v>
      </c>
      <c r="P219" s="217"/>
    </row>
    <row r="220" spans="2:16" x14ac:dyDescent="0.3">
      <c r="B220" s="304" t="s">
        <v>553</v>
      </c>
      <c r="C220" s="305">
        <v>18</v>
      </c>
      <c r="D220" s="305" t="s">
        <v>97</v>
      </c>
      <c r="E220" s="306">
        <f>47135/18</f>
        <v>2618.6111111111113</v>
      </c>
      <c r="F220" s="306">
        <f t="shared" si="9"/>
        <v>47135</v>
      </c>
      <c r="P220" s="217"/>
    </row>
    <row r="221" spans="2:16" x14ac:dyDescent="0.3">
      <c r="B221" s="304"/>
      <c r="C221" s="305"/>
      <c r="D221" s="305"/>
      <c r="E221" s="306"/>
      <c r="F221" s="306"/>
      <c r="P221" s="217"/>
    </row>
    <row r="222" spans="2:16" x14ac:dyDescent="0.3">
      <c r="B222" s="304"/>
      <c r="C222" s="305"/>
      <c r="D222" s="305"/>
      <c r="E222" s="306"/>
      <c r="F222" s="306"/>
      <c r="P222" s="217"/>
    </row>
    <row r="223" spans="2:16" x14ac:dyDescent="0.3">
      <c r="B223" s="402" t="s">
        <v>557</v>
      </c>
      <c r="C223" s="403">
        <v>1</v>
      </c>
      <c r="D223" s="403" t="s">
        <v>73</v>
      </c>
      <c r="E223" s="404">
        <v>380</v>
      </c>
      <c r="F223" s="404">
        <f>C223*E223</f>
        <v>380</v>
      </c>
      <c r="H223" s="446" t="s">
        <v>595</v>
      </c>
      <c r="P223" s="217"/>
    </row>
    <row r="224" spans="2:16" x14ac:dyDescent="0.3">
      <c r="B224" s="402" t="s">
        <v>555</v>
      </c>
      <c r="C224" s="403">
        <v>2</v>
      </c>
      <c r="D224" s="403" t="s">
        <v>73</v>
      </c>
      <c r="E224" s="404">
        <v>380</v>
      </c>
      <c r="F224" s="404">
        <f>C224*E224</f>
        <v>760</v>
      </c>
      <c r="H224" s="446" t="s">
        <v>595</v>
      </c>
      <c r="P224" s="217"/>
    </row>
    <row r="225" spans="2:16" x14ac:dyDescent="0.3">
      <c r="B225" s="402" t="s">
        <v>556</v>
      </c>
      <c r="C225" s="403">
        <v>1</v>
      </c>
      <c r="D225" s="403" t="s">
        <v>73</v>
      </c>
      <c r="E225" s="404">
        <v>380</v>
      </c>
      <c r="F225" s="404">
        <f>C225*E225</f>
        <v>380</v>
      </c>
      <c r="H225" s="446" t="s">
        <v>595</v>
      </c>
      <c r="P225" s="217"/>
    </row>
    <row r="226" spans="2:16" x14ac:dyDescent="0.3">
      <c r="B226" s="402" t="s">
        <v>554</v>
      </c>
      <c r="C226" s="403">
        <v>5</v>
      </c>
      <c r="D226" s="403" t="s">
        <v>73</v>
      </c>
      <c r="E226" s="404">
        <v>380.8</v>
      </c>
      <c r="F226" s="404">
        <f t="shared" ref="F226:F234" si="10">C226*E226</f>
        <v>1904</v>
      </c>
      <c r="P226" s="217"/>
    </row>
    <row r="227" spans="2:16" x14ac:dyDescent="0.3">
      <c r="B227" s="304" t="s">
        <v>321</v>
      </c>
      <c r="C227" s="305"/>
      <c r="D227" s="305" t="s">
        <v>73</v>
      </c>
      <c r="E227" s="306">
        <v>400</v>
      </c>
      <c r="F227" s="306">
        <f t="shared" si="10"/>
        <v>0</v>
      </c>
      <c r="P227" s="217"/>
    </row>
    <row r="228" spans="2:16" x14ac:dyDescent="0.3">
      <c r="B228" s="304" t="s">
        <v>322</v>
      </c>
      <c r="C228" s="305">
        <v>2</v>
      </c>
      <c r="D228" s="305" t="s">
        <v>73</v>
      </c>
      <c r="E228" s="306">
        <v>588.79999999999995</v>
      </c>
      <c r="F228" s="306">
        <f t="shared" si="10"/>
        <v>1177.5999999999999</v>
      </c>
      <c r="P228" s="217"/>
    </row>
    <row r="229" spans="2:16" x14ac:dyDescent="0.3">
      <c r="B229" s="304" t="s">
        <v>558</v>
      </c>
      <c r="C229" s="305">
        <v>8</v>
      </c>
      <c r="D229" s="305" t="s">
        <v>73</v>
      </c>
      <c r="E229" s="306">
        <v>1801</v>
      </c>
      <c r="F229" s="306">
        <f t="shared" si="10"/>
        <v>14408</v>
      </c>
      <c r="P229" s="217"/>
    </row>
    <row r="230" spans="2:16" x14ac:dyDescent="0.3">
      <c r="B230" s="304" t="s">
        <v>559</v>
      </c>
      <c r="C230" s="305">
        <v>1</v>
      </c>
      <c r="D230" s="305" t="s">
        <v>73</v>
      </c>
      <c r="E230" s="306">
        <v>2163</v>
      </c>
      <c r="F230" s="306">
        <f t="shared" si="10"/>
        <v>2163</v>
      </c>
      <c r="P230" s="217"/>
    </row>
    <row r="231" spans="2:16" x14ac:dyDescent="0.3">
      <c r="B231" s="304" t="s">
        <v>560</v>
      </c>
      <c r="C231" s="305">
        <v>4</v>
      </c>
      <c r="D231" s="305" t="s">
        <v>73</v>
      </c>
      <c r="E231" s="306">
        <v>2426</v>
      </c>
      <c r="F231" s="306">
        <f t="shared" si="10"/>
        <v>9704</v>
      </c>
      <c r="P231" s="217"/>
    </row>
    <row r="232" spans="2:16" x14ac:dyDescent="0.3">
      <c r="B232" s="304" t="s">
        <v>561</v>
      </c>
      <c r="C232" s="305">
        <v>2</v>
      </c>
      <c r="D232" s="305" t="s">
        <v>73</v>
      </c>
      <c r="E232" s="306">
        <v>3323</v>
      </c>
      <c r="F232" s="306">
        <f t="shared" si="10"/>
        <v>6646</v>
      </c>
      <c r="P232" s="217"/>
    </row>
    <row r="233" spans="2:16" x14ac:dyDescent="0.3">
      <c r="B233" s="304" t="s">
        <v>562</v>
      </c>
      <c r="C233" s="305">
        <v>2</v>
      </c>
      <c r="D233" s="305" t="s">
        <v>73</v>
      </c>
      <c r="E233" s="306">
        <v>4223</v>
      </c>
      <c r="F233" s="306">
        <f t="shared" si="10"/>
        <v>8446</v>
      </c>
      <c r="P233" s="217"/>
    </row>
    <row r="234" spans="2:16" x14ac:dyDescent="0.3">
      <c r="B234" s="304" t="s">
        <v>563</v>
      </c>
      <c r="C234" s="305">
        <v>2</v>
      </c>
      <c r="D234" s="305" t="s">
        <v>73</v>
      </c>
      <c r="E234" s="306">
        <v>5242</v>
      </c>
      <c r="F234" s="306">
        <f t="shared" si="10"/>
        <v>10484</v>
      </c>
      <c r="P234" s="217"/>
    </row>
    <row r="235" spans="2:16" x14ac:dyDescent="0.3">
      <c r="B235" s="304" t="s">
        <v>323</v>
      </c>
      <c r="C235" s="305"/>
      <c r="D235" s="305" t="s">
        <v>73</v>
      </c>
      <c r="E235" s="306">
        <v>240</v>
      </c>
      <c r="F235" s="306">
        <f t="shared" si="7"/>
        <v>0</v>
      </c>
      <c r="P235" s="217"/>
    </row>
    <row r="236" spans="2:16" x14ac:dyDescent="0.3">
      <c r="B236" s="304" t="s">
        <v>324</v>
      </c>
      <c r="C236" s="305"/>
      <c r="D236" s="305" t="s">
        <v>73</v>
      </c>
      <c r="E236" s="306">
        <v>372</v>
      </c>
      <c r="F236" s="306">
        <f t="shared" si="7"/>
        <v>0</v>
      </c>
      <c r="P236" s="217"/>
    </row>
    <row r="237" spans="2:16" x14ac:dyDescent="0.3">
      <c r="B237" s="304" t="s">
        <v>325</v>
      </c>
      <c r="C237" s="305"/>
      <c r="D237" s="305" t="s">
        <v>73</v>
      </c>
      <c r="E237" s="306">
        <v>440</v>
      </c>
      <c r="F237" s="306">
        <f t="shared" si="7"/>
        <v>0</v>
      </c>
      <c r="P237" s="217"/>
    </row>
    <row r="238" spans="2:16" x14ac:dyDescent="0.3">
      <c r="B238" s="304" t="s">
        <v>326</v>
      </c>
      <c r="C238" s="305"/>
      <c r="D238" s="305" t="s">
        <v>73</v>
      </c>
      <c r="E238" s="306">
        <v>333</v>
      </c>
      <c r="F238" s="306">
        <f t="shared" si="7"/>
        <v>0</v>
      </c>
      <c r="P238" s="217"/>
    </row>
    <row r="239" spans="2:16" x14ac:dyDescent="0.3">
      <c r="B239" s="304" t="s">
        <v>327</v>
      </c>
      <c r="C239" s="305"/>
      <c r="D239" s="305" t="s">
        <v>73</v>
      </c>
      <c r="E239" s="306">
        <v>400</v>
      </c>
      <c r="F239" s="306">
        <f t="shared" si="7"/>
        <v>0</v>
      </c>
      <c r="P239" s="217"/>
    </row>
    <row r="240" spans="2:16" x14ac:dyDescent="0.3">
      <c r="B240" s="304" t="s">
        <v>536</v>
      </c>
      <c r="C240" s="305"/>
      <c r="D240" s="305" t="s">
        <v>73</v>
      </c>
      <c r="E240" s="306">
        <v>2535.14</v>
      </c>
      <c r="F240" s="306">
        <f t="shared" si="7"/>
        <v>0</v>
      </c>
      <c r="P240" s="217"/>
    </row>
    <row r="241" spans="2:16" x14ac:dyDescent="0.3">
      <c r="B241" s="304"/>
      <c r="C241" s="305"/>
      <c r="D241" s="305"/>
      <c r="E241" s="306"/>
      <c r="F241" s="306"/>
      <c r="P241" s="217"/>
    </row>
    <row r="242" spans="2:16" x14ac:dyDescent="0.3">
      <c r="B242" s="402" t="s">
        <v>585</v>
      </c>
      <c r="C242" s="403"/>
      <c r="D242" s="403"/>
      <c r="E242" s="404"/>
      <c r="F242" s="404"/>
      <c r="G242" s="438"/>
      <c r="H242" s="438"/>
      <c r="I242" s="438"/>
      <c r="P242" s="217"/>
    </row>
    <row r="243" spans="2:16" x14ac:dyDescent="0.3">
      <c r="B243" s="402" t="s">
        <v>576</v>
      </c>
      <c r="C243" s="403">
        <v>129</v>
      </c>
      <c r="D243" s="403" t="s">
        <v>97</v>
      </c>
      <c r="E243" s="404"/>
      <c r="F243" s="404"/>
      <c r="G243" s="438"/>
      <c r="H243" s="445">
        <v>233</v>
      </c>
      <c r="I243" s="445">
        <f>C243*H243</f>
        <v>30057</v>
      </c>
      <c r="P243" s="217"/>
    </row>
    <row r="244" spans="2:16" x14ac:dyDescent="0.3">
      <c r="B244" s="402" t="s">
        <v>577</v>
      </c>
      <c r="C244" s="403">
        <v>144</v>
      </c>
      <c r="D244" s="403" t="s">
        <v>97</v>
      </c>
      <c r="E244" s="404"/>
      <c r="F244" s="404"/>
      <c r="G244" s="438"/>
      <c r="H244" s="445">
        <v>233</v>
      </c>
      <c r="I244" s="445">
        <f t="shared" ref="I244:I257" si="11">C244*H244</f>
        <v>33552</v>
      </c>
      <c r="P244" s="217"/>
    </row>
    <row r="245" spans="2:16" x14ac:dyDescent="0.3">
      <c r="B245" s="402" t="s">
        <v>578</v>
      </c>
      <c r="C245" s="403">
        <v>146</v>
      </c>
      <c r="D245" s="403" t="s">
        <v>97</v>
      </c>
      <c r="E245" s="404"/>
      <c r="F245" s="404"/>
      <c r="G245" s="438"/>
      <c r="H245" s="445">
        <v>233</v>
      </c>
      <c r="I245" s="445">
        <f t="shared" si="11"/>
        <v>34018</v>
      </c>
      <c r="P245" s="217"/>
    </row>
    <row r="246" spans="2:16" x14ac:dyDescent="0.3">
      <c r="B246" s="402" t="s">
        <v>579</v>
      </c>
      <c r="C246" s="403">
        <v>144</v>
      </c>
      <c r="D246" s="403" t="s">
        <v>97</v>
      </c>
      <c r="E246" s="404"/>
      <c r="F246" s="404"/>
      <c r="G246" s="438"/>
      <c r="H246" s="445">
        <v>233</v>
      </c>
      <c r="I246" s="445">
        <f t="shared" si="11"/>
        <v>33552</v>
      </c>
      <c r="P246" s="217"/>
    </row>
    <row r="247" spans="2:16" ht="29.25" customHeight="1" x14ac:dyDescent="0.3">
      <c r="B247" s="443" t="s">
        <v>580</v>
      </c>
      <c r="C247" s="403">
        <v>16</v>
      </c>
      <c r="D247" s="403" t="s">
        <v>97</v>
      </c>
      <c r="E247" s="404"/>
      <c r="F247" s="404"/>
      <c r="G247" s="438"/>
      <c r="H247" s="445">
        <v>280</v>
      </c>
      <c r="I247" s="445">
        <f t="shared" si="11"/>
        <v>4480</v>
      </c>
      <c r="P247" s="217"/>
    </row>
    <row r="248" spans="2:16" ht="27" x14ac:dyDescent="0.3">
      <c r="B248" s="444" t="s">
        <v>581</v>
      </c>
      <c r="C248" s="403">
        <v>32</v>
      </c>
      <c r="D248" s="403" t="s">
        <v>97</v>
      </c>
      <c r="E248" s="404"/>
      <c r="F248" s="404"/>
      <c r="G248" s="438"/>
      <c r="H248" s="445">
        <v>280</v>
      </c>
      <c r="I248" s="445">
        <f t="shared" si="11"/>
        <v>8960</v>
      </c>
      <c r="P248" s="217"/>
    </row>
    <row r="249" spans="2:16" ht="27" x14ac:dyDescent="0.3">
      <c r="B249" s="444" t="s">
        <v>582</v>
      </c>
      <c r="C249" s="403">
        <v>4</v>
      </c>
      <c r="D249" s="403" t="s">
        <v>97</v>
      </c>
      <c r="E249" s="404"/>
      <c r="F249" s="404"/>
      <c r="G249" s="438"/>
      <c r="H249" s="445">
        <v>369</v>
      </c>
      <c r="I249" s="445">
        <f t="shared" si="11"/>
        <v>1476</v>
      </c>
      <c r="P249" s="217"/>
    </row>
    <row r="250" spans="2:16" ht="27" x14ac:dyDescent="0.3">
      <c r="B250" s="444" t="s">
        <v>583</v>
      </c>
      <c r="C250" s="403">
        <v>6</v>
      </c>
      <c r="D250" s="403" t="s">
        <v>97</v>
      </c>
      <c r="E250" s="404"/>
      <c r="F250" s="404"/>
      <c r="G250" s="438"/>
      <c r="H250" s="445">
        <v>369</v>
      </c>
      <c r="I250" s="445">
        <f t="shared" si="11"/>
        <v>2214</v>
      </c>
      <c r="P250" s="217"/>
    </row>
    <row r="251" spans="2:16" ht="27" x14ac:dyDescent="0.3">
      <c r="B251" s="444" t="s">
        <v>584</v>
      </c>
      <c r="C251" s="403">
        <v>4</v>
      </c>
      <c r="D251" s="403" t="s">
        <v>97</v>
      </c>
      <c r="E251" s="404"/>
      <c r="F251" s="404"/>
      <c r="G251" s="438"/>
      <c r="H251" s="445">
        <v>369</v>
      </c>
      <c r="I251" s="445">
        <f t="shared" si="11"/>
        <v>1476</v>
      </c>
      <c r="P251" s="217"/>
    </row>
    <row r="252" spans="2:16" x14ac:dyDescent="0.3">
      <c r="B252" s="444" t="s">
        <v>597</v>
      </c>
      <c r="C252" s="403">
        <v>10</v>
      </c>
      <c r="D252" s="403" t="s">
        <v>73</v>
      </c>
      <c r="E252" s="404"/>
      <c r="F252" s="404"/>
      <c r="G252" s="438"/>
      <c r="H252" s="445">
        <v>23.53</v>
      </c>
      <c r="I252" s="445">
        <f t="shared" si="11"/>
        <v>235.3</v>
      </c>
      <c r="P252" s="217"/>
    </row>
    <row r="253" spans="2:16" x14ac:dyDescent="0.3">
      <c r="B253" s="402" t="s">
        <v>598</v>
      </c>
      <c r="C253" s="403">
        <v>8</v>
      </c>
      <c r="D253" s="403" t="s">
        <v>73</v>
      </c>
      <c r="E253" s="404"/>
      <c r="F253" s="404"/>
      <c r="G253" s="438"/>
      <c r="H253" s="445">
        <v>10</v>
      </c>
      <c r="I253" s="445">
        <f t="shared" si="11"/>
        <v>80</v>
      </c>
      <c r="P253" s="217"/>
    </row>
    <row r="254" spans="2:16" x14ac:dyDescent="0.3">
      <c r="B254" s="402"/>
      <c r="C254" s="403"/>
      <c r="D254" s="403"/>
      <c r="E254" s="404"/>
      <c r="F254" s="404"/>
      <c r="G254" s="438"/>
      <c r="H254" s="445"/>
      <c r="I254" s="445">
        <f t="shared" si="11"/>
        <v>0</v>
      </c>
      <c r="P254" s="217"/>
    </row>
    <row r="255" spans="2:16" x14ac:dyDescent="0.3">
      <c r="B255" s="402" t="s">
        <v>573</v>
      </c>
      <c r="C255" s="403">
        <v>4</v>
      </c>
      <c r="D255" s="403" t="s">
        <v>73</v>
      </c>
      <c r="E255" s="404"/>
      <c r="F255" s="404"/>
      <c r="G255" s="438"/>
      <c r="H255" s="445">
        <v>215</v>
      </c>
      <c r="I255" s="445">
        <f t="shared" si="11"/>
        <v>860</v>
      </c>
      <c r="P255" s="217"/>
    </row>
    <row r="256" spans="2:16" x14ac:dyDescent="0.3">
      <c r="B256" s="402" t="s">
        <v>574</v>
      </c>
      <c r="C256" s="403">
        <v>25</v>
      </c>
      <c r="D256" s="403" t="s">
        <v>73</v>
      </c>
      <c r="E256" s="404"/>
      <c r="F256" s="404"/>
      <c r="G256" s="438"/>
      <c r="H256" s="445">
        <v>536</v>
      </c>
      <c r="I256" s="445">
        <f t="shared" si="11"/>
        <v>13400</v>
      </c>
      <c r="P256" s="217"/>
    </row>
    <row r="257" spans="2:16" x14ac:dyDescent="0.3">
      <c r="B257" s="402" t="s">
        <v>602</v>
      </c>
      <c r="C257" s="403">
        <v>1</v>
      </c>
      <c r="D257" s="403" t="s">
        <v>73</v>
      </c>
      <c r="E257" s="404"/>
      <c r="F257" s="404"/>
      <c r="G257" s="438"/>
      <c r="H257" s="445">
        <v>500</v>
      </c>
      <c r="I257" s="445">
        <f t="shared" si="11"/>
        <v>500</v>
      </c>
      <c r="P257" s="217"/>
    </row>
    <row r="258" spans="2:16" x14ac:dyDescent="0.3">
      <c r="B258" s="402"/>
      <c r="C258" s="403"/>
      <c r="D258" s="403"/>
      <c r="E258" s="404"/>
      <c r="F258" s="404"/>
      <c r="G258" s="438"/>
      <c r="H258" s="449"/>
      <c r="I258" s="449"/>
      <c r="J258" s="450" t="s">
        <v>409</v>
      </c>
      <c r="K258" s="451">
        <f>SUM(I243:I257)</f>
        <v>164860.29999999999</v>
      </c>
      <c r="P258" s="217"/>
    </row>
    <row r="259" spans="2:16" x14ac:dyDescent="0.3">
      <c r="B259" s="375" t="s">
        <v>599</v>
      </c>
      <c r="C259" s="305"/>
      <c r="D259" s="305"/>
      <c r="E259" s="306"/>
      <c r="F259" s="306"/>
      <c r="P259" s="217"/>
    </row>
    <row r="260" spans="2:16" x14ac:dyDescent="0.3">
      <c r="B260" s="304"/>
      <c r="C260" s="305"/>
      <c r="D260" s="305"/>
      <c r="E260" s="306"/>
      <c r="F260" s="306"/>
      <c r="P260" s="217"/>
    </row>
    <row r="261" spans="2:16" x14ac:dyDescent="0.3">
      <c r="B261" s="402" t="s">
        <v>586</v>
      </c>
      <c r="C261" s="403">
        <f>56*0.18</f>
        <v>10.08</v>
      </c>
      <c r="D261" s="403" t="s">
        <v>132</v>
      </c>
      <c r="E261" s="404"/>
      <c r="F261" s="404"/>
      <c r="H261" s="404">
        <v>150</v>
      </c>
      <c r="I261" s="404">
        <f>C261*H261</f>
        <v>1512</v>
      </c>
      <c r="P261" s="217"/>
    </row>
    <row r="262" spans="2:16" x14ac:dyDescent="0.3">
      <c r="B262" s="402" t="s">
        <v>587</v>
      </c>
      <c r="C262" s="403">
        <v>56</v>
      </c>
      <c r="D262" s="403" t="s">
        <v>100</v>
      </c>
      <c r="E262" s="404"/>
      <c r="F262" s="404"/>
      <c r="H262" s="404">
        <v>7</v>
      </c>
      <c r="I262" s="404">
        <f>C262*H262</f>
        <v>392</v>
      </c>
      <c r="P262" s="217"/>
    </row>
    <row r="263" spans="2:16" x14ac:dyDescent="0.3">
      <c r="B263" s="402"/>
      <c r="C263" s="403"/>
      <c r="D263" s="403"/>
      <c r="E263" s="404"/>
      <c r="F263" s="404"/>
      <c r="P263" s="217"/>
    </row>
    <row r="264" spans="2:16" x14ac:dyDescent="0.3">
      <c r="B264" s="375" t="s">
        <v>588</v>
      </c>
      <c r="C264" s="305"/>
      <c r="D264" s="305"/>
      <c r="E264" s="306"/>
      <c r="F264" s="306"/>
      <c r="P264" s="217"/>
    </row>
    <row r="265" spans="2:16" x14ac:dyDescent="0.3">
      <c r="B265" s="402" t="s">
        <v>589</v>
      </c>
      <c r="C265" s="403">
        <f>71*0.36</f>
        <v>25.56</v>
      </c>
      <c r="D265" s="403" t="s">
        <v>132</v>
      </c>
      <c r="E265" s="404">
        <v>110</v>
      </c>
      <c r="F265" s="404">
        <f t="shared" ref="F265:F267" si="12">C265*E265</f>
        <v>2811.6</v>
      </c>
      <c r="P265" s="217"/>
    </row>
    <row r="266" spans="2:16" x14ac:dyDescent="0.3">
      <c r="B266" s="402" t="s">
        <v>590</v>
      </c>
      <c r="C266" s="403">
        <f>180*0.18</f>
        <v>32.4</v>
      </c>
      <c r="D266" s="403" t="s">
        <v>132</v>
      </c>
      <c r="E266" s="404">
        <v>120</v>
      </c>
      <c r="F266" s="404">
        <f t="shared" si="12"/>
        <v>3888</v>
      </c>
      <c r="P266" s="217"/>
    </row>
    <row r="267" spans="2:16" x14ac:dyDescent="0.3">
      <c r="B267" s="402" t="s">
        <v>591</v>
      </c>
      <c r="C267" s="403">
        <f>264*0.9</f>
        <v>237.6</v>
      </c>
      <c r="D267" s="403" t="s">
        <v>132</v>
      </c>
      <c r="E267" s="404">
        <v>110</v>
      </c>
      <c r="F267" s="404">
        <f t="shared" si="12"/>
        <v>26136</v>
      </c>
      <c r="P267" s="217"/>
    </row>
    <row r="268" spans="2:16" x14ac:dyDescent="0.3">
      <c r="B268" s="402"/>
      <c r="C268" s="403"/>
      <c r="D268" s="403"/>
      <c r="E268" s="404"/>
      <c r="F268" s="404"/>
      <c r="P268" s="217"/>
    </row>
    <row r="269" spans="2:16" s="303" customFormat="1" x14ac:dyDescent="0.3">
      <c r="B269" s="402" t="s">
        <v>539</v>
      </c>
      <c r="C269" s="403"/>
      <c r="D269" s="403" t="s">
        <v>97</v>
      </c>
      <c r="E269" s="404">
        <v>5</v>
      </c>
      <c r="F269" s="404">
        <f>C269*E269</f>
        <v>0</v>
      </c>
      <c r="G269" s="452">
        <v>2173</v>
      </c>
      <c r="H269" s="453" t="s">
        <v>97</v>
      </c>
      <c r="I269" s="454">
        <v>5</v>
      </c>
      <c r="J269" s="454">
        <f>G269*I269</f>
        <v>10865</v>
      </c>
      <c r="K269" s="318"/>
      <c r="L269" s="306"/>
      <c r="M269" s="306"/>
      <c r="N269" s="306"/>
    </row>
    <row r="270" spans="2:16" s="303" customFormat="1" x14ac:dyDescent="0.3">
      <c r="B270" s="304" t="s">
        <v>328</v>
      </c>
      <c r="C270" s="305"/>
      <c r="D270" s="305" t="s">
        <v>73</v>
      </c>
      <c r="E270" s="306">
        <v>18.12</v>
      </c>
      <c r="F270" s="306">
        <f t="shared" ref="F270:F293" si="13">C270*E270</f>
        <v>0</v>
      </c>
      <c r="I270" s="306"/>
      <c r="J270" s="306"/>
      <c r="K270" s="319"/>
      <c r="L270" s="319"/>
      <c r="M270" s="319"/>
      <c r="N270" s="306"/>
    </row>
    <row r="271" spans="2:16" s="303" customFormat="1" x14ac:dyDescent="0.3">
      <c r="B271" s="304" t="s">
        <v>329</v>
      </c>
      <c r="C271" s="305"/>
      <c r="D271" s="305" t="s">
        <v>73</v>
      </c>
      <c r="E271" s="306"/>
      <c r="F271" s="306">
        <f t="shared" si="13"/>
        <v>0</v>
      </c>
      <c r="J271" s="306"/>
      <c r="K271" s="306"/>
      <c r="L271" s="306"/>
      <c r="M271" s="306"/>
      <c r="N271" s="306"/>
    </row>
    <row r="272" spans="2:16" s="303" customFormat="1" x14ac:dyDescent="0.3">
      <c r="B272" s="304" t="s">
        <v>330</v>
      </c>
      <c r="C272" s="305"/>
      <c r="D272" s="305" t="s">
        <v>73</v>
      </c>
      <c r="E272" s="306"/>
      <c r="F272" s="306">
        <f t="shared" si="13"/>
        <v>0</v>
      </c>
      <c r="J272" s="306"/>
      <c r="K272" s="306"/>
      <c r="L272" s="306"/>
      <c r="M272" s="306"/>
      <c r="N272" s="306"/>
    </row>
    <row r="273" spans="2:14" s="303" customFormat="1" x14ac:dyDescent="0.3">
      <c r="B273" s="304" t="s">
        <v>331</v>
      </c>
      <c r="C273" s="305"/>
      <c r="D273" s="305" t="s">
        <v>73</v>
      </c>
      <c r="E273" s="306"/>
      <c r="F273" s="306">
        <f t="shared" si="13"/>
        <v>0</v>
      </c>
      <c r="J273" s="306"/>
      <c r="K273" s="306"/>
      <c r="L273" s="306"/>
      <c r="M273" s="306"/>
      <c r="N273" s="306"/>
    </row>
    <row r="274" spans="2:14" s="303" customFormat="1" x14ac:dyDescent="0.3">
      <c r="B274" s="304" t="s">
        <v>332</v>
      </c>
      <c r="C274" s="305"/>
      <c r="D274" s="305" t="s">
        <v>73</v>
      </c>
      <c r="E274" s="306"/>
      <c r="F274" s="306">
        <f t="shared" si="13"/>
        <v>0</v>
      </c>
      <c r="J274" s="306"/>
      <c r="K274" s="306"/>
      <c r="L274" s="306"/>
      <c r="M274" s="306"/>
      <c r="N274" s="306"/>
    </row>
    <row r="275" spans="2:14" s="303" customFormat="1" x14ac:dyDescent="0.3">
      <c r="B275" s="304" t="s">
        <v>333</v>
      </c>
      <c r="C275" s="305"/>
      <c r="D275" s="305" t="s">
        <v>73</v>
      </c>
      <c r="E275" s="306">
        <v>110</v>
      </c>
      <c r="F275" s="306">
        <f t="shared" si="13"/>
        <v>0</v>
      </c>
      <c r="J275" s="306"/>
      <c r="K275" s="306"/>
      <c r="L275" s="306"/>
      <c r="M275" s="306"/>
      <c r="N275" s="306"/>
    </row>
    <row r="276" spans="2:14" s="303" customFormat="1" x14ac:dyDescent="0.3">
      <c r="B276" s="304" t="s">
        <v>334</v>
      </c>
      <c r="C276" s="305"/>
      <c r="D276" s="305" t="s">
        <v>73</v>
      </c>
      <c r="E276" s="306"/>
      <c r="F276" s="306">
        <f t="shared" si="13"/>
        <v>0</v>
      </c>
      <c r="J276" s="306"/>
      <c r="K276" s="306"/>
      <c r="L276" s="306"/>
      <c r="M276" s="306"/>
      <c r="N276" s="306"/>
    </row>
    <row r="277" spans="2:14" s="303" customFormat="1" x14ac:dyDescent="0.3">
      <c r="B277" s="304" t="s">
        <v>335</v>
      </c>
      <c r="C277" s="305"/>
      <c r="D277" s="305" t="s">
        <v>73</v>
      </c>
      <c r="E277" s="306"/>
      <c r="F277" s="306">
        <f t="shared" si="13"/>
        <v>0</v>
      </c>
      <c r="J277" s="306"/>
      <c r="K277" s="306"/>
      <c r="L277" s="306"/>
      <c r="M277" s="306"/>
      <c r="N277" s="306"/>
    </row>
    <row r="278" spans="2:14" s="303" customFormat="1" x14ac:dyDescent="0.3">
      <c r="B278" s="304" t="s">
        <v>336</v>
      </c>
      <c r="C278" s="305"/>
      <c r="D278" s="305" t="s">
        <v>73</v>
      </c>
      <c r="E278" s="306"/>
      <c r="F278" s="306">
        <f t="shared" si="13"/>
        <v>0</v>
      </c>
    </row>
    <row r="279" spans="2:14" s="303" customFormat="1" x14ac:dyDescent="0.3">
      <c r="B279" s="304" t="s">
        <v>337</v>
      </c>
      <c r="C279" s="305"/>
      <c r="D279" s="305" t="s">
        <v>73</v>
      </c>
      <c r="E279" s="306"/>
      <c r="F279" s="306">
        <f t="shared" si="13"/>
        <v>0</v>
      </c>
    </row>
    <row r="280" spans="2:14" s="303" customFormat="1" x14ac:dyDescent="0.3">
      <c r="B280" s="304" t="s">
        <v>338</v>
      </c>
      <c r="C280" s="305"/>
      <c r="D280" s="305" t="s">
        <v>73</v>
      </c>
      <c r="E280" s="306">
        <v>143.88999999999999</v>
      </c>
      <c r="F280" s="306">
        <f>C280*E280</f>
        <v>0</v>
      </c>
      <c r="K280" s="308"/>
      <c r="L280" s="307"/>
      <c r="M280" s="308"/>
    </row>
    <row r="281" spans="2:14" s="303" customFormat="1" x14ac:dyDescent="0.3">
      <c r="B281" s="304" t="s">
        <v>339</v>
      </c>
      <c r="C281" s="305"/>
      <c r="D281" s="305" t="s">
        <v>73</v>
      </c>
      <c r="E281" s="306">
        <v>381.11</v>
      </c>
      <c r="F281" s="306">
        <f t="shared" si="13"/>
        <v>0</v>
      </c>
    </row>
    <row r="282" spans="2:14" s="303" customFormat="1" x14ac:dyDescent="0.3">
      <c r="B282" s="304" t="s">
        <v>538</v>
      </c>
      <c r="C282" s="305"/>
      <c r="D282" s="305" t="s">
        <v>73</v>
      </c>
      <c r="E282" s="306">
        <v>78.67</v>
      </c>
      <c r="F282" s="306">
        <f t="shared" si="13"/>
        <v>0</v>
      </c>
      <c r="H282" s="431"/>
    </row>
    <row r="283" spans="2:14" s="303" customFormat="1" x14ac:dyDescent="0.3">
      <c r="B283" s="304" t="s">
        <v>237</v>
      </c>
      <c r="C283" s="305"/>
      <c r="D283" s="305" t="s">
        <v>73</v>
      </c>
      <c r="E283" s="306">
        <v>28.05</v>
      </c>
      <c r="F283" s="306">
        <f t="shared" si="13"/>
        <v>0</v>
      </c>
    </row>
    <row r="284" spans="2:14" s="303" customFormat="1" x14ac:dyDescent="0.3">
      <c r="B284" s="304" t="s">
        <v>238</v>
      </c>
      <c r="C284" s="305"/>
      <c r="D284" s="305" t="s">
        <v>73</v>
      </c>
      <c r="E284" s="306">
        <v>23.85</v>
      </c>
      <c r="F284" s="306">
        <f t="shared" si="13"/>
        <v>0</v>
      </c>
    </row>
    <row r="285" spans="2:14" s="303" customFormat="1" x14ac:dyDescent="0.3">
      <c r="B285" s="304" t="s">
        <v>340</v>
      </c>
      <c r="C285" s="305"/>
      <c r="D285" s="305" t="s">
        <v>73</v>
      </c>
      <c r="E285" s="306">
        <v>20</v>
      </c>
      <c r="F285" s="306">
        <f t="shared" si="13"/>
        <v>0</v>
      </c>
    </row>
    <row r="286" spans="2:14" s="303" customFormat="1" x14ac:dyDescent="0.3">
      <c r="B286" s="304" t="s">
        <v>341</v>
      </c>
      <c r="C286" s="305"/>
      <c r="D286" s="305" t="s">
        <v>73</v>
      </c>
      <c r="E286" s="306">
        <v>9.68</v>
      </c>
      <c r="F286" s="306">
        <f t="shared" si="13"/>
        <v>0</v>
      </c>
    </row>
    <row r="287" spans="2:14" s="303" customFormat="1" x14ac:dyDescent="0.3">
      <c r="B287" s="304" t="s">
        <v>342</v>
      </c>
      <c r="C287" s="305"/>
      <c r="D287" s="305" t="s">
        <v>73</v>
      </c>
      <c r="E287" s="306">
        <v>9.35</v>
      </c>
      <c r="F287" s="306">
        <f t="shared" si="13"/>
        <v>0</v>
      </c>
    </row>
    <row r="288" spans="2:14" s="303" customFormat="1" x14ac:dyDescent="0.3">
      <c r="B288" s="304" t="s">
        <v>343</v>
      </c>
      <c r="C288" s="305"/>
      <c r="D288" s="305" t="s">
        <v>73</v>
      </c>
      <c r="E288" s="306">
        <v>8.6300000000000008</v>
      </c>
      <c r="F288" s="306">
        <f t="shared" si="13"/>
        <v>0</v>
      </c>
    </row>
    <row r="289" spans="2:11" s="303" customFormat="1" x14ac:dyDescent="0.3">
      <c r="B289" s="304" t="s">
        <v>344</v>
      </c>
      <c r="C289" s="305"/>
      <c r="D289" s="305" t="s">
        <v>73</v>
      </c>
      <c r="E289" s="306">
        <v>8.7100000000000009</v>
      </c>
      <c r="F289" s="306">
        <f t="shared" si="13"/>
        <v>0</v>
      </c>
    </row>
    <row r="290" spans="2:11" s="303" customFormat="1" x14ac:dyDescent="0.3">
      <c r="B290" s="304" t="s">
        <v>345</v>
      </c>
      <c r="C290" s="305"/>
      <c r="D290" s="305" t="s">
        <v>73</v>
      </c>
      <c r="E290" s="306">
        <v>9</v>
      </c>
      <c r="F290" s="306">
        <f t="shared" si="13"/>
        <v>0</v>
      </c>
    </row>
    <row r="291" spans="2:11" s="303" customFormat="1" x14ac:dyDescent="0.3">
      <c r="B291" s="304" t="s">
        <v>346</v>
      </c>
      <c r="C291" s="305"/>
      <c r="D291" s="305" t="s">
        <v>73</v>
      </c>
      <c r="E291" s="306">
        <v>25.42</v>
      </c>
      <c r="F291" s="306">
        <f t="shared" si="13"/>
        <v>0</v>
      </c>
    </row>
    <row r="292" spans="2:11" s="303" customFormat="1" x14ac:dyDescent="0.3">
      <c r="B292" s="304" t="s">
        <v>347</v>
      </c>
      <c r="C292" s="305"/>
      <c r="D292" s="305" t="s">
        <v>73</v>
      </c>
      <c r="E292" s="306">
        <v>75</v>
      </c>
      <c r="F292" s="306">
        <f t="shared" si="13"/>
        <v>0</v>
      </c>
    </row>
    <row r="293" spans="2:11" s="303" customFormat="1" x14ac:dyDescent="0.3">
      <c r="B293" s="304" t="s">
        <v>348</v>
      </c>
      <c r="C293" s="305"/>
      <c r="D293" s="305" t="s">
        <v>45</v>
      </c>
      <c r="E293" s="306">
        <v>2800</v>
      </c>
      <c r="F293" s="306">
        <f t="shared" si="13"/>
        <v>0</v>
      </c>
    </row>
    <row r="294" spans="2:11" x14ac:dyDescent="0.3">
      <c r="F294" s="229">
        <f>SUM(F7:F293)</f>
        <v>424486.35</v>
      </c>
    </row>
    <row r="295" spans="2:11" ht="15" customHeight="1" x14ac:dyDescent="0.3">
      <c r="E295" s="217" t="s">
        <v>94</v>
      </c>
      <c r="F295" s="408">
        <v>0.1</v>
      </c>
      <c r="H295" s="226"/>
      <c r="J295" s="226"/>
    </row>
    <row r="296" spans="2:11" ht="15" customHeight="1" x14ac:dyDescent="0.3">
      <c r="E296" s="428" t="s">
        <v>533</v>
      </c>
      <c r="F296" s="429">
        <v>3000</v>
      </c>
      <c r="H296" s="226"/>
      <c r="J296" s="226"/>
    </row>
    <row r="297" spans="2:11" ht="39.75" customHeight="1" x14ac:dyDescent="0.3">
      <c r="E297" s="448" t="s">
        <v>596</v>
      </c>
      <c r="F297" s="429">
        <v>25000</v>
      </c>
      <c r="H297" s="226"/>
      <c r="J297" s="226"/>
    </row>
    <row r="298" spans="2:11" ht="39.75" customHeight="1" x14ac:dyDescent="0.3">
      <c r="E298" s="448" t="s">
        <v>601</v>
      </c>
      <c r="F298" s="429">
        <v>500</v>
      </c>
      <c r="H298" s="226"/>
      <c r="J298" s="226"/>
    </row>
    <row r="299" spans="2:11" ht="39.75" customHeight="1" x14ac:dyDescent="0.3">
      <c r="E299" s="448" t="s">
        <v>600</v>
      </c>
      <c r="F299" s="429">
        <v>4250</v>
      </c>
      <c r="H299" s="226"/>
      <c r="J299" s="226"/>
    </row>
    <row r="300" spans="2:11" ht="57.75" customHeight="1" x14ac:dyDescent="0.3">
      <c r="E300" s="448" t="s">
        <v>604</v>
      </c>
      <c r="F300" s="429">
        <v>2500</v>
      </c>
      <c r="H300" s="226"/>
      <c r="J300" s="226"/>
    </row>
    <row r="301" spans="2:11" ht="39.75" customHeight="1" x14ac:dyDescent="0.3">
      <c r="E301" s="455"/>
      <c r="F301" s="456"/>
      <c r="H301" s="226"/>
      <c r="J301" s="226"/>
    </row>
    <row r="302" spans="2:11" ht="13.2" customHeight="1" x14ac:dyDescent="0.3">
      <c r="E302" s="227" t="s">
        <v>349</v>
      </c>
      <c r="F302" s="228">
        <f>F294+(F294*F295)+F296+F297+F298+F299+F300</f>
        <v>502184.98499999999</v>
      </c>
      <c r="H302" s="414"/>
      <c r="J302" s="217"/>
      <c r="K302" s="415"/>
    </row>
    <row r="303" spans="2:11" x14ac:dyDescent="0.3">
      <c r="B303" s="477" t="s">
        <v>350</v>
      </c>
      <c r="C303" s="477"/>
      <c r="D303" s="477"/>
      <c r="E303" s="477"/>
      <c r="H303" s="226"/>
      <c r="J303" s="226"/>
    </row>
    <row r="304" spans="2:11" x14ac:dyDescent="0.3">
      <c r="B304" s="477"/>
      <c r="C304" s="477"/>
      <c r="D304" s="477"/>
      <c r="E304" s="477"/>
      <c r="F304" s="217">
        <f>F302</f>
        <v>502184.98499999999</v>
      </c>
      <c r="H304" s="414"/>
      <c r="J304" s="217"/>
      <c r="K304" s="415"/>
    </row>
    <row r="305" spans="2:11" x14ac:dyDescent="0.3">
      <c r="B305" s="477"/>
      <c r="C305" s="477"/>
      <c r="D305" s="477"/>
      <c r="E305" s="477"/>
    </row>
    <row r="307" spans="2:11" ht="15" thickBot="1" x14ac:dyDescent="0.35"/>
    <row r="308" spans="2:11" s="225" customFormat="1" ht="15" thickBot="1" x14ac:dyDescent="0.35">
      <c r="B308" s="233" t="s">
        <v>95</v>
      </c>
      <c r="C308" s="234"/>
      <c r="D308" s="235"/>
      <c r="E308" s="236"/>
      <c r="F308" s="236"/>
      <c r="G308" s="236"/>
      <c r="H308" s="237"/>
      <c r="K308" s="238"/>
    </row>
    <row r="309" spans="2:11" s="225" customFormat="1" x14ac:dyDescent="0.3">
      <c r="B309" s="239"/>
      <c r="C309" s="240" t="s">
        <v>92</v>
      </c>
      <c r="D309" s="240" t="s">
        <v>31</v>
      </c>
      <c r="E309" s="241"/>
      <c r="F309" s="241"/>
      <c r="G309" s="236"/>
      <c r="H309" s="237"/>
      <c r="K309" s="238"/>
    </row>
    <row r="310" spans="2:11" s="225" customFormat="1" x14ac:dyDescent="0.3">
      <c r="B310" s="242" t="s">
        <v>96</v>
      </c>
      <c r="C310" s="238">
        <f>C314</f>
        <v>1883</v>
      </c>
      <c r="D310" s="238" t="s">
        <v>97</v>
      </c>
      <c r="E310" s="236"/>
      <c r="F310" s="236"/>
      <c r="G310" s="236"/>
      <c r="H310" s="237"/>
      <c r="K310" s="238"/>
    </row>
    <row r="311" spans="2:11" s="225" customFormat="1" x14ac:dyDescent="0.3">
      <c r="B311" s="242" t="s">
        <v>98</v>
      </c>
      <c r="C311" s="238">
        <v>0</v>
      </c>
      <c r="D311" s="238" t="s">
        <v>97</v>
      </c>
      <c r="E311" s="236"/>
      <c r="F311" s="236"/>
      <c r="G311" s="236"/>
      <c r="H311" s="237"/>
      <c r="K311" s="238"/>
    </row>
    <row r="312" spans="2:11" s="225" customFormat="1" x14ac:dyDescent="0.3">
      <c r="B312" s="242" t="s">
        <v>99</v>
      </c>
      <c r="C312" s="238">
        <v>0</v>
      </c>
      <c r="D312" s="238" t="s">
        <v>100</v>
      </c>
      <c r="E312" s="236"/>
      <c r="F312" s="236"/>
      <c r="G312" s="236"/>
      <c r="H312" s="237"/>
      <c r="K312" s="238"/>
    </row>
    <row r="313" spans="2:11" s="225" customFormat="1" x14ac:dyDescent="0.3">
      <c r="B313" s="242" t="s">
        <v>101</v>
      </c>
      <c r="C313" s="238">
        <v>0</v>
      </c>
      <c r="D313" s="238" t="s">
        <v>97</v>
      </c>
      <c r="E313" s="236"/>
      <c r="F313" s="236"/>
      <c r="G313" s="236"/>
      <c r="H313" s="237"/>
      <c r="K313" s="238"/>
    </row>
    <row r="314" spans="2:11" s="225" customFormat="1" x14ac:dyDescent="0.3">
      <c r="B314" s="457" t="s">
        <v>102</v>
      </c>
      <c r="C314" s="253">
        <f>C10+C15+SUM(C26:C31)+SUM(C39:C44)+SUM(C215:C220)</f>
        <v>1883</v>
      </c>
      <c r="D314" s="238" t="s">
        <v>97</v>
      </c>
      <c r="E314" s="236"/>
      <c r="F314" s="236"/>
      <c r="G314" s="236"/>
      <c r="H314" s="237"/>
      <c r="K314" s="238"/>
    </row>
    <row r="315" spans="2:11" s="225" customFormat="1" x14ac:dyDescent="0.3">
      <c r="B315" s="242" t="s">
        <v>103</v>
      </c>
      <c r="C315" s="243"/>
      <c r="D315" s="238" t="s">
        <v>97</v>
      </c>
      <c r="E315" s="236"/>
      <c r="F315" s="236"/>
      <c r="G315" s="236"/>
      <c r="H315" s="237"/>
      <c r="K315" s="238"/>
    </row>
    <row r="316" spans="2:11" s="225" customFormat="1" x14ac:dyDescent="0.3">
      <c r="B316" s="242" t="s">
        <v>104</v>
      </c>
      <c r="C316" s="244">
        <v>0</v>
      </c>
      <c r="D316" s="238" t="s">
        <v>97</v>
      </c>
      <c r="F316" s="236"/>
      <c r="G316" s="236"/>
      <c r="H316" s="237"/>
      <c r="K316" s="238"/>
    </row>
    <row r="317" spans="2:11" s="225" customFormat="1" x14ac:dyDescent="0.3">
      <c r="B317" s="242" t="s">
        <v>105</v>
      </c>
      <c r="C317" s="244"/>
      <c r="D317" s="238" t="s">
        <v>97</v>
      </c>
      <c r="E317" s="409">
        <f>C317/(C314+C315)</f>
        <v>0</v>
      </c>
      <c r="F317" s="236"/>
      <c r="G317" s="236"/>
      <c r="H317" s="237"/>
      <c r="K317" s="238"/>
    </row>
    <row r="318" spans="2:11" s="225" customFormat="1" x14ac:dyDescent="0.3">
      <c r="B318" s="242" t="s">
        <v>106</v>
      </c>
      <c r="C318" s="244"/>
      <c r="D318" s="238" t="s">
        <v>97</v>
      </c>
      <c r="E318" s="409">
        <f>C318/(C314+C315)</f>
        <v>0</v>
      </c>
      <c r="F318" s="236"/>
      <c r="G318" s="236"/>
      <c r="H318" s="237"/>
      <c r="K318" s="238"/>
    </row>
    <row r="319" spans="2:11" s="225" customFormat="1" x14ac:dyDescent="0.3">
      <c r="B319" s="242" t="s">
        <v>107</v>
      </c>
      <c r="C319" s="244"/>
      <c r="D319" s="238" t="s">
        <v>97</v>
      </c>
      <c r="E319" s="409">
        <f>C319/(C314+C315)</f>
        <v>0</v>
      </c>
      <c r="F319" s="236"/>
      <c r="G319" s="236"/>
      <c r="H319" s="237"/>
      <c r="K319" s="238"/>
    </row>
    <row r="320" spans="2:11" s="225" customFormat="1" x14ac:dyDescent="0.3">
      <c r="B320" s="242"/>
      <c r="F320" s="236"/>
      <c r="G320" s="236"/>
      <c r="H320" s="237"/>
      <c r="K320" s="238"/>
    </row>
    <row r="321" spans="2:15" s="225" customFormat="1" x14ac:dyDescent="0.3">
      <c r="B321" s="239"/>
      <c r="E321" s="236"/>
      <c r="F321" s="236"/>
      <c r="G321" s="236"/>
      <c r="H321" s="237"/>
      <c r="K321" s="238"/>
    </row>
    <row r="322" spans="2:15" s="251" customFormat="1" ht="57.6" x14ac:dyDescent="0.25">
      <c r="B322" s="245"/>
      <c r="C322" s="246" t="s">
        <v>84</v>
      </c>
      <c r="D322" s="246" t="s">
        <v>108</v>
      </c>
      <c r="E322" s="236" t="s">
        <v>109</v>
      </c>
      <c r="F322" s="247" t="s">
        <v>110</v>
      </c>
      <c r="G322" s="248" t="s">
        <v>111</v>
      </c>
      <c r="H322" s="249" t="s">
        <v>112</v>
      </c>
      <c r="I322" s="250" t="s">
        <v>113</v>
      </c>
      <c r="J322" s="250" t="s">
        <v>114</v>
      </c>
      <c r="K322" s="250" t="s">
        <v>115</v>
      </c>
      <c r="L322" s="248" t="s">
        <v>116</v>
      </c>
    </row>
    <row r="323" spans="2:15" s="225" customFormat="1" x14ac:dyDescent="0.3">
      <c r="B323" s="242" t="str">
        <f>B314</f>
        <v>L/M of Inground Pipe (Average Depth)</v>
      </c>
      <c r="C323" s="252">
        <v>1.2</v>
      </c>
      <c r="D323" s="252">
        <v>0.6</v>
      </c>
      <c r="E323" s="253">
        <f>C314</f>
        <v>1883</v>
      </c>
      <c r="F323" s="410">
        <v>1.3</v>
      </c>
      <c r="G323" s="254">
        <f>C316</f>
        <v>0</v>
      </c>
      <c r="H323" s="255">
        <f>(C323*D323*E323)*F323-(C323*D323*E323*G323)</f>
        <v>1762.4880000000001</v>
      </c>
      <c r="I323" s="256"/>
      <c r="J323" s="256"/>
      <c r="K323" s="257"/>
    </row>
    <row r="324" spans="2:15" s="225" customFormat="1" x14ac:dyDescent="0.3">
      <c r="B324" s="242" t="str">
        <f>B315</f>
        <v>L/M of Inground Pipe (Deeper Than Average Depth)</v>
      </c>
      <c r="C324" s="252">
        <v>1.2</v>
      </c>
      <c r="D324" s="252">
        <v>0.5</v>
      </c>
      <c r="E324" s="253">
        <f>C315</f>
        <v>0</v>
      </c>
      <c r="F324" s="410">
        <v>1.3</v>
      </c>
      <c r="G324" s="252">
        <v>0</v>
      </c>
      <c r="H324" s="255">
        <f>(C324*D324*E324)*F324</f>
        <v>0</v>
      </c>
      <c r="I324" s="256"/>
      <c r="J324" s="256"/>
      <c r="K324" s="257"/>
    </row>
    <row r="325" spans="2:15" s="225" customFormat="1" x14ac:dyDescent="0.3">
      <c r="B325" s="242" t="s">
        <v>117</v>
      </c>
      <c r="C325" s="252">
        <v>0.35</v>
      </c>
      <c r="D325" s="254">
        <f>D323</f>
        <v>0.6</v>
      </c>
      <c r="E325" s="254">
        <f>E323</f>
        <v>1883</v>
      </c>
      <c r="F325" s="410">
        <v>0</v>
      </c>
      <c r="G325" s="254">
        <f>C316</f>
        <v>0</v>
      </c>
      <c r="H325" s="255"/>
      <c r="I325" s="255">
        <f>(C325*D325*E325)-(C325*D325*E325*G325)</f>
        <v>395.43</v>
      </c>
      <c r="J325" s="255"/>
      <c r="K325" s="257"/>
    </row>
    <row r="326" spans="2:15" s="225" customFormat="1" x14ac:dyDescent="0.3">
      <c r="B326" s="242" t="s">
        <v>118</v>
      </c>
      <c r="C326" s="252">
        <v>0.2</v>
      </c>
      <c r="D326" s="254">
        <f>D324</f>
        <v>0.5</v>
      </c>
      <c r="E326" s="258">
        <f>E324</f>
        <v>0</v>
      </c>
      <c r="F326" s="410">
        <v>0</v>
      </c>
      <c r="G326" s="254">
        <f>G324</f>
        <v>0</v>
      </c>
      <c r="H326" s="255"/>
      <c r="I326" s="255">
        <f>(C326*D326*E326)-(C326*D326*E326*G326)</f>
        <v>0</v>
      </c>
      <c r="J326" s="255"/>
      <c r="K326" s="257"/>
    </row>
    <row r="327" spans="2:15" s="225" customFormat="1" x14ac:dyDescent="0.3">
      <c r="B327" s="242" t="s">
        <v>119</v>
      </c>
      <c r="C327" s="254">
        <f>C323</f>
        <v>1.2</v>
      </c>
      <c r="D327" s="254">
        <f>D323</f>
        <v>0.6</v>
      </c>
      <c r="E327" s="258">
        <f>E323</f>
        <v>1883</v>
      </c>
      <c r="F327" s="410">
        <v>1.3</v>
      </c>
      <c r="G327" s="254">
        <f>C316</f>
        <v>0</v>
      </c>
      <c r="H327" s="255"/>
      <c r="I327" s="255"/>
      <c r="J327" s="255">
        <f>(C327*D327*E327*F327)-(C327*D327*E327*G327)-I325</f>
        <v>1367.058</v>
      </c>
      <c r="K327" s="257"/>
    </row>
    <row r="328" spans="2:15" s="225" customFormat="1" x14ac:dyDescent="0.3">
      <c r="B328" s="242" t="s">
        <v>120</v>
      </c>
      <c r="C328" s="254">
        <f>C324</f>
        <v>1.2</v>
      </c>
      <c r="D328" s="254">
        <f t="shared" ref="D328:E328" si="14">D324</f>
        <v>0.5</v>
      </c>
      <c r="E328" s="254">
        <f t="shared" si="14"/>
        <v>0</v>
      </c>
      <c r="F328" s="410">
        <v>1.3</v>
      </c>
      <c r="G328" s="254">
        <f>G324</f>
        <v>0</v>
      </c>
      <c r="H328" s="255"/>
      <c r="I328" s="255"/>
      <c r="J328" s="255">
        <f>(C328*D328*E328*F328)-(C328*D328*E328*G328)-I326</f>
        <v>0</v>
      </c>
      <c r="K328" s="257"/>
    </row>
    <row r="329" spans="2:15" s="225" customFormat="1" ht="15" thickBot="1" x14ac:dyDescent="0.35">
      <c r="B329" s="242"/>
      <c r="C329" s="257"/>
      <c r="D329" s="257"/>
      <c r="E329" s="257"/>
      <c r="F329" s="411"/>
      <c r="G329" s="255"/>
      <c r="H329" s="257"/>
      <c r="I329" s="256"/>
      <c r="J329" s="256"/>
      <c r="K329" s="255" t="s">
        <v>121</v>
      </c>
      <c r="L329" s="259" t="s">
        <v>93</v>
      </c>
      <c r="M329" s="259" t="s">
        <v>90</v>
      </c>
    </row>
    <row r="330" spans="2:15" s="225" customFormat="1" ht="15" thickBot="1" x14ac:dyDescent="0.35">
      <c r="B330" s="242"/>
      <c r="C330" s="257"/>
      <c r="D330" s="257"/>
      <c r="E330" s="257"/>
      <c r="F330" s="411"/>
      <c r="G330" s="255"/>
      <c r="H330" s="260">
        <f>SUM(H323:H329)</f>
        <v>1762.4880000000001</v>
      </c>
      <c r="I330" s="260">
        <f>SUM(I323:I329)</f>
        <v>395.43</v>
      </c>
      <c r="J330" s="260">
        <f>SUM(J323:J329)</f>
        <v>1367.058</v>
      </c>
      <c r="K330" s="261">
        <f>H330-J330</f>
        <v>395.43000000000006</v>
      </c>
      <c r="L330" s="262">
        <v>40</v>
      </c>
      <c r="M330" s="263">
        <f>K330*L330</f>
        <v>15817.200000000003</v>
      </c>
      <c r="O330" s="264"/>
    </row>
    <row r="331" spans="2:15" s="225" customFormat="1" x14ac:dyDescent="0.3">
      <c r="B331" s="242"/>
      <c r="C331" s="238"/>
      <c r="D331" s="238"/>
      <c r="E331" s="238"/>
      <c r="F331" s="411"/>
      <c r="G331" s="255"/>
      <c r="H331" s="237"/>
      <c r="K331" s="238"/>
      <c r="O331" s="256"/>
    </row>
    <row r="332" spans="2:15" s="225" customFormat="1" x14ac:dyDescent="0.3">
      <c r="B332" s="242"/>
      <c r="C332" s="238"/>
      <c r="D332" s="238"/>
      <c r="E332" s="238"/>
      <c r="F332" s="411"/>
      <c r="G332" s="255"/>
      <c r="H332" s="237"/>
      <c r="K332" s="238"/>
      <c r="O332" s="256"/>
    </row>
    <row r="333" spans="2:15" s="225" customFormat="1" x14ac:dyDescent="0.3">
      <c r="B333" s="242"/>
      <c r="C333" s="238"/>
      <c r="D333" s="238"/>
      <c r="E333" s="238"/>
      <c r="F333" s="411"/>
      <c r="G333" s="255"/>
      <c r="H333" s="237"/>
      <c r="K333" s="238"/>
      <c r="O333" s="256"/>
    </row>
    <row r="334" spans="2:15" s="225" customFormat="1" x14ac:dyDescent="0.3">
      <c r="B334" s="242"/>
      <c r="C334" s="238"/>
      <c r="D334" s="238"/>
      <c r="E334" s="238"/>
      <c r="F334" s="411"/>
      <c r="G334" s="255"/>
      <c r="H334" s="237"/>
      <c r="K334" s="238"/>
      <c r="O334" s="256"/>
    </row>
    <row r="335" spans="2:15" s="225" customFormat="1" ht="7.2" customHeight="1" x14ac:dyDescent="0.3">
      <c r="B335" s="265"/>
      <c r="C335" s="266"/>
      <c r="D335" s="266"/>
      <c r="E335" s="266"/>
      <c r="F335" s="267"/>
      <c r="G335" s="267"/>
      <c r="H335" s="268"/>
      <c r="I335" s="266"/>
      <c r="K335" s="238"/>
    </row>
    <row r="336" spans="2:15" s="225" customFormat="1" x14ac:dyDescent="0.3">
      <c r="B336" s="239" t="s">
        <v>152</v>
      </c>
      <c r="C336" s="238" t="s">
        <v>122</v>
      </c>
      <c r="D336" s="238" t="s">
        <v>92</v>
      </c>
      <c r="E336" s="236" t="s">
        <v>123</v>
      </c>
      <c r="F336" s="225" t="s">
        <v>94</v>
      </c>
      <c r="G336" s="241" t="s">
        <v>123</v>
      </c>
      <c r="H336" s="269" t="s">
        <v>124</v>
      </c>
      <c r="K336" s="238"/>
    </row>
    <row r="337" spans="2:18" s="225" customFormat="1" x14ac:dyDescent="0.3">
      <c r="B337" s="242"/>
      <c r="C337" s="238">
        <v>0.1</v>
      </c>
      <c r="D337" s="216"/>
      <c r="E337" s="252"/>
      <c r="F337" s="411">
        <v>1.2</v>
      </c>
      <c r="G337" s="270">
        <f>E337*F337</f>
        <v>0</v>
      </c>
      <c r="H337" s="269">
        <f>G337*E362</f>
        <v>0</v>
      </c>
      <c r="I337" s="271"/>
      <c r="K337" s="238"/>
    </row>
    <row r="339" spans="2:18" ht="15" thickBot="1" x14ac:dyDescent="0.35"/>
    <row r="340" spans="2:18" ht="15" thickBot="1" x14ac:dyDescent="0.35">
      <c r="B340" s="233" t="s">
        <v>125</v>
      </c>
      <c r="C340" s="234"/>
      <c r="D340" s="235"/>
      <c r="E340" s="236"/>
      <c r="F340" s="236"/>
      <c r="G340" s="236"/>
      <c r="H340" s="237"/>
      <c r="I340" s="225"/>
      <c r="J340" s="225"/>
      <c r="K340" s="225"/>
      <c r="L340" s="225"/>
      <c r="M340" s="225"/>
      <c r="N340" s="225"/>
      <c r="O340" s="225"/>
      <c r="P340" s="225"/>
    </row>
    <row r="341" spans="2:18" ht="15" thickBot="1" x14ac:dyDescent="0.35">
      <c r="B341" s="264"/>
      <c r="C341" s="225"/>
      <c r="D341" s="225"/>
      <c r="E341" s="236"/>
      <c r="F341" s="236"/>
      <c r="G341" s="236"/>
      <c r="H341" s="237"/>
      <c r="I341" s="225"/>
      <c r="J341" s="225"/>
      <c r="K341" s="225"/>
      <c r="L341" s="225"/>
      <c r="M341" s="246">
        <v>1.4</v>
      </c>
      <c r="N341" s="225"/>
      <c r="O341" s="225"/>
      <c r="P341" s="225"/>
    </row>
    <row r="342" spans="2:18" s="275" customFormat="1" ht="43.8" thickBot="1" x14ac:dyDescent="0.3">
      <c r="B342" s="272" t="s">
        <v>91</v>
      </c>
      <c r="C342" s="259" t="s">
        <v>126</v>
      </c>
      <c r="D342" s="259" t="s">
        <v>31</v>
      </c>
      <c r="E342" s="241" t="s">
        <v>93</v>
      </c>
      <c r="F342" s="241" t="s">
        <v>127</v>
      </c>
      <c r="G342" s="236"/>
      <c r="H342" s="236"/>
      <c r="I342" s="259" t="s">
        <v>121</v>
      </c>
      <c r="J342" s="250" t="s">
        <v>111</v>
      </c>
      <c r="K342" s="259" t="s">
        <v>128</v>
      </c>
      <c r="L342" s="259" t="s">
        <v>90</v>
      </c>
      <c r="M342" s="259" t="s">
        <v>94</v>
      </c>
      <c r="N342" s="273" t="s">
        <v>129</v>
      </c>
      <c r="O342" s="274" t="s">
        <v>351</v>
      </c>
      <c r="P342" s="248" t="s">
        <v>352</v>
      </c>
      <c r="Q342" s="275" t="s">
        <v>353</v>
      </c>
    </row>
    <row r="343" spans="2:18" ht="15" thickBot="1" x14ac:dyDescent="0.35">
      <c r="B343" s="225" t="s">
        <v>130</v>
      </c>
      <c r="C343" s="214">
        <v>0.20300000000000001</v>
      </c>
      <c r="D343" s="276" t="s">
        <v>131</v>
      </c>
      <c r="E343" s="277">
        <f>E355</f>
        <v>62</v>
      </c>
      <c r="F343" s="277">
        <f>E343*C343</f>
        <v>12.586</v>
      </c>
      <c r="G343" s="236"/>
      <c r="H343" s="237"/>
      <c r="I343" s="278">
        <f>C343*(C314+C315)</f>
        <v>382.24900000000002</v>
      </c>
      <c r="J343" s="254">
        <v>0</v>
      </c>
      <c r="K343" s="279">
        <f>I343-(I343*J343)</f>
        <v>382.24900000000002</v>
      </c>
      <c r="L343" s="271">
        <f>K343*E343</f>
        <v>23699.438000000002</v>
      </c>
      <c r="M343" s="217">
        <f>(L343*M341)-L343</f>
        <v>9479.7751999999964</v>
      </c>
      <c r="N343" s="280">
        <f>L343*M341</f>
        <v>33179.213199999998</v>
      </c>
      <c r="O343" s="271">
        <f>N343*E317</f>
        <v>0</v>
      </c>
      <c r="P343" s="225"/>
      <c r="Q343" s="217"/>
      <c r="R343" s="217"/>
    </row>
    <row r="344" spans="2:18" x14ac:dyDescent="0.3">
      <c r="B344" s="225" t="s">
        <v>130</v>
      </c>
      <c r="C344" s="214">
        <v>0.14000000000000001</v>
      </c>
      <c r="D344" s="238" t="s">
        <v>132</v>
      </c>
      <c r="E344" s="236">
        <f>E355</f>
        <v>62</v>
      </c>
      <c r="F344" s="236">
        <f>(E344*C344)*1.95</f>
        <v>16.926000000000002</v>
      </c>
      <c r="G344" s="236"/>
      <c r="H344" s="237"/>
      <c r="I344" s="225"/>
      <c r="J344" s="225"/>
      <c r="L344" s="271"/>
      <c r="N344" s="281"/>
      <c r="O344" s="225"/>
      <c r="P344" s="225"/>
    </row>
    <row r="345" spans="2:18" x14ac:dyDescent="0.3">
      <c r="B345" s="225" t="s">
        <v>133</v>
      </c>
      <c r="C345" s="214">
        <v>0.45</v>
      </c>
      <c r="D345" s="238" t="s">
        <v>131</v>
      </c>
      <c r="E345" s="236">
        <f>E356</f>
        <v>62</v>
      </c>
      <c r="F345" s="236">
        <f>E345*C345</f>
        <v>27.900000000000002</v>
      </c>
      <c r="G345" s="236"/>
      <c r="H345" s="237"/>
      <c r="I345" s="225">
        <v>0</v>
      </c>
      <c r="J345" s="225"/>
      <c r="L345" s="271">
        <f>I345*E345</f>
        <v>0</v>
      </c>
      <c r="N345" s="282"/>
      <c r="O345" s="225"/>
      <c r="P345" s="225"/>
    </row>
    <row r="346" spans="2:18" ht="15" thickBot="1" x14ac:dyDescent="0.35">
      <c r="B346" s="225" t="s">
        <v>134</v>
      </c>
      <c r="C346" s="213">
        <v>0</v>
      </c>
      <c r="D346" s="238" t="s">
        <v>131</v>
      </c>
      <c r="E346" s="236">
        <f>E357</f>
        <v>25</v>
      </c>
      <c r="F346" s="236">
        <f t="shared" ref="F346:F351" si="15">E346*C346</f>
        <v>0</v>
      </c>
      <c r="G346" s="236"/>
      <c r="H346" s="237"/>
      <c r="I346" s="225">
        <v>0</v>
      </c>
      <c r="J346" s="225"/>
      <c r="L346" s="271">
        <f>I346*E346</f>
        <v>0</v>
      </c>
      <c r="N346" s="282"/>
      <c r="O346" s="225"/>
      <c r="P346" s="225"/>
    </row>
    <row r="347" spans="2:18" ht="15" thickBot="1" x14ac:dyDescent="0.35">
      <c r="B347" s="225" t="s">
        <v>135</v>
      </c>
      <c r="C347" s="214">
        <v>0.22500000000000001</v>
      </c>
      <c r="D347" s="276" t="s">
        <v>131</v>
      </c>
      <c r="E347" s="277">
        <f>E358</f>
        <v>40</v>
      </c>
      <c r="F347" s="277">
        <f t="shared" si="15"/>
        <v>9</v>
      </c>
      <c r="G347" s="236"/>
      <c r="H347" s="237"/>
      <c r="I347" s="278">
        <v>0</v>
      </c>
      <c r="J347" s="254">
        <v>0</v>
      </c>
      <c r="K347" s="279">
        <f>I347-(I347*J347)</f>
        <v>0</v>
      </c>
      <c r="L347" s="271">
        <f>K347*E347</f>
        <v>0</v>
      </c>
      <c r="M347" s="217">
        <f>(L347*M341)-L347</f>
        <v>0</v>
      </c>
      <c r="N347" s="280">
        <f>L347*M341</f>
        <v>0</v>
      </c>
      <c r="O347" s="225"/>
      <c r="P347" s="271">
        <f>N347*E318</f>
        <v>0</v>
      </c>
      <c r="Q347" s="217">
        <f>N347*E319</f>
        <v>0</v>
      </c>
    </row>
    <row r="348" spans="2:18" x14ac:dyDescent="0.3">
      <c r="B348" s="225" t="s">
        <v>135</v>
      </c>
      <c r="C348" s="214">
        <v>0.14000000000000001</v>
      </c>
      <c r="D348" s="238" t="s">
        <v>132</v>
      </c>
      <c r="E348" s="236">
        <f>E358</f>
        <v>40</v>
      </c>
      <c r="F348" s="236">
        <f>(E348*C348)*1.5</f>
        <v>8.4</v>
      </c>
      <c r="G348" s="236"/>
      <c r="H348" s="237"/>
      <c r="I348" s="225"/>
      <c r="J348" s="225"/>
      <c r="L348" s="271"/>
      <c r="N348" s="281"/>
      <c r="O348" s="225"/>
      <c r="P348" s="225"/>
    </row>
    <row r="349" spans="2:18" x14ac:dyDescent="0.3">
      <c r="B349" s="225" t="s">
        <v>136</v>
      </c>
      <c r="C349" s="214">
        <v>0.36</v>
      </c>
      <c r="D349" s="238" t="s">
        <v>131</v>
      </c>
      <c r="E349" s="236">
        <f>F359</f>
        <v>27</v>
      </c>
      <c r="F349" s="236">
        <f t="shared" si="15"/>
        <v>9.7199999999999989</v>
      </c>
      <c r="G349" s="236"/>
      <c r="H349" s="237"/>
      <c r="I349" s="225">
        <f>C313*C349</f>
        <v>0</v>
      </c>
      <c r="J349" s="225"/>
      <c r="L349" s="271">
        <f>I349*E349</f>
        <v>0</v>
      </c>
      <c r="N349" s="282"/>
      <c r="O349" s="225"/>
      <c r="P349" s="225"/>
    </row>
    <row r="350" spans="2:18" x14ac:dyDescent="0.3">
      <c r="B350" s="225" t="s">
        <v>137</v>
      </c>
      <c r="C350" s="214">
        <v>0.36</v>
      </c>
      <c r="D350" s="238" t="s">
        <v>131</v>
      </c>
      <c r="E350" s="236">
        <f>F360</f>
        <v>30</v>
      </c>
      <c r="F350" s="236">
        <f t="shared" si="15"/>
        <v>10.799999999999999</v>
      </c>
      <c r="G350" s="236"/>
      <c r="H350" s="237"/>
      <c r="I350" s="225">
        <f>C350*C313</f>
        <v>0</v>
      </c>
      <c r="J350" s="225"/>
      <c r="L350" s="271">
        <f>I350*E350</f>
        <v>0</v>
      </c>
      <c r="N350" s="282"/>
      <c r="O350" s="225"/>
      <c r="P350" s="225"/>
    </row>
    <row r="351" spans="2:18" ht="15" thickBot="1" x14ac:dyDescent="0.35">
      <c r="B351" s="225" t="s">
        <v>138</v>
      </c>
      <c r="C351" s="214">
        <v>0.3</v>
      </c>
      <c r="D351" s="238" t="s">
        <v>132</v>
      </c>
      <c r="E351" s="236">
        <f>N361</f>
        <v>0</v>
      </c>
      <c r="F351" s="236">
        <f t="shared" si="15"/>
        <v>0</v>
      </c>
      <c r="G351" s="236"/>
      <c r="H351" s="237"/>
      <c r="I351" s="225">
        <f>C351*C311</f>
        <v>0</v>
      </c>
      <c r="J351" s="225"/>
      <c r="L351" s="271">
        <f>E351*I351</f>
        <v>0</v>
      </c>
      <c r="N351" s="283"/>
      <c r="O351" s="225"/>
      <c r="P351" s="225"/>
    </row>
    <row r="352" spans="2:18" ht="15" thickBot="1" x14ac:dyDescent="0.35">
      <c r="B352" s="225"/>
      <c r="C352" s="225"/>
      <c r="D352" s="238"/>
      <c r="E352" s="284"/>
      <c r="F352" s="284"/>
      <c r="G352" s="236"/>
      <c r="H352" s="237"/>
      <c r="I352" s="225"/>
      <c r="J352" s="225"/>
      <c r="K352" s="225"/>
      <c r="L352" s="225"/>
      <c r="M352" s="225"/>
      <c r="N352" s="225"/>
      <c r="O352" s="225"/>
      <c r="P352" s="225"/>
    </row>
    <row r="353" spans="2:16" x14ac:dyDescent="0.3">
      <c r="B353" s="285"/>
      <c r="C353" s="286"/>
      <c r="D353" s="287"/>
      <c r="E353" s="288" t="s">
        <v>139</v>
      </c>
      <c r="F353" s="289" t="s">
        <v>140</v>
      </c>
      <c r="G353" s="237"/>
      <c r="H353" s="236"/>
      <c r="I353" s="236"/>
      <c r="J353" s="236"/>
      <c r="K353" s="236"/>
      <c r="L353" s="236"/>
      <c r="M353" s="236"/>
      <c r="N353" s="236"/>
      <c r="O353" s="236"/>
    </row>
    <row r="354" spans="2:16" ht="15" thickBot="1" x14ac:dyDescent="0.35">
      <c r="B354" s="290" t="s">
        <v>91</v>
      </c>
      <c r="C354" s="291"/>
      <c r="D354" s="292" t="s">
        <v>31</v>
      </c>
      <c r="E354" s="293" t="s">
        <v>93</v>
      </c>
      <c r="F354" s="293" t="s">
        <v>93</v>
      </c>
      <c r="G354" s="294"/>
      <c r="H354" s="236"/>
      <c r="I354" s="237"/>
      <c r="J354" s="236"/>
      <c r="K354" s="237"/>
      <c r="L354" s="236"/>
      <c r="M354" s="237"/>
      <c r="N354" s="236"/>
      <c r="O354" s="237"/>
    </row>
    <row r="355" spans="2:16" x14ac:dyDescent="0.3">
      <c r="B355" s="225" t="s">
        <v>130</v>
      </c>
      <c r="C355" s="238"/>
      <c r="D355" s="295" t="s">
        <v>141</v>
      </c>
      <c r="E355" s="296">
        <v>62</v>
      </c>
      <c r="F355" s="297">
        <v>31</v>
      </c>
      <c r="G355" s="237"/>
      <c r="H355" s="236"/>
      <c r="I355" s="237"/>
      <c r="J355" s="236"/>
      <c r="K355" s="237"/>
      <c r="L355" s="236"/>
      <c r="M355" s="237"/>
      <c r="N355" s="236"/>
      <c r="O355" s="237"/>
    </row>
    <row r="356" spans="2:16" x14ac:dyDescent="0.3">
      <c r="B356" s="225" t="s">
        <v>133</v>
      </c>
      <c r="C356" s="238"/>
      <c r="D356" s="295" t="s">
        <v>141</v>
      </c>
      <c r="E356" s="296">
        <v>62</v>
      </c>
      <c r="F356" s="298">
        <v>39</v>
      </c>
      <c r="G356" s="237"/>
      <c r="H356" s="236"/>
      <c r="I356" s="237"/>
      <c r="J356" s="236"/>
      <c r="K356" s="237"/>
      <c r="L356" s="236"/>
      <c r="M356" s="237"/>
      <c r="N356" s="236"/>
      <c r="O356" s="237"/>
    </row>
    <row r="357" spans="2:16" x14ac:dyDescent="0.3">
      <c r="B357" s="225" t="s">
        <v>134</v>
      </c>
      <c r="C357" s="238"/>
      <c r="D357" s="295" t="s">
        <v>141</v>
      </c>
      <c r="E357" s="299">
        <v>25</v>
      </c>
      <c r="F357" s="298">
        <v>29</v>
      </c>
      <c r="G357" s="237"/>
      <c r="H357" s="236"/>
      <c r="I357" s="237"/>
      <c r="J357" s="236"/>
      <c r="K357" s="237"/>
      <c r="L357" s="236"/>
      <c r="M357" s="237"/>
      <c r="N357" s="236"/>
      <c r="O357" s="237"/>
    </row>
    <row r="358" spans="2:16" x14ac:dyDescent="0.3">
      <c r="B358" s="225" t="s">
        <v>135</v>
      </c>
      <c r="C358" s="238"/>
      <c r="D358" s="295" t="s">
        <v>141</v>
      </c>
      <c r="E358" s="296">
        <v>40</v>
      </c>
      <c r="F358" s="298">
        <v>26</v>
      </c>
      <c r="G358" s="237"/>
      <c r="H358" s="236"/>
      <c r="I358" s="237"/>
      <c r="J358" s="236"/>
      <c r="K358" s="257"/>
      <c r="L358" s="236"/>
      <c r="M358" s="237"/>
      <c r="N358" s="236"/>
      <c r="O358" s="237"/>
    </row>
    <row r="359" spans="2:16" x14ac:dyDescent="0.3">
      <c r="B359" s="225" t="s">
        <v>136</v>
      </c>
      <c r="C359" s="238"/>
      <c r="D359" s="295" t="s">
        <v>141</v>
      </c>
      <c r="E359" s="299">
        <v>48</v>
      </c>
      <c r="F359" s="298">
        <v>27</v>
      </c>
      <c r="G359" s="237"/>
      <c r="H359" s="236"/>
      <c r="I359" s="237"/>
      <c r="J359" s="236"/>
      <c r="K359" s="257"/>
      <c r="L359" s="236"/>
      <c r="M359" s="237"/>
      <c r="N359" s="236"/>
      <c r="O359" s="237"/>
    </row>
    <row r="360" spans="2:16" x14ac:dyDescent="0.3">
      <c r="B360" s="225" t="s">
        <v>137</v>
      </c>
      <c r="C360" s="238"/>
      <c r="D360" s="295" t="s">
        <v>141</v>
      </c>
      <c r="E360" s="299">
        <v>50</v>
      </c>
      <c r="F360" s="298">
        <v>30</v>
      </c>
      <c r="G360" s="237"/>
      <c r="H360" s="236"/>
      <c r="I360" s="237"/>
      <c r="J360" s="236"/>
      <c r="K360" s="257"/>
      <c r="L360" s="236"/>
      <c r="M360" s="237"/>
      <c r="N360" s="236"/>
      <c r="O360" s="237"/>
    </row>
    <row r="361" spans="2:16" x14ac:dyDescent="0.3">
      <c r="B361" s="225" t="s">
        <v>142</v>
      </c>
      <c r="C361" s="238"/>
      <c r="D361" s="295" t="s">
        <v>88</v>
      </c>
      <c r="E361" s="300">
        <v>168</v>
      </c>
      <c r="F361" s="298">
        <v>0</v>
      </c>
      <c r="G361" s="237"/>
      <c r="H361" s="236"/>
      <c r="I361" s="237"/>
      <c r="J361" s="236"/>
      <c r="K361" s="237"/>
      <c r="L361" s="236"/>
      <c r="M361" s="237"/>
      <c r="N361" s="236"/>
      <c r="O361" s="237"/>
    </row>
    <row r="362" spans="2:16" ht="15" thickBot="1" x14ac:dyDescent="0.35">
      <c r="B362" s="416" t="s">
        <v>354</v>
      </c>
      <c r="C362" s="257"/>
      <c r="D362" s="295" t="s">
        <v>88</v>
      </c>
      <c r="E362" s="301">
        <v>400</v>
      </c>
      <c r="F362" s="301">
        <v>0</v>
      </c>
      <c r="G362" s="237"/>
      <c r="H362" s="236"/>
      <c r="I362" s="237"/>
      <c r="J362" s="236"/>
      <c r="K362" s="257"/>
      <c r="L362" s="236"/>
      <c r="M362" s="237"/>
      <c r="N362" s="236"/>
      <c r="O362" s="237"/>
    </row>
    <row r="363" spans="2:16" x14ac:dyDescent="0.3">
      <c r="B363" s="225"/>
      <c r="C363" s="225"/>
      <c r="D363" s="225"/>
      <c r="E363" s="236"/>
      <c r="F363" s="302"/>
      <c r="G363" s="237"/>
      <c r="H363" s="236"/>
      <c r="I363" s="237"/>
      <c r="J363" s="236"/>
      <c r="K363" s="237"/>
      <c r="L363" s="236"/>
      <c r="M363" s="237"/>
      <c r="N363" s="236"/>
      <c r="O363" s="237"/>
    </row>
    <row r="364" spans="2:16" x14ac:dyDescent="0.3">
      <c r="B364" s="225"/>
      <c r="C364" s="225"/>
      <c r="D364" s="225"/>
      <c r="E364" s="236"/>
      <c r="F364" s="236"/>
      <c r="G364" s="236"/>
      <c r="H364" s="236"/>
      <c r="I364" s="236"/>
      <c r="J364" s="236"/>
      <c r="K364" s="236"/>
      <c r="L364" s="236"/>
      <c r="M364" s="236"/>
      <c r="N364" s="236"/>
      <c r="O364" s="236"/>
      <c r="P364" s="236"/>
    </row>
    <row r="365" spans="2:16" x14ac:dyDescent="0.3">
      <c r="B365" s="225"/>
      <c r="C365" s="225"/>
      <c r="D365" s="225"/>
      <c r="E365" s="236"/>
      <c r="F365" s="236"/>
      <c r="G365" s="236"/>
      <c r="H365" s="237"/>
      <c r="I365" s="225"/>
      <c r="J365" s="225"/>
      <c r="K365" s="225"/>
      <c r="L365" s="225"/>
      <c r="M365" s="225"/>
      <c r="N365" s="225"/>
      <c r="O365" s="225"/>
      <c r="P365" s="225"/>
    </row>
    <row r="366" spans="2:16" x14ac:dyDescent="0.3">
      <c r="K366" s="217"/>
    </row>
    <row r="368" spans="2:16" x14ac:dyDescent="0.3">
      <c r="K368" s="407"/>
    </row>
    <row r="369" spans="11:11" x14ac:dyDescent="0.3">
      <c r="K369" s="230"/>
    </row>
    <row r="370" spans="11:11" x14ac:dyDescent="0.3">
      <c r="K370" s="230"/>
    </row>
  </sheetData>
  <mergeCells count="1">
    <mergeCell ref="B303:E305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8777-E1C6-4E66-8DFB-7EBCE94B8822}">
  <sheetPr>
    <tabColor rgb="FFFFC000"/>
    <pageSetUpPr fitToPage="1"/>
  </sheetPr>
  <dimension ref="A1:BB120"/>
  <sheetViews>
    <sheetView zoomScale="90" zoomScaleNormal="90" workbookViewId="0">
      <selection activeCell="L102" sqref="L102"/>
    </sheetView>
  </sheetViews>
  <sheetFormatPr defaultRowHeight="13.2" x14ac:dyDescent="0.25"/>
  <cols>
    <col min="2" max="2" width="1.44140625" customWidth="1"/>
    <col min="3" max="3" width="8.77734375" bestFit="1" customWidth="1"/>
    <col min="4" max="4" width="26.77734375" customWidth="1"/>
    <col min="5" max="5" width="13.44140625" customWidth="1"/>
    <col min="6" max="6" width="23.21875" customWidth="1"/>
    <col min="7" max="7" width="26.44140625" customWidth="1"/>
    <col min="8" max="8" width="42.77734375" customWidth="1"/>
    <col min="9" max="9" width="64.5546875" customWidth="1"/>
    <col min="10" max="10" width="50" customWidth="1"/>
    <col min="11" max="11" width="10" bestFit="1" customWidth="1"/>
    <col min="12" max="12" width="30.21875" customWidth="1"/>
    <col min="13" max="13" width="38.77734375" customWidth="1"/>
    <col min="14" max="14" width="12.44140625" customWidth="1"/>
    <col min="15" max="15" width="9.44140625" bestFit="1" customWidth="1"/>
    <col min="16" max="18" width="8.21875" bestFit="1" customWidth="1"/>
    <col min="19" max="19" width="8.21875" customWidth="1"/>
    <col min="20" max="20" width="17.44140625" bestFit="1" customWidth="1"/>
    <col min="21" max="21" width="1.44140625" customWidth="1"/>
    <col min="23" max="25" width="8.77734375" customWidth="1"/>
    <col min="26" max="26" width="44.44140625" customWidth="1"/>
    <col min="27" max="27" width="24.5546875" customWidth="1"/>
    <col min="28" max="28" width="40.77734375" customWidth="1"/>
    <col min="29" max="29" width="10.21875" customWidth="1"/>
    <col min="30" max="30" width="10.21875" hidden="1" customWidth="1"/>
    <col min="31" max="31" width="25.77734375" customWidth="1"/>
    <col min="32" max="32" width="10.77734375" customWidth="1"/>
    <col min="33" max="33" width="9.44140625" bestFit="1" customWidth="1"/>
    <col min="34" max="36" width="8.21875" bestFit="1" customWidth="1"/>
    <col min="37" max="37" width="17.44140625" bestFit="1" customWidth="1"/>
    <col min="38" max="38" width="1.44140625" customWidth="1"/>
    <col min="40" max="41" width="8.77734375" customWidth="1"/>
    <col min="42" max="42" width="16.21875" customWidth="1"/>
    <col min="43" max="43" width="72.77734375" customWidth="1"/>
    <col min="44" max="44" width="36.21875" customWidth="1"/>
    <col min="45" max="45" width="10.21875" bestFit="1" customWidth="1"/>
    <col min="46" max="46" width="11.5546875" customWidth="1"/>
    <col min="47" max="47" width="10.21875" customWidth="1"/>
    <col min="48" max="48" width="10.21875" hidden="1" customWidth="1"/>
    <col min="49" max="49" width="25.77734375" customWidth="1"/>
    <col min="50" max="50" width="9.44140625" bestFit="1" customWidth="1"/>
    <col min="51" max="53" width="8.21875" bestFit="1" customWidth="1"/>
    <col min="54" max="54" width="17.44140625" bestFit="1" customWidth="1"/>
  </cols>
  <sheetData>
    <row r="1" spans="3:13" ht="17.399999999999999" x14ac:dyDescent="0.25">
      <c r="C1" s="480">
        <v>44918</v>
      </c>
      <c r="D1" s="480"/>
    </row>
    <row r="2" spans="3:13" x14ac:dyDescent="0.25">
      <c r="G2" s="323" t="s">
        <v>355</v>
      </c>
    </row>
    <row r="3" spans="3:13" x14ac:dyDescent="0.25">
      <c r="C3" s="479" t="s">
        <v>356</v>
      </c>
      <c r="D3" s="479"/>
      <c r="E3" s="324">
        <v>5.5E-2</v>
      </c>
      <c r="G3" s="323"/>
    </row>
    <row r="4" spans="3:13" x14ac:dyDescent="0.25">
      <c r="C4" s="479" t="s">
        <v>357</v>
      </c>
      <c r="D4" s="479"/>
      <c r="E4" s="325">
        <v>0.08</v>
      </c>
      <c r="G4" s="326"/>
    </row>
    <row r="5" spans="3:13" x14ac:dyDescent="0.25">
      <c r="C5" s="479" t="s">
        <v>358</v>
      </c>
      <c r="D5" s="479"/>
      <c r="E5" s="325">
        <v>0.14000000000000001</v>
      </c>
      <c r="G5" s="326"/>
    </row>
    <row r="6" spans="3:13" x14ac:dyDescent="0.25">
      <c r="C6" s="479" t="s">
        <v>359</v>
      </c>
      <c r="D6" s="479"/>
      <c r="E6" s="324">
        <v>0.17499999999999999</v>
      </c>
      <c r="G6" s="326"/>
    </row>
    <row r="7" spans="3:13" x14ac:dyDescent="0.25">
      <c r="C7" s="479" t="s">
        <v>360</v>
      </c>
      <c r="D7" s="479"/>
      <c r="E7" s="324">
        <v>5.5E-2</v>
      </c>
      <c r="G7" s="326"/>
    </row>
    <row r="8" spans="3:13" x14ac:dyDescent="0.25">
      <c r="C8" s="479" t="s">
        <v>361</v>
      </c>
      <c r="D8" s="479"/>
      <c r="E8" s="324">
        <v>0.15</v>
      </c>
      <c r="G8" s="326"/>
    </row>
    <row r="9" spans="3:13" x14ac:dyDescent="0.25">
      <c r="C9" s="479" t="s">
        <v>362</v>
      </c>
      <c r="D9" s="479"/>
      <c r="E9" s="324">
        <v>0.6</v>
      </c>
      <c r="G9" s="326"/>
      <c r="M9" s="327"/>
    </row>
    <row r="10" spans="3:13" x14ac:dyDescent="0.25">
      <c r="C10" s="479" t="s">
        <v>363</v>
      </c>
      <c r="D10" s="479"/>
      <c r="E10" s="324">
        <v>0.15</v>
      </c>
      <c r="G10" s="328"/>
      <c r="M10" s="324"/>
    </row>
    <row r="11" spans="3:13" x14ac:dyDescent="0.25">
      <c r="C11" s="479" t="s">
        <v>363</v>
      </c>
      <c r="D11" s="479"/>
      <c r="E11" s="324">
        <v>0.3</v>
      </c>
      <c r="G11" s="328"/>
      <c r="M11" s="478"/>
    </row>
    <row r="12" spans="3:13" x14ac:dyDescent="0.25">
      <c r="C12" s="479" t="s">
        <v>363</v>
      </c>
      <c r="D12" s="479"/>
      <c r="E12" s="324">
        <v>0.6</v>
      </c>
      <c r="G12" s="328"/>
      <c r="M12" s="478"/>
    </row>
    <row r="13" spans="3:13" x14ac:dyDescent="0.25">
      <c r="C13" s="479" t="s">
        <v>363</v>
      </c>
      <c r="D13" s="479"/>
      <c r="E13" s="324">
        <v>0.9</v>
      </c>
      <c r="G13" s="328"/>
    </row>
    <row r="14" spans="3:13" x14ac:dyDescent="0.25">
      <c r="C14" s="479" t="s">
        <v>364</v>
      </c>
      <c r="D14" s="479"/>
      <c r="E14" s="325">
        <v>0.9</v>
      </c>
      <c r="G14" s="326"/>
    </row>
    <row r="15" spans="3:13" x14ac:dyDescent="0.25">
      <c r="C15" s="479" t="s">
        <v>365</v>
      </c>
      <c r="D15" s="479"/>
      <c r="E15" s="324">
        <v>0.15</v>
      </c>
      <c r="G15" s="328"/>
    </row>
    <row r="16" spans="3:13" x14ac:dyDescent="0.25">
      <c r="C16" s="479" t="s">
        <v>365</v>
      </c>
      <c r="D16" s="479"/>
      <c r="E16" s="324">
        <v>0.3</v>
      </c>
      <c r="G16" s="328"/>
    </row>
    <row r="17" spans="2:54" x14ac:dyDescent="0.25">
      <c r="C17" s="479" t="s">
        <v>365</v>
      </c>
      <c r="D17" s="479"/>
      <c r="E17" s="324">
        <v>0.6</v>
      </c>
      <c r="G17" s="328"/>
    </row>
    <row r="18" spans="2:54" x14ac:dyDescent="0.25">
      <c r="C18" s="479" t="s">
        <v>365</v>
      </c>
      <c r="D18" s="479"/>
      <c r="E18" s="324">
        <v>0.9</v>
      </c>
      <c r="G18" s="328"/>
    </row>
    <row r="19" spans="2:54" x14ac:dyDescent="0.25">
      <c r="C19" s="479" t="s">
        <v>366</v>
      </c>
      <c r="D19" s="479"/>
      <c r="E19" s="329">
        <v>1.2</v>
      </c>
      <c r="F19">
        <v>1200</v>
      </c>
      <c r="G19" s="326"/>
    </row>
    <row r="20" spans="2:54" x14ac:dyDescent="0.25">
      <c r="C20" s="479" t="s">
        <v>367</v>
      </c>
      <c r="D20" s="479"/>
      <c r="E20" s="324">
        <v>0.15</v>
      </c>
      <c r="G20" s="328"/>
    </row>
    <row r="21" spans="2:54" x14ac:dyDescent="0.25">
      <c r="C21" s="479" t="s">
        <v>367</v>
      </c>
      <c r="D21" s="479"/>
      <c r="E21" s="324">
        <v>0.3</v>
      </c>
      <c r="G21" s="328"/>
    </row>
    <row r="22" spans="2:54" x14ac:dyDescent="0.25">
      <c r="C22" s="479" t="s">
        <v>367</v>
      </c>
      <c r="D22" s="479"/>
      <c r="E22" s="324">
        <v>0.6</v>
      </c>
      <c r="G22" s="328"/>
    </row>
    <row r="23" spans="2:54" x14ac:dyDescent="0.25">
      <c r="C23" s="479" t="s">
        <v>367</v>
      </c>
      <c r="D23" s="479"/>
      <c r="E23" s="324">
        <v>0.9</v>
      </c>
      <c r="G23" s="328"/>
    </row>
    <row r="24" spans="2:54" x14ac:dyDescent="0.25">
      <c r="C24" s="479" t="s">
        <v>367</v>
      </c>
      <c r="D24" s="479"/>
      <c r="E24" s="324">
        <v>1.2</v>
      </c>
      <c r="G24" s="328"/>
    </row>
    <row r="25" spans="2:54" x14ac:dyDescent="0.25">
      <c r="C25" s="323"/>
      <c r="D25" s="323" t="s">
        <v>368</v>
      </c>
      <c r="E25" s="324">
        <v>0.2</v>
      </c>
      <c r="G25" s="328"/>
      <c r="AG25" t="s">
        <v>369</v>
      </c>
    </row>
    <row r="26" spans="2:54" x14ac:dyDescent="0.25">
      <c r="K26" s="315"/>
      <c r="L26" s="315"/>
      <c r="O26" s="483" t="s">
        <v>370</v>
      </c>
      <c r="P26" s="483"/>
      <c r="Q26" s="483"/>
      <c r="R26" s="483"/>
      <c r="S26" s="330"/>
      <c r="AD26" s="315" t="s">
        <v>371</v>
      </c>
      <c r="AG26" s="483" t="s">
        <v>370</v>
      </c>
      <c r="AH26" s="483"/>
      <c r="AI26" s="483"/>
      <c r="AJ26" s="483"/>
      <c r="AV26" s="315" t="s">
        <v>371</v>
      </c>
      <c r="AX26" s="483" t="s">
        <v>370</v>
      </c>
      <c r="AY26" s="483"/>
      <c r="AZ26" s="483"/>
      <c r="BA26" s="483"/>
    </row>
    <row r="27" spans="2:54" ht="14.4" x14ac:dyDescent="0.3">
      <c r="B27" s="331"/>
      <c r="C27" s="332" t="s">
        <v>372</v>
      </c>
      <c r="D27" s="332" t="s">
        <v>373</v>
      </c>
      <c r="E27" s="332" t="s">
        <v>374</v>
      </c>
      <c r="F27" s="332" t="s">
        <v>375</v>
      </c>
      <c r="G27" s="332" t="s">
        <v>376</v>
      </c>
      <c r="H27" s="332" t="s">
        <v>377</v>
      </c>
      <c r="I27" s="332" t="s">
        <v>378</v>
      </c>
      <c r="J27" s="332" t="s">
        <v>379</v>
      </c>
      <c r="K27" s="332"/>
      <c r="L27" s="332"/>
      <c r="M27" s="332" t="s">
        <v>380</v>
      </c>
      <c r="N27" s="332"/>
      <c r="O27" s="332" t="s">
        <v>381</v>
      </c>
      <c r="P27" s="332" t="s">
        <v>382</v>
      </c>
      <c r="Q27" s="332" t="s">
        <v>383</v>
      </c>
      <c r="R27" s="332" t="s">
        <v>384</v>
      </c>
      <c r="S27" s="332"/>
      <c r="T27" s="332" t="s">
        <v>385</v>
      </c>
      <c r="U27" s="331"/>
      <c r="V27" s="332" t="s">
        <v>372</v>
      </c>
      <c r="W27" s="332" t="s">
        <v>373</v>
      </c>
      <c r="X27" s="332" t="s">
        <v>374</v>
      </c>
      <c r="Y27" s="332" t="s">
        <v>375</v>
      </c>
      <c r="Z27" s="332" t="s">
        <v>376</v>
      </c>
      <c r="AA27" s="332" t="s">
        <v>377</v>
      </c>
      <c r="AB27" s="332" t="s">
        <v>378</v>
      </c>
      <c r="AC27" s="332" t="s">
        <v>379</v>
      </c>
      <c r="AD27" s="332"/>
      <c r="AE27" s="332" t="s">
        <v>386</v>
      </c>
      <c r="AF27" s="332"/>
      <c r="AG27" s="332" t="s">
        <v>381</v>
      </c>
      <c r="AH27" s="332" t="s">
        <v>382</v>
      </c>
      <c r="AI27" s="332" t="s">
        <v>383</v>
      </c>
      <c r="AJ27" s="332" t="s">
        <v>384</v>
      </c>
      <c r="AK27" s="332" t="s">
        <v>385</v>
      </c>
      <c r="AL27" s="331"/>
      <c r="AM27" s="332" t="s">
        <v>372</v>
      </c>
      <c r="AN27" s="332" t="s">
        <v>373</v>
      </c>
      <c r="AO27" s="332" t="s">
        <v>374</v>
      </c>
      <c r="AP27" s="332" t="s">
        <v>375</v>
      </c>
      <c r="AQ27" s="332" t="s">
        <v>376</v>
      </c>
      <c r="AR27" s="332" t="s">
        <v>377</v>
      </c>
      <c r="AS27" s="332" t="s">
        <v>378</v>
      </c>
      <c r="AT27" s="332" t="s">
        <v>379</v>
      </c>
      <c r="AV27" s="332"/>
      <c r="AW27" s="332" t="s">
        <v>380</v>
      </c>
      <c r="AX27" s="332" t="s">
        <v>381</v>
      </c>
      <c r="AY27" s="332" t="s">
        <v>382</v>
      </c>
      <c r="AZ27" s="332" t="s">
        <v>383</v>
      </c>
      <c r="BA27" s="332" t="s">
        <v>384</v>
      </c>
      <c r="BB27" s="332" t="s">
        <v>385</v>
      </c>
    </row>
    <row r="28" spans="2:54" ht="14.4" x14ac:dyDescent="0.3">
      <c r="B28" s="331"/>
      <c r="C28" s="417"/>
      <c r="D28" s="423"/>
      <c r="E28" s="335"/>
      <c r="F28" s="424"/>
      <c r="G28" s="424"/>
      <c r="H28" s="424"/>
      <c r="I28" s="334"/>
      <c r="J28" s="335">
        <f>E28-I28</f>
        <v>0</v>
      </c>
      <c r="K28" s="336"/>
      <c r="L28" s="336"/>
      <c r="M28" s="336">
        <f>J28-$E$14-$E$4</f>
        <v>-0.98</v>
      </c>
      <c r="N28" s="336"/>
      <c r="O28" s="337"/>
      <c r="P28" s="337"/>
      <c r="Q28" s="337"/>
      <c r="R28" s="337"/>
      <c r="S28" s="337"/>
      <c r="T28" s="337">
        <f t="shared" ref="T28:T46" si="0">M28-(O28*$E$10)-(P28*$E$11)-(Q28*$E$12)-(R28*$E$13)</f>
        <v>-0.98</v>
      </c>
      <c r="U28" s="341"/>
      <c r="V28" s="333">
        <v>21</v>
      </c>
      <c r="W28" s="418"/>
      <c r="X28" s="335"/>
      <c r="Y28" s="417"/>
      <c r="Z28" s="417"/>
      <c r="AA28" s="417"/>
      <c r="AB28" s="334"/>
      <c r="AC28" s="335">
        <v>0.89</v>
      </c>
      <c r="AD28" s="336">
        <v>1</v>
      </c>
      <c r="AE28" s="336">
        <f>AC28-$E$3-$E$9</f>
        <v>0.23499999999999999</v>
      </c>
      <c r="AF28" s="336"/>
      <c r="AG28" s="337"/>
      <c r="AH28" s="337"/>
      <c r="AI28" s="337"/>
      <c r="AJ28" s="337"/>
      <c r="AK28" s="337">
        <f>AE28-(AG28*$E$25)-(AH28*$E$11)-(AI28*$E$12)-(AJ28*$E$13)</f>
        <v>0.23499999999999999</v>
      </c>
      <c r="AL28" s="341"/>
      <c r="AM28" s="333">
        <v>40</v>
      </c>
      <c r="AN28" s="418" t="s">
        <v>388</v>
      </c>
      <c r="AO28" s="340"/>
      <c r="AP28" s="417"/>
      <c r="AQ28" s="339"/>
      <c r="AR28" s="339"/>
      <c r="AS28" s="334"/>
      <c r="AT28" s="335">
        <v>1.41</v>
      </c>
      <c r="AU28" s="336"/>
      <c r="AV28" s="336">
        <f>AT28-$E$9-$E$8</f>
        <v>0.65999999999999992</v>
      </c>
      <c r="AW28" s="336">
        <f>AT28-$E$5-$E$19</f>
        <v>7.0000000000000062E-2</v>
      </c>
      <c r="AX28" s="337"/>
      <c r="AY28" s="337"/>
      <c r="AZ28" s="337"/>
      <c r="BA28" s="337"/>
      <c r="BB28" s="337">
        <f>AW28-(AX28*$E$25)-(AY28*$E$11)-(AZ28*$E$12)-(BA28*$E$13)</f>
        <v>7.0000000000000062E-2</v>
      </c>
    </row>
    <row r="29" spans="2:54" ht="14.4" x14ac:dyDescent="0.3">
      <c r="B29" s="331"/>
      <c r="C29" s="333"/>
      <c r="D29" s="423"/>
      <c r="E29" s="335"/>
      <c r="F29" s="424"/>
      <c r="G29" s="424"/>
      <c r="H29" s="424"/>
      <c r="I29" s="334"/>
      <c r="J29" s="335">
        <f t="shared" ref="J29:J47" si="1">E29-I29</f>
        <v>0</v>
      </c>
      <c r="K29" s="336"/>
      <c r="L29" s="336"/>
      <c r="M29" s="336">
        <f>J29-$E$14-$E$4</f>
        <v>-0.98</v>
      </c>
      <c r="N29" s="336"/>
      <c r="O29" s="337"/>
      <c r="P29" s="337"/>
      <c r="Q29" s="337"/>
      <c r="R29" s="337"/>
      <c r="S29" s="337"/>
      <c r="T29" s="337">
        <f t="shared" si="0"/>
        <v>-0.98</v>
      </c>
      <c r="U29" s="341"/>
      <c r="V29" s="333">
        <v>22</v>
      </c>
      <c r="W29" s="418"/>
      <c r="X29" s="335"/>
      <c r="Y29" s="417"/>
      <c r="Z29" s="417"/>
      <c r="AA29" s="417"/>
      <c r="AB29" s="334"/>
      <c r="AC29" s="335">
        <v>0.94</v>
      </c>
      <c r="AD29" s="335">
        <f t="shared" ref="AD29" si="2">Y29-AC29</f>
        <v>-0.94</v>
      </c>
      <c r="AE29" s="336">
        <f>AC29-0.045-$E$14</f>
        <v>-5.0000000000001155E-3</v>
      </c>
      <c r="AF29" s="336"/>
      <c r="AG29" s="337"/>
      <c r="AH29" s="337"/>
      <c r="AI29" s="337"/>
      <c r="AJ29" s="337"/>
      <c r="AK29" s="337">
        <f>AE29-(AG29*$E$10)-(AH29*$E$11)-(AI29*$E$12)-(AJ29*$E$13)</f>
        <v>-5.0000000000001155E-3</v>
      </c>
      <c r="AL29" s="341"/>
      <c r="AM29" s="326">
        <v>42</v>
      </c>
      <c r="AN29" s="418" t="s">
        <v>390</v>
      </c>
      <c r="AO29" s="335"/>
      <c r="AP29" s="417"/>
      <c r="AQ29" s="417"/>
      <c r="AR29" s="339"/>
      <c r="AS29" s="334"/>
      <c r="AT29" s="335">
        <v>1.68</v>
      </c>
      <c r="AU29" s="336"/>
      <c r="AV29" s="336">
        <f t="shared" ref="AV29:AV35" si="3">AT29-$E$9-$E$8</f>
        <v>0.93</v>
      </c>
      <c r="AW29" s="336">
        <f>AT29-$E$5-$E$19</f>
        <v>0.34000000000000008</v>
      </c>
      <c r="AX29" s="337"/>
      <c r="AY29" s="337"/>
      <c r="AZ29" s="337"/>
      <c r="BA29" s="337"/>
      <c r="BB29" s="337">
        <f>AW29-(AX29*$E$10)-(AY29*$E$11)-(AZ29*$E$12)-(BA29*$E$13)</f>
        <v>0.34000000000000008</v>
      </c>
    </row>
    <row r="30" spans="2:54" ht="14.4" x14ac:dyDescent="0.3">
      <c r="B30" s="331"/>
      <c r="C30" s="333"/>
      <c r="D30" s="423"/>
      <c r="E30" s="335"/>
      <c r="F30" s="424"/>
      <c r="G30" s="424"/>
      <c r="H30" s="424"/>
      <c r="I30" s="419"/>
      <c r="J30" s="335">
        <f t="shared" si="1"/>
        <v>0</v>
      </c>
      <c r="K30" s="420"/>
      <c r="L30" s="420"/>
      <c r="M30" s="336">
        <f>J30-$E$4-$E$6-$E$19</f>
        <v>-1.4550000000000001</v>
      </c>
      <c r="N30" s="336"/>
      <c r="O30" s="337"/>
      <c r="P30" s="337"/>
      <c r="Q30" s="337"/>
      <c r="R30" s="337"/>
      <c r="S30" s="337"/>
      <c r="T30" s="337">
        <f t="shared" si="0"/>
        <v>-1.4550000000000001</v>
      </c>
      <c r="U30" s="341"/>
      <c r="V30" s="333">
        <v>23</v>
      </c>
      <c r="W30" s="418"/>
      <c r="X30" s="335"/>
      <c r="Y30" s="417"/>
      <c r="Z30" s="417"/>
      <c r="AA30" s="417"/>
      <c r="AB30" s="334"/>
      <c r="AC30" s="335">
        <v>0.91</v>
      </c>
      <c r="AD30" s="336"/>
      <c r="AE30" s="336">
        <f t="shared" ref="AE30:AE41" si="4">AC30-$E$4-$E$14</f>
        <v>-6.9999999999999951E-2</v>
      </c>
      <c r="AF30" s="336"/>
      <c r="AG30" s="337"/>
      <c r="AH30" s="337"/>
      <c r="AI30" s="337"/>
      <c r="AJ30" s="337"/>
      <c r="AK30" s="337">
        <f t="shared" ref="AK30:AK31" si="5">AE30-(AG30*$E$10)-(AH30*$E$11)-(AI30*$E$12)-(AJ30*$E$13)</f>
        <v>-6.9999999999999951E-2</v>
      </c>
      <c r="AL30" s="341"/>
      <c r="AM30" s="333">
        <v>43</v>
      </c>
      <c r="AN30" s="338"/>
      <c r="AO30" s="340"/>
      <c r="AP30" s="333"/>
      <c r="AQ30" s="339"/>
      <c r="AR30" s="339"/>
      <c r="AS30" s="334"/>
      <c r="AT30" s="335">
        <f>AO30-AS30</f>
        <v>0</v>
      </c>
      <c r="AU30" s="336"/>
      <c r="AV30" s="336">
        <f t="shared" si="3"/>
        <v>-0.75</v>
      </c>
      <c r="AW30" s="336">
        <f>AT30-$E$4-$E$14</f>
        <v>-0.98</v>
      </c>
      <c r="AX30" s="337"/>
      <c r="AY30" s="337"/>
      <c r="AZ30" s="337"/>
      <c r="BA30" s="337"/>
      <c r="BB30" s="337">
        <f>AW30-(AX30*$E$10)-(AY30*$E$11)-(AZ30*$E$12)-(BA30*$E$13)</f>
        <v>-0.98</v>
      </c>
    </row>
    <row r="31" spans="2:54" ht="14.4" x14ac:dyDescent="0.3">
      <c r="B31" s="331"/>
      <c r="C31" s="333"/>
      <c r="D31" s="423"/>
      <c r="E31" s="335"/>
      <c r="F31" s="424"/>
      <c r="G31" s="424"/>
      <c r="H31" s="424"/>
      <c r="I31" s="419"/>
      <c r="J31" s="335">
        <f t="shared" si="1"/>
        <v>0</v>
      </c>
      <c r="K31" s="420"/>
      <c r="L31" s="420"/>
      <c r="M31" s="336">
        <f t="shared" ref="M31:M33" si="6">J31-$E$4-$E$6-$E$19</f>
        <v>-1.4550000000000001</v>
      </c>
      <c r="N31" s="336"/>
      <c r="O31" s="337"/>
      <c r="P31" s="337"/>
      <c r="Q31" s="337"/>
      <c r="R31" s="337"/>
      <c r="S31" s="337"/>
      <c r="T31" s="337">
        <f>M31-(O31*$E$25)-(P31*$E$11)-(Q31*$E$12)-(R31*$E$13)</f>
        <v>-1.4550000000000001</v>
      </c>
      <c r="U31" s="341"/>
      <c r="V31" s="333">
        <v>24</v>
      </c>
      <c r="W31" s="418"/>
      <c r="X31" s="335"/>
      <c r="Y31" s="417"/>
      <c r="Z31" s="417"/>
      <c r="AA31" s="417"/>
      <c r="AB31" s="334"/>
      <c r="AC31" s="335">
        <v>0.92</v>
      </c>
      <c r="AD31" s="336">
        <v>2.1000000000000014</v>
      </c>
      <c r="AE31" s="336">
        <f t="shared" si="4"/>
        <v>-5.9999999999999942E-2</v>
      </c>
      <c r="AF31" s="336"/>
      <c r="AG31" s="337"/>
      <c r="AH31" s="337"/>
      <c r="AI31" s="337"/>
      <c r="AJ31" s="337"/>
      <c r="AK31" s="337">
        <f t="shared" si="5"/>
        <v>-5.9999999999999942E-2</v>
      </c>
      <c r="AL31" s="341"/>
      <c r="AM31" s="326">
        <v>44</v>
      </c>
      <c r="AN31" s="338"/>
      <c r="AO31" s="340"/>
      <c r="AP31" s="341"/>
      <c r="AQ31" s="339"/>
      <c r="AR31" s="339"/>
      <c r="AS31" s="334"/>
      <c r="AT31" s="335">
        <f t="shared" ref="AT31" si="7">AO31-AS31</f>
        <v>0</v>
      </c>
      <c r="AU31" s="336"/>
      <c r="AV31" s="336">
        <f t="shared" si="3"/>
        <v>-0.75</v>
      </c>
      <c r="AW31" s="336">
        <f>AT31-$E$4-$E$14</f>
        <v>-0.98</v>
      </c>
      <c r="AX31" s="337"/>
      <c r="AY31" s="337"/>
      <c r="AZ31" s="337"/>
      <c r="BA31" s="337"/>
      <c r="BB31" s="337">
        <f>AW31-(AX31*$E$10)-(AY31*$E$11)-(AZ31*$E$12)-(BA31*$E$13)</f>
        <v>-0.98</v>
      </c>
    </row>
    <row r="32" spans="2:54" ht="14.4" x14ac:dyDescent="0.3">
      <c r="B32" s="331"/>
      <c r="C32" s="333"/>
      <c r="D32" s="423"/>
      <c r="E32" s="335"/>
      <c r="F32" s="424"/>
      <c r="G32" s="424"/>
      <c r="H32" s="424"/>
      <c r="I32" s="419"/>
      <c r="J32" s="335">
        <f t="shared" si="1"/>
        <v>0</v>
      </c>
      <c r="K32" s="420"/>
      <c r="L32" s="420"/>
      <c r="M32" s="336">
        <f t="shared" si="6"/>
        <v>-1.4550000000000001</v>
      </c>
      <c r="N32" s="336"/>
      <c r="O32" s="337"/>
      <c r="P32" s="337"/>
      <c r="Q32" s="337"/>
      <c r="R32" s="337"/>
      <c r="S32" s="337"/>
      <c r="T32" s="337">
        <f t="shared" ref="T32:T44" si="8">M32-(O32*$E$25)-(P32*$E$11)-(Q32*$E$12)-(R32*$E$13)</f>
        <v>-1.4550000000000001</v>
      </c>
      <c r="U32" s="341"/>
      <c r="V32" s="333">
        <v>25</v>
      </c>
      <c r="W32" s="418"/>
      <c r="X32" s="335"/>
      <c r="Y32" s="417"/>
      <c r="Z32" s="417"/>
      <c r="AA32" s="417"/>
      <c r="AB32" s="334"/>
      <c r="AC32" s="335">
        <v>1.01</v>
      </c>
      <c r="AD32" s="336">
        <v>0.85999999999999943</v>
      </c>
      <c r="AE32" s="336">
        <f t="shared" si="4"/>
        <v>3.0000000000000027E-2</v>
      </c>
      <c r="AG32" s="337"/>
      <c r="AH32" s="337"/>
      <c r="AI32" s="337"/>
      <c r="AJ32" s="337"/>
      <c r="AK32" s="337">
        <f>AE32-(AG32*$E$25)-(AH32*$E$11)-(AI32*$E$12)-(AJ32*$E$13)</f>
        <v>3.0000000000000027E-2</v>
      </c>
      <c r="AL32" s="341"/>
      <c r="AM32" s="333">
        <v>45</v>
      </c>
      <c r="AN32" s="338"/>
      <c r="AO32" s="340"/>
      <c r="AP32" s="341"/>
      <c r="AQ32" s="341"/>
      <c r="AR32" s="341"/>
      <c r="AS32" s="334"/>
      <c r="AT32" s="335"/>
      <c r="AU32" s="336"/>
      <c r="AV32" s="336">
        <f t="shared" si="3"/>
        <v>-0.75</v>
      </c>
      <c r="AW32" s="337"/>
      <c r="AX32" s="337"/>
      <c r="AY32" s="337"/>
      <c r="AZ32" s="337"/>
      <c r="BA32" s="337"/>
      <c r="BB32" s="337"/>
    </row>
    <row r="33" spans="1:54" ht="14.4" x14ac:dyDescent="0.3">
      <c r="B33" s="331"/>
      <c r="C33" s="333"/>
      <c r="D33" s="423"/>
      <c r="E33" s="335"/>
      <c r="F33" s="424"/>
      <c r="G33" s="424"/>
      <c r="H33" s="424"/>
      <c r="I33" s="419"/>
      <c r="J33" s="335">
        <f t="shared" si="1"/>
        <v>0</v>
      </c>
      <c r="K33" s="420"/>
      <c r="L33" s="420"/>
      <c r="M33" s="336">
        <f t="shared" si="6"/>
        <v>-1.4550000000000001</v>
      </c>
      <c r="N33" s="336"/>
      <c r="O33" s="337"/>
      <c r="P33" s="337"/>
      <c r="Q33" s="337"/>
      <c r="R33" s="337"/>
      <c r="S33" s="337"/>
      <c r="T33" s="337">
        <f>M33-(O33*$E$10)-(P33*$E$11)-(Q33*$E$12)-(R33*$E$13)</f>
        <v>-1.4550000000000001</v>
      </c>
      <c r="U33" s="331"/>
      <c r="V33" s="333">
        <v>26</v>
      </c>
      <c r="W33" s="418"/>
      <c r="X33" s="335"/>
      <c r="Y33" s="417"/>
      <c r="Z33" s="417"/>
      <c r="AA33" s="339"/>
      <c r="AB33" s="334"/>
      <c r="AC33" s="335">
        <v>0.9</v>
      </c>
      <c r="AD33" s="336">
        <v>2.259999999999998</v>
      </c>
      <c r="AE33" s="336">
        <f t="shared" si="4"/>
        <v>-7.999999999999996E-2</v>
      </c>
      <c r="AF33" s="336"/>
      <c r="AG33" s="337"/>
      <c r="AH33" s="337"/>
      <c r="AI33" s="337"/>
      <c r="AJ33" s="337"/>
      <c r="AK33" s="337">
        <f>AE33-(AG33*$E$25)-(AH33*$E$11)-(AI33*$E$12)-(AJ33*$E$13)</f>
        <v>-7.999999999999996E-2</v>
      </c>
      <c r="AL33" s="331"/>
      <c r="AM33" s="326">
        <v>46</v>
      </c>
      <c r="AN33" s="338"/>
      <c r="AO33" s="340"/>
      <c r="AP33" s="484"/>
      <c r="AQ33" s="484"/>
      <c r="AR33" s="484"/>
      <c r="AS33" s="334"/>
      <c r="AT33" s="335"/>
      <c r="AU33" s="336"/>
      <c r="AV33" s="336">
        <f t="shared" si="3"/>
        <v>-0.75</v>
      </c>
      <c r="AW33" s="337"/>
      <c r="AX33" s="337"/>
      <c r="AY33" s="337"/>
      <c r="AZ33" s="337"/>
      <c r="BA33" s="337"/>
      <c r="BB33" s="337"/>
    </row>
    <row r="34" spans="1:54" ht="14.4" x14ac:dyDescent="0.3">
      <c r="B34" s="331"/>
      <c r="C34" s="333"/>
      <c r="D34" s="423"/>
      <c r="E34" s="335"/>
      <c r="F34" s="417"/>
      <c r="G34" s="417"/>
      <c r="H34" s="424"/>
      <c r="I34" s="419"/>
      <c r="J34" s="335">
        <f t="shared" si="1"/>
        <v>0</v>
      </c>
      <c r="K34" s="420"/>
      <c r="L34" s="420"/>
      <c r="M34" s="336">
        <f t="shared" ref="M34:M37" si="9">J34-$E$4-$E$14</f>
        <v>-0.98</v>
      </c>
      <c r="N34" s="336"/>
      <c r="O34" s="337"/>
      <c r="P34" s="337"/>
      <c r="Q34" s="337"/>
      <c r="R34" s="337"/>
      <c r="S34" s="337"/>
      <c r="T34" s="337">
        <f>M34-(O34*$E$10)-(P34*$E$11)-(Q34*$E$12)-(R34*$E$13)</f>
        <v>-0.98</v>
      </c>
      <c r="U34" s="331"/>
      <c r="V34" s="333">
        <v>27</v>
      </c>
      <c r="W34" s="418"/>
      <c r="X34" s="335"/>
      <c r="Y34" s="417"/>
      <c r="Z34" s="417"/>
      <c r="AA34" s="339"/>
      <c r="AB34" s="334"/>
      <c r="AC34" s="335">
        <v>1.05</v>
      </c>
      <c r="AD34" s="336">
        <v>1.9600000000000009</v>
      </c>
      <c r="AE34" s="336">
        <f t="shared" si="4"/>
        <v>7.0000000000000062E-2</v>
      </c>
      <c r="AF34" s="336"/>
      <c r="AG34" s="337"/>
      <c r="AH34" s="337"/>
      <c r="AI34" s="337"/>
      <c r="AJ34" s="337"/>
      <c r="AK34" s="337">
        <f t="shared" ref="AK34:AK39" si="10">AE34-(AG34*$E$25)-(AH34*$E$11)-(AI34*$E$12)-(AJ34*$E$13)</f>
        <v>7.0000000000000062E-2</v>
      </c>
      <c r="AL34" s="331"/>
      <c r="AM34" s="333">
        <v>47</v>
      </c>
      <c r="AN34" s="338"/>
      <c r="AO34" s="340"/>
      <c r="AP34" s="333"/>
      <c r="AQ34" s="333"/>
      <c r="AR34" s="333"/>
      <c r="AS34" s="334"/>
      <c r="AT34" s="335"/>
      <c r="AU34" s="336"/>
      <c r="AV34" s="336">
        <f t="shared" si="3"/>
        <v>-0.75</v>
      </c>
      <c r="AW34" s="337"/>
      <c r="AX34" s="337"/>
      <c r="AY34" s="337"/>
      <c r="AZ34" s="337"/>
      <c r="BA34" s="337"/>
      <c r="BB34" s="337"/>
    </row>
    <row r="35" spans="1:54" ht="14.4" x14ac:dyDescent="0.3">
      <c r="B35" s="331"/>
      <c r="C35" s="333"/>
      <c r="D35" s="423"/>
      <c r="E35" s="335"/>
      <c r="F35" s="417"/>
      <c r="G35" s="417"/>
      <c r="H35" s="424"/>
      <c r="I35" s="419"/>
      <c r="J35" s="335">
        <f t="shared" si="1"/>
        <v>0</v>
      </c>
      <c r="K35" s="420"/>
      <c r="L35" s="420"/>
      <c r="M35" s="336">
        <f t="shared" si="9"/>
        <v>-0.98</v>
      </c>
      <c r="N35" s="336"/>
      <c r="O35" s="337"/>
      <c r="P35" s="337"/>
      <c r="Q35" s="337"/>
      <c r="R35" s="337"/>
      <c r="S35" s="337"/>
      <c r="T35" s="337">
        <f t="shared" si="8"/>
        <v>-0.98</v>
      </c>
      <c r="U35" s="331"/>
      <c r="V35" s="333">
        <v>28</v>
      </c>
      <c r="W35" s="418"/>
      <c r="X35" s="335"/>
      <c r="Y35" s="417"/>
      <c r="Z35" s="417"/>
      <c r="AA35" s="417"/>
      <c r="AB35" s="334"/>
      <c r="AC35" s="335">
        <v>1.62</v>
      </c>
      <c r="AD35" s="336">
        <v>2.1000000000000014</v>
      </c>
      <c r="AE35" s="336">
        <f t="shared" si="4"/>
        <v>0.64</v>
      </c>
      <c r="AG35" s="337"/>
      <c r="AH35" s="337"/>
      <c r="AI35" s="337"/>
      <c r="AJ35" s="337"/>
      <c r="AK35" s="337">
        <f t="shared" si="10"/>
        <v>0.64</v>
      </c>
      <c r="AL35" s="331"/>
      <c r="AM35" s="326">
        <v>48</v>
      </c>
      <c r="AN35" s="338"/>
      <c r="AO35" s="340"/>
      <c r="AP35" s="333"/>
      <c r="AQ35" s="333"/>
      <c r="AR35" s="339"/>
      <c r="AS35" s="334"/>
      <c r="AT35" s="335"/>
      <c r="AU35" s="336"/>
      <c r="AV35" s="336">
        <f t="shared" si="3"/>
        <v>-0.75</v>
      </c>
      <c r="AW35" s="337"/>
      <c r="AX35" s="337"/>
      <c r="AY35" s="337"/>
      <c r="AZ35" s="337"/>
      <c r="BA35" s="337"/>
      <c r="BB35" s="337"/>
    </row>
    <row r="36" spans="1:54" ht="14.4" x14ac:dyDescent="0.3">
      <c r="B36" s="331"/>
      <c r="C36" s="333"/>
      <c r="D36" s="423"/>
      <c r="E36" s="335"/>
      <c r="F36" s="424"/>
      <c r="G36" s="424"/>
      <c r="H36" s="424"/>
      <c r="I36" s="419"/>
      <c r="J36" s="335">
        <f t="shared" si="1"/>
        <v>0</v>
      </c>
      <c r="K36" s="420"/>
      <c r="L36" s="420"/>
      <c r="M36" s="336">
        <f t="shared" si="9"/>
        <v>-0.98</v>
      </c>
      <c r="N36" s="336"/>
      <c r="O36" s="337"/>
      <c r="P36" s="337"/>
      <c r="Q36" s="337"/>
      <c r="R36" s="337"/>
      <c r="S36" s="337"/>
      <c r="T36" s="337">
        <f t="shared" si="8"/>
        <v>-0.98</v>
      </c>
      <c r="U36" s="341"/>
      <c r="V36" s="333">
        <v>29</v>
      </c>
      <c r="W36" s="418"/>
      <c r="X36" s="335"/>
      <c r="Y36" s="417"/>
      <c r="Z36" s="417"/>
      <c r="AA36" s="417"/>
      <c r="AB36" s="334"/>
      <c r="AC36" s="335">
        <v>0.86</v>
      </c>
      <c r="AD36" s="336">
        <v>2.1000000000000014</v>
      </c>
      <c r="AE36" s="336">
        <f t="shared" si="4"/>
        <v>-0.12</v>
      </c>
      <c r="AF36" s="336"/>
      <c r="AG36" s="337"/>
      <c r="AH36" s="337"/>
      <c r="AI36" s="337"/>
      <c r="AJ36" s="337"/>
      <c r="AK36" s="337">
        <f t="shared" si="10"/>
        <v>-0.12</v>
      </c>
      <c r="AL36" s="341"/>
      <c r="AN36" s="338"/>
      <c r="AO36" s="333"/>
      <c r="AP36" s="333"/>
      <c r="AQ36" s="333"/>
      <c r="AR36" s="333"/>
      <c r="AS36" s="333"/>
      <c r="AT36" s="343"/>
      <c r="AU36" s="336"/>
      <c r="AV36" s="336"/>
      <c r="AW36" s="336"/>
      <c r="AX36" s="337"/>
      <c r="AY36" s="337"/>
      <c r="AZ36" s="337"/>
      <c r="BA36" s="337"/>
      <c r="BB36" s="337"/>
    </row>
    <row r="37" spans="1:54" ht="14.4" x14ac:dyDescent="0.3">
      <c r="A37" s="432"/>
      <c r="B37" s="331"/>
      <c r="C37" s="333"/>
      <c r="D37" s="423"/>
      <c r="E37" s="335"/>
      <c r="F37" s="424"/>
      <c r="G37" s="424"/>
      <c r="H37" s="424"/>
      <c r="I37" s="419"/>
      <c r="J37" s="335">
        <f t="shared" si="1"/>
        <v>0</v>
      </c>
      <c r="K37" s="420"/>
      <c r="L37" s="420"/>
      <c r="M37" s="336">
        <f t="shared" si="9"/>
        <v>-0.98</v>
      </c>
      <c r="N37" s="336"/>
      <c r="O37" s="337"/>
      <c r="P37" s="337"/>
      <c r="Q37" s="337"/>
      <c r="R37" s="337"/>
      <c r="S37" s="337"/>
      <c r="T37" s="337">
        <f t="shared" si="8"/>
        <v>-0.98</v>
      </c>
      <c r="U37" s="341"/>
      <c r="V37" s="333">
        <v>30</v>
      </c>
      <c r="W37" s="418"/>
      <c r="X37" s="335"/>
      <c r="Y37" s="417"/>
      <c r="Z37" s="417"/>
      <c r="AA37" s="339"/>
      <c r="AB37" s="334"/>
      <c r="AC37" s="335">
        <v>0.86</v>
      </c>
      <c r="AD37" s="336">
        <v>2.1000000000000014</v>
      </c>
      <c r="AE37" s="336">
        <f t="shared" si="4"/>
        <v>-0.12</v>
      </c>
      <c r="AF37" s="336"/>
      <c r="AG37" s="337"/>
      <c r="AH37" s="337"/>
      <c r="AI37" s="337"/>
      <c r="AJ37" s="337"/>
      <c r="AK37" s="337">
        <f t="shared" si="10"/>
        <v>-0.12</v>
      </c>
      <c r="AL37" s="341"/>
      <c r="AN37" s="338"/>
      <c r="AO37" s="333"/>
      <c r="AP37" s="333"/>
      <c r="AQ37" s="333"/>
      <c r="AR37" s="333"/>
      <c r="AS37" s="333"/>
      <c r="AT37" s="343"/>
      <c r="AU37" s="336"/>
      <c r="AV37" s="336"/>
      <c r="AW37" s="336"/>
      <c r="AX37" s="337"/>
      <c r="AY37" s="337"/>
      <c r="AZ37" s="337"/>
      <c r="BA37" s="337"/>
      <c r="BB37" s="337"/>
    </row>
    <row r="38" spans="1:54" ht="14.4" x14ac:dyDescent="0.3">
      <c r="B38" s="331"/>
      <c r="C38" s="333"/>
      <c r="D38" s="423"/>
      <c r="E38" s="335"/>
      <c r="F38" s="424"/>
      <c r="G38" s="424"/>
      <c r="H38" s="424"/>
      <c r="I38" s="417"/>
      <c r="J38" s="335">
        <f t="shared" si="1"/>
        <v>0</v>
      </c>
      <c r="K38" s="420"/>
      <c r="L38" s="420"/>
      <c r="M38" s="336">
        <f>J38-$E$4-$E$14</f>
        <v>-0.98</v>
      </c>
      <c r="O38" s="337"/>
      <c r="P38" s="337"/>
      <c r="Q38" s="337"/>
      <c r="R38" s="337"/>
      <c r="T38" s="337">
        <f t="shared" si="0"/>
        <v>-0.98</v>
      </c>
      <c r="U38" s="341"/>
      <c r="V38" s="333">
        <v>31</v>
      </c>
      <c r="W38" s="418"/>
      <c r="X38" s="335"/>
      <c r="Y38" s="417"/>
      <c r="Z38" s="417"/>
      <c r="AA38" s="339"/>
      <c r="AB38" s="334"/>
      <c r="AC38" s="335">
        <v>0.95</v>
      </c>
      <c r="AD38" s="336">
        <v>2.1000000000000014</v>
      </c>
      <c r="AE38" s="336">
        <f t="shared" si="4"/>
        <v>-3.0000000000000027E-2</v>
      </c>
      <c r="AF38" s="336"/>
      <c r="AG38" s="337"/>
      <c r="AH38" s="337"/>
      <c r="AI38" s="337"/>
      <c r="AJ38" s="337"/>
      <c r="AK38" s="337">
        <f t="shared" si="10"/>
        <v>-3.0000000000000027E-2</v>
      </c>
      <c r="AL38" s="341"/>
      <c r="AN38" s="338"/>
    </row>
    <row r="39" spans="1:54" ht="14.4" x14ac:dyDescent="0.3">
      <c r="B39" s="331"/>
      <c r="C39" s="333"/>
      <c r="D39" s="423"/>
      <c r="E39" s="335"/>
      <c r="F39" s="424"/>
      <c r="G39" s="424"/>
      <c r="H39" s="424"/>
      <c r="I39" s="417"/>
      <c r="J39" s="335">
        <f t="shared" si="1"/>
        <v>0</v>
      </c>
      <c r="K39" s="420"/>
      <c r="L39" s="420"/>
      <c r="M39" s="336">
        <f t="shared" ref="M39:M43" si="11">J39-$E$4-$E$6-$E$19</f>
        <v>-1.4550000000000001</v>
      </c>
      <c r="O39" s="337"/>
      <c r="P39" s="337"/>
      <c r="Q39" s="337"/>
      <c r="R39" s="337"/>
      <c r="T39" s="337">
        <f>M39-(O39*$E$10)-(P39*$E$11)-(Q39*$E$12)-(R39*$E$13)</f>
        <v>-1.4550000000000001</v>
      </c>
      <c r="U39" s="341"/>
      <c r="V39" s="333">
        <v>32</v>
      </c>
      <c r="W39" s="418"/>
      <c r="X39" s="335"/>
      <c r="Y39" s="417"/>
      <c r="Z39" s="417"/>
      <c r="AA39" s="339"/>
      <c r="AB39" s="334"/>
      <c r="AC39" s="335">
        <v>1.01</v>
      </c>
      <c r="AD39" s="336">
        <v>2.1000000000000014</v>
      </c>
      <c r="AE39" s="336">
        <f t="shared" si="4"/>
        <v>3.0000000000000027E-2</v>
      </c>
      <c r="AF39" s="336"/>
      <c r="AG39" s="337"/>
      <c r="AH39" s="337"/>
      <c r="AI39" s="337"/>
      <c r="AJ39" s="337"/>
      <c r="AK39" s="337">
        <f t="shared" si="10"/>
        <v>3.0000000000000027E-2</v>
      </c>
      <c r="AL39" s="341"/>
      <c r="AN39" s="338"/>
    </row>
    <row r="40" spans="1:54" ht="14.4" x14ac:dyDescent="0.3">
      <c r="B40" s="331"/>
      <c r="C40" s="333"/>
      <c r="D40" s="423"/>
      <c r="E40" s="335"/>
      <c r="F40" s="424"/>
      <c r="G40" s="424"/>
      <c r="H40" s="424"/>
      <c r="I40" s="419"/>
      <c r="J40" s="335">
        <f t="shared" si="1"/>
        <v>0</v>
      </c>
      <c r="K40" s="420"/>
      <c r="L40" s="420"/>
      <c r="M40" s="336">
        <f t="shared" si="11"/>
        <v>-1.4550000000000001</v>
      </c>
      <c r="O40" s="337"/>
      <c r="P40" s="337"/>
      <c r="Q40" s="337"/>
      <c r="R40" s="337"/>
      <c r="S40" s="337"/>
      <c r="T40" s="337">
        <f>M40-(O40*$E$25)-(P40*$E$11)-(Q40*$E$12)-(R40*$E$13)</f>
        <v>-1.4550000000000001</v>
      </c>
      <c r="U40" s="341"/>
      <c r="V40" s="333">
        <v>33</v>
      </c>
      <c r="W40" s="418"/>
      <c r="X40" s="335"/>
      <c r="Y40" s="417"/>
      <c r="Z40" s="417"/>
      <c r="AA40" s="339"/>
      <c r="AB40" s="334"/>
      <c r="AC40" s="335">
        <v>1.05</v>
      </c>
      <c r="AD40" s="336">
        <v>2.1000000000000014</v>
      </c>
      <c r="AE40" s="336">
        <f t="shared" si="4"/>
        <v>7.0000000000000062E-2</v>
      </c>
      <c r="AF40" s="336"/>
      <c r="AG40" s="337"/>
      <c r="AH40" s="337"/>
      <c r="AI40" s="337"/>
      <c r="AJ40" s="337"/>
      <c r="AK40" s="337">
        <f>AE40-(AG40*$E$10)-(AH40*$E$11)-(AI40*$E$12)-(AJ40*$E$13)</f>
        <v>7.0000000000000062E-2</v>
      </c>
      <c r="AL40" s="341"/>
      <c r="AN40" s="338"/>
    </row>
    <row r="41" spans="1:54" ht="14.4" x14ac:dyDescent="0.3">
      <c r="B41" s="331"/>
      <c r="C41" s="333"/>
      <c r="D41" s="423"/>
      <c r="E41" s="335"/>
      <c r="F41" s="424"/>
      <c r="G41" s="424"/>
      <c r="H41" s="424"/>
      <c r="I41" s="419"/>
      <c r="J41" s="335">
        <f t="shared" si="1"/>
        <v>0</v>
      </c>
      <c r="K41" s="420"/>
      <c r="L41" s="420"/>
      <c r="M41" s="336">
        <f t="shared" si="11"/>
        <v>-1.4550000000000001</v>
      </c>
      <c r="O41" s="337"/>
      <c r="P41" s="337"/>
      <c r="Q41" s="337"/>
      <c r="R41" s="337"/>
      <c r="T41" s="337">
        <f>M41-(O41*$E$10)-(P41*$E$11)-(Q41*$E$12)-(R41*$E$13)</f>
        <v>-1.4550000000000001</v>
      </c>
      <c r="U41" s="341"/>
      <c r="V41" s="333">
        <v>34</v>
      </c>
      <c r="W41" s="418"/>
      <c r="X41" s="335"/>
      <c r="Y41" s="417"/>
      <c r="Z41" s="417"/>
      <c r="AA41" s="417"/>
      <c r="AB41" s="334"/>
      <c r="AC41" s="335">
        <v>1.51</v>
      </c>
      <c r="AD41" s="336">
        <v>2.1000000000000014</v>
      </c>
      <c r="AE41" s="336">
        <f t="shared" si="4"/>
        <v>0.52999999999999992</v>
      </c>
      <c r="AG41" s="337"/>
      <c r="AH41" s="337"/>
      <c r="AI41" s="337"/>
      <c r="AJ41" s="337"/>
      <c r="AK41" s="337">
        <f>AE41-(AG41*$E$25)-(AH41*$E$11)-(AI41*$E$12)-(AJ41*$E$13)</f>
        <v>0.52999999999999992</v>
      </c>
      <c r="AL41" s="341"/>
      <c r="AN41" s="338"/>
    </row>
    <row r="42" spans="1:54" ht="14.4" x14ac:dyDescent="0.3">
      <c r="B42" s="331"/>
      <c r="C42" s="333"/>
      <c r="D42" s="423"/>
      <c r="E42" s="335"/>
      <c r="F42" s="417"/>
      <c r="G42" s="417"/>
      <c r="H42" s="424"/>
      <c r="I42" s="419"/>
      <c r="J42" s="335">
        <f t="shared" si="1"/>
        <v>0</v>
      </c>
      <c r="K42" s="420"/>
      <c r="L42" s="420"/>
      <c r="M42" s="336">
        <f>J42-$E$4-$E$14</f>
        <v>-0.98</v>
      </c>
      <c r="O42" s="337"/>
      <c r="P42" s="337"/>
      <c r="Q42" s="337"/>
      <c r="R42" s="337"/>
      <c r="T42" s="337">
        <f>M42-(O42*$E$10)-(P42*$E$11)-(Q42*$E$12)-(R42*$E$13)</f>
        <v>-0.98</v>
      </c>
      <c r="U42" s="331"/>
      <c r="V42" s="333">
        <v>35</v>
      </c>
      <c r="W42" s="418"/>
      <c r="X42" s="335"/>
      <c r="Y42" s="417"/>
      <c r="Z42" s="417"/>
      <c r="AA42" s="417"/>
      <c r="AB42" s="334"/>
      <c r="AC42" s="335">
        <v>1.25</v>
      </c>
      <c r="AD42" s="336">
        <v>2.1000000000000014</v>
      </c>
      <c r="AE42" s="336">
        <f t="shared" ref="AE42:AE46" si="12">AC42-$E$4-$E$14</f>
        <v>0.26999999999999991</v>
      </c>
      <c r="AF42" s="336"/>
      <c r="AG42" s="342"/>
      <c r="AH42" s="342"/>
      <c r="AI42" s="342"/>
      <c r="AJ42" s="342"/>
      <c r="AK42" s="337">
        <f t="shared" ref="AK42:AK47" si="13">AE42-(AG42*$E$10)-(AH42*$E$11)-(AI42*$E$12)-(AJ42*$E$13)</f>
        <v>0.26999999999999991</v>
      </c>
      <c r="AL42" s="331"/>
      <c r="AN42" s="338"/>
    </row>
    <row r="43" spans="1:54" ht="14.4" x14ac:dyDescent="0.3">
      <c r="B43" s="331"/>
      <c r="C43" s="333"/>
      <c r="D43" s="423"/>
      <c r="E43" s="335"/>
      <c r="F43" s="424"/>
      <c r="G43" s="424"/>
      <c r="H43" s="424"/>
      <c r="I43" s="417"/>
      <c r="J43" s="335">
        <f t="shared" si="1"/>
        <v>0</v>
      </c>
      <c r="K43" s="420"/>
      <c r="L43" s="420"/>
      <c r="M43" s="336">
        <f t="shared" si="11"/>
        <v>-1.4550000000000001</v>
      </c>
      <c r="O43" s="337"/>
      <c r="P43" s="337"/>
      <c r="Q43" s="337"/>
      <c r="R43" s="337"/>
      <c r="T43" s="337">
        <f>M43-(O43*$E$10)-(P43*$E$11)-(Q43*$E$12)-(R43*$E$13)</f>
        <v>-1.4550000000000001</v>
      </c>
      <c r="U43" s="331"/>
      <c r="V43" s="333">
        <v>36</v>
      </c>
      <c r="W43" s="418"/>
      <c r="X43" s="335"/>
      <c r="Y43" s="417"/>
      <c r="Z43" s="417"/>
      <c r="AA43" s="417"/>
      <c r="AB43" s="334"/>
      <c r="AC43" s="335">
        <v>1.28</v>
      </c>
      <c r="AD43" s="336">
        <v>2.1000000000000014</v>
      </c>
      <c r="AE43" s="336">
        <f t="shared" si="12"/>
        <v>0.29999999999999993</v>
      </c>
      <c r="AF43" s="336"/>
      <c r="AG43" s="342"/>
      <c r="AH43" s="342"/>
      <c r="AI43" s="342"/>
      <c r="AJ43" s="342"/>
      <c r="AK43" s="337">
        <f t="shared" si="13"/>
        <v>0.29999999999999993</v>
      </c>
      <c r="AL43" s="331"/>
      <c r="AN43" s="338"/>
    </row>
    <row r="44" spans="1:54" ht="14.4" x14ac:dyDescent="0.3">
      <c r="B44" s="331"/>
      <c r="C44" s="333"/>
      <c r="D44" s="423"/>
      <c r="E44" s="335"/>
      <c r="F44" s="424"/>
      <c r="G44" s="424"/>
      <c r="H44" s="424"/>
      <c r="I44" s="419"/>
      <c r="J44" s="335">
        <f t="shared" si="1"/>
        <v>0</v>
      </c>
      <c r="K44" s="336"/>
      <c r="L44" s="336"/>
      <c r="M44" s="336">
        <f>J44-$E$14-$E$4</f>
        <v>-0.98</v>
      </c>
      <c r="O44" s="337"/>
      <c r="P44" s="337"/>
      <c r="Q44" s="337"/>
      <c r="R44" s="337"/>
      <c r="T44" s="337">
        <f t="shared" si="8"/>
        <v>-0.98</v>
      </c>
      <c r="U44" s="341"/>
      <c r="V44" s="333">
        <v>37</v>
      </c>
      <c r="W44" s="418"/>
      <c r="X44" s="335"/>
      <c r="Y44" s="417"/>
      <c r="Z44" s="417"/>
      <c r="AA44" s="417"/>
      <c r="AB44" s="334"/>
      <c r="AC44" s="335">
        <v>1.43</v>
      </c>
      <c r="AD44" s="336">
        <v>2.1000000000000014</v>
      </c>
      <c r="AE44" s="336">
        <f t="shared" si="12"/>
        <v>0.44999999999999984</v>
      </c>
      <c r="AF44" s="336"/>
      <c r="AG44" s="337"/>
      <c r="AH44" s="337"/>
      <c r="AI44" s="337"/>
      <c r="AJ44" s="337"/>
      <c r="AK44" s="337">
        <f t="shared" si="13"/>
        <v>0.44999999999999984</v>
      </c>
      <c r="AL44" s="341"/>
      <c r="AN44" s="338"/>
    </row>
    <row r="45" spans="1:54" ht="14.4" x14ac:dyDescent="0.3">
      <c r="B45" s="331"/>
      <c r="C45" s="333"/>
      <c r="D45" s="418"/>
      <c r="E45" s="335"/>
      <c r="F45" s="424"/>
      <c r="G45" s="424"/>
      <c r="H45" s="433"/>
      <c r="I45" s="343"/>
      <c r="J45" s="335">
        <f t="shared" si="1"/>
        <v>0</v>
      </c>
      <c r="K45" s="336"/>
      <c r="L45" s="336"/>
      <c r="M45" s="336">
        <f>J45-$E$4-$E$14</f>
        <v>-0.98</v>
      </c>
      <c r="O45" s="337"/>
      <c r="P45" s="337"/>
      <c r="Q45" s="337"/>
      <c r="R45" s="337"/>
      <c r="T45" s="337">
        <f t="shared" si="0"/>
        <v>-0.98</v>
      </c>
      <c r="U45" s="331"/>
      <c r="V45" s="333"/>
      <c r="W45" s="338"/>
      <c r="X45" s="335"/>
      <c r="Y45" s="417"/>
      <c r="Z45" s="417"/>
      <c r="AA45" s="417"/>
      <c r="AB45" s="334"/>
      <c r="AC45" s="335">
        <v>1.43</v>
      </c>
      <c r="AD45" s="336">
        <v>2.1000000000000014</v>
      </c>
      <c r="AE45" s="336">
        <f t="shared" si="12"/>
        <v>0.44999999999999984</v>
      </c>
      <c r="AF45" s="336"/>
      <c r="AG45" s="342"/>
      <c r="AH45" s="342"/>
      <c r="AI45" s="342"/>
      <c r="AJ45" s="342"/>
      <c r="AK45" s="337">
        <f t="shared" si="13"/>
        <v>0.44999999999999984</v>
      </c>
      <c r="AL45" s="331"/>
      <c r="AN45" s="338"/>
    </row>
    <row r="46" spans="1:54" ht="14.4" x14ac:dyDescent="0.3">
      <c r="B46" s="331"/>
      <c r="C46" s="333"/>
      <c r="D46" s="418"/>
      <c r="E46" s="335"/>
      <c r="F46" s="424"/>
      <c r="G46" s="433"/>
      <c r="H46" s="433"/>
      <c r="I46" s="419"/>
      <c r="J46" s="335">
        <f t="shared" si="1"/>
        <v>0</v>
      </c>
      <c r="K46" s="336"/>
      <c r="L46" s="336"/>
      <c r="M46" s="336">
        <f>J46-$E$4-$E$14</f>
        <v>-0.98</v>
      </c>
      <c r="O46" s="337"/>
      <c r="P46" s="337"/>
      <c r="Q46" s="337"/>
      <c r="R46" s="337"/>
      <c r="S46" s="341"/>
      <c r="T46" s="337">
        <f t="shared" si="0"/>
        <v>-0.98</v>
      </c>
      <c r="U46" s="331"/>
      <c r="V46" s="333">
        <v>38</v>
      </c>
      <c r="W46" s="418"/>
      <c r="X46" s="333"/>
      <c r="Y46" s="417"/>
      <c r="Z46" s="417"/>
      <c r="AA46" s="417"/>
      <c r="AB46" s="334"/>
      <c r="AC46" s="335">
        <v>1.38</v>
      </c>
      <c r="AD46" s="336">
        <v>2.1000000000000014</v>
      </c>
      <c r="AE46" s="336">
        <f t="shared" si="12"/>
        <v>0.3999999999999998</v>
      </c>
      <c r="AF46" s="336"/>
      <c r="AG46" s="337"/>
      <c r="AH46" s="337"/>
      <c r="AI46" s="337"/>
      <c r="AJ46" s="337"/>
      <c r="AK46" s="337">
        <f t="shared" si="13"/>
        <v>0.3999999999999998</v>
      </c>
      <c r="AL46" s="331"/>
      <c r="AM46" s="333"/>
      <c r="AN46" s="338"/>
      <c r="AO46" s="333"/>
      <c r="AP46" s="333"/>
      <c r="AQ46" s="333"/>
      <c r="AR46" s="333"/>
      <c r="AS46" s="333"/>
      <c r="AT46" s="343"/>
      <c r="AU46" s="336"/>
      <c r="AV46" s="336"/>
      <c r="AW46" s="336"/>
      <c r="AX46" s="337"/>
      <c r="AY46" s="337"/>
      <c r="AZ46" s="337"/>
      <c r="BA46" s="337"/>
      <c r="BB46" s="337"/>
    </row>
    <row r="47" spans="1:54" ht="14.4" x14ac:dyDescent="0.3">
      <c r="B47" s="331"/>
      <c r="C47" s="333"/>
      <c r="D47" s="418"/>
      <c r="E47" s="335"/>
      <c r="F47" s="417"/>
      <c r="G47" s="417"/>
      <c r="H47" s="417"/>
      <c r="I47" s="343"/>
      <c r="J47" s="335">
        <f t="shared" si="1"/>
        <v>0</v>
      </c>
      <c r="K47" s="336"/>
      <c r="L47" s="336"/>
      <c r="M47" s="336">
        <f>J47-$E$3-$E$9</f>
        <v>-0.65500000000000003</v>
      </c>
      <c r="N47" s="337"/>
      <c r="O47" s="337"/>
      <c r="Q47" s="381"/>
      <c r="S47" s="341"/>
      <c r="T47" s="337">
        <f>M47-(O47*$E$10)-(P47*$E$11)-(Q47*$E$12)-(R47*$E$13)</f>
        <v>-0.65500000000000003</v>
      </c>
      <c r="U47" s="331"/>
      <c r="V47" s="333">
        <v>39</v>
      </c>
      <c r="W47" s="418"/>
      <c r="X47" s="333"/>
      <c r="Y47" s="417"/>
      <c r="Z47" s="417"/>
      <c r="AA47" s="417"/>
      <c r="AB47" s="334"/>
      <c r="AC47" s="335">
        <v>1.4</v>
      </c>
      <c r="AD47" s="336">
        <v>2.1000000000000014</v>
      </c>
      <c r="AE47" s="336">
        <f>AC47-0.045-$E$14</f>
        <v>0.45499999999999996</v>
      </c>
      <c r="AG47" s="337"/>
      <c r="AH47" s="337"/>
      <c r="AI47" s="337"/>
      <c r="AJ47" s="337"/>
      <c r="AK47" s="337">
        <f t="shared" si="13"/>
        <v>0.45499999999999996</v>
      </c>
      <c r="AL47" s="331"/>
      <c r="AM47" s="333"/>
      <c r="AN47" s="338"/>
      <c r="AO47" s="333"/>
      <c r="AP47" s="333"/>
      <c r="AQ47" s="333"/>
      <c r="AR47" s="333"/>
      <c r="AS47" s="333"/>
      <c r="AT47" s="343"/>
      <c r="AU47" s="336"/>
      <c r="AV47" s="336"/>
      <c r="AW47" s="336"/>
      <c r="AX47" s="337"/>
      <c r="AY47" s="337"/>
      <c r="AZ47" s="337"/>
      <c r="BA47" s="337"/>
      <c r="BB47" s="337"/>
    </row>
    <row r="48" spans="1:54" ht="14.4" x14ac:dyDescent="0.3">
      <c r="B48" s="331"/>
      <c r="C48" s="333"/>
      <c r="D48" s="338"/>
      <c r="E48" s="335"/>
      <c r="F48" s="417"/>
      <c r="G48" s="417"/>
      <c r="H48" s="417"/>
      <c r="I48" s="343"/>
      <c r="J48" s="336"/>
      <c r="K48" s="336"/>
      <c r="L48" s="336"/>
      <c r="M48" s="336"/>
      <c r="N48" s="337"/>
      <c r="S48" s="341"/>
      <c r="T48" s="341"/>
      <c r="V48" s="333"/>
      <c r="W48" s="338"/>
      <c r="X48" s="333"/>
      <c r="Y48" s="333"/>
      <c r="Z48" s="333"/>
      <c r="AA48" s="339"/>
      <c r="AB48" s="343"/>
      <c r="AC48" s="335"/>
      <c r="AD48" s="336"/>
      <c r="AE48" s="336"/>
      <c r="AF48" s="336"/>
      <c r="AG48" s="337"/>
      <c r="AH48" s="337"/>
      <c r="AI48" s="337"/>
      <c r="AJ48" s="337"/>
      <c r="AK48" s="337"/>
      <c r="AM48" s="333"/>
      <c r="AN48" s="338"/>
      <c r="AO48" s="333"/>
      <c r="AP48" s="333"/>
      <c r="AQ48" s="333"/>
      <c r="AR48" s="333"/>
      <c r="AS48" s="333"/>
      <c r="AT48" s="343"/>
      <c r="AU48" s="336"/>
      <c r="AV48" s="336"/>
      <c r="AW48" s="336"/>
      <c r="AX48" s="337"/>
      <c r="AY48" s="337"/>
      <c r="AZ48" s="337"/>
      <c r="BA48" s="337"/>
      <c r="BB48" s="337"/>
    </row>
    <row r="49" spans="2:54" ht="14.4" x14ac:dyDescent="0.3">
      <c r="B49" s="331"/>
      <c r="C49" s="333"/>
      <c r="D49" s="338"/>
      <c r="E49" s="335"/>
      <c r="F49" s="333"/>
      <c r="G49" s="333"/>
      <c r="H49" s="333"/>
      <c r="I49" s="343"/>
      <c r="J49" s="336"/>
      <c r="K49" s="336"/>
      <c r="L49" s="336"/>
      <c r="M49" s="336"/>
      <c r="N49" s="337"/>
      <c r="S49" s="341"/>
      <c r="T49" s="341"/>
      <c r="V49" s="333"/>
      <c r="W49" s="338"/>
      <c r="X49" s="333"/>
      <c r="Y49" s="333"/>
      <c r="Z49" s="333"/>
      <c r="AA49" s="339"/>
      <c r="AB49" s="343"/>
      <c r="AC49" s="335"/>
      <c r="AD49" s="336"/>
      <c r="AG49" s="337"/>
      <c r="AH49" s="337"/>
      <c r="AI49" s="337"/>
      <c r="AJ49" s="337"/>
      <c r="AK49" s="337"/>
      <c r="AM49" s="333"/>
      <c r="AN49" s="338"/>
      <c r="AO49" s="333"/>
      <c r="AP49" s="333"/>
      <c r="AQ49" s="333"/>
      <c r="AR49" s="333"/>
      <c r="AS49" s="333"/>
      <c r="AT49" s="343"/>
      <c r="AU49" s="336"/>
      <c r="AV49" s="336"/>
      <c r="AW49" s="336"/>
      <c r="AX49" s="337"/>
      <c r="AY49" s="337"/>
      <c r="AZ49" s="337"/>
      <c r="BA49" s="337"/>
      <c r="BB49" s="337"/>
    </row>
    <row r="50" spans="2:54" ht="14.4" x14ac:dyDescent="0.3">
      <c r="C50" s="333"/>
      <c r="D50" s="333"/>
      <c r="E50" s="333"/>
      <c r="F50" s="344"/>
      <c r="G50" s="344"/>
      <c r="H50" s="341"/>
      <c r="I50" s="341"/>
      <c r="J50" s="341"/>
      <c r="K50" s="341"/>
      <c r="L50" s="421" t="s">
        <v>394</v>
      </c>
      <c r="M50" s="345" t="s">
        <v>395</v>
      </c>
      <c r="N50" s="345"/>
      <c r="O50" s="332" t="s">
        <v>381</v>
      </c>
      <c r="P50" s="332" t="s">
        <v>382</v>
      </c>
      <c r="Q50" s="332" t="s">
        <v>383</v>
      </c>
      <c r="R50" s="332" t="s">
        <v>384</v>
      </c>
      <c r="S50" s="332"/>
      <c r="T50" s="341"/>
      <c r="V50" s="333"/>
      <c r="W50" s="333"/>
      <c r="X50" s="333"/>
      <c r="Y50" s="333"/>
      <c r="Z50" s="333"/>
      <c r="AA50" s="333"/>
      <c r="AB50" s="343"/>
      <c r="AC50" s="336"/>
      <c r="AD50" s="336"/>
      <c r="AE50" s="345" t="s">
        <v>396</v>
      </c>
      <c r="AF50" s="345"/>
      <c r="AG50" s="332" t="s">
        <v>381</v>
      </c>
      <c r="AH50" s="332" t="s">
        <v>382</v>
      </c>
      <c r="AI50" s="332" t="s">
        <v>383</v>
      </c>
      <c r="AJ50" s="332" t="s">
        <v>384</v>
      </c>
      <c r="AK50" s="337"/>
      <c r="AM50" s="333"/>
      <c r="AN50" s="333"/>
      <c r="AO50" s="333"/>
      <c r="AP50" s="333"/>
      <c r="AQ50" s="333"/>
      <c r="AR50" s="333"/>
      <c r="AS50" s="333"/>
      <c r="AT50" s="343"/>
      <c r="AU50" s="336"/>
      <c r="AV50" s="336"/>
      <c r="AW50" s="345" t="s">
        <v>396</v>
      </c>
      <c r="AX50" s="332" t="s">
        <v>381</v>
      </c>
      <c r="AY50" s="332" t="s">
        <v>382</v>
      </c>
      <c r="AZ50" s="332" t="s">
        <v>383</v>
      </c>
      <c r="BA50" s="332" t="s">
        <v>384</v>
      </c>
      <c r="BB50" s="337"/>
    </row>
    <row r="51" spans="2:54" x14ac:dyDescent="0.25">
      <c r="J51" s="346"/>
      <c r="M51" s="323"/>
      <c r="N51" s="323"/>
      <c r="O51" s="380"/>
      <c r="P51" s="347"/>
      <c r="Q51" s="347"/>
      <c r="R51" s="347"/>
      <c r="S51" s="347"/>
      <c r="AB51" s="348" t="s">
        <v>397</v>
      </c>
      <c r="AC51" s="346" t="s">
        <v>398</v>
      </c>
      <c r="AE51" s="323"/>
      <c r="AF51" s="323"/>
      <c r="AG51" s="349">
        <f>SUM(AG47,AG31,AG40)</f>
        <v>0</v>
      </c>
      <c r="AH51" s="349">
        <f t="shared" ref="AH51:AJ51" si="14">SUM(AH47,AH31,AH40)</f>
        <v>0</v>
      </c>
      <c r="AI51" s="349">
        <f t="shared" si="14"/>
        <v>0</v>
      </c>
      <c r="AJ51" s="349">
        <f t="shared" si="14"/>
        <v>0</v>
      </c>
      <c r="AT51" s="348" t="s">
        <v>397</v>
      </c>
      <c r="AU51" s="346" t="s">
        <v>398</v>
      </c>
      <c r="AW51" s="323"/>
      <c r="AX51" s="350"/>
      <c r="AY51" s="350"/>
      <c r="AZ51" s="350"/>
      <c r="BA51" s="350"/>
    </row>
    <row r="52" spans="2:54" x14ac:dyDescent="0.25">
      <c r="I52" s="315"/>
      <c r="J52" s="346" t="s">
        <v>399</v>
      </c>
      <c r="K52" s="351"/>
      <c r="L52" s="381"/>
      <c r="M52" s="323"/>
      <c r="N52" s="348" t="s">
        <v>400</v>
      </c>
      <c r="O52" s="351"/>
      <c r="P52" s="350"/>
      <c r="Q52" s="350"/>
      <c r="R52" s="350"/>
      <c r="S52" s="328"/>
      <c r="AB52" s="315"/>
      <c r="AC52" s="352">
        <v>1050</v>
      </c>
      <c r="AD52" s="351"/>
      <c r="AE52" s="323"/>
      <c r="AF52" s="323"/>
      <c r="AG52" s="350">
        <f>SUM(AG41:AG44,AG32:AG37,AG28)</f>
        <v>0</v>
      </c>
      <c r="AH52" s="350">
        <f>SUM(AH41:AH44,AH32:AH37,AH28)</f>
        <v>0</v>
      </c>
      <c r="AI52" s="350">
        <f t="shared" ref="AI52:AJ52" si="15">SUM(AI41:AI44,AI32:AI37,AI28)</f>
        <v>0</v>
      </c>
      <c r="AJ52" s="350">
        <f t="shared" si="15"/>
        <v>0</v>
      </c>
      <c r="AT52" s="315"/>
      <c r="AU52" s="352">
        <v>1050</v>
      </c>
      <c r="AV52" s="351"/>
      <c r="AW52" s="323">
        <f>COUNTA(AR28:AR29)</f>
        <v>0</v>
      </c>
      <c r="AX52" s="350">
        <f>SUM(AX28:AX29)</f>
        <v>0</v>
      </c>
      <c r="AY52" s="350">
        <f t="shared" ref="AY52:BA52" si="16">SUM(AY28:AY29)</f>
        <v>0</v>
      </c>
      <c r="AZ52" s="350">
        <f t="shared" si="16"/>
        <v>0</v>
      </c>
      <c r="BA52" s="350">
        <f t="shared" si="16"/>
        <v>0</v>
      </c>
    </row>
    <row r="53" spans="2:54" x14ac:dyDescent="0.25">
      <c r="I53" s="315"/>
      <c r="J53" s="346" t="s">
        <v>398</v>
      </c>
      <c r="K53" s="351"/>
      <c r="L53" s="381"/>
      <c r="M53" s="323">
        <f>COUNTA(H46)</f>
        <v>0</v>
      </c>
      <c r="N53" s="348" t="s">
        <v>397</v>
      </c>
      <c r="O53" s="351"/>
      <c r="P53" s="350"/>
      <c r="Q53" s="350"/>
      <c r="R53" s="350"/>
      <c r="S53" s="328"/>
      <c r="AB53" s="315"/>
      <c r="AC53" s="352">
        <v>1200</v>
      </c>
      <c r="AD53" s="351"/>
      <c r="AE53" s="323"/>
      <c r="AF53" s="323"/>
      <c r="AG53" s="323">
        <f>COUNTA(AG38:AG39,AG45)</f>
        <v>0</v>
      </c>
      <c r="AH53" s="323">
        <f t="shared" ref="AH53:AJ53" si="17">COUNTA(AH38:AH39,AH45)</f>
        <v>0</v>
      </c>
      <c r="AI53" s="323">
        <f t="shared" si="17"/>
        <v>0</v>
      </c>
      <c r="AJ53" s="323">
        <f t="shared" si="17"/>
        <v>0</v>
      </c>
      <c r="AT53" s="315"/>
      <c r="AU53" s="352">
        <v>1200</v>
      </c>
      <c r="AV53" s="351"/>
      <c r="AW53" s="323"/>
      <c r="AX53" s="328"/>
      <c r="AY53" s="328"/>
      <c r="AZ53" s="328"/>
      <c r="BA53" s="328"/>
    </row>
    <row r="54" spans="2:54" x14ac:dyDescent="0.25">
      <c r="I54" s="315"/>
      <c r="J54" s="346" t="s">
        <v>401</v>
      </c>
      <c r="K54" s="351"/>
      <c r="L54" s="381"/>
      <c r="M54" s="323">
        <f>COUNTA(H28,H29,H36,H37,H38,H44,H45)</f>
        <v>0</v>
      </c>
      <c r="N54" s="348" t="s">
        <v>397</v>
      </c>
      <c r="O54" s="351">
        <f>COUNTA(O29,O36,O38)</f>
        <v>0</v>
      </c>
      <c r="P54" s="350">
        <f>COUNTA(P36)</f>
        <v>0</v>
      </c>
      <c r="Q54" s="350">
        <f>COUNTA(Q29,Q37,Q38,Q44)</f>
        <v>0</v>
      </c>
      <c r="R54" s="350"/>
      <c r="S54" s="328"/>
      <c r="AB54" s="315"/>
      <c r="AC54" s="352"/>
      <c r="AD54" s="351"/>
      <c r="AE54" s="323"/>
      <c r="AF54" s="323"/>
      <c r="AG54" s="323"/>
      <c r="AH54" s="323"/>
      <c r="AI54" s="323"/>
      <c r="AJ54" s="323"/>
      <c r="AT54" s="315"/>
      <c r="AU54" s="352"/>
      <c r="AV54" s="351"/>
      <c r="AW54" s="323"/>
      <c r="AX54" s="328"/>
      <c r="AY54" s="328"/>
      <c r="AZ54" s="328"/>
      <c r="BA54" s="328"/>
    </row>
    <row r="55" spans="2:54" x14ac:dyDescent="0.25">
      <c r="J55" s="352" t="s">
        <v>392</v>
      </c>
      <c r="K55" s="351"/>
      <c r="L55" s="381"/>
      <c r="M55" s="323"/>
      <c r="N55" s="323" t="s">
        <v>402</v>
      </c>
      <c r="O55" s="350"/>
      <c r="P55" s="350"/>
      <c r="Q55" s="350"/>
      <c r="R55" s="350"/>
    </row>
    <row r="56" spans="2:54" x14ac:dyDescent="0.25">
      <c r="J56" s="352" t="s">
        <v>525</v>
      </c>
      <c r="M56" s="323">
        <f>COUNTA(H30,H31,H32,H39,H40,H41)</f>
        <v>0</v>
      </c>
      <c r="N56" s="323" t="s">
        <v>403</v>
      </c>
      <c r="O56" s="350"/>
      <c r="P56" s="350">
        <f>COUNTA(P32,P39)</f>
        <v>0</v>
      </c>
      <c r="Q56" s="350">
        <f>COUNTA(Q30,Q40)</f>
        <v>0</v>
      </c>
      <c r="R56" s="350">
        <f>COUNTA(R31,R32,R41)</f>
        <v>0</v>
      </c>
    </row>
    <row r="57" spans="2:54" x14ac:dyDescent="0.25">
      <c r="I57" s="485" t="s">
        <v>404</v>
      </c>
      <c r="J57" s="352" t="s">
        <v>524</v>
      </c>
      <c r="M57" s="323"/>
      <c r="N57" s="323" t="s">
        <v>403</v>
      </c>
      <c r="O57" s="351"/>
      <c r="P57" s="351"/>
      <c r="Q57" s="351"/>
      <c r="R57" s="351"/>
      <c r="S57" s="351"/>
      <c r="AB57" s="485" t="s">
        <v>404</v>
      </c>
      <c r="AC57" s="346" t="s">
        <v>399</v>
      </c>
      <c r="AD57" s="354"/>
      <c r="AE57" s="323"/>
      <c r="AF57" s="323"/>
      <c r="AG57" s="351"/>
      <c r="AH57" s="351"/>
      <c r="AI57" s="351"/>
      <c r="AJ57" s="351"/>
      <c r="AT57" s="485" t="s">
        <v>404</v>
      </c>
      <c r="AU57" s="346" t="s">
        <v>399</v>
      </c>
      <c r="AV57" s="354"/>
      <c r="AW57" s="323"/>
      <c r="AX57" s="351"/>
      <c r="AY57" s="351"/>
      <c r="AZ57" s="351"/>
      <c r="BA57" s="351"/>
    </row>
    <row r="58" spans="2:54" x14ac:dyDescent="0.25">
      <c r="I58" s="485"/>
      <c r="J58" s="352">
        <v>2100</v>
      </c>
      <c r="M58" s="323"/>
      <c r="N58" s="323" t="s">
        <v>405</v>
      </c>
      <c r="O58" s="351"/>
      <c r="P58" s="351"/>
      <c r="Q58" s="351"/>
      <c r="R58" s="351"/>
      <c r="S58" s="351"/>
      <c r="AB58" s="485"/>
      <c r="AC58" s="346" t="s">
        <v>398</v>
      </c>
      <c r="AD58" s="351"/>
      <c r="AE58" s="323"/>
      <c r="AF58" s="323"/>
      <c r="AG58" s="351"/>
      <c r="AH58" s="351"/>
      <c r="AI58" s="351"/>
      <c r="AJ58" s="351"/>
      <c r="AT58" s="485"/>
      <c r="AU58" s="346" t="s">
        <v>398</v>
      </c>
      <c r="AV58" s="351"/>
      <c r="AW58" s="323"/>
      <c r="AX58" s="351"/>
      <c r="AY58" s="351"/>
      <c r="AZ58" s="351"/>
      <c r="BA58" s="351"/>
    </row>
    <row r="59" spans="2:54" x14ac:dyDescent="0.25">
      <c r="I59" s="485"/>
      <c r="J59" s="352">
        <v>2100</v>
      </c>
      <c r="M59" s="323"/>
      <c r="N59" s="323" t="s">
        <v>406</v>
      </c>
      <c r="O59" s="351"/>
      <c r="P59" s="351"/>
      <c r="Q59" s="351"/>
      <c r="R59" s="351"/>
      <c r="S59" s="351"/>
      <c r="AB59" s="353"/>
      <c r="AC59" s="352">
        <v>1050</v>
      </c>
      <c r="AD59" s="351"/>
      <c r="AE59" s="323"/>
      <c r="AF59" s="323"/>
      <c r="AG59" s="351"/>
      <c r="AH59" s="351"/>
      <c r="AI59" s="351"/>
      <c r="AJ59" s="351"/>
      <c r="AT59" s="353"/>
      <c r="AU59" s="352">
        <v>1050</v>
      </c>
      <c r="AV59" s="351"/>
      <c r="AW59" s="323"/>
      <c r="AX59" s="351"/>
      <c r="AY59" s="351"/>
      <c r="AZ59" s="351"/>
      <c r="BA59" s="351"/>
    </row>
    <row r="60" spans="2:54" x14ac:dyDescent="0.25">
      <c r="J60" s="352">
        <v>2100</v>
      </c>
      <c r="M60" s="326"/>
      <c r="N60" s="323" t="s">
        <v>407</v>
      </c>
    </row>
    <row r="61" spans="2:54" x14ac:dyDescent="0.25">
      <c r="J61" s="352"/>
      <c r="M61" s="326"/>
      <c r="N61" s="323"/>
    </row>
    <row r="62" spans="2:54" x14ac:dyDescent="0.25">
      <c r="J62" s="352"/>
      <c r="M62" s="326"/>
      <c r="N62" s="323"/>
    </row>
    <row r="63" spans="2:54" x14ac:dyDescent="0.25">
      <c r="O63" t="s">
        <v>408</v>
      </c>
    </row>
    <row r="64" spans="2:54" ht="5.55" customHeight="1" x14ac:dyDescent="0.25">
      <c r="I64" s="355"/>
      <c r="J64" s="355"/>
      <c r="K64" s="355"/>
      <c r="L64" s="355"/>
      <c r="M64" s="355"/>
      <c r="N64" s="355"/>
      <c r="O64" s="355"/>
      <c r="P64" s="355"/>
      <c r="Q64" s="355"/>
      <c r="R64" s="355"/>
    </row>
    <row r="65" spans="9:18" ht="14.4" x14ac:dyDescent="0.3">
      <c r="M65" s="345" t="s">
        <v>395</v>
      </c>
      <c r="N65" s="345"/>
      <c r="O65" s="332" t="s">
        <v>381</v>
      </c>
      <c r="P65" s="332" t="s">
        <v>382</v>
      </c>
      <c r="Q65" s="332" t="s">
        <v>383</v>
      </c>
      <c r="R65" s="332" t="s">
        <v>384</v>
      </c>
    </row>
    <row r="66" spans="9:18" x14ac:dyDescent="0.25">
      <c r="I66" s="486" t="s">
        <v>409</v>
      </c>
      <c r="J66" s="346" t="s">
        <v>398</v>
      </c>
      <c r="M66" s="357"/>
      <c r="N66" s="348" t="s">
        <v>400</v>
      </c>
      <c r="O66" s="328"/>
      <c r="P66" s="328"/>
      <c r="Q66" s="328"/>
      <c r="R66" s="328"/>
    </row>
    <row r="67" spans="9:18" x14ac:dyDescent="0.25">
      <c r="I67" s="486"/>
      <c r="J67" s="346" t="s">
        <v>398</v>
      </c>
      <c r="M67" s="358"/>
      <c r="N67" s="348" t="s">
        <v>397</v>
      </c>
      <c r="O67" s="328">
        <v>0</v>
      </c>
      <c r="P67" s="328">
        <v>0</v>
      </c>
      <c r="Q67" s="328">
        <v>0</v>
      </c>
      <c r="R67" s="328">
        <v>0</v>
      </c>
    </row>
    <row r="68" spans="9:18" x14ac:dyDescent="0.25">
      <c r="I68" s="486"/>
      <c r="J68" s="352" t="s">
        <v>410</v>
      </c>
      <c r="M68" s="358"/>
      <c r="N68" s="348"/>
      <c r="O68" s="328">
        <v>0</v>
      </c>
      <c r="P68" s="328">
        <v>0</v>
      </c>
      <c r="Q68" s="328">
        <f>Q55+AI52+AZ52</f>
        <v>0</v>
      </c>
      <c r="R68" s="328">
        <f>R55+AJ52+BA52</f>
        <v>0</v>
      </c>
    </row>
    <row r="69" spans="9:18" x14ac:dyDescent="0.25">
      <c r="I69" s="356"/>
      <c r="J69" s="352" t="s">
        <v>411</v>
      </c>
      <c r="M69" s="358"/>
      <c r="N69" s="348"/>
      <c r="O69" s="328">
        <v>0</v>
      </c>
      <c r="P69" s="328">
        <v>0</v>
      </c>
      <c r="Q69" s="328">
        <f>Q56+AI53+AZ53</f>
        <v>0</v>
      </c>
      <c r="R69" s="328">
        <f>R56+AJ53+BA53</f>
        <v>0</v>
      </c>
    </row>
    <row r="72" spans="9:18" x14ac:dyDescent="0.25">
      <c r="J72" s="324" t="s">
        <v>412</v>
      </c>
      <c r="K72" t="s">
        <v>413</v>
      </c>
      <c r="M72" s="326"/>
      <c r="N72" s="348" t="s">
        <v>402</v>
      </c>
      <c r="O72" s="328"/>
      <c r="P72" s="328"/>
      <c r="Q72" s="328"/>
      <c r="R72" s="328"/>
    </row>
    <row r="75" spans="9:18" x14ac:dyDescent="0.25">
      <c r="I75" s="355"/>
      <c r="J75" s="355"/>
      <c r="K75" s="355"/>
      <c r="L75" s="355"/>
      <c r="M75" s="355"/>
      <c r="N75" s="355"/>
      <c r="O75" s="355"/>
      <c r="P75" s="355"/>
      <c r="Q75" s="355"/>
      <c r="R75" s="355"/>
    </row>
    <row r="76" spans="9:18" ht="14.4" x14ac:dyDescent="0.3">
      <c r="M76" s="345" t="s">
        <v>414</v>
      </c>
      <c r="N76" s="345"/>
      <c r="O76" s="332"/>
      <c r="P76" s="332"/>
      <c r="Q76" s="332"/>
      <c r="R76" s="332"/>
    </row>
    <row r="77" spans="9:18" x14ac:dyDescent="0.25">
      <c r="I77" s="486" t="s">
        <v>409</v>
      </c>
      <c r="J77" s="346" t="s">
        <v>393</v>
      </c>
      <c r="M77" s="323" t="s">
        <v>415</v>
      </c>
      <c r="N77" s="323"/>
      <c r="O77" s="359" t="s">
        <v>416</v>
      </c>
      <c r="Q77" s="328"/>
      <c r="R77" s="328"/>
    </row>
    <row r="78" spans="9:18" x14ac:dyDescent="0.25">
      <c r="I78" s="486"/>
      <c r="J78" s="346" t="s">
        <v>387</v>
      </c>
      <c r="M78" s="323" t="s">
        <v>417</v>
      </c>
      <c r="N78" s="323"/>
      <c r="O78" s="359" t="s">
        <v>418</v>
      </c>
      <c r="Q78" s="328"/>
      <c r="R78" s="328"/>
    </row>
    <row r="79" spans="9:18" x14ac:dyDescent="0.25">
      <c r="I79" s="486"/>
      <c r="J79" s="346" t="s">
        <v>389</v>
      </c>
      <c r="M79" s="348" t="s">
        <v>419</v>
      </c>
      <c r="N79" s="323"/>
      <c r="O79" s="359" t="s">
        <v>416</v>
      </c>
      <c r="P79" s="328"/>
      <c r="Q79" s="328"/>
      <c r="R79" s="328"/>
    </row>
    <row r="80" spans="9:18" x14ac:dyDescent="0.25">
      <c r="I80" s="486"/>
      <c r="J80" s="346" t="s">
        <v>389</v>
      </c>
      <c r="M80" s="323" t="s">
        <v>417</v>
      </c>
      <c r="N80" s="323"/>
      <c r="O80" s="359" t="s">
        <v>416</v>
      </c>
      <c r="P80" s="328"/>
      <c r="Q80" s="328"/>
      <c r="R80" s="328"/>
    </row>
    <row r="81" spans="9:18" x14ac:dyDescent="0.25">
      <c r="I81" s="486"/>
      <c r="J81" s="346" t="s">
        <v>391</v>
      </c>
      <c r="L81">
        <f>COUNTA(G28,G29,G30,G31,G32,G33,G38,G39,G40,G41,G43,G45)</f>
        <v>0</v>
      </c>
      <c r="M81" s="323" t="s">
        <v>417</v>
      </c>
      <c r="N81" s="323"/>
      <c r="O81" s="359" t="s">
        <v>416</v>
      </c>
      <c r="P81" s="328"/>
      <c r="Q81" s="328"/>
      <c r="R81" s="328"/>
    </row>
    <row r="82" spans="9:18" x14ac:dyDescent="0.25">
      <c r="I82" s="486"/>
      <c r="J82" s="346" t="s">
        <v>391</v>
      </c>
      <c r="L82">
        <f>COUNTA(G36,G37,G44)</f>
        <v>0</v>
      </c>
      <c r="M82" s="348" t="s">
        <v>419</v>
      </c>
      <c r="N82" s="323"/>
      <c r="O82" s="359" t="s">
        <v>418</v>
      </c>
      <c r="P82" s="328"/>
      <c r="Q82" s="328"/>
      <c r="R82" s="328"/>
    </row>
    <row r="83" spans="9:18" x14ac:dyDescent="0.25">
      <c r="I83" s="486"/>
      <c r="J83" s="346" t="s">
        <v>526</v>
      </c>
      <c r="L83">
        <f>COUNTA(H30,H31,H32,H39,H40,H41)</f>
        <v>0</v>
      </c>
      <c r="M83" s="348" t="s">
        <v>421</v>
      </c>
      <c r="N83" s="326"/>
      <c r="O83" s="359" t="s">
        <v>527</v>
      </c>
      <c r="P83" s="328"/>
      <c r="Q83" s="328"/>
      <c r="R83" s="328"/>
    </row>
    <row r="84" spans="9:18" x14ac:dyDescent="0.25">
      <c r="I84" s="486"/>
      <c r="J84" s="346" t="s">
        <v>528</v>
      </c>
      <c r="L84">
        <f>COUNTA(H33,H43)</f>
        <v>0</v>
      </c>
      <c r="M84" s="348" t="s">
        <v>421</v>
      </c>
      <c r="N84" s="326"/>
      <c r="O84" s="359" t="s">
        <v>527</v>
      </c>
      <c r="P84" s="328"/>
      <c r="Q84" s="328"/>
      <c r="R84" s="328"/>
    </row>
    <row r="85" spans="9:18" x14ac:dyDescent="0.25">
      <c r="I85" s="486"/>
      <c r="J85" s="346" t="s">
        <v>424</v>
      </c>
      <c r="M85" s="348" t="s">
        <v>423</v>
      </c>
      <c r="N85" s="326"/>
      <c r="O85" s="359" t="s">
        <v>416</v>
      </c>
      <c r="P85" s="328"/>
      <c r="Q85" s="328"/>
      <c r="R85" s="328"/>
    </row>
    <row r="86" spans="9:18" x14ac:dyDescent="0.25">
      <c r="I86" s="486"/>
      <c r="J86" s="346" t="s">
        <v>529</v>
      </c>
      <c r="L86">
        <f>COUNTA(H28,H29,H30,H31,H33,H36,H37,H38,H40,H41,H43,H44)</f>
        <v>0</v>
      </c>
      <c r="M86" s="348"/>
      <c r="N86" s="326"/>
      <c r="O86" s="359"/>
      <c r="P86" s="328"/>
      <c r="Q86" s="328"/>
      <c r="R86" s="328"/>
    </row>
    <row r="87" spans="9:18" x14ac:dyDescent="0.25">
      <c r="I87" s="486"/>
      <c r="J87" s="346"/>
      <c r="M87" s="360" t="s">
        <v>425</v>
      </c>
      <c r="N87" s="348"/>
      <c r="O87" s="361" t="s">
        <v>426</v>
      </c>
      <c r="R87" s="328"/>
    </row>
    <row r="88" spans="9:18" x14ac:dyDescent="0.25">
      <c r="M88" s="348" t="s">
        <v>531</v>
      </c>
    </row>
    <row r="89" spans="9:18" x14ac:dyDescent="0.25">
      <c r="M89" s="348"/>
    </row>
    <row r="90" spans="9:18" ht="5.55" customHeight="1" x14ac:dyDescent="0.25">
      <c r="I90" s="355"/>
      <c r="J90" s="355"/>
      <c r="K90" s="355"/>
      <c r="L90" s="355"/>
      <c r="M90" s="355"/>
      <c r="N90" s="355"/>
      <c r="O90" s="355"/>
      <c r="P90" s="355"/>
      <c r="Q90" s="355"/>
      <c r="R90" s="355"/>
    </row>
    <row r="91" spans="9:18" x14ac:dyDescent="0.25">
      <c r="I91" s="362"/>
      <c r="J91" s="363"/>
      <c r="K91" s="362"/>
      <c r="L91" s="362"/>
      <c r="M91" s="364" t="s">
        <v>427</v>
      </c>
      <c r="N91" s="365"/>
      <c r="O91" s="366" t="s">
        <v>428</v>
      </c>
      <c r="P91" s="367"/>
      <c r="Q91" s="367"/>
      <c r="R91" s="367"/>
    </row>
    <row r="92" spans="9:18" x14ac:dyDescent="0.25">
      <c r="I92" s="362"/>
      <c r="J92" s="362"/>
      <c r="K92" s="362"/>
      <c r="L92" s="362"/>
      <c r="M92" s="362"/>
      <c r="N92" s="362"/>
      <c r="O92" s="362"/>
      <c r="P92" s="362"/>
      <c r="Q92" s="362"/>
      <c r="R92" s="362"/>
    </row>
    <row r="93" spans="9:18" ht="5.55" customHeight="1" x14ac:dyDescent="0.25">
      <c r="I93" s="368"/>
      <c r="J93" s="368"/>
      <c r="K93" s="368"/>
      <c r="L93" s="368"/>
      <c r="M93" s="368"/>
      <c r="N93" s="368"/>
      <c r="O93" s="368"/>
      <c r="P93" s="368"/>
      <c r="Q93" s="368"/>
      <c r="R93" s="368"/>
    </row>
    <row r="94" spans="9:18" ht="14.4" x14ac:dyDescent="0.3">
      <c r="I94" s="362"/>
      <c r="J94" s="362"/>
      <c r="K94" s="362"/>
      <c r="L94" s="362"/>
      <c r="M94" s="369" t="s">
        <v>395</v>
      </c>
      <c r="N94" s="369"/>
      <c r="O94" s="370" t="s">
        <v>381</v>
      </c>
      <c r="P94" s="370" t="s">
        <v>382</v>
      </c>
      <c r="Q94" s="370" t="s">
        <v>383</v>
      </c>
      <c r="R94" s="370" t="s">
        <v>384</v>
      </c>
    </row>
    <row r="95" spans="9:18" x14ac:dyDescent="0.25">
      <c r="I95" s="481" t="s">
        <v>429</v>
      </c>
      <c r="J95" s="363" t="s">
        <v>399</v>
      </c>
      <c r="K95" s="362"/>
      <c r="L95" s="362"/>
      <c r="M95" s="371"/>
      <c r="N95" s="371" t="s">
        <v>400</v>
      </c>
      <c r="O95" s="367"/>
      <c r="P95" s="367"/>
      <c r="Q95" s="367"/>
      <c r="R95" s="367"/>
    </row>
    <row r="96" spans="9:18" x14ac:dyDescent="0.25">
      <c r="I96" s="481"/>
      <c r="J96" s="363" t="s">
        <v>401</v>
      </c>
      <c r="K96" s="362"/>
      <c r="L96" s="362"/>
      <c r="M96" s="371"/>
      <c r="N96" s="371" t="s">
        <v>397</v>
      </c>
      <c r="O96" s="367"/>
      <c r="P96" s="367"/>
      <c r="Q96" s="367"/>
      <c r="R96" s="367"/>
    </row>
    <row r="97" spans="9:18" x14ac:dyDescent="0.25">
      <c r="I97" s="481"/>
      <c r="J97" s="363" t="s">
        <v>398</v>
      </c>
      <c r="K97" s="362"/>
      <c r="L97" s="362"/>
      <c r="M97" s="371"/>
      <c r="N97" s="371" t="s">
        <v>400</v>
      </c>
      <c r="O97" s="367"/>
      <c r="P97" s="367"/>
      <c r="Q97" s="367"/>
      <c r="R97" s="367"/>
    </row>
    <row r="98" spans="9:18" x14ac:dyDescent="0.25">
      <c r="I98" s="481"/>
      <c r="J98" s="363" t="s">
        <v>398</v>
      </c>
      <c r="K98" s="362"/>
      <c r="L98" s="362"/>
      <c r="M98" s="371"/>
      <c r="N98" s="371" t="s">
        <v>397</v>
      </c>
      <c r="O98" s="367"/>
      <c r="P98" s="367"/>
      <c r="Q98" s="367"/>
      <c r="R98" s="367"/>
    </row>
    <row r="99" spans="9:18" x14ac:dyDescent="0.25">
      <c r="I99" s="481"/>
      <c r="J99" s="372">
        <v>1050</v>
      </c>
      <c r="K99" s="362"/>
      <c r="L99" s="362"/>
      <c r="M99" s="371"/>
      <c r="N99" s="371" t="s">
        <v>430</v>
      </c>
      <c r="O99" s="367"/>
      <c r="P99" s="367"/>
      <c r="Q99" s="373"/>
      <c r="R99" s="373"/>
    </row>
    <row r="100" spans="9:18" ht="5.55" customHeight="1" x14ac:dyDescent="0.25">
      <c r="I100" s="368"/>
      <c r="J100" s="368"/>
      <c r="K100" s="368"/>
      <c r="L100" s="368"/>
      <c r="M100" s="368"/>
      <c r="N100" s="368"/>
      <c r="O100" s="368"/>
      <c r="P100" s="368"/>
      <c r="Q100" s="368"/>
      <c r="R100" s="368"/>
    </row>
    <row r="101" spans="9:18" ht="14.4" x14ac:dyDescent="0.3">
      <c r="I101" s="362"/>
      <c r="J101" s="362"/>
      <c r="K101" s="362"/>
      <c r="L101" s="362"/>
      <c r="M101" s="369" t="s">
        <v>414</v>
      </c>
      <c r="N101" s="369"/>
      <c r="O101" s="370"/>
      <c r="P101" s="370"/>
      <c r="Q101" s="370"/>
      <c r="R101" s="370"/>
    </row>
    <row r="102" spans="9:18" x14ac:dyDescent="0.25">
      <c r="I102" s="482" t="s">
        <v>431</v>
      </c>
      <c r="J102" s="363" t="s">
        <v>399</v>
      </c>
      <c r="K102" s="362"/>
      <c r="L102" s="362"/>
      <c r="M102" s="371" t="s">
        <v>423</v>
      </c>
      <c r="N102" s="365"/>
      <c r="O102" s="366" t="s">
        <v>432</v>
      </c>
      <c r="P102" s="367"/>
      <c r="Q102" s="367"/>
      <c r="R102" s="367"/>
    </row>
    <row r="103" spans="9:18" x14ac:dyDescent="0.25">
      <c r="I103" s="482"/>
      <c r="J103" s="363" t="s">
        <v>399</v>
      </c>
      <c r="K103" s="362"/>
      <c r="L103" s="362"/>
      <c r="M103" s="371" t="s">
        <v>423</v>
      </c>
      <c r="N103" s="365"/>
      <c r="O103" s="366" t="s">
        <v>433</v>
      </c>
      <c r="P103" s="367"/>
      <c r="Q103" s="367"/>
      <c r="R103" s="367"/>
    </row>
    <row r="104" spans="9:18" x14ac:dyDescent="0.25">
      <c r="I104" s="482"/>
      <c r="J104" s="363" t="s">
        <v>399</v>
      </c>
      <c r="K104" s="362"/>
      <c r="L104" s="362"/>
      <c r="M104" s="371" t="s">
        <v>434</v>
      </c>
      <c r="N104" s="365"/>
      <c r="O104" s="366" t="s">
        <v>433</v>
      </c>
      <c r="P104" s="367"/>
      <c r="Q104" s="367"/>
      <c r="R104" s="367"/>
    </row>
    <row r="105" spans="9:18" x14ac:dyDescent="0.25">
      <c r="I105" s="482"/>
      <c r="J105" s="363" t="s">
        <v>399</v>
      </c>
      <c r="K105" s="362"/>
      <c r="L105" s="362"/>
      <c r="M105" s="371" t="s">
        <v>435</v>
      </c>
      <c r="N105" s="365"/>
      <c r="O105" s="366" t="s">
        <v>436</v>
      </c>
      <c r="P105" s="367"/>
      <c r="Q105" s="367"/>
      <c r="R105" s="367"/>
    </row>
    <row r="106" spans="9:18" x14ac:dyDescent="0.25">
      <c r="I106" s="482"/>
      <c r="J106" s="363" t="s">
        <v>398</v>
      </c>
      <c r="K106" s="362"/>
      <c r="L106" s="362"/>
      <c r="M106" s="371" t="s">
        <v>423</v>
      </c>
      <c r="N106" s="365"/>
      <c r="O106" s="366" t="s">
        <v>432</v>
      </c>
      <c r="P106" s="367"/>
      <c r="Q106" s="367"/>
      <c r="R106" s="367"/>
    </row>
    <row r="107" spans="9:18" x14ac:dyDescent="0.25">
      <c r="I107" s="482"/>
      <c r="J107" s="363" t="s">
        <v>398</v>
      </c>
      <c r="K107" s="362"/>
      <c r="L107" s="362"/>
      <c r="M107" s="371" t="s">
        <v>423</v>
      </c>
      <c r="N107" s="365"/>
      <c r="O107" s="366" t="s">
        <v>437</v>
      </c>
      <c r="P107" s="367"/>
      <c r="Q107" s="367"/>
      <c r="R107" s="367"/>
    </row>
    <row r="108" spans="9:18" x14ac:dyDescent="0.25">
      <c r="I108" s="482"/>
      <c r="J108" s="363" t="s">
        <v>401</v>
      </c>
      <c r="K108" s="362"/>
      <c r="L108" s="362"/>
      <c r="M108" s="371" t="s">
        <v>423</v>
      </c>
      <c r="N108" s="365"/>
      <c r="O108" s="366" t="s">
        <v>437</v>
      </c>
      <c r="P108" s="367"/>
      <c r="Q108" s="367"/>
      <c r="R108" s="367"/>
    </row>
    <row r="109" spans="9:18" x14ac:dyDescent="0.25">
      <c r="I109" s="482"/>
      <c r="J109" s="363" t="s">
        <v>420</v>
      </c>
      <c r="K109" s="362"/>
      <c r="L109" s="362"/>
      <c r="M109" s="371" t="s">
        <v>421</v>
      </c>
      <c r="N109" s="374"/>
      <c r="O109" s="366" t="s">
        <v>422</v>
      </c>
      <c r="P109" s="367"/>
      <c r="Q109" s="367"/>
      <c r="R109" s="367"/>
    </row>
    <row r="110" spans="9:18" x14ac:dyDescent="0.25">
      <c r="I110" s="362"/>
      <c r="J110" s="362"/>
      <c r="K110" s="362"/>
      <c r="L110" s="362"/>
      <c r="M110" s="362"/>
      <c r="N110" s="362"/>
      <c r="O110" s="362"/>
      <c r="P110" s="362"/>
      <c r="Q110" s="362"/>
      <c r="R110" s="362"/>
    </row>
    <row r="111" spans="9:18" ht="5.55" customHeight="1" x14ac:dyDescent="0.25">
      <c r="I111" s="368"/>
      <c r="J111" s="368"/>
      <c r="K111" s="368"/>
      <c r="L111" s="368"/>
      <c r="M111" s="368"/>
      <c r="N111" s="368"/>
      <c r="O111" s="368"/>
      <c r="P111" s="368"/>
      <c r="Q111" s="368"/>
      <c r="R111" s="368"/>
    </row>
    <row r="112" spans="9:18" ht="14.4" x14ac:dyDescent="0.3">
      <c r="I112" s="362"/>
      <c r="J112" s="362"/>
      <c r="K112" s="362"/>
      <c r="L112" s="362"/>
      <c r="M112" s="369" t="s">
        <v>414</v>
      </c>
      <c r="N112" s="369"/>
      <c r="O112" s="370"/>
      <c r="P112" s="370"/>
      <c r="Q112" s="370"/>
      <c r="R112" s="370"/>
    </row>
    <row r="113" spans="9:18" x14ac:dyDescent="0.25">
      <c r="I113" s="482" t="s">
        <v>438</v>
      </c>
      <c r="J113" s="363" t="s">
        <v>399</v>
      </c>
      <c r="K113" s="362"/>
      <c r="L113" s="362"/>
      <c r="M113" s="371" t="s">
        <v>423</v>
      </c>
      <c r="N113" s="365"/>
      <c r="O113" s="366" t="s">
        <v>432</v>
      </c>
      <c r="P113" s="367"/>
      <c r="Q113" s="367"/>
      <c r="R113" s="367"/>
    </row>
    <row r="114" spans="9:18" x14ac:dyDescent="0.25">
      <c r="I114" s="482"/>
      <c r="J114" s="363" t="s">
        <v>399</v>
      </c>
      <c r="K114" s="362"/>
      <c r="L114" s="362"/>
      <c r="M114" s="371" t="s">
        <v>423</v>
      </c>
      <c r="N114" s="365"/>
      <c r="O114" s="366" t="s">
        <v>433</v>
      </c>
      <c r="P114" s="367"/>
      <c r="Q114" s="367"/>
      <c r="R114" s="367"/>
    </row>
    <row r="115" spans="9:18" x14ac:dyDescent="0.25">
      <c r="I115" s="482"/>
      <c r="J115" s="363" t="s">
        <v>399</v>
      </c>
      <c r="K115" s="362"/>
      <c r="L115" s="362"/>
      <c r="M115" s="371" t="s">
        <v>434</v>
      </c>
      <c r="N115" s="365"/>
      <c r="O115" s="366" t="s">
        <v>433</v>
      </c>
      <c r="P115" s="367"/>
      <c r="Q115" s="367"/>
      <c r="R115" s="367"/>
    </row>
    <row r="116" spans="9:18" x14ac:dyDescent="0.25">
      <c r="I116" s="482"/>
      <c r="J116" s="363" t="s">
        <v>399</v>
      </c>
      <c r="K116" s="362"/>
      <c r="L116" s="362"/>
      <c r="M116" s="371" t="s">
        <v>435</v>
      </c>
      <c r="N116" s="365"/>
      <c r="O116" s="366" t="s">
        <v>436</v>
      </c>
      <c r="P116" s="367"/>
      <c r="Q116" s="367"/>
      <c r="R116" s="367"/>
    </row>
    <row r="117" spans="9:18" x14ac:dyDescent="0.25">
      <c r="I117" s="482"/>
      <c r="J117" s="363" t="s">
        <v>398</v>
      </c>
      <c r="K117" s="362"/>
      <c r="L117" s="362"/>
      <c r="M117" s="371" t="s">
        <v>423</v>
      </c>
      <c r="N117" s="365"/>
      <c r="O117" s="366" t="s">
        <v>432</v>
      </c>
      <c r="P117" s="367"/>
      <c r="Q117" s="367"/>
      <c r="R117" s="367"/>
    </row>
    <row r="118" spans="9:18" x14ac:dyDescent="0.25">
      <c r="I118" s="482"/>
      <c r="J118" s="363" t="s">
        <v>398</v>
      </c>
      <c r="K118" s="362"/>
      <c r="L118" s="362"/>
      <c r="M118" s="371" t="s">
        <v>423</v>
      </c>
      <c r="N118" s="365"/>
      <c r="O118" s="366" t="s">
        <v>437</v>
      </c>
      <c r="P118" s="367"/>
      <c r="Q118" s="367"/>
      <c r="R118" s="367"/>
    </row>
    <row r="119" spans="9:18" x14ac:dyDescent="0.25">
      <c r="I119" s="482"/>
      <c r="J119" s="363" t="s">
        <v>401</v>
      </c>
      <c r="K119" s="362"/>
      <c r="L119" s="362"/>
      <c r="M119" s="371" t="s">
        <v>423</v>
      </c>
      <c r="N119" s="365"/>
      <c r="O119" s="366" t="s">
        <v>437</v>
      </c>
      <c r="P119" s="367"/>
      <c r="Q119" s="367"/>
      <c r="R119" s="367"/>
    </row>
    <row r="120" spans="9:18" x14ac:dyDescent="0.25">
      <c r="I120" s="482"/>
      <c r="J120" s="363" t="s">
        <v>420</v>
      </c>
      <c r="K120" s="362"/>
      <c r="L120" s="362"/>
      <c r="M120" s="371" t="s">
        <v>421</v>
      </c>
      <c r="N120" s="365"/>
      <c r="O120" s="366" t="s">
        <v>422</v>
      </c>
      <c r="P120" s="367"/>
      <c r="Q120" s="367"/>
      <c r="R120" s="367"/>
    </row>
  </sheetData>
  <mergeCells count="36">
    <mergeCell ref="I113:I120"/>
    <mergeCell ref="O26:R26"/>
    <mergeCell ref="AG26:AJ26"/>
    <mergeCell ref="AX26:BA26"/>
    <mergeCell ref="AP33:AR33"/>
    <mergeCell ref="I57:I59"/>
    <mergeCell ref="AB57:AB58"/>
    <mergeCell ref="AT57:AT58"/>
    <mergeCell ref="I66:I68"/>
    <mergeCell ref="I77:I87"/>
    <mergeCell ref="C22:D22"/>
    <mergeCell ref="C23:D23"/>
    <mergeCell ref="C24:D24"/>
    <mergeCell ref="I95:I99"/>
    <mergeCell ref="I102:I109"/>
    <mergeCell ref="C15:D15"/>
    <mergeCell ref="C16:D16"/>
    <mergeCell ref="C17:D17"/>
    <mergeCell ref="C20:D20"/>
    <mergeCell ref="C21:D21"/>
    <mergeCell ref="M11:M12"/>
    <mergeCell ref="C12:D12"/>
    <mergeCell ref="C19:D19"/>
    <mergeCell ref="C7:D7"/>
    <mergeCell ref="C1:D1"/>
    <mergeCell ref="C3:D3"/>
    <mergeCell ref="C4:D4"/>
    <mergeCell ref="C5:D5"/>
    <mergeCell ref="C6:D6"/>
    <mergeCell ref="C18:D18"/>
    <mergeCell ref="C8:D8"/>
    <mergeCell ref="C9:D9"/>
    <mergeCell ref="C10:D10"/>
    <mergeCell ref="C11:D11"/>
    <mergeCell ref="C13:D13"/>
    <mergeCell ref="C14:D1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68FD-0F7C-4D5D-897D-8039FF0F3C74}">
  <sheetPr>
    <tabColor rgb="FFFFC000"/>
  </sheetPr>
  <dimension ref="A1:M28"/>
  <sheetViews>
    <sheetView workbookViewId="0">
      <selection activeCell="D21" sqref="D21"/>
    </sheetView>
  </sheetViews>
  <sheetFormatPr defaultRowHeight="13.2" x14ac:dyDescent="0.25"/>
  <cols>
    <col min="1" max="1" width="15.77734375" customWidth="1"/>
    <col min="2" max="2" width="14.21875" customWidth="1"/>
    <col min="3" max="3" width="42.77734375" customWidth="1"/>
    <col min="4" max="4" width="37.44140625" customWidth="1"/>
    <col min="5" max="5" width="18.44140625" customWidth="1"/>
    <col min="6" max="6" width="19.44140625" customWidth="1"/>
    <col min="7" max="7" width="22.77734375" customWidth="1"/>
    <col min="8" max="8" width="21.44140625" customWidth="1"/>
    <col min="9" max="9" width="9.21875" customWidth="1"/>
    <col min="10" max="10" width="18.21875" customWidth="1"/>
    <col min="11" max="11" width="15.44140625" customWidth="1"/>
    <col min="13" max="13" width="16.21875" customWidth="1"/>
  </cols>
  <sheetData>
    <row r="1" spans="1:13" ht="13.8" thickBot="1" x14ac:dyDescent="0.3"/>
    <row r="2" spans="1:13" ht="21" thickBot="1" x14ac:dyDescent="0.3">
      <c r="A2" s="309"/>
      <c r="B2" s="487" t="s">
        <v>439</v>
      </c>
      <c r="C2" s="487"/>
      <c r="D2" s="487"/>
      <c r="E2" s="487"/>
      <c r="F2" s="487"/>
      <c r="G2" s="487"/>
      <c r="H2" s="487"/>
      <c r="I2" s="487"/>
      <c r="J2" s="488"/>
      <c r="K2" s="488"/>
      <c r="L2" s="488"/>
      <c r="M2" s="488"/>
    </row>
    <row r="3" spans="1:13" ht="28.5" customHeight="1" thickBot="1" x14ac:dyDescent="0.3">
      <c r="A3" s="385" t="s">
        <v>440</v>
      </c>
      <c r="B3" s="386" t="s">
        <v>441</v>
      </c>
      <c r="C3" s="387" t="s">
        <v>442</v>
      </c>
      <c r="D3" s="388" t="s">
        <v>421</v>
      </c>
      <c r="E3" s="389" t="s">
        <v>443</v>
      </c>
      <c r="F3" s="389" t="s">
        <v>444</v>
      </c>
      <c r="G3" s="389" t="s">
        <v>445</v>
      </c>
      <c r="H3" s="389" t="s">
        <v>446</v>
      </c>
      <c r="I3" s="389"/>
      <c r="J3" s="311" t="s">
        <v>447</v>
      </c>
      <c r="K3" s="312" t="s">
        <v>448</v>
      </c>
      <c r="L3" s="313"/>
      <c r="M3" s="310"/>
    </row>
    <row r="4" spans="1:13" ht="14.4" thickTop="1" thickBot="1" x14ac:dyDescent="0.3">
      <c r="A4" s="391" t="s">
        <v>524</v>
      </c>
      <c r="B4" s="392"/>
      <c r="C4" s="393"/>
      <c r="D4" s="393"/>
      <c r="E4" s="392"/>
      <c r="F4" s="394"/>
      <c r="G4" s="394"/>
      <c r="H4" s="394">
        <f>F4+G4</f>
        <v>0</v>
      </c>
      <c r="I4" s="395"/>
      <c r="J4" s="384">
        <v>1.5</v>
      </c>
      <c r="K4" s="314">
        <f>PI()*(J4/2)^2</f>
        <v>1.7671458676442586</v>
      </c>
      <c r="L4" s="315" t="s">
        <v>100</v>
      </c>
    </row>
    <row r="5" spans="1:13" ht="15" thickBot="1" x14ac:dyDescent="0.35">
      <c r="A5" s="422"/>
      <c r="B5" s="335"/>
      <c r="C5" s="398"/>
      <c r="D5" s="393"/>
      <c r="E5" s="392"/>
      <c r="F5" s="392"/>
      <c r="G5" s="392"/>
      <c r="H5" s="392"/>
      <c r="I5" s="392"/>
      <c r="J5" s="384">
        <v>1.95</v>
      </c>
      <c r="K5" s="314">
        <f>PI()*(J5/2)^2</f>
        <v>2.9864765163187967</v>
      </c>
      <c r="L5" s="315" t="s">
        <v>100</v>
      </c>
    </row>
    <row r="6" spans="1:13" ht="15" thickBot="1" x14ac:dyDescent="0.35">
      <c r="A6" s="423"/>
      <c r="B6" s="394"/>
      <c r="C6" s="425"/>
      <c r="D6" s="393"/>
      <c r="E6" s="394"/>
      <c r="F6" s="392"/>
      <c r="G6" s="392"/>
      <c r="H6" s="392"/>
      <c r="I6" s="392"/>
      <c r="J6" s="384"/>
      <c r="K6" s="314">
        <f>PI()*(J6/2)^2</f>
        <v>0</v>
      </c>
      <c r="L6" s="315" t="s">
        <v>100</v>
      </c>
    </row>
    <row r="7" spans="1:13" ht="14.4" x14ac:dyDescent="0.3">
      <c r="A7" s="426"/>
      <c r="B7" s="394"/>
      <c r="C7" s="425"/>
      <c r="D7" s="393"/>
      <c r="E7" s="394"/>
      <c r="F7" s="392"/>
      <c r="G7" s="392"/>
      <c r="H7" s="392"/>
      <c r="I7" s="392"/>
      <c r="J7" s="384"/>
      <c r="K7" s="314">
        <f>PI()*(J7/2)^2</f>
        <v>0</v>
      </c>
      <c r="L7" s="315" t="s">
        <v>100</v>
      </c>
    </row>
    <row r="8" spans="1:13" ht="14.4" x14ac:dyDescent="0.3">
      <c r="A8" s="396"/>
      <c r="B8" s="394"/>
      <c r="C8" s="398"/>
      <c r="D8" s="393"/>
      <c r="E8" s="392"/>
      <c r="F8" s="392"/>
      <c r="G8" s="392"/>
      <c r="H8" s="392"/>
      <c r="I8" s="392"/>
      <c r="L8" s="315"/>
    </row>
    <row r="9" spans="1:13" ht="15" thickBot="1" x14ac:dyDescent="0.35">
      <c r="A9" s="396"/>
      <c r="B9" s="394"/>
      <c r="C9" s="398"/>
      <c r="D9" s="393"/>
      <c r="E9" s="392"/>
      <c r="F9" s="392"/>
      <c r="G9" s="392"/>
      <c r="H9" s="392"/>
      <c r="I9" s="392"/>
    </row>
    <row r="10" spans="1:13" ht="14.4" x14ac:dyDescent="0.3">
      <c r="A10" s="396"/>
      <c r="B10" s="394"/>
      <c r="C10" s="398"/>
      <c r="D10" s="393"/>
      <c r="E10" s="392"/>
      <c r="F10" s="392"/>
      <c r="G10" s="392"/>
      <c r="H10" s="392"/>
      <c r="I10" s="392"/>
      <c r="J10" s="384">
        <v>32</v>
      </c>
      <c r="K10" s="314" t="s">
        <v>449</v>
      </c>
      <c r="L10" s="316">
        <v>290</v>
      </c>
      <c r="M10" s="314" t="s">
        <v>450</v>
      </c>
    </row>
    <row r="11" spans="1:13" ht="14.4" x14ac:dyDescent="0.3">
      <c r="A11" s="396"/>
      <c r="B11" s="394"/>
      <c r="C11" s="398"/>
      <c r="D11" s="393"/>
      <c r="E11" s="392"/>
      <c r="F11" s="392"/>
      <c r="G11" s="392"/>
      <c r="H11" s="392"/>
      <c r="I11" s="392"/>
    </row>
    <row r="12" spans="1:13" ht="14.4" x14ac:dyDescent="0.3">
      <c r="A12" s="396"/>
      <c r="B12" s="394"/>
      <c r="C12" s="398"/>
      <c r="D12" s="393"/>
      <c r="E12" s="392"/>
      <c r="F12" s="392"/>
      <c r="G12" s="392"/>
      <c r="H12" s="392"/>
      <c r="I12" s="392"/>
    </row>
    <row r="13" spans="1:13" ht="14.4" x14ac:dyDescent="0.3">
      <c r="A13" s="396"/>
      <c r="B13" s="394"/>
      <c r="C13" s="398"/>
      <c r="D13" s="393"/>
      <c r="E13" s="392"/>
      <c r="F13" s="392"/>
      <c r="G13" s="392"/>
      <c r="H13" s="392"/>
      <c r="I13" s="392"/>
    </row>
    <row r="14" spans="1:13" ht="14.4" x14ac:dyDescent="0.3">
      <c r="A14" s="396"/>
      <c r="B14" s="394"/>
      <c r="C14" s="398"/>
      <c r="D14" s="393"/>
      <c r="E14" s="392"/>
      <c r="F14" s="392"/>
      <c r="G14" s="392"/>
      <c r="H14" s="392"/>
      <c r="I14" s="392"/>
    </row>
    <row r="15" spans="1:13" ht="14.4" x14ac:dyDescent="0.3">
      <c r="A15" s="396"/>
      <c r="B15" s="394"/>
      <c r="C15" s="398"/>
      <c r="D15" s="393"/>
      <c r="E15" s="392"/>
      <c r="F15" s="392"/>
      <c r="G15" s="392"/>
      <c r="H15" s="392"/>
      <c r="I15" s="392"/>
    </row>
    <row r="16" spans="1:13" ht="14.4" x14ac:dyDescent="0.3">
      <c r="A16" s="397"/>
      <c r="B16" s="394"/>
      <c r="C16" s="398"/>
      <c r="D16" s="393"/>
      <c r="E16" s="392"/>
      <c r="F16" s="392"/>
      <c r="G16" s="392"/>
      <c r="H16" s="392"/>
      <c r="I16" s="392"/>
    </row>
    <row r="17" spans="1:12" ht="14.4" x14ac:dyDescent="0.3">
      <c r="A17" s="397"/>
      <c r="B17" s="394"/>
      <c r="C17" s="393"/>
      <c r="D17" s="393"/>
      <c r="E17" s="392"/>
      <c r="F17" s="392"/>
      <c r="G17" s="392"/>
      <c r="H17" s="392"/>
      <c r="I17" s="392"/>
    </row>
    <row r="18" spans="1:12" ht="14.4" x14ac:dyDescent="0.3">
      <c r="A18" s="397"/>
      <c r="B18" s="394"/>
      <c r="C18" s="393"/>
      <c r="D18" s="393"/>
      <c r="E18" s="392"/>
      <c r="F18" s="392"/>
      <c r="G18" s="392"/>
      <c r="H18" s="392"/>
      <c r="I18" s="392"/>
    </row>
    <row r="19" spans="1:12" ht="14.4" x14ac:dyDescent="0.3">
      <c r="A19" s="397"/>
      <c r="B19" s="394"/>
      <c r="C19" s="393"/>
      <c r="D19" s="393"/>
      <c r="E19" s="392"/>
      <c r="F19" s="392"/>
      <c r="G19" s="392"/>
      <c r="H19" s="392"/>
      <c r="I19" s="392"/>
    </row>
    <row r="20" spans="1:12" ht="14.4" x14ac:dyDescent="0.3">
      <c r="A20" s="397"/>
      <c r="B20" s="394"/>
      <c r="C20" s="393"/>
      <c r="D20" s="393"/>
      <c r="E20" s="392"/>
      <c r="F20" s="392"/>
      <c r="G20" s="392"/>
      <c r="H20" s="392"/>
      <c r="I20" s="392"/>
    </row>
    <row r="21" spans="1:12" ht="14.4" x14ac:dyDescent="0.3">
      <c r="A21" s="397"/>
      <c r="B21" s="394"/>
      <c r="C21" s="393"/>
      <c r="D21" s="393"/>
      <c r="E21" s="392"/>
      <c r="F21" s="392"/>
      <c r="G21" s="392"/>
      <c r="H21" s="392"/>
      <c r="I21" s="392"/>
    </row>
    <row r="22" spans="1:12" x14ac:dyDescent="0.25">
      <c r="A22" s="395"/>
      <c r="B22" s="394"/>
      <c r="C22" s="395"/>
      <c r="D22" s="395"/>
      <c r="E22" s="395"/>
      <c r="F22" s="395"/>
      <c r="G22" s="392"/>
      <c r="H22" s="395"/>
      <c r="I22" s="395"/>
    </row>
    <row r="23" spans="1:12" x14ac:dyDescent="0.25">
      <c r="A23" s="391"/>
      <c r="B23" s="392"/>
      <c r="C23" s="393"/>
      <c r="D23" s="393"/>
      <c r="E23" s="392"/>
      <c r="F23" s="394"/>
      <c r="G23" s="392"/>
      <c r="H23" s="394"/>
      <c r="I23" s="394"/>
    </row>
    <row r="24" spans="1:12" ht="14.4" x14ac:dyDescent="0.3">
      <c r="A24" s="396"/>
      <c r="B24" s="394"/>
      <c r="C24" s="393"/>
      <c r="D24" s="393"/>
      <c r="E24" s="392"/>
      <c r="F24" s="392"/>
      <c r="G24" s="392"/>
      <c r="H24" s="392"/>
      <c r="I24" s="392"/>
      <c r="L24" s="351">
        <f>H24-G24</f>
        <v>0</v>
      </c>
    </row>
    <row r="25" spans="1:12" ht="14.4" x14ac:dyDescent="0.3">
      <c r="A25" s="396"/>
      <c r="B25" s="395"/>
      <c r="C25" s="393"/>
      <c r="D25" s="393"/>
      <c r="E25" s="392"/>
      <c r="F25" s="392"/>
      <c r="G25" s="392"/>
      <c r="H25" s="392"/>
      <c r="I25" s="392"/>
    </row>
    <row r="26" spans="1:12" ht="14.4" x14ac:dyDescent="0.3">
      <c r="A26" s="396"/>
      <c r="B26" s="394"/>
      <c r="C26" s="393"/>
      <c r="D26" s="393"/>
      <c r="E26" s="392"/>
      <c r="F26" s="392"/>
      <c r="G26" s="392"/>
      <c r="H26" s="392"/>
      <c r="I26" s="392"/>
    </row>
    <row r="27" spans="1:12" ht="15" x14ac:dyDescent="0.25">
      <c r="H27" s="390">
        <f>SUM(H4:H16)</f>
        <v>0</v>
      </c>
      <c r="I27" s="315" t="s">
        <v>132</v>
      </c>
      <c r="J27" s="317">
        <f>H27*L10</f>
        <v>0</v>
      </c>
    </row>
    <row r="28" spans="1:12" x14ac:dyDescent="0.25">
      <c r="A28" s="321"/>
    </row>
  </sheetData>
  <mergeCells count="2">
    <mergeCell ref="B2:I2"/>
    <mergeCell ref="J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30F2-2FD8-4FE8-B183-B8283E7C819F}">
  <sheetPr>
    <tabColor rgb="FF7030A0"/>
  </sheetPr>
  <dimension ref="A1:J60"/>
  <sheetViews>
    <sheetView zoomScaleNormal="100" workbookViewId="0">
      <selection activeCell="F51" sqref="F51"/>
    </sheetView>
  </sheetViews>
  <sheetFormatPr defaultColWidth="9.21875" defaultRowHeight="10.199999999999999" x14ac:dyDescent="0.2"/>
  <cols>
    <col min="1" max="1" width="8.21875" style="49" customWidth="1"/>
    <col min="2" max="2" width="79" style="49" customWidth="1"/>
    <col min="3" max="3" width="11.44140625" style="51" customWidth="1"/>
    <col min="4" max="4" width="10.44140625" style="51" customWidth="1"/>
    <col min="5" max="5" width="13.21875" style="52" customWidth="1"/>
    <col min="6" max="6" width="18.21875" style="52" customWidth="1"/>
    <col min="7" max="7" width="13.77734375" style="49" customWidth="1"/>
    <col min="8" max="10" width="14.21875" style="49" bestFit="1" customWidth="1"/>
    <col min="11" max="256" width="9.21875" style="49"/>
    <col min="257" max="257" width="8.21875" style="49" customWidth="1"/>
    <col min="258" max="258" width="70.44140625" style="49" bestFit="1" customWidth="1"/>
    <col min="259" max="259" width="11.44140625" style="49" customWidth="1"/>
    <col min="260" max="260" width="10.44140625" style="49" customWidth="1"/>
    <col min="261" max="261" width="13.21875" style="49" customWidth="1"/>
    <col min="262" max="262" width="14.21875" style="49" customWidth="1"/>
    <col min="263" max="263" width="12.21875" style="49" customWidth="1"/>
    <col min="264" max="512" width="9.21875" style="49"/>
    <col min="513" max="513" width="8.21875" style="49" customWidth="1"/>
    <col min="514" max="514" width="70.44140625" style="49" bestFit="1" customWidth="1"/>
    <col min="515" max="515" width="11.44140625" style="49" customWidth="1"/>
    <col min="516" max="516" width="10.44140625" style="49" customWidth="1"/>
    <col min="517" max="517" width="13.21875" style="49" customWidth="1"/>
    <col min="518" max="518" width="14.21875" style="49" customWidth="1"/>
    <col min="519" max="519" width="12.21875" style="49" customWidth="1"/>
    <col min="520" max="768" width="9.21875" style="49"/>
    <col min="769" max="769" width="8.21875" style="49" customWidth="1"/>
    <col min="770" max="770" width="70.44140625" style="49" bestFit="1" customWidth="1"/>
    <col min="771" max="771" width="11.44140625" style="49" customWidth="1"/>
    <col min="772" max="772" width="10.44140625" style="49" customWidth="1"/>
    <col min="773" max="773" width="13.21875" style="49" customWidth="1"/>
    <col min="774" max="774" width="14.21875" style="49" customWidth="1"/>
    <col min="775" max="775" width="12.21875" style="49" customWidth="1"/>
    <col min="776" max="1024" width="9.21875" style="49"/>
    <col min="1025" max="1025" width="8.21875" style="49" customWidth="1"/>
    <col min="1026" max="1026" width="70.44140625" style="49" bestFit="1" customWidth="1"/>
    <col min="1027" max="1027" width="11.44140625" style="49" customWidth="1"/>
    <col min="1028" max="1028" width="10.44140625" style="49" customWidth="1"/>
    <col min="1029" max="1029" width="13.21875" style="49" customWidth="1"/>
    <col min="1030" max="1030" width="14.21875" style="49" customWidth="1"/>
    <col min="1031" max="1031" width="12.21875" style="49" customWidth="1"/>
    <col min="1032" max="1280" width="9.21875" style="49"/>
    <col min="1281" max="1281" width="8.21875" style="49" customWidth="1"/>
    <col min="1282" max="1282" width="70.44140625" style="49" bestFit="1" customWidth="1"/>
    <col min="1283" max="1283" width="11.44140625" style="49" customWidth="1"/>
    <col min="1284" max="1284" width="10.44140625" style="49" customWidth="1"/>
    <col min="1285" max="1285" width="13.21875" style="49" customWidth="1"/>
    <col min="1286" max="1286" width="14.21875" style="49" customWidth="1"/>
    <col min="1287" max="1287" width="12.21875" style="49" customWidth="1"/>
    <col min="1288" max="1536" width="9.21875" style="49"/>
    <col min="1537" max="1537" width="8.21875" style="49" customWidth="1"/>
    <col min="1538" max="1538" width="70.44140625" style="49" bestFit="1" customWidth="1"/>
    <col min="1539" max="1539" width="11.44140625" style="49" customWidth="1"/>
    <col min="1540" max="1540" width="10.44140625" style="49" customWidth="1"/>
    <col min="1541" max="1541" width="13.21875" style="49" customWidth="1"/>
    <col min="1542" max="1542" width="14.21875" style="49" customWidth="1"/>
    <col min="1543" max="1543" width="12.21875" style="49" customWidth="1"/>
    <col min="1544" max="1792" width="9.21875" style="49"/>
    <col min="1793" max="1793" width="8.21875" style="49" customWidth="1"/>
    <col min="1794" max="1794" width="70.44140625" style="49" bestFit="1" customWidth="1"/>
    <col min="1795" max="1795" width="11.44140625" style="49" customWidth="1"/>
    <col min="1796" max="1796" width="10.44140625" style="49" customWidth="1"/>
    <col min="1797" max="1797" width="13.21875" style="49" customWidth="1"/>
    <col min="1798" max="1798" width="14.21875" style="49" customWidth="1"/>
    <col min="1799" max="1799" width="12.21875" style="49" customWidth="1"/>
    <col min="1800" max="2048" width="9.21875" style="49"/>
    <col min="2049" max="2049" width="8.21875" style="49" customWidth="1"/>
    <col min="2050" max="2050" width="70.44140625" style="49" bestFit="1" customWidth="1"/>
    <col min="2051" max="2051" width="11.44140625" style="49" customWidth="1"/>
    <col min="2052" max="2052" width="10.44140625" style="49" customWidth="1"/>
    <col min="2053" max="2053" width="13.21875" style="49" customWidth="1"/>
    <col min="2054" max="2054" width="14.21875" style="49" customWidth="1"/>
    <col min="2055" max="2055" width="12.21875" style="49" customWidth="1"/>
    <col min="2056" max="2304" width="9.21875" style="49"/>
    <col min="2305" max="2305" width="8.21875" style="49" customWidth="1"/>
    <col min="2306" max="2306" width="70.44140625" style="49" bestFit="1" customWidth="1"/>
    <col min="2307" max="2307" width="11.44140625" style="49" customWidth="1"/>
    <col min="2308" max="2308" width="10.44140625" style="49" customWidth="1"/>
    <col min="2309" max="2309" width="13.21875" style="49" customWidth="1"/>
    <col min="2310" max="2310" width="14.21875" style="49" customWidth="1"/>
    <col min="2311" max="2311" width="12.21875" style="49" customWidth="1"/>
    <col min="2312" max="2560" width="9.21875" style="49"/>
    <col min="2561" max="2561" width="8.21875" style="49" customWidth="1"/>
    <col min="2562" max="2562" width="70.44140625" style="49" bestFit="1" customWidth="1"/>
    <col min="2563" max="2563" width="11.44140625" style="49" customWidth="1"/>
    <col min="2564" max="2564" width="10.44140625" style="49" customWidth="1"/>
    <col min="2565" max="2565" width="13.21875" style="49" customWidth="1"/>
    <col min="2566" max="2566" width="14.21875" style="49" customWidth="1"/>
    <col min="2567" max="2567" width="12.21875" style="49" customWidth="1"/>
    <col min="2568" max="2816" width="9.21875" style="49"/>
    <col min="2817" max="2817" width="8.21875" style="49" customWidth="1"/>
    <col min="2818" max="2818" width="70.44140625" style="49" bestFit="1" customWidth="1"/>
    <col min="2819" max="2819" width="11.44140625" style="49" customWidth="1"/>
    <col min="2820" max="2820" width="10.44140625" style="49" customWidth="1"/>
    <col min="2821" max="2821" width="13.21875" style="49" customWidth="1"/>
    <col min="2822" max="2822" width="14.21875" style="49" customWidth="1"/>
    <col min="2823" max="2823" width="12.21875" style="49" customWidth="1"/>
    <col min="2824" max="3072" width="9.21875" style="49"/>
    <col min="3073" max="3073" width="8.21875" style="49" customWidth="1"/>
    <col min="3074" max="3074" width="70.44140625" style="49" bestFit="1" customWidth="1"/>
    <col min="3075" max="3075" width="11.44140625" style="49" customWidth="1"/>
    <col min="3076" max="3076" width="10.44140625" style="49" customWidth="1"/>
    <col min="3077" max="3077" width="13.21875" style="49" customWidth="1"/>
    <col min="3078" max="3078" width="14.21875" style="49" customWidth="1"/>
    <col min="3079" max="3079" width="12.21875" style="49" customWidth="1"/>
    <col min="3080" max="3328" width="9.21875" style="49"/>
    <col min="3329" max="3329" width="8.21875" style="49" customWidth="1"/>
    <col min="3330" max="3330" width="70.44140625" style="49" bestFit="1" customWidth="1"/>
    <col min="3331" max="3331" width="11.44140625" style="49" customWidth="1"/>
    <col min="3332" max="3332" width="10.44140625" style="49" customWidth="1"/>
    <col min="3333" max="3333" width="13.21875" style="49" customWidth="1"/>
    <col min="3334" max="3334" width="14.21875" style="49" customWidth="1"/>
    <col min="3335" max="3335" width="12.21875" style="49" customWidth="1"/>
    <col min="3336" max="3584" width="9.21875" style="49"/>
    <col min="3585" max="3585" width="8.21875" style="49" customWidth="1"/>
    <col min="3586" max="3586" width="70.44140625" style="49" bestFit="1" customWidth="1"/>
    <col min="3587" max="3587" width="11.44140625" style="49" customWidth="1"/>
    <col min="3588" max="3588" width="10.44140625" style="49" customWidth="1"/>
    <col min="3589" max="3589" width="13.21875" style="49" customWidth="1"/>
    <col min="3590" max="3590" width="14.21875" style="49" customWidth="1"/>
    <col min="3591" max="3591" width="12.21875" style="49" customWidth="1"/>
    <col min="3592" max="3840" width="9.21875" style="49"/>
    <col min="3841" max="3841" width="8.21875" style="49" customWidth="1"/>
    <col min="3842" max="3842" width="70.44140625" style="49" bestFit="1" customWidth="1"/>
    <col min="3843" max="3843" width="11.44140625" style="49" customWidth="1"/>
    <col min="3844" max="3844" width="10.44140625" style="49" customWidth="1"/>
    <col min="3845" max="3845" width="13.21875" style="49" customWidth="1"/>
    <col min="3846" max="3846" width="14.21875" style="49" customWidth="1"/>
    <col min="3847" max="3847" width="12.21875" style="49" customWidth="1"/>
    <col min="3848" max="4096" width="9.21875" style="49"/>
    <col min="4097" max="4097" width="8.21875" style="49" customWidth="1"/>
    <col min="4098" max="4098" width="70.44140625" style="49" bestFit="1" customWidth="1"/>
    <col min="4099" max="4099" width="11.44140625" style="49" customWidth="1"/>
    <col min="4100" max="4100" width="10.44140625" style="49" customWidth="1"/>
    <col min="4101" max="4101" width="13.21875" style="49" customWidth="1"/>
    <col min="4102" max="4102" width="14.21875" style="49" customWidth="1"/>
    <col min="4103" max="4103" width="12.21875" style="49" customWidth="1"/>
    <col min="4104" max="4352" width="9.21875" style="49"/>
    <col min="4353" max="4353" width="8.21875" style="49" customWidth="1"/>
    <col min="4354" max="4354" width="70.44140625" style="49" bestFit="1" customWidth="1"/>
    <col min="4355" max="4355" width="11.44140625" style="49" customWidth="1"/>
    <col min="4356" max="4356" width="10.44140625" style="49" customWidth="1"/>
    <col min="4357" max="4357" width="13.21875" style="49" customWidth="1"/>
    <col min="4358" max="4358" width="14.21875" style="49" customWidth="1"/>
    <col min="4359" max="4359" width="12.21875" style="49" customWidth="1"/>
    <col min="4360" max="4608" width="9.21875" style="49"/>
    <col min="4609" max="4609" width="8.21875" style="49" customWidth="1"/>
    <col min="4610" max="4610" width="70.44140625" style="49" bestFit="1" customWidth="1"/>
    <col min="4611" max="4611" width="11.44140625" style="49" customWidth="1"/>
    <col min="4612" max="4612" width="10.44140625" style="49" customWidth="1"/>
    <col min="4613" max="4613" width="13.21875" style="49" customWidth="1"/>
    <col min="4614" max="4614" width="14.21875" style="49" customWidth="1"/>
    <col min="4615" max="4615" width="12.21875" style="49" customWidth="1"/>
    <col min="4616" max="4864" width="9.21875" style="49"/>
    <col min="4865" max="4865" width="8.21875" style="49" customWidth="1"/>
    <col min="4866" max="4866" width="70.44140625" style="49" bestFit="1" customWidth="1"/>
    <col min="4867" max="4867" width="11.44140625" style="49" customWidth="1"/>
    <col min="4868" max="4868" width="10.44140625" style="49" customWidth="1"/>
    <col min="4869" max="4869" width="13.21875" style="49" customWidth="1"/>
    <col min="4870" max="4870" width="14.21875" style="49" customWidth="1"/>
    <col min="4871" max="4871" width="12.21875" style="49" customWidth="1"/>
    <col min="4872" max="5120" width="9.21875" style="49"/>
    <col min="5121" max="5121" width="8.21875" style="49" customWidth="1"/>
    <col min="5122" max="5122" width="70.44140625" style="49" bestFit="1" customWidth="1"/>
    <col min="5123" max="5123" width="11.44140625" style="49" customWidth="1"/>
    <col min="5124" max="5124" width="10.44140625" style="49" customWidth="1"/>
    <col min="5125" max="5125" width="13.21875" style="49" customWidth="1"/>
    <col min="5126" max="5126" width="14.21875" style="49" customWidth="1"/>
    <col min="5127" max="5127" width="12.21875" style="49" customWidth="1"/>
    <col min="5128" max="5376" width="9.21875" style="49"/>
    <col min="5377" max="5377" width="8.21875" style="49" customWidth="1"/>
    <col min="5378" max="5378" width="70.44140625" style="49" bestFit="1" customWidth="1"/>
    <col min="5379" max="5379" width="11.44140625" style="49" customWidth="1"/>
    <col min="5380" max="5380" width="10.44140625" style="49" customWidth="1"/>
    <col min="5381" max="5381" width="13.21875" style="49" customWidth="1"/>
    <col min="5382" max="5382" width="14.21875" style="49" customWidth="1"/>
    <col min="5383" max="5383" width="12.21875" style="49" customWidth="1"/>
    <col min="5384" max="5632" width="9.21875" style="49"/>
    <col min="5633" max="5633" width="8.21875" style="49" customWidth="1"/>
    <col min="5634" max="5634" width="70.44140625" style="49" bestFit="1" customWidth="1"/>
    <col min="5635" max="5635" width="11.44140625" style="49" customWidth="1"/>
    <col min="5636" max="5636" width="10.44140625" style="49" customWidth="1"/>
    <col min="5637" max="5637" width="13.21875" style="49" customWidth="1"/>
    <col min="5638" max="5638" width="14.21875" style="49" customWidth="1"/>
    <col min="5639" max="5639" width="12.21875" style="49" customWidth="1"/>
    <col min="5640" max="5888" width="9.21875" style="49"/>
    <col min="5889" max="5889" width="8.21875" style="49" customWidth="1"/>
    <col min="5890" max="5890" width="70.44140625" style="49" bestFit="1" customWidth="1"/>
    <col min="5891" max="5891" width="11.44140625" style="49" customWidth="1"/>
    <col min="5892" max="5892" width="10.44140625" style="49" customWidth="1"/>
    <col min="5893" max="5893" width="13.21875" style="49" customWidth="1"/>
    <col min="5894" max="5894" width="14.21875" style="49" customWidth="1"/>
    <col min="5895" max="5895" width="12.21875" style="49" customWidth="1"/>
    <col min="5896" max="6144" width="9.21875" style="49"/>
    <col min="6145" max="6145" width="8.21875" style="49" customWidth="1"/>
    <col min="6146" max="6146" width="70.44140625" style="49" bestFit="1" customWidth="1"/>
    <col min="6147" max="6147" width="11.44140625" style="49" customWidth="1"/>
    <col min="6148" max="6148" width="10.44140625" style="49" customWidth="1"/>
    <col min="6149" max="6149" width="13.21875" style="49" customWidth="1"/>
    <col min="6150" max="6150" width="14.21875" style="49" customWidth="1"/>
    <col min="6151" max="6151" width="12.21875" style="49" customWidth="1"/>
    <col min="6152" max="6400" width="9.21875" style="49"/>
    <col min="6401" max="6401" width="8.21875" style="49" customWidth="1"/>
    <col min="6402" max="6402" width="70.44140625" style="49" bestFit="1" customWidth="1"/>
    <col min="6403" max="6403" width="11.44140625" style="49" customWidth="1"/>
    <col min="6404" max="6404" width="10.44140625" style="49" customWidth="1"/>
    <col min="6405" max="6405" width="13.21875" style="49" customWidth="1"/>
    <col min="6406" max="6406" width="14.21875" style="49" customWidth="1"/>
    <col min="6407" max="6407" width="12.21875" style="49" customWidth="1"/>
    <col min="6408" max="6656" width="9.21875" style="49"/>
    <col min="6657" max="6657" width="8.21875" style="49" customWidth="1"/>
    <col min="6658" max="6658" width="70.44140625" style="49" bestFit="1" customWidth="1"/>
    <col min="6659" max="6659" width="11.44140625" style="49" customWidth="1"/>
    <col min="6660" max="6660" width="10.44140625" style="49" customWidth="1"/>
    <col min="6661" max="6661" width="13.21875" style="49" customWidth="1"/>
    <col min="6662" max="6662" width="14.21875" style="49" customWidth="1"/>
    <col min="6663" max="6663" width="12.21875" style="49" customWidth="1"/>
    <col min="6664" max="6912" width="9.21875" style="49"/>
    <col min="6913" max="6913" width="8.21875" style="49" customWidth="1"/>
    <col min="6914" max="6914" width="70.44140625" style="49" bestFit="1" customWidth="1"/>
    <col min="6915" max="6915" width="11.44140625" style="49" customWidth="1"/>
    <col min="6916" max="6916" width="10.44140625" style="49" customWidth="1"/>
    <col min="6917" max="6917" width="13.21875" style="49" customWidth="1"/>
    <col min="6918" max="6918" width="14.21875" style="49" customWidth="1"/>
    <col min="6919" max="6919" width="12.21875" style="49" customWidth="1"/>
    <col min="6920" max="7168" width="9.21875" style="49"/>
    <col min="7169" max="7169" width="8.21875" style="49" customWidth="1"/>
    <col min="7170" max="7170" width="70.44140625" style="49" bestFit="1" customWidth="1"/>
    <col min="7171" max="7171" width="11.44140625" style="49" customWidth="1"/>
    <col min="7172" max="7172" width="10.44140625" style="49" customWidth="1"/>
    <col min="7173" max="7173" width="13.21875" style="49" customWidth="1"/>
    <col min="7174" max="7174" width="14.21875" style="49" customWidth="1"/>
    <col min="7175" max="7175" width="12.21875" style="49" customWidth="1"/>
    <col min="7176" max="7424" width="9.21875" style="49"/>
    <col min="7425" max="7425" width="8.21875" style="49" customWidth="1"/>
    <col min="7426" max="7426" width="70.44140625" style="49" bestFit="1" customWidth="1"/>
    <col min="7427" max="7427" width="11.44140625" style="49" customWidth="1"/>
    <col min="7428" max="7428" width="10.44140625" style="49" customWidth="1"/>
    <col min="7429" max="7429" width="13.21875" style="49" customWidth="1"/>
    <col min="7430" max="7430" width="14.21875" style="49" customWidth="1"/>
    <col min="7431" max="7431" width="12.21875" style="49" customWidth="1"/>
    <col min="7432" max="7680" width="9.21875" style="49"/>
    <col min="7681" max="7681" width="8.21875" style="49" customWidth="1"/>
    <col min="7682" max="7682" width="70.44140625" style="49" bestFit="1" customWidth="1"/>
    <col min="7683" max="7683" width="11.44140625" style="49" customWidth="1"/>
    <col min="7684" max="7684" width="10.44140625" style="49" customWidth="1"/>
    <col min="7685" max="7685" width="13.21875" style="49" customWidth="1"/>
    <col min="7686" max="7686" width="14.21875" style="49" customWidth="1"/>
    <col min="7687" max="7687" width="12.21875" style="49" customWidth="1"/>
    <col min="7688" max="7936" width="9.21875" style="49"/>
    <col min="7937" max="7937" width="8.21875" style="49" customWidth="1"/>
    <col min="7938" max="7938" width="70.44140625" style="49" bestFit="1" customWidth="1"/>
    <col min="7939" max="7939" width="11.44140625" style="49" customWidth="1"/>
    <col min="7940" max="7940" width="10.44140625" style="49" customWidth="1"/>
    <col min="7941" max="7941" width="13.21875" style="49" customWidth="1"/>
    <col min="7942" max="7942" width="14.21875" style="49" customWidth="1"/>
    <col min="7943" max="7943" width="12.21875" style="49" customWidth="1"/>
    <col min="7944" max="8192" width="9.21875" style="49"/>
    <col min="8193" max="8193" width="8.21875" style="49" customWidth="1"/>
    <col min="8194" max="8194" width="70.44140625" style="49" bestFit="1" customWidth="1"/>
    <col min="8195" max="8195" width="11.44140625" style="49" customWidth="1"/>
    <col min="8196" max="8196" width="10.44140625" style="49" customWidth="1"/>
    <col min="8197" max="8197" width="13.21875" style="49" customWidth="1"/>
    <col min="8198" max="8198" width="14.21875" style="49" customWidth="1"/>
    <col min="8199" max="8199" width="12.21875" style="49" customWidth="1"/>
    <col min="8200" max="8448" width="9.21875" style="49"/>
    <col min="8449" max="8449" width="8.21875" style="49" customWidth="1"/>
    <col min="8450" max="8450" width="70.44140625" style="49" bestFit="1" customWidth="1"/>
    <col min="8451" max="8451" width="11.44140625" style="49" customWidth="1"/>
    <col min="8452" max="8452" width="10.44140625" style="49" customWidth="1"/>
    <col min="8453" max="8453" width="13.21875" style="49" customWidth="1"/>
    <col min="8454" max="8454" width="14.21875" style="49" customWidth="1"/>
    <col min="8455" max="8455" width="12.21875" style="49" customWidth="1"/>
    <col min="8456" max="8704" width="9.21875" style="49"/>
    <col min="8705" max="8705" width="8.21875" style="49" customWidth="1"/>
    <col min="8706" max="8706" width="70.44140625" style="49" bestFit="1" customWidth="1"/>
    <col min="8707" max="8707" width="11.44140625" style="49" customWidth="1"/>
    <col min="8708" max="8708" width="10.44140625" style="49" customWidth="1"/>
    <col min="8709" max="8709" width="13.21875" style="49" customWidth="1"/>
    <col min="8710" max="8710" width="14.21875" style="49" customWidth="1"/>
    <col min="8711" max="8711" width="12.21875" style="49" customWidth="1"/>
    <col min="8712" max="8960" width="9.21875" style="49"/>
    <col min="8961" max="8961" width="8.21875" style="49" customWidth="1"/>
    <col min="8962" max="8962" width="70.44140625" style="49" bestFit="1" customWidth="1"/>
    <col min="8963" max="8963" width="11.44140625" style="49" customWidth="1"/>
    <col min="8964" max="8964" width="10.44140625" style="49" customWidth="1"/>
    <col min="8965" max="8965" width="13.21875" style="49" customWidth="1"/>
    <col min="8966" max="8966" width="14.21875" style="49" customWidth="1"/>
    <col min="8967" max="8967" width="12.21875" style="49" customWidth="1"/>
    <col min="8968" max="9216" width="9.21875" style="49"/>
    <col min="9217" max="9217" width="8.21875" style="49" customWidth="1"/>
    <col min="9218" max="9218" width="70.44140625" style="49" bestFit="1" customWidth="1"/>
    <col min="9219" max="9219" width="11.44140625" style="49" customWidth="1"/>
    <col min="9220" max="9220" width="10.44140625" style="49" customWidth="1"/>
    <col min="9221" max="9221" width="13.21875" style="49" customWidth="1"/>
    <col min="9222" max="9222" width="14.21875" style="49" customWidth="1"/>
    <col min="9223" max="9223" width="12.21875" style="49" customWidth="1"/>
    <col min="9224" max="9472" width="9.21875" style="49"/>
    <col min="9473" max="9473" width="8.21875" style="49" customWidth="1"/>
    <col min="9474" max="9474" width="70.44140625" style="49" bestFit="1" customWidth="1"/>
    <col min="9475" max="9475" width="11.44140625" style="49" customWidth="1"/>
    <col min="9476" max="9476" width="10.44140625" style="49" customWidth="1"/>
    <col min="9477" max="9477" width="13.21875" style="49" customWidth="1"/>
    <col min="9478" max="9478" width="14.21875" style="49" customWidth="1"/>
    <col min="9479" max="9479" width="12.21875" style="49" customWidth="1"/>
    <col min="9480" max="9728" width="9.21875" style="49"/>
    <col min="9729" max="9729" width="8.21875" style="49" customWidth="1"/>
    <col min="9730" max="9730" width="70.44140625" style="49" bestFit="1" customWidth="1"/>
    <col min="9731" max="9731" width="11.44140625" style="49" customWidth="1"/>
    <col min="9732" max="9732" width="10.44140625" style="49" customWidth="1"/>
    <col min="9733" max="9733" width="13.21875" style="49" customWidth="1"/>
    <col min="9734" max="9734" width="14.21875" style="49" customWidth="1"/>
    <col min="9735" max="9735" width="12.21875" style="49" customWidth="1"/>
    <col min="9736" max="9984" width="9.21875" style="49"/>
    <col min="9985" max="9985" width="8.21875" style="49" customWidth="1"/>
    <col min="9986" max="9986" width="70.44140625" style="49" bestFit="1" customWidth="1"/>
    <col min="9987" max="9987" width="11.44140625" style="49" customWidth="1"/>
    <col min="9988" max="9988" width="10.44140625" style="49" customWidth="1"/>
    <col min="9989" max="9989" width="13.21875" style="49" customWidth="1"/>
    <col min="9990" max="9990" width="14.21875" style="49" customWidth="1"/>
    <col min="9991" max="9991" width="12.21875" style="49" customWidth="1"/>
    <col min="9992" max="10240" width="9.21875" style="49"/>
    <col min="10241" max="10241" width="8.21875" style="49" customWidth="1"/>
    <col min="10242" max="10242" width="70.44140625" style="49" bestFit="1" customWidth="1"/>
    <col min="10243" max="10243" width="11.44140625" style="49" customWidth="1"/>
    <col min="10244" max="10244" width="10.44140625" style="49" customWidth="1"/>
    <col min="10245" max="10245" width="13.21875" style="49" customWidth="1"/>
    <col min="10246" max="10246" width="14.21875" style="49" customWidth="1"/>
    <col min="10247" max="10247" width="12.21875" style="49" customWidth="1"/>
    <col min="10248" max="10496" width="9.21875" style="49"/>
    <col min="10497" max="10497" width="8.21875" style="49" customWidth="1"/>
    <col min="10498" max="10498" width="70.44140625" style="49" bestFit="1" customWidth="1"/>
    <col min="10499" max="10499" width="11.44140625" style="49" customWidth="1"/>
    <col min="10500" max="10500" width="10.44140625" style="49" customWidth="1"/>
    <col min="10501" max="10501" width="13.21875" style="49" customWidth="1"/>
    <col min="10502" max="10502" width="14.21875" style="49" customWidth="1"/>
    <col min="10503" max="10503" width="12.21875" style="49" customWidth="1"/>
    <col min="10504" max="10752" width="9.21875" style="49"/>
    <col min="10753" max="10753" width="8.21875" style="49" customWidth="1"/>
    <col min="10754" max="10754" width="70.44140625" style="49" bestFit="1" customWidth="1"/>
    <col min="10755" max="10755" width="11.44140625" style="49" customWidth="1"/>
    <col min="10756" max="10756" width="10.44140625" style="49" customWidth="1"/>
    <col min="10757" max="10757" width="13.21875" style="49" customWidth="1"/>
    <col min="10758" max="10758" width="14.21875" style="49" customWidth="1"/>
    <col min="10759" max="10759" width="12.21875" style="49" customWidth="1"/>
    <col min="10760" max="11008" width="9.21875" style="49"/>
    <col min="11009" max="11009" width="8.21875" style="49" customWidth="1"/>
    <col min="11010" max="11010" width="70.44140625" style="49" bestFit="1" customWidth="1"/>
    <col min="11011" max="11011" width="11.44140625" style="49" customWidth="1"/>
    <col min="11012" max="11012" width="10.44140625" style="49" customWidth="1"/>
    <col min="11013" max="11013" width="13.21875" style="49" customWidth="1"/>
    <col min="11014" max="11014" width="14.21875" style="49" customWidth="1"/>
    <col min="11015" max="11015" width="12.21875" style="49" customWidth="1"/>
    <col min="11016" max="11264" width="9.21875" style="49"/>
    <col min="11265" max="11265" width="8.21875" style="49" customWidth="1"/>
    <col min="11266" max="11266" width="70.44140625" style="49" bestFit="1" customWidth="1"/>
    <col min="11267" max="11267" width="11.44140625" style="49" customWidth="1"/>
    <col min="11268" max="11268" width="10.44140625" style="49" customWidth="1"/>
    <col min="11269" max="11269" width="13.21875" style="49" customWidth="1"/>
    <col min="11270" max="11270" width="14.21875" style="49" customWidth="1"/>
    <col min="11271" max="11271" width="12.21875" style="49" customWidth="1"/>
    <col min="11272" max="11520" width="9.21875" style="49"/>
    <col min="11521" max="11521" width="8.21875" style="49" customWidth="1"/>
    <col min="11522" max="11522" width="70.44140625" style="49" bestFit="1" customWidth="1"/>
    <col min="11523" max="11523" width="11.44140625" style="49" customWidth="1"/>
    <col min="11524" max="11524" width="10.44140625" style="49" customWidth="1"/>
    <col min="11525" max="11525" width="13.21875" style="49" customWidth="1"/>
    <col min="11526" max="11526" width="14.21875" style="49" customWidth="1"/>
    <col min="11527" max="11527" width="12.21875" style="49" customWidth="1"/>
    <col min="11528" max="11776" width="9.21875" style="49"/>
    <col min="11777" max="11777" width="8.21875" style="49" customWidth="1"/>
    <col min="11778" max="11778" width="70.44140625" style="49" bestFit="1" customWidth="1"/>
    <col min="11779" max="11779" width="11.44140625" style="49" customWidth="1"/>
    <col min="11780" max="11780" width="10.44140625" style="49" customWidth="1"/>
    <col min="11781" max="11781" width="13.21875" style="49" customWidth="1"/>
    <col min="11782" max="11782" width="14.21875" style="49" customWidth="1"/>
    <col min="11783" max="11783" width="12.21875" style="49" customWidth="1"/>
    <col min="11784" max="12032" width="9.21875" style="49"/>
    <col min="12033" max="12033" width="8.21875" style="49" customWidth="1"/>
    <col min="12034" max="12034" width="70.44140625" style="49" bestFit="1" customWidth="1"/>
    <col min="12035" max="12035" width="11.44140625" style="49" customWidth="1"/>
    <col min="12036" max="12036" width="10.44140625" style="49" customWidth="1"/>
    <col min="12037" max="12037" width="13.21875" style="49" customWidth="1"/>
    <col min="12038" max="12038" width="14.21875" style="49" customWidth="1"/>
    <col min="12039" max="12039" width="12.21875" style="49" customWidth="1"/>
    <col min="12040" max="12288" width="9.21875" style="49"/>
    <col min="12289" max="12289" width="8.21875" style="49" customWidth="1"/>
    <col min="12290" max="12290" width="70.44140625" style="49" bestFit="1" customWidth="1"/>
    <col min="12291" max="12291" width="11.44140625" style="49" customWidth="1"/>
    <col min="12292" max="12292" width="10.44140625" style="49" customWidth="1"/>
    <col min="12293" max="12293" width="13.21875" style="49" customWidth="1"/>
    <col min="12294" max="12294" width="14.21875" style="49" customWidth="1"/>
    <col min="12295" max="12295" width="12.21875" style="49" customWidth="1"/>
    <col min="12296" max="12544" width="9.21875" style="49"/>
    <col min="12545" max="12545" width="8.21875" style="49" customWidth="1"/>
    <col min="12546" max="12546" width="70.44140625" style="49" bestFit="1" customWidth="1"/>
    <col min="12547" max="12547" width="11.44140625" style="49" customWidth="1"/>
    <col min="12548" max="12548" width="10.44140625" style="49" customWidth="1"/>
    <col min="12549" max="12549" width="13.21875" style="49" customWidth="1"/>
    <col min="12550" max="12550" width="14.21875" style="49" customWidth="1"/>
    <col min="12551" max="12551" width="12.21875" style="49" customWidth="1"/>
    <col min="12552" max="12800" width="9.21875" style="49"/>
    <col min="12801" max="12801" width="8.21875" style="49" customWidth="1"/>
    <col min="12802" max="12802" width="70.44140625" style="49" bestFit="1" customWidth="1"/>
    <col min="12803" max="12803" width="11.44140625" style="49" customWidth="1"/>
    <col min="12804" max="12804" width="10.44140625" style="49" customWidth="1"/>
    <col min="12805" max="12805" width="13.21875" style="49" customWidth="1"/>
    <col min="12806" max="12806" width="14.21875" style="49" customWidth="1"/>
    <col min="12807" max="12807" width="12.21875" style="49" customWidth="1"/>
    <col min="12808" max="13056" width="9.21875" style="49"/>
    <col min="13057" max="13057" width="8.21875" style="49" customWidth="1"/>
    <col min="13058" max="13058" width="70.44140625" style="49" bestFit="1" customWidth="1"/>
    <col min="13059" max="13059" width="11.44140625" style="49" customWidth="1"/>
    <col min="13060" max="13060" width="10.44140625" style="49" customWidth="1"/>
    <col min="13061" max="13061" width="13.21875" style="49" customWidth="1"/>
    <col min="13062" max="13062" width="14.21875" style="49" customWidth="1"/>
    <col min="13063" max="13063" width="12.21875" style="49" customWidth="1"/>
    <col min="13064" max="13312" width="9.21875" style="49"/>
    <col min="13313" max="13313" width="8.21875" style="49" customWidth="1"/>
    <col min="13314" max="13314" width="70.44140625" style="49" bestFit="1" customWidth="1"/>
    <col min="13315" max="13315" width="11.44140625" style="49" customWidth="1"/>
    <col min="13316" max="13316" width="10.44140625" style="49" customWidth="1"/>
    <col min="13317" max="13317" width="13.21875" style="49" customWidth="1"/>
    <col min="13318" max="13318" width="14.21875" style="49" customWidth="1"/>
    <col min="13319" max="13319" width="12.21875" style="49" customWidth="1"/>
    <col min="13320" max="13568" width="9.21875" style="49"/>
    <col min="13569" max="13569" width="8.21875" style="49" customWidth="1"/>
    <col min="13570" max="13570" width="70.44140625" style="49" bestFit="1" customWidth="1"/>
    <col min="13571" max="13571" width="11.44140625" style="49" customWidth="1"/>
    <col min="13572" max="13572" width="10.44140625" style="49" customWidth="1"/>
    <col min="13573" max="13573" width="13.21875" style="49" customWidth="1"/>
    <col min="13574" max="13574" width="14.21875" style="49" customWidth="1"/>
    <col min="13575" max="13575" width="12.21875" style="49" customWidth="1"/>
    <col min="13576" max="13824" width="9.21875" style="49"/>
    <col min="13825" max="13825" width="8.21875" style="49" customWidth="1"/>
    <col min="13826" max="13826" width="70.44140625" style="49" bestFit="1" customWidth="1"/>
    <col min="13827" max="13827" width="11.44140625" style="49" customWidth="1"/>
    <col min="13828" max="13828" width="10.44140625" style="49" customWidth="1"/>
    <col min="13829" max="13829" width="13.21875" style="49" customWidth="1"/>
    <col min="13830" max="13830" width="14.21875" style="49" customWidth="1"/>
    <col min="13831" max="13831" width="12.21875" style="49" customWidth="1"/>
    <col min="13832" max="14080" width="9.21875" style="49"/>
    <col min="14081" max="14081" width="8.21875" style="49" customWidth="1"/>
    <col min="14082" max="14082" width="70.44140625" style="49" bestFit="1" customWidth="1"/>
    <col min="14083" max="14083" width="11.44140625" style="49" customWidth="1"/>
    <col min="14084" max="14084" width="10.44140625" style="49" customWidth="1"/>
    <col min="14085" max="14085" width="13.21875" style="49" customWidth="1"/>
    <col min="14086" max="14086" width="14.21875" style="49" customWidth="1"/>
    <col min="14087" max="14087" width="12.21875" style="49" customWidth="1"/>
    <col min="14088" max="14336" width="9.21875" style="49"/>
    <col min="14337" max="14337" width="8.21875" style="49" customWidth="1"/>
    <col min="14338" max="14338" width="70.44140625" style="49" bestFit="1" customWidth="1"/>
    <col min="14339" max="14339" width="11.44140625" style="49" customWidth="1"/>
    <col min="14340" max="14340" width="10.44140625" style="49" customWidth="1"/>
    <col min="14341" max="14341" width="13.21875" style="49" customWidth="1"/>
    <col min="14342" max="14342" width="14.21875" style="49" customWidth="1"/>
    <col min="14343" max="14343" width="12.21875" style="49" customWidth="1"/>
    <col min="14344" max="14592" width="9.21875" style="49"/>
    <col min="14593" max="14593" width="8.21875" style="49" customWidth="1"/>
    <col min="14594" max="14594" width="70.44140625" style="49" bestFit="1" customWidth="1"/>
    <col min="14595" max="14595" width="11.44140625" style="49" customWidth="1"/>
    <col min="14596" max="14596" width="10.44140625" style="49" customWidth="1"/>
    <col min="14597" max="14597" width="13.21875" style="49" customWidth="1"/>
    <col min="14598" max="14598" width="14.21875" style="49" customWidth="1"/>
    <col min="14599" max="14599" width="12.21875" style="49" customWidth="1"/>
    <col min="14600" max="14848" width="9.21875" style="49"/>
    <col min="14849" max="14849" width="8.21875" style="49" customWidth="1"/>
    <col min="14850" max="14850" width="70.44140625" style="49" bestFit="1" customWidth="1"/>
    <col min="14851" max="14851" width="11.44140625" style="49" customWidth="1"/>
    <col min="14852" max="14852" width="10.44140625" style="49" customWidth="1"/>
    <col min="14853" max="14853" width="13.21875" style="49" customWidth="1"/>
    <col min="14854" max="14854" width="14.21875" style="49" customWidth="1"/>
    <col min="14855" max="14855" width="12.21875" style="49" customWidth="1"/>
    <col min="14856" max="15104" width="9.21875" style="49"/>
    <col min="15105" max="15105" width="8.21875" style="49" customWidth="1"/>
    <col min="15106" max="15106" width="70.44140625" style="49" bestFit="1" customWidth="1"/>
    <col min="15107" max="15107" width="11.44140625" style="49" customWidth="1"/>
    <col min="15108" max="15108" width="10.44140625" style="49" customWidth="1"/>
    <col min="15109" max="15109" width="13.21875" style="49" customWidth="1"/>
    <col min="15110" max="15110" width="14.21875" style="49" customWidth="1"/>
    <col min="15111" max="15111" width="12.21875" style="49" customWidth="1"/>
    <col min="15112" max="15360" width="9.21875" style="49"/>
    <col min="15361" max="15361" width="8.21875" style="49" customWidth="1"/>
    <col min="15362" max="15362" width="70.44140625" style="49" bestFit="1" customWidth="1"/>
    <col min="15363" max="15363" width="11.44140625" style="49" customWidth="1"/>
    <col min="15364" max="15364" width="10.44140625" style="49" customWidth="1"/>
    <col min="15365" max="15365" width="13.21875" style="49" customWidth="1"/>
    <col min="15366" max="15366" width="14.21875" style="49" customWidth="1"/>
    <col min="15367" max="15367" width="12.21875" style="49" customWidth="1"/>
    <col min="15368" max="15616" width="9.21875" style="49"/>
    <col min="15617" max="15617" width="8.21875" style="49" customWidth="1"/>
    <col min="15618" max="15618" width="70.44140625" style="49" bestFit="1" customWidth="1"/>
    <col min="15619" max="15619" width="11.44140625" style="49" customWidth="1"/>
    <col min="15620" max="15620" width="10.44140625" style="49" customWidth="1"/>
    <col min="15621" max="15621" width="13.21875" style="49" customWidth="1"/>
    <col min="15622" max="15622" width="14.21875" style="49" customWidth="1"/>
    <col min="15623" max="15623" width="12.21875" style="49" customWidth="1"/>
    <col min="15624" max="15872" width="9.21875" style="49"/>
    <col min="15873" max="15873" width="8.21875" style="49" customWidth="1"/>
    <col min="15874" max="15874" width="70.44140625" style="49" bestFit="1" customWidth="1"/>
    <col min="15875" max="15875" width="11.44140625" style="49" customWidth="1"/>
    <col min="15876" max="15876" width="10.44140625" style="49" customWidth="1"/>
    <col min="15877" max="15877" width="13.21875" style="49" customWidth="1"/>
    <col min="15878" max="15878" width="14.21875" style="49" customWidth="1"/>
    <col min="15879" max="15879" width="12.21875" style="49" customWidth="1"/>
    <col min="15880" max="16128" width="9.21875" style="49"/>
    <col min="16129" max="16129" width="8.21875" style="49" customWidth="1"/>
    <col min="16130" max="16130" width="70.44140625" style="49" bestFit="1" customWidth="1"/>
    <col min="16131" max="16131" width="11.44140625" style="49" customWidth="1"/>
    <col min="16132" max="16132" width="10.44140625" style="49" customWidth="1"/>
    <col min="16133" max="16133" width="13.21875" style="49" customWidth="1"/>
    <col min="16134" max="16134" width="14.21875" style="49" customWidth="1"/>
    <col min="16135" max="16135" width="12.21875" style="49" customWidth="1"/>
    <col min="16136" max="16384" width="9.21875" style="49"/>
  </cols>
  <sheetData>
    <row r="1" spans="1:10" x14ac:dyDescent="0.2">
      <c r="B1" s="50" t="s">
        <v>25</v>
      </c>
    </row>
    <row r="2" spans="1:10" x14ac:dyDescent="0.2">
      <c r="B2" s="50" t="s">
        <v>26</v>
      </c>
    </row>
    <row r="3" spans="1:10" x14ac:dyDescent="0.2">
      <c r="B3" s="49" t="s">
        <v>27</v>
      </c>
    </row>
    <row r="4" spans="1:10" ht="13.8" x14ac:dyDescent="0.25">
      <c r="A4" s="53" t="s">
        <v>28</v>
      </c>
      <c r="B4" s="54"/>
    </row>
    <row r="5" spans="1:10" ht="10.8" thickBot="1" x14ac:dyDescent="0.25">
      <c r="A5" s="53"/>
      <c r="C5" s="53"/>
      <c r="D5" s="53"/>
      <c r="E5" s="59"/>
      <c r="F5" s="59"/>
    </row>
    <row r="6" spans="1:10" x14ac:dyDescent="0.2">
      <c r="A6" s="53"/>
      <c r="B6" s="141" t="s">
        <v>451</v>
      </c>
      <c r="C6" s="142"/>
      <c r="D6" s="53"/>
      <c r="E6" s="59"/>
      <c r="F6" s="59"/>
    </row>
    <row r="7" spans="1:10" x14ac:dyDescent="0.2">
      <c r="A7" s="53"/>
      <c r="B7" s="143" t="s">
        <v>452</v>
      </c>
      <c r="C7" s="144"/>
      <c r="D7" s="53"/>
      <c r="E7" s="59"/>
      <c r="F7" s="59" t="s">
        <v>453</v>
      </c>
      <c r="G7" s="49" t="s">
        <v>454</v>
      </c>
      <c r="H7" s="200" t="s">
        <v>455</v>
      </c>
    </row>
    <row r="8" spans="1:10" x14ac:dyDescent="0.2">
      <c r="A8" s="53"/>
      <c r="B8" s="145" t="s">
        <v>456</v>
      </c>
      <c r="C8" s="146">
        <v>24</v>
      </c>
      <c r="D8" s="53"/>
      <c r="E8" s="59"/>
      <c r="F8" s="202" t="s">
        <v>457</v>
      </c>
      <c r="G8" s="66"/>
      <c r="H8" s="200"/>
    </row>
    <row r="9" spans="1:10" x14ac:dyDescent="0.2">
      <c r="A9" s="53"/>
      <c r="B9" s="145" t="s">
        <v>458</v>
      </c>
      <c r="C9" s="146">
        <v>4</v>
      </c>
      <c r="D9" s="53"/>
      <c r="E9" s="59"/>
      <c r="F9" s="201">
        <v>2.5000000000000001E-2</v>
      </c>
      <c r="G9" s="66">
        <f>G8+(G8*F9)</f>
        <v>0</v>
      </c>
      <c r="H9" s="203">
        <f>G9-G8</f>
        <v>0</v>
      </c>
    </row>
    <row r="10" spans="1:10" x14ac:dyDescent="0.2">
      <c r="A10" s="53"/>
      <c r="B10" s="145" t="s">
        <v>459</v>
      </c>
      <c r="C10" s="146">
        <v>8.75</v>
      </c>
      <c r="D10" s="53"/>
      <c r="E10" s="59"/>
      <c r="F10" s="201">
        <v>0.05</v>
      </c>
      <c r="G10" s="66">
        <f t="shared" ref="G10:G12" si="0">G9+(G9*F10)</f>
        <v>0</v>
      </c>
      <c r="H10" s="203">
        <f>G10-$G$8</f>
        <v>0</v>
      </c>
    </row>
    <row r="11" spans="1:10" x14ac:dyDescent="0.2">
      <c r="A11" s="53"/>
      <c r="B11" s="145" t="s">
        <v>460</v>
      </c>
      <c r="C11" s="146">
        <v>6</v>
      </c>
      <c r="D11" s="53"/>
      <c r="E11" s="59"/>
      <c r="F11" s="201">
        <v>7.4999999999999997E-2</v>
      </c>
      <c r="G11" s="66">
        <f t="shared" si="0"/>
        <v>0</v>
      </c>
      <c r="H11" s="203">
        <f t="shared" ref="H11:H12" si="1">G11-$G$8</f>
        <v>0</v>
      </c>
    </row>
    <row r="12" spans="1:10" ht="10.8" thickBot="1" x14ac:dyDescent="0.25">
      <c r="A12" s="53"/>
      <c r="B12" s="147" t="s">
        <v>461</v>
      </c>
      <c r="C12" s="148">
        <f>C10*C8</f>
        <v>210</v>
      </c>
      <c r="D12" s="53"/>
      <c r="E12" s="59"/>
      <c r="F12" s="201">
        <v>0.1</v>
      </c>
      <c r="G12" s="66">
        <f t="shared" si="0"/>
        <v>0</v>
      </c>
      <c r="H12" s="203">
        <f t="shared" si="1"/>
        <v>0</v>
      </c>
    </row>
    <row r="13" spans="1:10" ht="10.8" thickBot="1" x14ac:dyDescent="0.25">
      <c r="A13" s="53"/>
      <c r="C13" s="53"/>
      <c r="D13" s="53"/>
      <c r="E13" s="59"/>
      <c r="F13" s="59"/>
    </row>
    <row r="14" spans="1:10" ht="18" thickBot="1" x14ac:dyDescent="0.35">
      <c r="A14" s="53"/>
      <c r="B14" s="489" t="s">
        <v>462</v>
      </c>
      <c r="C14" s="490"/>
      <c r="D14" s="490"/>
      <c r="E14" s="490"/>
      <c r="F14" s="491"/>
      <c r="G14" s="49" t="s">
        <v>463</v>
      </c>
      <c r="H14" s="49" t="s">
        <v>464</v>
      </c>
      <c r="I14" s="49" t="s">
        <v>465</v>
      </c>
      <c r="J14" s="49" t="s">
        <v>466</v>
      </c>
    </row>
    <row r="15" spans="1:10" ht="10.8" thickBot="1" x14ac:dyDescent="0.25">
      <c r="A15" s="53"/>
      <c r="C15" s="53" t="s">
        <v>31</v>
      </c>
      <c r="D15" s="53" t="s">
        <v>32</v>
      </c>
      <c r="E15" s="59" t="s">
        <v>33</v>
      </c>
      <c r="F15" s="59" t="s">
        <v>34</v>
      </c>
    </row>
    <row r="16" spans="1:10" ht="10.8" thickBot="1" x14ac:dyDescent="0.25">
      <c r="A16" s="53"/>
      <c r="B16" s="149" t="s">
        <v>37</v>
      </c>
      <c r="C16" s="150" t="s">
        <v>69</v>
      </c>
      <c r="D16" s="150">
        <v>1</v>
      </c>
      <c r="E16" s="175">
        <v>94</v>
      </c>
      <c r="F16" s="151">
        <f>D16*E16</f>
        <v>94</v>
      </c>
      <c r="G16" s="66">
        <f>E16+(F16*$F$9)</f>
        <v>96.35</v>
      </c>
      <c r="H16" s="66">
        <f>E16+(E16*$F$10)</f>
        <v>98.7</v>
      </c>
      <c r="I16" s="66">
        <f>E16+(E16*$F$11)</f>
        <v>101.05</v>
      </c>
      <c r="J16" s="66">
        <f>E16+(E16*$F$12)</f>
        <v>103.4</v>
      </c>
    </row>
    <row r="17" spans="1:10" x14ac:dyDescent="0.2">
      <c r="A17" s="53"/>
      <c r="B17" s="152"/>
      <c r="C17" s="153" t="s">
        <v>67</v>
      </c>
      <c r="D17" s="154">
        <v>1</v>
      </c>
      <c r="E17" s="155">
        <f>E16*$C$10</f>
        <v>822.5</v>
      </c>
      <c r="F17" s="156">
        <f t="shared" ref="F17:F19" si="2">D17*E17</f>
        <v>822.5</v>
      </c>
      <c r="G17" s="155">
        <f>G16*$C$10</f>
        <v>843.0625</v>
      </c>
      <c r="H17" s="155">
        <f t="shared" ref="H17:J17" si="3">H16*$C$10</f>
        <v>863.625</v>
      </c>
      <c r="I17" s="155">
        <f t="shared" si="3"/>
        <v>884.1875</v>
      </c>
      <c r="J17" s="155">
        <f t="shared" si="3"/>
        <v>904.75</v>
      </c>
    </row>
    <row r="18" spans="1:10" x14ac:dyDescent="0.2">
      <c r="A18" s="53"/>
      <c r="B18" s="157" t="str">
        <f>B16</f>
        <v>TRADESMAN_LEADING HAND</v>
      </c>
      <c r="C18" s="153" t="s">
        <v>467</v>
      </c>
      <c r="D18" s="154">
        <v>1</v>
      </c>
      <c r="E18" s="155">
        <f>E17*$C$11</f>
        <v>4935</v>
      </c>
      <c r="F18" s="156">
        <f t="shared" si="2"/>
        <v>4935</v>
      </c>
      <c r="G18" s="155">
        <f>G17*$C$11</f>
        <v>5058.375</v>
      </c>
      <c r="H18" s="155">
        <f t="shared" ref="H18:J18" si="4">H17*$C$11</f>
        <v>5181.75</v>
      </c>
      <c r="I18" s="155">
        <f t="shared" si="4"/>
        <v>5305.125</v>
      </c>
      <c r="J18" s="155">
        <f t="shared" si="4"/>
        <v>5428.5</v>
      </c>
    </row>
    <row r="19" spans="1:10" ht="10.8" thickBot="1" x14ac:dyDescent="0.25">
      <c r="A19" s="53"/>
      <c r="B19" s="157"/>
      <c r="C19" s="153" t="s">
        <v>468</v>
      </c>
      <c r="D19" s="158">
        <v>1</v>
      </c>
      <c r="E19" s="159">
        <f>E17*$C$8</f>
        <v>19740</v>
      </c>
      <c r="F19" s="156">
        <f t="shared" si="2"/>
        <v>19740</v>
      </c>
      <c r="G19" s="159">
        <f>G17*$C$8</f>
        <v>20233.5</v>
      </c>
      <c r="H19" s="159">
        <f t="shared" ref="H19:J19" si="5">H17*$C$8</f>
        <v>20727</v>
      </c>
      <c r="I19" s="159">
        <f t="shared" si="5"/>
        <v>21220.5</v>
      </c>
      <c r="J19" s="159">
        <f t="shared" si="5"/>
        <v>21714</v>
      </c>
    </row>
    <row r="20" spans="1:10" x14ac:dyDescent="0.2">
      <c r="A20" s="53"/>
      <c r="B20" s="143"/>
      <c r="C20" s="160"/>
      <c r="E20" s="161"/>
      <c r="F20" s="162"/>
      <c r="I20" s="56"/>
    </row>
    <row r="21" spans="1:10" ht="10.8" thickBot="1" x14ac:dyDescent="0.25">
      <c r="A21" s="53"/>
      <c r="B21" s="147" t="s">
        <v>469</v>
      </c>
      <c r="C21" s="163">
        <f>COUNTA(B18,B19,B20)</f>
        <v>1</v>
      </c>
      <c r="D21" s="164"/>
      <c r="E21" s="165"/>
      <c r="F21" s="166"/>
      <c r="I21" s="56"/>
    </row>
    <row r="22" spans="1:10" ht="10.8" thickBot="1" x14ac:dyDescent="0.25">
      <c r="A22" s="53"/>
      <c r="B22" s="50"/>
      <c r="E22" s="161"/>
      <c r="F22" s="56"/>
      <c r="I22" s="56"/>
    </row>
    <row r="23" spans="1:10" ht="10.8" thickBot="1" x14ac:dyDescent="0.25">
      <c r="A23" s="53"/>
      <c r="B23" s="149" t="s">
        <v>41</v>
      </c>
      <c r="C23" s="150" t="s">
        <v>69</v>
      </c>
      <c r="D23" s="150">
        <v>1</v>
      </c>
      <c r="E23" s="176">
        <f>E44*2+E51</f>
        <v>246</v>
      </c>
      <c r="F23" s="151">
        <f>D23*E23</f>
        <v>246</v>
      </c>
      <c r="G23" s="66">
        <f>E23+(F23*$F$9)</f>
        <v>252.15</v>
      </c>
      <c r="H23" s="66">
        <f>E23+(E23*$F$10)</f>
        <v>258.3</v>
      </c>
      <c r="I23" s="66">
        <f>E23+(E23*$F$11)</f>
        <v>264.45</v>
      </c>
      <c r="J23" s="66">
        <f>E23+(E23*$F$12)</f>
        <v>270.60000000000002</v>
      </c>
    </row>
    <row r="24" spans="1:10" x14ac:dyDescent="0.2">
      <c r="A24" s="53"/>
      <c r="B24" s="152"/>
      <c r="C24" s="153" t="s">
        <v>67</v>
      </c>
      <c r="D24" s="154">
        <v>1</v>
      </c>
      <c r="E24" s="155">
        <f>E23*$C$10</f>
        <v>2152.5</v>
      </c>
      <c r="F24" s="156">
        <f t="shared" ref="F24:F26" si="6">D24*E24</f>
        <v>2152.5</v>
      </c>
      <c r="G24" s="155">
        <f>G23*$C$10</f>
        <v>2206.3125</v>
      </c>
      <c r="H24" s="155">
        <f>H23*$C$10</f>
        <v>2260.125</v>
      </c>
      <c r="I24" s="155">
        <f>I23*$C$10</f>
        <v>2313.9375</v>
      </c>
      <c r="J24" s="155">
        <f>J23*$C$10</f>
        <v>2367.75</v>
      </c>
    </row>
    <row r="25" spans="1:10" x14ac:dyDescent="0.2">
      <c r="A25" s="53"/>
      <c r="B25" s="157" t="str">
        <f>B44</f>
        <v>TRADESMAN_PLUMBER_OPERATOR</v>
      </c>
      <c r="C25" s="153" t="s">
        <v>467</v>
      </c>
      <c r="D25" s="154">
        <v>1</v>
      </c>
      <c r="E25" s="155">
        <f>E24*$C$11</f>
        <v>12915</v>
      </c>
      <c r="F25" s="156">
        <f t="shared" si="6"/>
        <v>12915</v>
      </c>
      <c r="G25" s="155">
        <f>G24*$C$11</f>
        <v>13237.875</v>
      </c>
      <c r="H25" s="155">
        <f>H24*$C$11</f>
        <v>13560.75</v>
      </c>
      <c r="I25" s="155">
        <f>I24*$C$11</f>
        <v>13883.625</v>
      </c>
      <c r="J25" s="155">
        <f>J24*$C$11</f>
        <v>14206.5</v>
      </c>
    </row>
    <row r="26" spans="1:10" ht="10.8" thickBot="1" x14ac:dyDescent="0.25">
      <c r="A26" s="53"/>
      <c r="B26" s="157" t="str">
        <f>B44</f>
        <v>TRADESMAN_PLUMBER_OPERATOR</v>
      </c>
      <c r="C26" s="153" t="s">
        <v>468</v>
      </c>
      <c r="D26" s="158">
        <v>1</v>
      </c>
      <c r="E26" s="159">
        <f>E24*$C$8</f>
        <v>51660</v>
      </c>
      <c r="F26" s="156">
        <f t="shared" si="6"/>
        <v>51660</v>
      </c>
      <c r="G26" s="159">
        <f>G24*$C$8</f>
        <v>52951.5</v>
      </c>
      <c r="H26" s="159">
        <f>H24*$C$8</f>
        <v>54243</v>
      </c>
      <c r="I26" s="159">
        <f>I24*$C$8</f>
        <v>55534.5</v>
      </c>
      <c r="J26" s="159">
        <f>J24*$C$8</f>
        <v>56826</v>
      </c>
    </row>
    <row r="27" spans="1:10" x14ac:dyDescent="0.2">
      <c r="A27" s="53"/>
      <c r="B27" s="143" t="str">
        <f>B51</f>
        <v>T/A &amp; Apprentice</v>
      </c>
      <c r="C27" s="160"/>
      <c r="E27" s="56"/>
      <c r="F27" s="162"/>
      <c r="I27" s="56"/>
    </row>
    <row r="28" spans="1:10" ht="10.8" thickBot="1" x14ac:dyDescent="0.25">
      <c r="A28" s="53"/>
      <c r="B28" s="147" t="s">
        <v>469</v>
      </c>
      <c r="C28" s="163">
        <f>COUNTA(B25,B26,B27)</f>
        <v>3</v>
      </c>
      <c r="D28" s="164"/>
      <c r="E28" s="165"/>
      <c r="F28" s="166"/>
      <c r="I28" s="56"/>
    </row>
    <row r="29" spans="1:10" ht="10.8" thickBot="1" x14ac:dyDescent="0.25">
      <c r="A29" s="53"/>
      <c r="B29" s="68"/>
      <c r="E29" s="56"/>
      <c r="F29" s="56"/>
      <c r="I29" s="56"/>
    </row>
    <row r="30" spans="1:10" ht="10.8" thickBot="1" x14ac:dyDescent="0.25">
      <c r="A30" s="53"/>
      <c r="B30" s="174" t="s">
        <v>42</v>
      </c>
      <c r="C30" s="150" t="s">
        <v>69</v>
      </c>
      <c r="D30" s="150">
        <v>1</v>
      </c>
      <c r="E30" s="176">
        <f>E44*2+E51</f>
        <v>246</v>
      </c>
      <c r="F30" s="151">
        <f>D30*E30</f>
        <v>246</v>
      </c>
      <c r="G30" s="66">
        <f>E30+(F30*$F$9)</f>
        <v>252.15</v>
      </c>
      <c r="H30" s="66">
        <f>E30+(E30*$F$10)</f>
        <v>258.3</v>
      </c>
      <c r="I30" s="66">
        <f>E30+(E30*$F$11)</f>
        <v>264.45</v>
      </c>
      <c r="J30" s="66">
        <f>E30+(E30*$F$12)</f>
        <v>270.60000000000002</v>
      </c>
    </row>
    <row r="31" spans="1:10" x14ac:dyDescent="0.2">
      <c r="A31" s="53"/>
      <c r="B31" s="152"/>
      <c r="C31" s="153" t="s">
        <v>67</v>
      </c>
      <c r="D31" s="154">
        <v>1</v>
      </c>
      <c r="E31" s="155">
        <f>E30*$C$10</f>
        <v>2152.5</v>
      </c>
      <c r="F31" s="156">
        <f t="shared" ref="F31:F33" si="7">D31*E31</f>
        <v>2152.5</v>
      </c>
      <c r="G31" s="155">
        <f>G30*$C$10</f>
        <v>2206.3125</v>
      </c>
      <c r="H31" s="155">
        <f>H30*$C$10</f>
        <v>2260.125</v>
      </c>
      <c r="I31" s="155">
        <f>I30*$C$10</f>
        <v>2313.9375</v>
      </c>
      <c r="J31" s="155">
        <f>J30*$C$10</f>
        <v>2367.75</v>
      </c>
    </row>
    <row r="32" spans="1:10" x14ac:dyDescent="0.2">
      <c r="A32" s="53"/>
      <c r="B32" s="157" t="str">
        <f>B44</f>
        <v>TRADESMAN_PLUMBER_OPERATOR</v>
      </c>
      <c r="C32" s="153" t="s">
        <v>467</v>
      </c>
      <c r="D32" s="154">
        <v>1</v>
      </c>
      <c r="E32" s="155">
        <f>E31*$C$11</f>
        <v>12915</v>
      </c>
      <c r="F32" s="156">
        <f t="shared" si="7"/>
        <v>12915</v>
      </c>
      <c r="G32" s="155">
        <f>G31*$C$11</f>
        <v>13237.875</v>
      </c>
      <c r="H32" s="155">
        <f t="shared" ref="H32:J32" si="8">H31*$C$11</f>
        <v>13560.75</v>
      </c>
      <c r="I32" s="155">
        <f t="shared" si="8"/>
        <v>13883.625</v>
      </c>
      <c r="J32" s="155">
        <f t="shared" si="8"/>
        <v>14206.5</v>
      </c>
    </row>
    <row r="33" spans="1:10" ht="10.8" thickBot="1" x14ac:dyDescent="0.25">
      <c r="A33" s="53"/>
      <c r="B33" s="157" t="str">
        <f>B44</f>
        <v>TRADESMAN_PLUMBER_OPERATOR</v>
      </c>
      <c r="C33" s="153" t="s">
        <v>468</v>
      </c>
      <c r="D33" s="158">
        <v>1</v>
      </c>
      <c r="E33" s="159">
        <f>E31*$C$8</f>
        <v>51660</v>
      </c>
      <c r="F33" s="156">
        <f t="shared" si="7"/>
        <v>51660</v>
      </c>
      <c r="G33" s="159">
        <f>G31*$C$8</f>
        <v>52951.5</v>
      </c>
      <c r="H33" s="159">
        <f t="shared" ref="H33:J33" si="9">H31*$C$8</f>
        <v>54243</v>
      </c>
      <c r="I33" s="159">
        <f t="shared" si="9"/>
        <v>55534.5</v>
      </c>
      <c r="J33" s="159">
        <f t="shared" si="9"/>
        <v>56826</v>
      </c>
    </row>
    <row r="34" spans="1:10" x14ac:dyDescent="0.2">
      <c r="A34" s="53"/>
      <c r="B34" s="143" t="str">
        <f>B51</f>
        <v>T/A &amp; Apprentice</v>
      </c>
      <c r="C34" s="160"/>
      <c r="E34" s="56"/>
      <c r="F34" s="162"/>
      <c r="I34" s="56"/>
    </row>
    <row r="35" spans="1:10" ht="10.8" thickBot="1" x14ac:dyDescent="0.25">
      <c r="A35" s="53"/>
      <c r="B35" s="147" t="s">
        <v>469</v>
      </c>
      <c r="C35" s="163">
        <f>COUNTA(B32,B33,B34)</f>
        <v>3</v>
      </c>
      <c r="D35" s="164"/>
      <c r="E35" s="165"/>
      <c r="F35" s="166"/>
      <c r="I35" s="56"/>
    </row>
    <row r="36" spans="1:10" ht="10.8" thickBot="1" x14ac:dyDescent="0.25">
      <c r="A36" s="53"/>
      <c r="B36" s="172"/>
      <c r="E36" s="56"/>
      <c r="F36" s="173"/>
      <c r="I36" s="56"/>
      <c r="J36" s="66"/>
    </row>
    <row r="37" spans="1:10" ht="10.8" thickBot="1" x14ac:dyDescent="0.25">
      <c r="A37" s="53"/>
      <c r="B37" s="174" t="s">
        <v>470</v>
      </c>
      <c r="C37" s="150" t="s">
        <v>69</v>
      </c>
      <c r="D37" s="150">
        <v>1</v>
      </c>
      <c r="E37" s="176">
        <f>E44*2+E51</f>
        <v>246</v>
      </c>
      <c r="F37" s="151">
        <f>D37*E37</f>
        <v>246</v>
      </c>
      <c r="G37" s="66">
        <f>E37+(F37*$F$9)</f>
        <v>252.15</v>
      </c>
      <c r="H37" s="66">
        <f>E37+(E37*$F$10)</f>
        <v>258.3</v>
      </c>
      <c r="I37" s="66">
        <f>E37+(E37*$F$11)</f>
        <v>264.45</v>
      </c>
      <c r="J37" s="66">
        <f>E37+(E37*$F$12)</f>
        <v>270.60000000000002</v>
      </c>
    </row>
    <row r="38" spans="1:10" x14ac:dyDescent="0.2">
      <c r="A38" s="53"/>
      <c r="B38" s="152"/>
      <c r="C38" s="153" t="s">
        <v>67</v>
      </c>
      <c r="D38" s="154">
        <v>1</v>
      </c>
      <c r="E38" s="155">
        <f>E37*$C$10</f>
        <v>2152.5</v>
      </c>
      <c r="F38" s="156">
        <f t="shared" ref="F38:F40" si="10">D38*E38</f>
        <v>2152.5</v>
      </c>
      <c r="G38" s="155">
        <f>G37*$C$10</f>
        <v>2206.3125</v>
      </c>
      <c r="H38" s="155">
        <f t="shared" ref="H38:J38" si="11">H37*$C$10</f>
        <v>2260.125</v>
      </c>
      <c r="I38" s="155">
        <f t="shared" si="11"/>
        <v>2313.9375</v>
      </c>
      <c r="J38" s="155">
        <f t="shared" si="11"/>
        <v>2367.75</v>
      </c>
    </row>
    <row r="39" spans="1:10" x14ac:dyDescent="0.2">
      <c r="A39" s="53"/>
      <c r="B39" s="157" t="str">
        <f>B44</f>
        <v>TRADESMAN_PLUMBER_OPERATOR</v>
      </c>
      <c r="C39" s="153" t="s">
        <v>467</v>
      </c>
      <c r="D39" s="154">
        <v>1</v>
      </c>
      <c r="E39" s="155">
        <f>E38*$C$11</f>
        <v>12915</v>
      </c>
      <c r="F39" s="156">
        <f t="shared" si="10"/>
        <v>12915</v>
      </c>
      <c r="G39" s="155">
        <f>G38*$C$11</f>
        <v>13237.875</v>
      </c>
      <c r="H39" s="155">
        <f t="shared" ref="H39:J39" si="12">H38*$C$11</f>
        <v>13560.75</v>
      </c>
      <c r="I39" s="155">
        <f t="shared" si="12"/>
        <v>13883.625</v>
      </c>
      <c r="J39" s="155">
        <f t="shared" si="12"/>
        <v>14206.5</v>
      </c>
    </row>
    <row r="40" spans="1:10" ht="10.8" thickBot="1" x14ac:dyDescent="0.25">
      <c r="A40" s="53"/>
      <c r="B40" s="157" t="str">
        <f>B44</f>
        <v>TRADESMAN_PLUMBER_OPERATOR</v>
      </c>
      <c r="C40" s="153" t="s">
        <v>468</v>
      </c>
      <c r="D40" s="158">
        <v>1</v>
      </c>
      <c r="E40" s="159">
        <f>E38*$C$8</f>
        <v>51660</v>
      </c>
      <c r="F40" s="156">
        <f t="shared" si="10"/>
        <v>51660</v>
      </c>
      <c r="G40" s="159">
        <f>G38*$C$8</f>
        <v>52951.5</v>
      </c>
      <c r="H40" s="159">
        <f t="shared" ref="H40:J40" si="13">H38*$C$8</f>
        <v>54243</v>
      </c>
      <c r="I40" s="159">
        <f t="shared" si="13"/>
        <v>55534.5</v>
      </c>
      <c r="J40" s="159">
        <f t="shared" si="13"/>
        <v>56826</v>
      </c>
    </row>
    <row r="41" spans="1:10" x14ac:dyDescent="0.2">
      <c r="A41" s="53"/>
      <c r="B41" s="143" t="str">
        <f>B51</f>
        <v>T/A &amp; Apprentice</v>
      </c>
      <c r="C41" s="160"/>
      <c r="E41" s="56"/>
      <c r="F41" s="162"/>
      <c r="I41" s="56"/>
    </row>
    <row r="42" spans="1:10" ht="10.8" thickBot="1" x14ac:dyDescent="0.25">
      <c r="A42" s="53"/>
      <c r="B42" s="147" t="s">
        <v>469</v>
      </c>
      <c r="C42" s="163">
        <f>COUNTA(B39,B40,B41)</f>
        <v>3</v>
      </c>
      <c r="D42" s="164"/>
      <c r="E42" s="165"/>
      <c r="F42" s="166"/>
      <c r="I42" s="56"/>
    </row>
    <row r="43" spans="1:10" ht="10.8" thickBot="1" x14ac:dyDescent="0.25">
      <c r="A43" s="53"/>
      <c r="B43" s="68"/>
      <c r="E43" s="56"/>
      <c r="F43" s="56"/>
      <c r="I43" s="56"/>
    </row>
    <row r="44" spans="1:10" ht="10.8" thickBot="1" x14ac:dyDescent="0.25">
      <c r="A44" s="53"/>
      <c r="B44" s="174" t="s">
        <v>39</v>
      </c>
      <c r="C44" s="150" t="s">
        <v>69</v>
      </c>
      <c r="D44" s="150">
        <v>1</v>
      </c>
      <c r="E44" s="175">
        <v>88</v>
      </c>
      <c r="F44" s="151">
        <f>D44*E44</f>
        <v>88</v>
      </c>
      <c r="G44" s="66">
        <f>E44+(F44*$F$9)</f>
        <v>90.2</v>
      </c>
      <c r="H44" s="66">
        <f>E44+(E44*$F$10)</f>
        <v>92.4</v>
      </c>
      <c r="I44" s="66">
        <f>E44+(E44*$F$11)</f>
        <v>94.6</v>
      </c>
      <c r="J44" s="66">
        <f>E44+(E44*$F$12)</f>
        <v>96.8</v>
      </c>
    </row>
    <row r="45" spans="1:10" x14ac:dyDescent="0.2">
      <c r="A45" s="53"/>
      <c r="B45" s="152"/>
      <c r="C45" s="153" t="s">
        <v>67</v>
      </c>
      <c r="D45" s="154">
        <v>1</v>
      </c>
      <c r="E45" s="155">
        <f>E44*$C$10</f>
        <v>770</v>
      </c>
      <c r="F45" s="156">
        <f t="shared" ref="F45:F47" si="14">D45*E45</f>
        <v>770</v>
      </c>
      <c r="G45" s="155">
        <f>G44*$C$10</f>
        <v>789.25</v>
      </c>
      <c r="H45" s="155">
        <f t="shared" ref="H45:J45" si="15">H44*$C$10</f>
        <v>808.5</v>
      </c>
      <c r="I45" s="155">
        <f t="shared" si="15"/>
        <v>827.75</v>
      </c>
      <c r="J45" s="155">
        <f t="shared" si="15"/>
        <v>847</v>
      </c>
    </row>
    <row r="46" spans="1:10" x14ac:dyDescent="0.2">
      <c r="A46" s="53"/>
      <c r="B46" s="157" t="str">
        <f>B44</f>
        <v>TRADESMAN_PLUMBER_OPERATOR</v>
      </c>
      <c r="C46" s="153" t="s">
        <v>467</v>
      </c>
      <c r="D46" s="154">
        <v>1</v>
      </c>
      <c r="E46" s="155">
        <f>E45*$C$11</f>
        <v>4620</v>
      </c>
      <c r="F46" s="156">
        <f t="shared" si="14"/>
        <v>4620</v>
      </c>
      <c r="G46" s="155">
        <f>G45*$C$11</f>
        <v>4735.5</v>
      </c>
      <c r="H46" s="155">
        <f t="shared" ref="H46:J46" si="16">H45*$C$11</f>
        <v>4851</v>
      </c>
      <c r="I46" s="155">
        <f t="shared" si="16"/>
        <v>4966.5</v>
      </c>
      <c r="J46" s="155">
        <f t="shared" si="16"/>
        <v>5082</v>
      </c>
    </row>
    <row r="47" spans="1:10" ht="10.8" thickBot="1" x14ac:dyDescent="0.25">
      <c r="A47" s="53"/>
      <c r="B47" s="157"/>
      <c r="C47" s="167" t="s">
        <v>468</v>
      </c>
      <c r="D47" s="158">
        <v>1</v>
      </c>
      <c r="E47" s="159">
        <f>E45*$C$8</f>
        <v>18480</v>
      </c>
      <c r="F47" s="156">
        <f t="shared" si="14"/>
        <v>18480</v>
      </c>
      <c r="G47" s="159">
        <f>G45*$C$8</f>
        <v>18942</v>
      </c>
      <c r="H47" s="159">
        <f t="shared" ref="H47:J47" si="17">H45*$C$8</f>
        <v>19404</v>
      </c>
      <c r="I47" s="159">
        <f t="shared" si="17"/>
        <v>19866</v>
      </c>
      <c r="J47" s="159">
        <f t="shared" si="17"/>
        <v>20328</v>
      </c>
    </row>
    <row r="48" spans="1:10" x14ac:dyDescent="0.2">
      <c r="A48" s="53"/>
      <c r="B48" s="143"/>
      <c r="E48" s="161"/>
      <c r="F48" s="162"/>
      <c r="I48" s="56"/>
    </row>
    <row r="49" spans="1:10" ht="10.8" thickBot="1" x14ac:dyDescent="0.25">
      <c r="A49" s="53"/>
      <c r="B49" s="147" t="s">
        <v>469</v>
      </c>
      <c r="C49" s="163">
        <f>COUNTA(B46,B47,B48)</f>
        <v>1</v>
      </c>
      <c r="D49" s="164"/>
      <c r="E49" s="165"/>
      <c r="F49" s="166"/>
      <c r="I49" s="56"/>
    </row>
    <row r="50" spans="1:10" ht="10.8" thickBot="1" x14ac:dyDescent="0.25">
      <c r="A50" s="53"/>
      <c r="B50" s="68"/>
      <c r="E50" s="56"/>
      <c r="F50" s="56"/>
      <c r="I50" s="56"/>
    </row>
    <row r="51" spans="1:10" ht="10.8" thickBot="1" x14ac:dyDescent="0.25">
      <c r="A51" s="53"/>
      <c r="B51" s="149" t="s">
        <v>40</v>
      </c>
      <c r="C51" s="150" t="s">
        <v>69</v>
      </c>
      <c r="D51" s="150">
        <v>1</v>
      </c>
      <c r="E51" s="175">
        <v>70</v>
      </c>
      <c r="F51" s="151">
        <f>D51*E51</f>
        <v>70</v>
      </c>
      <c r="G51" s="66">
        <f>E51+(F51*$F$9)</f>
        <v>71.75</v>
      </c>
      <c r="H51" s="66">
        <f>E51+(E51*$F$10)</f>
        <v>73.5</v>
      </c>
      <c r="I51" s="66">
        <f>E51+(E51*$F$11)</f>
        <v>75.25</v>
      </c>
      <c r="J51" s="66">
        <f>E51+(E51*$F$12)</f>
        <v>77</v>
      </c>
    </row>
    <row r="52" spans="1:10" x14ac:dyDescent="0.2">
      <c r="A52" s="53"/>
      <c r="B52" s="152"/>
      <c r="C52" s="153" t="s">
        <v>67</v>
      </c>
      <c r="D52" s="154">
        <v>1</v>
      </c>
      <c r="E52" s="155">
        <f>E51*$C$10</f>
        <v>612.5</v>
      </c>
      <c r="F52" s="156">
        <f t="shared" ref="F52:F54" si="18">D52*E52</f>
        <v>612.5</v>
      </c>
      <c r="G52" s="155">
        <f>G51*$C$10</f>
        <v>627.8125</v>
      </c>
      <c r="H52" s="155">
        <f t="shared" ref="H52:J52" si="19">H51*$C$10</f>
        <v>643.125</v>
      </c>
      <c r="I52" s="155">
        <f t="shared" si="19"/>
        <v>658.4375</v>
      </c>
      <c r="J52" s="155">
        <f t="shared" si="19"/>
        <v>673.75</v>
      </c>
    </row>
    <row r="53" spans="1:10" x14ac:dyDescent="0.2">
      <c r="A53" s="53"/>
      <c r="B53" s="157" t="str">
        <f>B51</f>
        <v>T/A &amp; Apprentice</v>
      </c>
      <c r="C53" s="153" t="s">
        <v>467</v>
      </c>
      <c r="D53" s="154">
        <v>1</v>
      </c>
      <c r="E53" s="155">
        <f>E52*$C$11</f>
        <v>3675</v>
      </c>
      <c r="F53" s="156">
        <f t="shared" si="18"/>
        <v>3675</v>
      </c>
      <c r="G53" s="155">
        <f>G52*$C$11</f>
        <v>3766.875</v>
      </c>
      <c r="H53" s="155">
        <f t="shared" ref="H53:J53" si="20">H52*$C$11</f>
        <v>3858.75</v>
      </c>
      <c r="I53" s="155">
        <f t="shared" si="20"/>
        <v>3950.625</v>
      </c>
      <c r="J53" s="155">
        <f t="shared" si="20"/>
        <v>4042.5</v>
      </c>
    </row>
    <row r="54" spans="1:10" ht="10.8" thickBot="1" x14ac:dyDescent="0.25">
      <c r="A54" s="53"/>
      <c r="B54" s="157"/>
      <c r="C54" s="167" t="s">
        <v>468</v>
      </c>
      <c r="D54" s="158">
        <v>1</v>
      </c>
      <c r="E54" s="159">
        <f>E52*$C$8</f>
        <v>14700</v>
      </c>
      <c r="F54" s="156">
        <f t="shared" si="18"/>
        <v>14700</v>
      </c>
      <c r="G54" s="159">
        <f>G52*$C$8</f>
        <v>15067.5</v>
      </c>
      <c r="H54" s="159">
        <f t="shared" ref="H54:J54" si="21">H52*$C$8</f>
        <v>15435</v>
      </c>
      <c r="I54" s="159">
        <f t="shared" si="21"/>
        <v>15802.5</v>
      </c>
      <c r="J54" s="159">
        <f t="shared" si="21"/>
        <v>16170</v>
      </c>
    </row>
    <row r="55" spans="1:10" x14ac:dyDescent="0.2">
      <c r="A55" s="53"/>
      <c r="B55" s="143"/>
      <c r="E55" s="161"/>
      <c r="F55" s="162"/>
      <c r="I55" s="56"/>
    </row>
    <row r="56" spans="1:10" ht="10.8" thickBot="1" x14ac:dyDescent="0.25">
      <c r="A56" s="53"/>
      <c r="B56" s="147" t="s">
        <v>469</v>
      </c>
      <c r="C56" s="163">
        <f>COUNTA(B53,B54,B55)</f>
        <v>1</v>
      </c>
      <c r="D56" s="164"/>
      <c r="E56" s="165"/>
      <c r="F56" s="166"/>
      <c r="I56" s="56"/>
    </row>
    <row r="57" spans="1:10" ht="6" customHeight="1" x14ac:dyDescent="0.2">
      <c r="A57" s="53"/>
      <c r="B57" s="168"/>
      <c r="C57" s="169"/>
      <c r="D57" s="169"/>
      <c r="E57" s="170"/>
      <c r="F57" s="171"/>
      <c r="I57" s="56"/>
    </row>
    <row r="58" spans="1:10" x14ac:dyDescent="0.2">
      <c r="A58" s="53"/>
      <c r="B58" s="50"/>
      <c r="E58" s="161"/>
      <c r="F58" s="56"/>
      <c r="I58" s="56"/>
    </row>
    <row r="59" spans="1:10" x14ac:dyDescent="0.2">
      <c r="A59" s="53"/>
      <c r="B59" s="50"/>
      <c r="E59" s="56"/>
      <c r="F59" s="56"/>
      <c r="I59" s="56"/>
    </row>
    <row r="60" spans="1:10" x14ac:dyDescent="0.2">
      <c r="A60" s="53"/>
      <c r="B60" s="50"/>
      <c r="E60" s="56"/>
      <c r="F60" s="56"/>
      <c r="I60" s="56"/>
    </row>
  </sheetData>
  <mergeCells count="1">
    <mergeCell ref="B14:F14"/>
  </mergeCells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86D8-2D05-4BC1-A5A6-890BA416EC4B}">
  <sheetPr>
    <tabColor rgb="FF7030A0"/>
  </sheetPr>
  <dimension ref="A2:O51"/>
  <sheetViews>
    <sheetView workbookViewId="0">
      <selection activeCell="Q11" sqref="Q11"/>
    </sheetView>
  </sheetViews>
  <sheetFormatPr defaultColWidth="8.77734375" defaultRowHeight="14.4" x14ac:dyDescent="0.3"/>
  <cols>
    <col min="1" max="1" width="22.77734375" style="78" customWidth="1"/>
    <col min="2" max="2" width="11.21875" style="107" customWidth="1"/>
    <col min="3" max="3" width="1.5546875" style="78" customWidth="1"/>
    <col min="4" max="4" width="15.77734375" style="78" customWidth="1"/>
    <col min="5" max="5" width="14.44140625" style="108" customWidth="1"/>
    <col min="6" max="6" width="1.5546875" style="78" customWidth="1"/>
    <col min="7" max="7" width="15.77734375" style="78" customWidth="1"/>
    <col min="8" max="8" width="14.44140625" style="108" customWidth="1"/>
    <col min="9" max="9" width="1.5546875" style="78" customWidth="1"/>
    <col min="10" max="10" width="16.21875" style="78" customWidth="1"/>
    <col min="11" max="11" width="17.77734375" style="78" customWidth="1"/>
    <col min="12" max="12" width="1.5546875" style="78" customWidth="1"/>
    <col min="13" max="13" width="12.77734375" style="78" customWidth="1"/>
    <col min="14" max="14" width="16.21875" style="78" customWidth="1"/>
    <col min="15" max="15" width="25.77734375" style="78" customWidth="1"/>
    <col min="16" max="16" width="9.77734375" style="78" customWidth="1"/>
    <col min="17" max="17" width="15" style="78" customWidth="1"/>
    <col min="18" max="18" width="25.77734375" style="78" customWidth="1"/>
    <col min="19" max="16384" width="8.77734375" style="78"/>
  </cols>
  <sheetData>
    <row r="2" spans="1:15" ht="15" x14ac:dyDescent="0.3">
      <c r="A2" s="75"/>
      <c r="B2" s="76"/>
      <c r="C2" s="76"/>
      <c r="D2" s="492" t="s">
        <v>471</v>
      </c>
      <c r="E2" s="493"/>
      <c r="F2" s="77"/>
      <c r="G2" s="492" t="s">
        <v>472</v>
      </c>
      <c r="H2" s="493"/>
      <c r="I2" s="77"/>
      <c r="J2" s="494" t="s">
        <v>473</v>
      </c>
      <c r="K2" s="494"/>
      <c r="L2" s="77"/>
      <c r="M2" s="494" t="s">
        <v>474</v>
      </c>
      <c r="N2" s="494"/>
      <c r="O2" s="494"/>
    </row>
    <row r="3" spans="1:15" x14ac:dyDescent="0.3">
      <c r="A3" s="79" t="s">
        <v>440</v>
      </c>
      <c r="B3" s="80" t="s">
        <v>121</v>
      </c>
      <c r="C3" s="81"/>
      <c r="D3" s="82" t="s">
        <v>475</v>
      </c>
      <c r="E3" s="83" t="s">
        <v>476</v>
      </c>
      <c r="F3" s="81"/>
      <c r="G3" s="82" t="s">
        <v>475</v>
      </c>
      <c r="H3" s="83" t="s">
        <v>476</v>
      </c>
      <c r="I3" s="81"/>
      <c r="J3" s="82" t="s">
        <v>475</v>
      </c>
      <c r="K3" s="82" t="s">
        <v>476</v>
      </c>
      <c r="L3" s="81"/>
      <c r="M3" s="82" t="s">
        <v>477</v>
      </c>
      <c r="N3" s="82" t="s">
        <v>475</v>
      </c>
      <c r="O3" s="82" t="s">
        <v>476</v>
      </c>
    </row>
    <row r="4" spans="1:15" x14ac:dyDescent="0.3">
      <c r="A4" s="84" t="s">
        <v>478</v>
      </c>
      <c r="B4" s="85">
        <v>0</v>
      </c>
      <c r="C4" s="86"/>
      <c r="D4" s="87">
        <v>0</v>
      </c>
      <c r="E4" s="88"/>
      <c r="F4" s="86"/>
      <c r="G4" s="89">
        <v>0</v>
      </c>
      <c r="H4" s="90"/>
      <c r="I4" s="86"/>
      <c r="J4" s="89">
        <v>0</v>
      </c>
      <c r="K4" s="91"/>
      <c r="L4" s="86"/>
      <c r="M4" s="89">
        <v>0</v>
      </c>
      <c r="N4" s="89">
        <v>262</v>
      </c>
      <c r="O4" s="91"/>
    </row>
    <row r="5" spans="1:15" x14ac:dyDescent="0.3">
      <c r="A5" s="84" t="s">
        <v>72</v>
      </c>
      <c r="B5" s="85">
        <v>0</v>
      </c>
      <c r="C5" s="86"/>
      <c r="D5" s="190">
        <v>300</v>
      </c>
      <c r="E5" s="92">
        <f>B5*D5</f>
        <v>0</v>
      </c>
      <c r="F5" s="86"/>
      <c r="G5" s="89">
        <v>250</v>
      </c>
      <c r="H5" s="90"/>
      <c r="I5" s="86"/>
      <c r="J5" s="89">
        <v>192</v>
      </c>
      <c r="K5" s="91"/>
      <c r="L5" s="86"/>
      <c r="M5" s="89">
        <v>0</v>
      </c>
      <c r="N5" s="89">
        <v>0</v>
      </c>
      <c r="O5" s="91"/>
    </row>
    <row r="6" spans="1:15" ht="6" customHeight="1" x14ac:dyDescent="0.3">
      <c r="A6" s="93"/>
      <c r="B6" s="94"/>
      <c r="C6" s="95"/>
      <c r="D6" s="96"/>
      <c r="E6" s="97"/>
      <c r="F6" s="95"/>
      <c r="G6" s="98"/>
      <c r="H6" s="99"/>
      <c r="I6" s="95"/>
      <c r="J6" s="95"/>
      <c r="K6" s="99"/>
      <c r="L6" s="95"/>
      <c r="M6" s="95"/>
      <c r="N6" s="95"/>
      <c r="O6" s="99"/>
    </row>
    <row r="7" spans="1:15" ht="13.95" customHeight="1" x14ac:dyDescent="0.3">
      <c r="A7" s="84" t="s">
        <v>479</v>
      </c>
      <c r="B7" s="85">
        <v>0</v>
      </c>
      <c r="C7" s="100"/>
      <c r="D7" s="87">
        <v>200</v>
      </c>
      <c r="E7" s="101"/>
      <c r="F7" s="100"/>
      <c r="G7" s="89">
        <v>0</v>
      </c>
      <c r="H7" s="102"/>
      <c r="I7" s="100"/>
      <c r="J7" s="89">
        <v>0</v>
      </c>
      <c r="K7" s="91"/>
      <c r="L7" s="100"/>
      <c r="M7" s="89">
        <v>0</v>
      </c>
      <c r="N7" s="89">
        <v>0</v>
      </c>
      <c r="O7" s="91"/>
    </row>
    <row r="8" spans="1:15" x14ac:dyDescent="0.3">
      <c r="A8" s="84" t="s">
        <v>74</v>
      </c>
      <c r="B8" s="85">
        <v>0</v>
      </c>
      <c r="C8" s="103"/>
      <c r="D8" s="87">
        <v>250</v>
      </c>
      <c r="E8" s="92">
        <f>B8*D8</f>
        <v>0</v>
      </c>
      <c r="F8" s="103"/>
      <c r="G8" s="89">
        <v>0</v>
      </c>
      <c r="H8" s="91"/>
      <c r="I8" s="103"/>
      <c r="J8" s="89">
        <v>0</v>
      </c>
      <c r="K8" s="91"/>
      <c r="L8" s="103"/>
      <c r="M8" s="89">
        <v>0</v>
      </c>
      <c r="N8" s="89">
        <v>0</v>
      </c>
      <c r="O8" s="91"/>
    </row>
    <row r="9" spans="1:15" x14ac:dyDescent="0.3">
      <c r="A9" s="84" t="s">
        <v>480</v>
      </c>
      <c r="B9" s="85">
        <v>0</v>
      </c>
      <c r="C9" s="103"/>
      <c r="D9" s="87">
        <v>310</v>
      </c>
      <c r="E9" s="92">
        <f t="shared" ref="E9:E10" si="0">B9*D9</f>
        <v>0</v>
      </c>
      <c r="F9" s="103"/>
      <c r="G9" s="89">
        <v>310</v>
      </c>
      <c r="H9" s="91" t="s">
        <v>481</v>
      </c>
      <c r="I9" s="103"/>
      <c r="J9" s="89">
        <v>301</v>
      </c>
      <c r="K9" s="91" t="s">
        <v>482</v>
      </c>
      <c r="L9" s="103"/>
      <c r="M9" s="89">
        <v>0</v>
      </c>
      <c r="N9" s="89">
        <v>300</v>
      </c>
      <c r="O9" s="91" t="s">
        <v>481</v>
      </c>
    </row>
    <row r="10" spans="1:15" x14ac:dyDescent="0.3">
      <c r="A10" s="84" t="s">
        <v>76</v>
      </c>
      <c r="B10" s="85">
        <v>0</v>
      </c>
      <c r="C10" s="103"/>
      <c r="D10" s="190">
        <v>440</v>
      </c>
      <c r="E10" s="92">
        <f t="shared" si="0"/>
        <v>0</v>
      </c>
      <c r="F10" s="103"/>
      <c r="G10" s="89">
        <v>370</v>
      </c>
      <c r="H10" s="91" t="s">
        <v>483</v>
      </c>
      <c r="I10" s="103"/>
      <c r="J10" s="89">
        <v>375</v>
      </c>
      <c r="K10" s="91" t="s">
        <v>484</v>
      </c>
      <c r="L10" s="103"/>
      <c r="M10" s="89">
        <v>0</v>
      </c>
      <c r="N10" s="89">
        <v>295</v>
      </c>
      <c r="O10" s="91" t="s">
        <v>484</v>
      </c>
    </row>
    <row r="11" spans="1:15" x14ac:dyDescent="0.3">
      <c r="A11" s="84" t="s">
        <v>75</v>
      </c>
      <c r="B11" s="85">
        <v>0</v>
      </c>
      <c r="C11" s="103"/>
      <c r="D11" s="87">
        <v>450</v>
      </c>
      <c r="E11" s="92">
        <f>B11*D11</f>
        <v>0</v>
      </c>
      <c r="F11" s="103"/>
      <c r="G11" s="89">
        <v>480</v>
      </c>
      <c r="H11" s="91" t="s">
        <v>485</v>
      </c>
      <c r="I11" s="103"/>
      <c r="J11" s="89">
        <v>417</v>
      </c>
      <c r="K11" s="91" t="s">
        <v>486</v>
      </c>
      <c r="L11" s="103"/>
      <c r="M11" s="89">
        <v>0</v>
      </c>
      <c r="N11" s="89">
        <v>444</v>
      </c>
      <c r="O11" s="91" t="s">
        <v>486</v>
      </c>
    </row>
    <row r="12" spans="1:15" ht="6" customHeight="1" x14ac:dyDescent="0.3">
      <c r="A12" s="93"/>
      <c r="B12" s="94"/>
      <c r="C12" s="95"/>
      <c r="D12" s="96"/>
      <c r="E12" s="97"/>
      <c r="F12" s="95"/>
      <c r="G12" s="98"/>
      <c r="H12" s="99"/>
      <c r="I12" s="95"/>
      <c r="J12" s="98"/>
      <c r="K12" s="99"/>
      <c r="L12" s="95"/>
      <c r="M12" s="98"/>
      <c r="N12" s="98"/>
      <c r="O12" s="99"/>
    </row>
    <row r="13" spans="1:15" x14ac:dyDescent="0.3">
      <c r="A13" s="84" t="s">
        <v>487</v>
      </c>
      <c r="B13" s="85">
        <v>0</v>
      </c>
      <c r="C13" s="86"/>
      <c r="D13" s="87">
        <v>26</v>
      </c>
      <c r="E13" s="88"/>
      <c r="F13" s="86"/>
      <c r="G13" s="89">
        <v>0</v>
      </c>
      <c r="H13" s="90"/>
      <c r="I13" s="86"/>
      <c r="J13" s="104">
        <v>25.7</v>
      </c>
      <c r="K13" s="90"/>
      <c r="L13" s="86"/>
      <c r="M13" s="104">
        <v>0</v>
      </c>
      <c r="N13" s="104">
        <v>0</v>
      </c>
      <c r="O13" s="90"/>
    </row>
    <row r="14" spans="1:15" x14ac:dyDescent="0.3">
      <c r="A14" s="84" t="s">
        <v>488</v>
      </c>
      <c r="B14" s="85">
        <v>0</v>
      </c>
      <c r="C14" s="105"/>
      <c r="D14" s="87">
        <v>26</v>
      </c>
      <c r="E14" s="101"/>
      <c r="F14" s="105"/>
      <c r="G14" s="89">
        <v>0</v>
      </c>
      <c r="H14" s="102"/>
      <c r="I14" s="105"/>
      <c r="J14" s="104">
        <v>25.7</v>
      </c>
      <c r="K14" s="102"/>
      <c r="L14" s="105"/>
      <c r="M14" s="104">
        <v>0</v>
      </c>
      <c r="N14" s="104">
        <v>21</v>
      </c>
      <c r="O14" s="102"/>
    </row>
    <row r="15" spans="1:15" x14ac:dyDescent="0.3">
      <c r="A15" s="84" t="s">
        <v>489</v>
      </c>
      <c r="B15" s="85">
        <v>0</v>
      </c>
      <c r="C15" s="103"/>
      <c r="D15" s="87">
        <v>30</v>
      </c>
      <c r="E15" s="106"/>
      <c r="F15" s="103"/>
      <c r="G15" s="89">
        <v>0</v>
      </c>
      <c r="H15" s="91"/>
      <c r="I15" s="103"/>
      <c r="J15" s="104">
        <v>30.1</v>
      </c>
      <c r="K15" s="91"/>
      <c r="L15" s="103"/>
      <c r="M15" s="104">
        <v>0</v>
      </c>
      <c r="N15" s="104">
        <v>23</v>
      </c>
      <c r="O15" s="91"/>
    </row>
    <row r="16" spans="1:15" x14ac:dyDescent="0.3">
      <c r="A16" s="84" t="s">
        <v>490</v>
      </c>
      <c r="B16" s="85">
        <v>0</v>
      </c>
      <c r="C16" s="103"/>
      <c r="D16" s="87">
        <v>0</v>
      </c>
      <c r="E16" s="106"/>
      <c r="F16" s="103"/>
      <c r="G16" s="89">
        <v>0</v>
      </c>
      <c r="H16" s="91"/>
      <c r="I16" s="103"/>
      <c r="J16" s="104">
        <v>0</v>
      </c>
      <c r="K16" s="91"/>
      <c r="L16" s="103"/>
      <c r="M16" s="104">
        <v>0</v>
      </c>
      <c r="N16" s="104">
        <v>0</v>
      </c>
      <c r="O16" s="91"/>
    </row>
    <row r="17" spans="1:15" x14ac:dyDescent="0.3">
      <c r="A17" s="84" t="s">
        <v>491</v>
      </c>
      <c r="B17" s="85">
        <v>0</v>
      </c>
      <c r="C17" s="103"/>
      <c r="D17" s="87">
        <v>115</v>
      </c>
      <c r="E17" s="92">
        <f>B17*D17</f>
        <v>0</v>
      </c>
      <c r="F17" s="103"/>
      <c r="G17" s="89">
        <v>0</v>
      </c>
      <c r="H17" s="91"/>
      <c r="I17" s="103"/>
      <c r="J17" s="104">
        <v>0</v>
      </c>
      <c r="K17" s="91"/>
      <c r="L17" s="103"/>
      <c r="M17" s="104">
        <v>0</v>
      </c>
      <c r="N17" s="104">
        <v>0</v>
      </c>
      <c r="O17" s="91"/>
    </row>
    <row r="18" spans="1:15" x14ac:dyDescent="0.3">
      <c r="A18" s="84" t="s">
        <v>492</v>
      </c>
      <c r="B18" s="85">
        <v>0</v>
      </c>
      <c r="C18" s="103"/>
      <c r="D18" s="87">
        <v>50</v>
      </c>
      <c r="E18" s="106"/>
      <c r="F18" s="103"/>
      <c r="G18" s="89">
        <v>0</v>
      </c>
      <c r="H18" s="91"/>
      <c r="I18" s="103"/>
      <c r="J18" s="104">
        <v>0</v>
      </c>
      <c r="K18" s="91"/>
      <c r="L18" s="103"/>
      <c r="M18" s="104">
        <v>0</v>
      </c>
      <c r="N18" s="104">
        <v>0</v>
      </c>
      <c r="O18" s="91"/>
    </row>
    <row r="19" spans="1:15" ht="6" customHeight="1" x14ac:dyDescent="0.3">
      <c r="A19" s="93"/>
      <c r="B19" s="94"/>
      <c r="C19" s="95"/>
      <c r="D19" s="96"/>
      <c r="E19" s="97"/>
      <c r="F19" s="95"/>
      <c r="G19" s="98"/>
      <c r="H19" s="99"/>
      <c r="I19" s="95"/>
      <c r="J19" s="98"/>
      <c r="K19" s="99"/>
      <c r="L19" s="95"/>
      <c r="M19" s="98"/>
      <c r="N19" s="98"/>
      <c r="O19" s="99"/>
    </row>
    <row r="20" spans="1:15" x14ac:dyDescent="0.3">
      <c r="A20" s="84" t="s">
        <v>493</v>
      </c>
      <c r="B20" s="85">
        <v>0</v>
      </c>
      <c r="C20" s="103"/>
      <c r="D20" s="87">
        <v>180</v>
      </c>
      <c r="E20" s="92">
        <f>B20*D20</f>
        <v>0</v>
      </c>
      <c r="F20" s="103"/>
      <c r="G20" s="89">
        <v>0</v>
      </c>
      <c r="H20" s="91"/>
      <c r="I20" s="103"/>
      <c r="J20" s="104">
        <v>180</v>
      </c>
      <c r="K20" s="91" t="s">
        <v>494</v>
      </c>
      <c r="L20" s="103"/>
      <c r="M20" s="104">
        <v>0</v>
      </c>
      <c r="N20" s="104">
        <v>130</v>
      </c>
      <c r="O20" s="91" t="s">
        <v>494</v>
      </c>
    </row>
    <row r="21" spans="1:15" x14ac:dyDescent="0.3">
      <c r="A21" s="84" t="s">
        <v>77</v>
      </c>
      <c r="B21" s="85">
        <v>0</v>
      </c>
      <c r="C21" s="103"/>
      <c r="D21" s="87">
        <v>400</v>
      </c>
      <c r="E21" s="92">
        <f>B21*D21</f>
        <v>0</v>
      </c>
      <c r="F21" s="103"/>
      <c r="G21" s="89">
        <v>0</v>
      </c>
      <c r="H21" s="91"/>
      <c r="I21" s="103"/>
      <c r="J21" s="104">
        <v>238</v>
      </c>
      <c r="K21" s="91" t="s">
        <v>495</v>
      </c>
      <c r="L21" s="103"/>
      <c r="M21" s="104">
        <v>0</v>
      </c>
      <c r="N21" s="104">
        <v>0</v>
      </c>
      <c r="O21" s="91"/>
    </row>
    <row r="22" spans="1:15" ht="6" customHeight="1" x14ac:dyDescent="0.3">
      <c r="A22" s="93"/>
      <c r="B22" s="94"/>
      <c r="C22" s="95"/>
      <c r="D22" s="96"/>
      <c r="E22" s="97"/>
      <c r="F22" s="95"/>
      <c r="G22" s="98"/>
      <c r="H22" s="99"/>
      <c r="I22" s="95"/>
      <c r="J22" s="98"/>
      <c r="K22" s="99"/>
      <c r="L22" s="95"/>
      <c r="M22" s="98"/>
      <c r="N22" s="98"/>
      <c r="O22" s="99"/>
    </row>
    <row r="23" spans="1:15" x14ac:dyDescent="0.3">
      <c r="A23" s="84" t="s">
        <v>78</v>
      </c>
      <c r="B23" s="85">
        <v>0</v>
      </c>
      <c r="C23" s="103"/>
      <c r="D23" s="190">
        <v>341</v>
      </c>
      <c r="E23" s="92">
        <f>B23*D23</f>
        <v>0</v>
      </c>
      <c r="F23" s="103"/>
      <c r="G23" s="89">
        <v>0</v>
      </c>
      <c r="H23" s="91"/>
      <c r="I23" s="103"/>
      <c r="J23" s="104">
        <v>243</v>
      </c>
      <c r="K23" s="91" t="s">
        <v>496</v>
      </c>
      <c r="L23" s="103"/>
      <c r="M23" s="104">
        <v>0</v>
      </c>
      <c r="N23" s="104">
        <v>0</v>
      </c>
      <c r="O23" s="91"/>
    </row>
    <row r="24" spans="1:15" x14ac:dyDescent="0.3">
      <c r="A24" s="84" t="s">
        <v>497</v>
      </c>
      <c r="B24" s="85">
        <v>0</v>
      </c>
      <c r="C24" s="103"/>
      <c r="D24" s="87">
        <v>50</v>
      </c>
      <c r="E24" s="92">
        <f t="shared" ref="E24:E46" si="1">B24*D24</f>
        <v>0</v>
      </c>
      <c r="F24" s="103"/>
      <c r="G24" s="89">
        <v>0</v>
      </c>
      <c r="H24" s="91"/>
      <c r="I24" s="103"/>
      <c r="J24" s="104">
        <v>48</v>
      </c>
      <c r="K24" s="91"/>
      <c r="L24" s="103"/>
      <c r="M24" s="104">
        <v>0</v>
      </c>
      <c r="N24" s="104">
        <v>46</v>
      </c>
      <c r="O24" s="91"/>
    </row>
    <row r="25" spans="1:15" x14ac:dyDescent="0.3">
      <c r="A25" s="84" t="s">
        <v>79</v>
      </c>
      <c r="B25" s="85">
        <v>0</v>
      </c>
      <c r="C25" s="103"/>
      <c r="D25" s="190">
        <v>180</v>
      </c>
      <c r="E25" s="92">
        <f t="shared" si="1"/>
        <v>0</v>
      </c>
      <c r="F25" s="103"/>
      <c r="G25" s="89">
        <v>0</v>
      </c>
      <c r="H25" s="91"/>
      <c r="I25" s="103"/>
      <c r="J25" s="104">
        <v>121</v>
      </c>
      <c r="K25" s="91"/>
      <c r="L25" s="103"/>
      <c r="M25" s="104">
        <v>0</v>
      </c>
      <c r="N25" s="104">
        <v>98</v>
      </c>
      <c r="O25" s="91" t="s">
        <v>498</v>
      </c>
    </row>
    <row r="26" spans="1:15" x14ac:dyDescent="0.3">
      <c r="A26" s="84" t="s">
        <v>148</v>
      </c>
      <c r="B26" s="85">
        <v>0</v>
      </c>
      <c r="C26" s="103"/>
      <c r="D26" s="87">
        <v>150</v>
      </c>
      <c r="E26" s="92">
        <f t="shared" si="1"/>
        <v>0</v>
      </c>
      <c r="F26" s="103"/>
      <c r="G26" s="89">
        <v>0</v>
      </c>
      <c r="H26" s="91"/>
      <c r="I26" s="103"/>
      <c r="J26" s="104">
        <v>89</v>
      </c>
      <c r="K26" s="91"/>
      <c r="L26" s="103"/>
      <c r="M26" s="104">
        <v>0</v>
      </c>
      <c r="N26" s="104">
        <v>112</v>
      </c>
      <c r="O26" s="91"/>
    </row>
    <row r="27" spans="1:15" x14ac:dyDescent="0.3">
      <c r="A27" s="84" t="s">
        <v>499</v>
      </c>
      <c r="B27" s="85">
        <v>0</v>
      </c>
      <c r="C27" s="103"/>
      <c r="D27" s="87">
        <v>0</v>
      </c>
      <c r="E27" s="92">
        <f t="shared" si="1"/>
        <v>0</v>
      </c>
      <c r="F27" s="103"/>
      <c r="G27" s="89">
        <v>0</v>
      </c>
      <c r="H27" s="91"/>
      <c r="I27" s="103"/>
      <c r="J27" s="104">
        <v>0</v>
      </c>
      <c r="K27" s="91"/>
      <c r="L27" s="103"/>
      <c r="M27" s="104">
        <v>0</v>
      </c>
      <c r="N27" s="104">
        <v>0</v>
      </c>
      <c r="O27" s="91"/>
    </row>
    <row r="28" spans="1:15" x14ac:dyDescent="0.3">
      <c r="A28" s="84" t="s">
        <v>500</v>
      </c>
      <c r="B28" s="85">
        <v>0</v>
      </c>
      <c r="C28" s="103"/>
      <c r="D28" s="87">
        <v>150</v>
      </c>
      <c r="E28" s="92">
        <f t="shared" si="1"/>
        <v>0</v>
      </c>
      <c r="F28" s="103"/>
      <c r="G28" s="89">
        <v>0</v>
      </c>
      <c r="H28" s="91"/>
      <c r="I28" s="103"/>
      <c r="J28" s="104">
        <v>96</v>
      </c>
      <c r="K28" s="91"/>
      <c r="L28" s="103"/>
      <c r="M28" s="104">
        <v>0</v>
      </c>
      <c r="N28" s="104">
        <v>140</v>
      </c>
      <c r="O28" s="91"/>
    </row>
    <row r="29" spans="1:15" x14ac:dyDescent="0.3">
      <c r="A29" s="84" t="s">
        <v>501</v>
      </c>
      <c r="B29" s="85">
        <v>0</v>
      </c>
      <c r="C29" s="103"/>
      <c r="D29" s="87">
        <v>0</v>
      </c>
      <c r="E29" s="92">
        <f t="shared" si="1"/>
        <v>0</v>
      </c>
      <c r="F29" s="103"/>
      <c r="G29" s="89">
        <v>0</v>
      </c>
      <c r="H29" s="91"/>
      <c r="I29" s="103"/>
      <c r="J29" s="104">
        <v>0</v>
      </c>
      <c r="K29" s="91"/>
      <c r="L29" s="103"/>
      <c r="M29" s="104">
        <v>0</v>
      </c>
      <c r="N29" s="104">
        <v>0</v>
      </c>
      <c r="O29" s="91"/>
    </row>
    <row r="30" spans="1:15" ht="6" customHeight="1" x14ac:dyDescent="0.3">
      <c r="A30" s="93"/>
      <c r="B30" s="94"/>
      <c r="C30" s="95"/>
      <c r="D30" s="96"/>
      <c r="E30" s="97"/>
      <c r="F30" s="95"/>
      <c r="G30" s="98"/>
      <c r="H30" s="99"/>
      <c r="I30" s="95"/>
      <c r="J30" s="98"/>
      <c r="K30" s="99"/>
      <c r="L30" s="95"/>
      <c r="M30" s="98"/>
      <c r="N30" s="98"/>
      <c r="O30" s="99"/>
    </row>
    <row r="31" spans="1:15" x14ac:dyDescent="0.3">
      <c r="A31" s="84" t="s">
        <v>502</v>
      </c>
      <c r="B31" s="85">
        <v>0</v>
      </c>
      <c r="C31" s="103"/>
      <c r="D31" s="87">
        <v>5</v>
      </c>
      <c r="E31" s="92">
        <f t="shared" si="1"/>
        <v>0</v>
      </c>
      <c r="F31" s="103"/>
      <c r="G31" s="89">
        <v>0</v>
      </c>
      <c r="H31" s="91"/>
      <c r="I31" s="103"/>
      <c r="J31" s="104">
        <v>5</v>
      </c>
      <c r="K31" s="91"/>
      <c r="L31" s="103"/>
      <c r="M31" s="104">
        <v>0</v>
      </c>
      <c r="N31" s="104">
        <v>7.5</v>
      </c>
      <c r="O31" s="91"/>
    </row>
    <row r="32" spans="1:15" x14ac:dyDescent="0.3">
      <c r="A32" s="84" t="s">
        <v>503</v>
      </c>
      <c r="B32" s="85">
        <v>0</v>
      </c>
      <c r="C32" s="103"/>
      <c r="D32" s="87">
        <v>0</v>
      </c>
      <c r="E32" s="92">
        <f t="shared" si="1"/>
        <v>0</v>
      </c>
      <c r="F32" s="103"/>
      <c r="G32" s="89">
        <v>0</v>
      </c>
      <c r="H32" s="91"/>
      <c r="I32" s="103"/>
      <c r="J32" s="104">
        <v>15</v>
      </c>
      <c r="K32" s="91" t="s">
        <v>504</v>
      </c>
      <c r="L32" s="103"/>
      <c r="M32" s="104">
        <v>0</v>
      </c>
      <c r="N32" s="104">
        <v>13</v>
      </c>
      <c r="O32" s="91"/>
    </row>
    <row r="33" spans="1:15" x14ac:dyDescent="0.3">
      <c r="A33" s="84" t="s">
        <v>505</v>
      </c>
      <c r="B33" s="85">
        <v>0</v>
      </c>
      <c r="C33" s="103"/>
      <c r="D33" s="87">
        <v>5</v>
      </c>
      <c r="E33" s="92">
        <f t="shared" si="1"/>
        <v>0</v>
      </c>
      <c r="F33" s="103"/>
      <c r="G33" s="89">
        <v>0</v>
      </c>
      <c r="H33" s="91"/>
      <c r="I33" s="103"/>
      <c r="J33" s="104">
        <v>4</v>
      </c>
      <c r="K33" s="91" t="s">
        <v>504</v>
      </c>
      <c r="L33" s="103"/>
      <c r="M33" s="104">
        <v>0</v>
      </c>
      <c r="N33" s="104">
        <v>0</v>
      </c>
      <c r="O33" s="91"/>
    </row>
    <row r="34" spans="1:15" x14ac:dyDescent="0.3">
      <c r="A34" s="84" t="s">
        <v>506</v>
      </c>
      <c r="B34" s="85">
        <v>0</v>
      </c>
      <c r="C34" s="103"/>
      <c r="D34" s="87">
        <v>0</v>
      </c>
      <c r="E34" s="92">
        <f t="shared" si="1"/>
        <v>0</v>
      </c>
      <c r="F34" s="103"/>
      <c r="G34" s="89">
        <v>0</v>
      </c>
      <c r="H34" s="91"/>
      <c r="I34" s="103"/>
      <c r="J34" s="104">
        <v>100</v>
      </c>
      <c r="K34" s="91"/>
      <c r="L34" s="103"/>
      <c r="M34" s="104">
        <v>0</v>
      </c>
      <c r="N34" s="104">
        <v>50</v>
      </c>
      <c r="O34" s="91"/>
    </row>
    <row r="35" spans="1:15" x14ac:dyDescent="0.3">
      <c r="A35" s="84" t="s">
        <v>507</v>
      </c>
      <c r="B35" s="85">
        <v>0</v>
      </c>
      <c r="C35" s="103"/>
      <c r="D35" s="87">
        <v>50</v>
      </c>
      <c r="E35" s="92">
        <f t="shared" si="1"/>
        <v>0</v>
      </c>
      <c r="F35" s="103"/>
      <c r="G35" s="89">
        <v>0</v>
      </c>
      <c r="H35" s="91"/>
      <c r="I35" s="103"/>
      <c r="J35" s="104">
        <v>45</v>
      </c>
      <c r="K35" s="91"/>
      <c r="L35" s="103"/>
      <c r="M35" s="104">
        <v>0</v>
      </c>
      <c r="N35" s="104">
        <v>35</v>
      </c>
      <c r="O35" s="91"/>
    </row>
    <row r="36" spans="1:15" x14ac:dyDescent="0.3">
      <c r="A36" s="84" t="s">
        <v>508</v>
      </c>
      <c r="B36" s="85">
        <v>0</v>
      </c>
      <c r="C36" s="103"/>
      <c r="D36" s="87">
        <v>0</v>
      </c>
      <c r="E36" s="92">
        <f t="shared" si="1"/>
        <v>0</v>
      </c>
      <c r="F36" s="103"/>
      <c r="G36" s="89">
        <v>0</v>
      </c>
      <c r="H36" s="91"/>
      <c r="I36" s="103"/>
      <c r="J36" s="104">
        <v>73</v>
      </c>
      <c r="K36" s="91"/>
      <c r="L36" s="103"/>
      <c r="M36" s="104">
        <v>0</v>
      </c>
      <c r="N36" s="104">
        <v>68</v>
      </c>
      <c r="O36" s="91"/>
    </row>
    <row r="37" spans="1:15" x14ac:dyDescent="0.3">
      <c r="A37" s="84" t="s">
        <v>509</v>
      </c>
      <c r="B37" s="85">
        <v>0</v>
      </c>
      <c r="C37" s="103"/>
      <c r="D37" s="87">
        <v>0</v>
      </c>
      <c r="E37" s="92">
        <f t="shared" si="1"/>
        <v>0</v>
      </c>
      <c r="F37" s="103"/>
      <c r="G37" s="89">
        <v>0</v>
      </c>
      <c r="H37" s="91"/>
      <c r="I37" s="103"/>
      <c r="J37" s="104">
        <v>34</v>
      </c>
      <c r="K37" s="91"/>
      <c r="L37" s="103"/>
      <c r="M37" s="104">
        <v>0</v>
      </c>
      <c r="N37" s="104">
        <v>0</v>
      </c>
      <c r="O37" s="91"/>
    </row>
    <row r="38" spans="1:15" x14ac:dyDescent="0.3">
      <c r="A38" s="84" t="s">
        <v>510</v>
      </c>
      <c r="B38" s="85">
        <v>0</v>
      </c>
      <c r="C38" s="103"/>
      <c r="D38" s="87">
        <v>0</v>
      </c>
      <c r="E38" s="92">
        <f t="shared" si="1"/>
        <v>0</v>
      </c>
      <c r="F38" s="103"/>
      <c r="G38" s="89">
        <v>0</v>
      </c>
      <c r="H38" s="91"/>
      <c r="I38" s="103"/>
      <c r="J38" s="104">
        <v>9</v>
      </c>
      <c r="K38" s="91"/>
      <c r="L38" s="103"/>
      <c r="M38" s="104">
        <v>0</v>
      </c>
      <c r="N38" s="104">
        <v>1.2</v>
      </c>
      <c r="O38" s="91"/>
    </row>
    <row r="39" spans="1:15" x14ac:dyDescent="0.3">
      <c r="A39" s="84" t="s">
        <v>511</v>
      </c>
      <c r="B39" s="85">
        <v>0</v>
      </c>
      <c r="C39" s="103"/>
      <c r="D39" s="87">
        <v>0</v>
      </c>
      <c r="E39" s="92">
        <f t="shared" si="1"/>
        <v>0</v>
      </c>
      <c r="F39" s="103"/>
      <c r="G39" s="89">
        <v>0</v>
      </c>
      <c r="H39" s="91"/>
      <c r="I39" s="103"/>
      <c r="J39" s="104">
        <v>45</v>
      </c>
      <c r="K39" s="91"/>
      <c r="L39" s="103"/>
      <c r="M39" s="104">
        <v>0</v>
      </c>
      <c r="N39" s="104">
        <v>0</v>
      </c>
      <c r="O39" s="91"/>
    </row>
    <row r="40" spans="1:15" x14ac:dyDescent="0.3">
      <c r="A40" s="84" t="s">
        <v>512</v>
      </c>
      <c r="B40" s="85">
        <v>0</v>
      </c>
      <c r="C40" s="103"/>
      <c r="D40" s="87">
        <v>0</v>
      </c>
      <c r="E40" s="92">
        <f t="shared" si="1"/>
        <v>0</v>
      </c>
      <c r="F40" s="103"/>
      <c r="G40" s="89">
        <v>0</v>
      </c>
      <c r="H40" s="91"/>
      <c r="I40" s="103"/>
      <c r="J40" s="104">
        <v>25</v>
      </c>
      <c r="K40" s="91"/>
      <c r="L40" s="103"/>
      <c r="M40" s="104">
        <v>0</v>
      </c>
      <c r="N40" s="104">
        <v>27</v>
      </c>
      <c r="O40" s="91"/>
    </row>
    <row r="41" spans="1:15" x14ac:dyDescent="0.3">
      <c r="A41" s="84" t="s">
        <v>513</v>
      </c>
      <c r="B41" s="85">
        <v>0</v>
      </c>
      <c r="C41" s="103"/>
      <c r="D41" s="87">
        <v>0</v>
      </c>
      <c r="E41" s="92">
        <f t="shared" si="1"/>
        <v>0</v>
      </c>
      <c r="F41" s="103"/>
      <c r="G41" s="89">
        <v>0</v>
      </c>
      <c r="H41" s="91"/>
      <c r="I41" s="103"/>
      <c r="J41" s="104">
        <v>30</v>
      </c>
      <c r="K41" s="91"/>
      <c r="L41" s="103"/>
      <c r="M41" s="104">
        <v>0</v>
      </c>
      <c r="N41" s="104">
        <v>22</v>
      </c>
      <c r="O41" s="91"/>
    </row>
    <row r="42" spans="1:15" x14ac:dyDescent="0.3">
      <c r="A42" s="84" t="s">
        <v>514</v>
      </c>
      <c r="B42" s="85">
        <v>0</v>
      </c>
      <c r="C42" s="103"/>
      <c r="D42" s="87">
        <v>25</v>
      </c>
      <c r="E42" s="92">
        <f t="shared" si="1"/>
        <v>0</v>
      </c>
      <c r="F42" s="103"/>
      <c r="G42" s="89">
        <v>0</v>
      </c>
      <c r="H42" s="91"/>
      <c r="I42" s="103"/>
      <c r="J42" s="104">
        <v>30</v>
      </c>
      <c r="K42" s="91"/>
      <c r="L42" s="103"/>
      <c r="M42" s="104">
        <v>0</v>
      </c>
      <c r="N42" s="104">
        <v>17</v>
      </c>
      <c r="O42" s="91"/>
    </row>
    <row r="43" spans="1:15" ht="6" customHeight="1" x14ac:dyDescent="0.3">
      <c r="A43" s="93"/>
      <c r="B43" s="94"/>
      <c r="C43" s="95"/>
      <c r="D43" s="96"/>
      <c r="E43" s="97"/>
      <c r="F43" s="95"/>
      <c r="G43" s="98"/>
      <c r="H43" s="99"/>
      <c r="I43" s="95"/>
      <c r="J43" s="98"/>
      <c r="K43" s="99"/>
      <c r="L43" s="95"/>
      <c r="M43" s="98"/>
      <c r="N43" s="98"/>
      <c r="O43" s="99"/>
    </row>
    <row r="44" spans="1:15" x14ac:dyDescent="0.3">
      <c r="A44" s="84" t="s">
        <v>44</v>
      </c>
      <c r="B44" s="85">
        <v>0</v>
      </c>
      <c r="C44" s="103"/>
      <c r="D44" s="87">
        <v>125</v>
      </c>
      <c r="E44" s="92">
        <f t="shared" si="1"/>
        <v>0</v>
      </c>
      <c r="F44" s="103"/>
      <c r="G44" s="89">
        <v>0</v>
      </c>
      <c r="H44" s="91"/>
      <c r="I44" s="103"/>
      <c r="J44" s="104">
        <v>0</v>
      </c>
      <c r="K44" s="91"/>
      <c r="L44" s="103"/>
      <c r="M44" s="104">
        <v>0</v>
      </c>
      <c r="N44" s="104">
        <v>0</v>
      </c>
      <c r="O44" s="91"/>
    </row>
    <row r="45" spans="1:15" x14ac:dyDescent="0.3">
      <c r="A45" s="84" t="s">
        <v>46</v>
      </c>
      <c r="B45" s="85">
        <v>0</v>
      </c>
      <c r="C45" s="103"/>
      <c r="D45" s="87">
        <v>40</v>
      </c>
      <c r="E45" s="92">
        <f t="shared" si="1"/>
        <v>0</v>
      </c>
      <c r="F45" s="103"/>
      <c r="G45" s="89">
        <v>0</v>
      </c>
      <c r="H45" s="91"/>
      <c r="I45" s="103"/>
      <c r="J45" s="104">
        <v>0</v>
      </c>
      <c r="K45" s="91"/>
      <c r="L45" s="103"/>
      <c r="M45" s="104">
        <v>0</v>
      </c>
      <c r="N45" s="104">
        <v>0</v>
      </c>
      <c r="O45" s="91"/>
    </row>
    <row r="46" spans="1:15" x14ac:dyDescent="0.3">
      <c r="A46" s="84" t="s">
        <v>515</v>
      </c>
      <c r="B46" s="85">
        <v>0</v>
      </c>
      <c r="C46" s="103"/>
      <c r="D46" s="87">
        <v>200</v>
      </c>
      <c r="E46" s="92">
        <f t="shared" si="1"/>
        <v>0</v>
      </c>
      <c r="F46" s="103"/>
      <c r="G46" s="89">
        <v>0</v>
      </c>
      <c r="H46" s="91"/>
      <c r="I46" s="103"/>
      <c r="J46" s="104">
        <v>0</v>
      </c>
      <c r="K46" s="91"/>
      <c r="L46" s="103"/>
      <c r="M46" s="104">
        <v>0</v>
      </c>
      <c r="N46" s="104">
        <v>0</v>
      </c>
      <c r="O46" s="91"/>
    </row>
    <row r="47" spans="1:15" x14ac:dyDescent="0.3">
      <c r="A47" s="84"/>
      <c r="B47" s="85">
        <v>0</v>
      </c>
      <c r="C47" s="103"/>
      <c r="D47" s="87">
        <v>0</v>
      </c>
      <c r="E47" s="106"/>
      <c r="F47" s="103"/>
      <c r="G47" s="89">
        <v>0</v>
      </c>
      <c r="H47" s="91"/>
      <c r="I47" s="103"/>
      <c r="J47" s="104">
        <v>0</v>
      </c>
      <c r="K47" s="91"/>
      <c r="L47" s="103"/>
      <c r="M47" s="104">
        <v>0</v>
      </c>
      <c r="N47" s="104">
        <v>0</v>
      </c>
      <c r="O47" s="91"/>
    </row>
    <row r="48" spans="1:15" x14ac:dyDescent="0.3">
      <c r="A48" s="84"/>
      <c r="B48" s="85">
        <v>0</v>
      </c>
      <c r="C48" s="103"/>
      <c r="D48" s="87">
        <v>0</v>
      </c>
      <c r="E48" s="106"/>
      <c r="F48" s="103"/>
      <c r="G48" s="89">
        <v>0</v>
      </c>
      <c r="H48" s="91"/>
      <c r="I48" s="103"/>
      <c r="J48" s="104">
        <v>0</v>
      </c>
      <c r="K48" s="91"/>
      <c r="L48" s="103"/>
      <c r="M48" s="104">
        <v>0</v>
      </c>
      <c r="N48" s="104">
        <v>0</v>
      </c>
      <c r="O48" s="91"/>
    </row>
    <row r="49" spans="1:15" ht="6" customHeight="1" x14ac:dyDescent="0.3">
      <c r="A49" s="93"/>
      <c r="B49" s="94"/>
      <c r="C49" s="95"/>
      <c r="D49" s="96"/>
      <c r="E49" s="97"/>
      <c r="F49" s="95"/>
      <c r="G49" s="98"/>
      <c r="H49" s="99"/>
      <c r="I49" s="95"/>
      <c r="J49" s="98"/>
      <c r="K49" s="99"/>
      <c r="L49" s="95"/>
      <c r="M49" s="98"/>
      <c r="N49" s="98"/>
      <c r="O49" s="99"/>
    </row>
    <row r="50" spans="1:15" x14ac:dyDescent="0.3">
      <c r="A50" s="84" t="s">
        <v>516</v>
      </c>
      <c r="B50" s="85">
        <v>0</v>
      </c>
      <c r="C50" s="103"/>
      <c r="D50" s="87">
        <v>0</v>
      </c>
      <c r="E50" s="106"/>
      <c r="F50" s="103"/>
      <c r="G50" s="89">
        <v>0</v>
      </c>
      <c r="H50" s="91"/>
      <c r="I50" s="103"/>
      <c r="J50" s="104">
        <v>0</v>
      </c>
      <c r="K50" s="91"/>
      <c r="L50" s="103"/>
      <c r="M50" s="104">
        <v>0</v>
      </c>
      <c r="N50" s="104">
        <v>0</v>
      </c>
      <c r="O50" s="91"/>
    </row>
    <row r="51" spans="1:15" x14ac:dyDescent="0.3">
      <c r="A51" s="84" t="s">
        <v>517</v>
      </c>
      <c r="B51" s="85">
        <v>0</v>
      </c>
      <c r="C51" s="103"/>
      <c r="D51" s="87">
        <v>0</v>
      </c>
      <c r="E51" s="106"/>
      <c r="F51" s="103"/>
      <c r="G51" s="89">
        <v>0</v>
      </c>
      <c r="H51" s="91"/>
      <c r="I51" s="103"/>
      <c r="J51" s="104">
        <v>480</v>
      </c>
      <c r="K51" s="91" t="s">
        <v>518</v>
      </c>
      <c r="L51" s="103"/>
      <c r="M51" s="104">
        <v>0</v>
      </c>
      <c r="N51" s="104">
        <v>0</v>
      </c>
      <c r="O51" s="91">
        <v>0</v>
      </c>
    </row>
  </sheetData>
  <mergeCells count="4">
    <mergeCell ref="D2:E2"/>
    <mergeCell ref="G2:H2"/>
    <mergeCell ref="J2:K2"/>
    <mergeCell ref="M2:O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Props1.xml><?xml version="1.0" encoding="utf-8"?>
<ds:datastoreItem xmlns:ds="http://schemas.openxmlformats.org/officeDocument/2006/customXml" ds:itemID="{1E06A959-2D76-48D2-A472-68BA98EF8D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54ED7A-48DF-482B-AAA6-B863E6AF1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8d7e70-4053-43da-ae2e-3bb26002d663"/>
    <ds:schemaRef ds:uri="adfb0090-8606-4b89-a68a-b73ca1d6b5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320C46-ED84-45E2-8A37-380AA9A82BF0}">
  <ds:schemaRefs>
    <ds:schemaRef ds:uri="http://schemas.microsoft.com/office/2006/metadata/properties"/>
    <ds:schemaRef ds:uri="http://schemas.microsoft.com/office/infopath/2007/PartnerControls"/>
    <ds:schemaRef ds:uri="bc8d7e70-4053-43da-ae2e-3bb26002d663"/>
    <ds:schemaRef ds:uri="adfb0090-8606-4b89-a68a-b73ca1d6b5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V1</vt:lpstr>
      <vt:lpstr>Prelim_OH-Check</vt:lpstr>
      <vt:lpstr>SW Zone Sumry</vt:lpstr>
      <vt:lpstr>SW_Mataterial</vt:lpstr>
      <vt:lpstr>SW_Pit Takeoff</vt:lpstr>
      <vt:lpstr>SW_insitu Takeoff</vt:lpstr>
      <vt:lpstr>Staff Rates</vt:lpstr>
      <vt:lpstr>Equip&amp;HIRE</vt:lpstr>
      <vt:lpstr>'SW_Pit Takeoff'!Print_Area</vt:lpstr>
      <vt:lpstr>'V1'!Print_Area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Mitch Hannan</dc:creator>
  <cp:keywords/>
  <dc:description/>
  <cp:lastModifiedBy>Mitch - TPS</cp:lastModifiedBy>
  <cp:revision/>
  <dcterms:created xsi:type="dcterms:W3CDTF">2020-01-22T18:28:27Z</dcterms:created>
  <dcterms:modified xsi:type="dcterms:W3CDTF">2026-07-25T22:00:35Z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  <property fmtid="{D5CDD505-2E9C-101B-9397-08002B2CF9AE}" pid="3" name="Order">
    <vt:r8>5967600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