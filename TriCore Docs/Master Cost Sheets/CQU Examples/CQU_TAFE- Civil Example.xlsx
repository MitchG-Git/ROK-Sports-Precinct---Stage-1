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ricoreplumbing.sharepoint.com/sites/TricoreCivilServices/Shared Documents/00 TCS/01 TCS_Trust/04 Proj. Potential/CQ ROK_TAFE/01.A. Pre Bid/Costings/V.1/SOL/"/>
    </mc:Choice>
  </mc:AlternateContent>
  <xr:revisionPtr revIDLastSave="0" documentId="11_0B1396FD9A5CC7E00A06EBC11B20B95BEF9D7449" xr6:coauthVersionLast="47" xr6:coauthVersionMax="47" xr10:uidLastSave="{00000000-0000-0000-0000-000000000000}"/>
  <bookViews>
    <workbookView xWindow="-108" yWindow="-108" windowWidth="30936" windowHeight="12576" xr2:uid="{00000000-000D-0000-FFFF-FFFF00000000}"/>
  </bookViews>
  <sheets>
    <sheet name="T04-GROUNDWORKS" sheetId="1" r:id="rId1"/>
    <sheet name="Tender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1" l="1"/>
  <c r="F169" i="1"/>
  <c r="F161" i="1"/>
  <c r="F160" i="1"/>
  <c r="F157" i="1"/>
  <c r="F155" i="1"/>
  <c r="F154" i="1"/>
  <c r="F153" i="1"/>
  <c r="F144" i="1"/>
  <c r="F142" i="1"/>
  <c r="F140" i="1"/>
  <c r="F139" i="1"/>
  <c r="F138" i="1"/>
  <c r="F137" i="1"/>
  <c r="F135" i="1"/>
  <c r="F134" i="1"/>
  <c r="F133" i="1"/>
  <c r="F132" i="1"/>
  <c r="F131" i="1"/>
  <c r="F124" i="1"/>
  <c r="F123" i="1"/>
  <c r="F120" i="1"/>
  <c r="F118" i="1"/>
  <c r="F117" i="1"/>
  <c r="F116" i="1"/>
  <c r="F105" i="1"/>
  <c r="F103" i="1"/>
  <c r="F95" i="1"/>
  <c r="F94" i="1"/>
  <c r="F93" i="1"/>
  <c r="F92" i="1"/>
  <c r="F89" i="1"/>
  <c r="F87" i="1"/>
  <c r="F86" i="1"/>
  <c r="F85" i="1"/>
  <c r="F74" i="1"/>
  <c r="B15" i="2" s="1"/>
  <c r="F65" i="1"/>
  <c r="F64" i="1"/>
  <c r="F61" i="1"/>
  <c r="F59" i="1"/>
  <c r="F58" i="1"/>
  <c r="F57" i="1"/>
  <c r="F49" i="1"/>
  <c r="F48" i="1"/>
  <c r="F46" i="1"/>
  <c r="F44" i="1"/>
  <c r="F42" i="1"/>
  <c r="F41" i="1"/>
  <c r="F40" i="1"/>
  <c r="F39" i="1"/>
  <c r="F38" i="1"/>
  <c r="F36" i="1"/>
  <c r="F35" i="1"/>
  <c r="F34" i="1"/>
  <c r="F33" i="1"/>
  <c r="F32" i="1"/>
  <c r="F31" i="1"/>
  <c r="F30" i="1"/>
  <c r="F23" i="1"/>
  <c r="F21" i="1"/>
  <c r="F20" i="1"/>
  <c r="F19" i="1"/>
  <c r="F18" i="1"/>
  <c r="F15" i="1"/>
  <c r="F14" i="1"/>
  <c r="F11" i="1"/>
  <c r="F9" i="1"/>
  <c r="F8" i="1"/>
  <c r="F7" i="1"/>
  <c r="F66" i="1" l="1"/>
  <c r="B14" i="2" s="1"/>
  <c r="B18" i="2"/>
  <c r="B17" i="2"/>
  <c r="B21" i="2"/>
  <c r="F24" i="1"/>
  <c r="B12" i="2" s="1"/>
  <c r="F173" i="1"/>
  <c r="F174" i="1" s="1"/>
  <c r="B23" i="2" s="1"/>
  <c r="B13" i="2"/>
  <c r="B16" i="2"/>
  <c r="B19" i="2"/>
  <c r="B20" i="2"/>
  <c r="B22" i="2" l="1"/>
  <c r="F175" i="1"/>
  <c r="B24" i="2" l="1"/>
  <c r="F176" i="1"/>
  <c r="B25" i="2" s="1"/>
  <c r="F177" i="1" l="1"/>
  <c r="B26" i="2" s="1"/>
</calcChain>
</file>

<file path=xl/sharedStrings.xml><?xml version="1.0" encoding="utf-8"?>
<sst xmlns="http://schemas.openxmlformats.org/spreadsheetml/2006/main" count="419" uniqueCount="163">
  <si>
    <t>BUILDING 92</t>
  </si>
  <si>
    <t>GROUNDWORKS</t>
  </si>
  <si>
    <t>Code</t>
  </si>
  <si>
    <t>Description</t>
  </si>
  <si>
    <t>Quantity</t>
  </si>
  <si>
    <t>Unit</t>
  </si>
  <si>
    <t>Rate</t>
  </si>
  <si>
    <t>Total</t>
  </si>
  <si>
    <t>WORK MEASURED IN OTHER SECTIONS</t>
  </si>
  <si>
    <t>T04.1</t>
  </si>
  <si>
    <t>Stormwater drainage included in T32 HYDRAULICS</t>
  </si>
  <si>
    <t>Note</t>
  </si>
  <si>
    <t>PRELIMINARIES</t>
  </si>
  <si>
    <t>T04.2</t>
  </si>
  <si>
    <t>Site establishment &amp; demobilisation</t>
  </si>
  <si>
    <t>item</t>
  </si>
  <si>
    <t>T04.3</t>
  </si>
  <si>
    <t>Survey set-out</t>
  </si>
  <si>
    <t>T04.4</t>
  </si>
  <si>
    <t>As constructed survey</t>
  </si>
  <si>
    <t>EROSION AND SEDIMENT CONTROL</t>
  </si>
  <si>
    <t>T04.5</t>
  </si>
  <si>
    <t>Allow for erosion and sediment control</t>
  </si>
  <si>
    <t>EXCAVATION</t>
  </si>
  <si>
    <t>Siteworks</t>
  </si>
  <si>
    <t>T04.6</t>
  </si>
  <si>
    <t>Clear the site of all vegetable matter, debris, rubbish etc.; including trees &lt;= 500 girth complete with stumps and roots</t>
  </si>
  <si>
    <t>m2</t>
  </si>
  <si>
    <t>T04.7</t>
  </si>
  <si>
    <t>Excavate to remove top soil average 200 mm deep</t>
  </si>
  <si>
    <t>Bulk Excavation</t>
  </si>
  <si>
    <t>Refer to Addendum 11 for further details</t>
  </si>
  <si>
    <t>T04.8</t>
  </si>
  <si>
    <t>Bulk earthwork; commencing at reduced level; bulk cut</t>
  </si>
  <si>
    <t>m3</t>
  </si>
  <si>
    <t>T04.9</t>
  </si>
  <si>
    <t>Allow for imported fill placed in layers not exceeding 200 mm thick</t>
  </si>
  <si>
    <t>T04.10</t>
  </si>
  <si>
    <t>Allow to proof roll sub-grade at pad level</t>
  </si>
  <si>
    <t>T04.11</t>
  </si>
  <si>
    <t>Allow to trim, grade open excavated sub-grade</t>
  </si>
  <si>
    <t>FILLING AND HARDCORE</t>
  </si>
  <si>
    <t>T04.12</t>
  </si>
  <si>
    <t>100 mm Thick Type 2.3 (CBR45%) material to building area :[4,291 m2]</t>
  </si>
  <si>
    <t>EXTERIOR ELEMENTS</t>
  </si>
  <si>
    <t>ROADS, FOOTPATHS AND PAVED AREAS</t>
  </si>
  <si>
    <t>External Pavements</t>
  </si>
  <si>
    <t>T37.1</t>
  </si>
  <si>
    <t>Concrete Crossover - 175 mm Thick concrete crossover with SL92 reinforcing fabric and necessary formwork as per Rockhampton Regional Council STD drawing CMDG-R-42</t>
  </si>
  <si>
    <t>T37.2</t>
  </si>
  <si>
    <t>Pavement Type 1 - 125 mm Deep pedestrian grade insitu coloured concrete CCS Prairie with light acid wash finish [PA1]</t>
  </si>
  <si>
    <t>T37.3</t>
  </si>
  <si>
    <t>Pavement Type 2 - 125 mm Deep pedestrian grade insitu coloured concrete CCS Paperbark with light acid wash finish [PA2]</t>
  </si>
  <si>
    <t>T37.4</t>
  </si>
  <si>
    <t>Pavement Type 3 - 125 mm Deep pedestrian grade insitu concrete with light acid wash finish [PA3]</t>
  </si>
  <si>
    <t>T37.5</t>
  </si>
  <si>
    <t>Tie into existing pavement</t>
  </si>
  <si>
    <t>m</t>
  </si>
  <si>
    <t>T37.6</t>
  </si>
  <si>
    <t>Allow for joints</t>
  </si>
  <si>
    <t>125 mm Deep pedestrian grade insitu coloured concrete footpath to match Landscape [PA1, PA2]</t>
  </si>
  <si>
    <t>External Road Pavements</t>
  </si>
  <si>
    <t>T37.7</t>
  </si>
  <si>
    <t>D&amp;C concrete slab including finish, falls and drainage</t>
  </si>
  <si>
    <t>T37.8</t>
  </si>
  <si>
    <t>Proposed Pavement Type 2 - Compacted subgrade, varying depth imported CBR 10%, 125 mm thick Type 2.3 (CBR 45%) subbase, 125 mm thick Type 2.1 (CBR 80%) base and 50 mm thick AC14 dense graded asphalt wearing course</t>
  </si>
  <si>
    <t>T37.9</t>
  </si>
  <si>
    <t>Proposed Pavement Type 3 - Compacted subgrade, 120 mm thick Type 2.3 (CBR 45%) subbase and 180 mm thick 32MPa concrete slab with SL82 mesh top cover including necessary formwork</t>
  </si>
  <si>
    <t>T37.10</t>
  </si>
  <si>
    <t>Tie in to existing pavement as per Granular Pavement Joint Detail on Civil drawing C140</t>
  </si>
  <si>
    <t>T37.11</t>
  </si>
  <si>
    <t>Allow for joints not shown</t>
  </si>
  <si>
    <t>Linemarking</t>
  </si>
  <si>
    <t>T37.12</t>
  </si>
  <si>
    <t>Allow for linemarking to new road</t>
  </si>
  <si>
    <t>Kerb Ramps</t>
  </si>
  <si>
    <t>T37.13</t>
  </si>
  <si>
    <t>Pedestrian kerb ramp</t>
  </si>
  <si>
    <t>no</t>
  </si>
  <si>
    <t>Kerbs</t>
  </si>
  <si>
    <t>T37.14</t>
  </si>
  <si>
    <t>150 mm x 300 mm High barrier kerb as per Civil drawing C140 [BK]</t>
  </si>
  <si>
    <t>Barrier kerb and channel [BKC]</t>
  </si>
  <si>
    <t>BUILDING 21A</t>
  </si>
  <si>
    <t>GENERAL CLARIFICATIONS</t>
  </si>
  <si>
    <t>Refer drawing CQU-ROK-21A-G-ARC-20-01, CQU-ROK-21A-G-ARC-21-00</t>
  </si>
  <si>
    <t>Clear the site of all vegetable matter, debris, rubbish etc.; including trees &lt;= 500 girth complete with stumps and roots, if required</t>
  </si>
  <si>
    <t>Excavate to remove top soil, average depth to be confirmed, if required</t>
  </si>
  <si>
    <t>External footpath</t>
  </si>
  <si>
    <t>Assumed external paving as indicated on the drawings [approximate area: 78 m²]</t>
  </si>
  <si>
    <t>BUILDING 33</t>
  </si>
  <si>
    <t>Refer drawing Drg 33-ST-DR-GDL-510-00-00 , 33-ST-DR-GDL-900-00-01</t>
  </si>
  <si>
    <t>Excavate to remove top soil average 200 mm deep, if required</t>
  </si>
  <si>
    <t>Existing wall to be temporarily supported during excavation and construction phase; Section A on drawing 33-ST-DR-GDL-900-00-01</t>
  </si>
  <si>
    <t>Temporary shoring by contractors engineer to allow safe excavation of lift pit base and support to existing ground floor structure; Section A on drawing 33-ST-DR-GDL-900-00-01</t>
  </si>
  <si>
    <t>Generally refer drawing CQU-ROK-033-00-ARC-10-00</t>
  </si>
  <si>
    <t>Proposed footpath connection to lift,  match to existing [approx. area 6m2]</t>
  </si>
  <si>
    <t>Concrete pathway from Building 33 to 34</t>
  </si>
  <si>
    <t>Allow item for proposed 2000mm wide concrete pathway from Building 33 to 34</t>
  </si>
  <si>
    <t>BUILDING 36</t>
  </si>
  <si>
    <t>Refer drawing Drg 36-ST-DR-GDL-510-00-00, 00-ST-DR-A00-010-00-01,00-ST-DR-A00-010-00-02,00-ST-DR-A00-010-00-03, CQU-ROK-036-00-ARC-40-00</t>
  </si>
  <si>
    <t>Clear the site of all vegetable matter, debris, rubbish etc.; including trees &lt;= 500 girth complete with stumps and roots, if required [approximate area]</t>
  </si>
  <si>
    <t>Excavate to remove top soil average depth to be confirmed, if required [approximate area]</t>
  </si>
  <si>
    <t>Generally refer drawing CQU-ROK-036-GN-ARC-21-01, CQU-ROK-036-00-ARC-10-00,  C230, C240</t>
  </si>
  <si>
    <t>Proposed Pavement Type 1 - Compacted subgrade, 100 mm thick Type 2.5 (CBR 15%) subgrade replacement (provisional), 150 mm thick Type 2.5 (CBR 15%) lower course, 125 mm thick Type 2.3 (CBR 45%) subbase, 125 mm thick Type 2.1 (CBR 80%) base and 40 mm thick AC14 dense graded asphalt wearing course to proposed drop-off area and driveway</t>
  </si>
  <si>
    <t>Proposed Pavement Type 4 - Compacted subgrade, 140 mm thick Type 2.3 (CBR 45%) subbase and 160 mm thick 32MPa concrete slab with SL82 mesh top cover including necessary formwork</t>
  </si>
  <si>
    <t>Allow for connection between footpath and proposed driveway</t>
  </si>
  <si>
    <t>Line marking</t>
  </si>
  <si>
    <t>Allow for Line marking to new road</t>
  </si>
  <si>
    <t>Allow for Line marking to car park, 90mmwide unbroken line</t>
  </si>
  <si>
    <t>Install disabled symbol in accordance with AS2890.6</t>
  </si>
  <si>
    <t>Yellow slip resistant line marking 150-200mm wide, spaced 200-300mm apart at 450</t>
  </si>
  <si>
    <t>150 mm x 300 mm High barrier kerb as per Civil drawing C240 [BKC]</t>
  </si>
  <si>
    <t>Wheel Stops</t>
  </si>
  <si>
    <t>Wheel stopper 2000mm long</t>
  </si>
  <si>
    <t>BUILDING 76</t>
  </si>
  <si>
    <t>Refer drawing CQU-ROK-076-GN-ARC-23-01</t>
  </si>
  <si>
    <t>Generally refer drawing CQU-ROK-076-GN-ARC-21-00</t>
  </si>
  <si>
    <t>Footpath finish to be confirmed</t>
  </si>
  <si>
    <t>Internal Pavements</t>
  </si>
  <si>
    <t>Footpath finish to be confirmed; to propagation and greenhouse</t>
  </si>
  <si>
    <t>Base BOQ Direct Civil Works</t>
  </si>
  <si>
    <t>Tender Completion / Risk Allowance (7.5%)</t>
  </si>
  <si>
    <t>Tender Value Excluding GST</t>
  </si>
  <si>
    <t>GST (10%)</t>
  </si>
  <si>
    <t>Tender Value Including GST</t>
  </si>
  <si>
    <t>CQU Rockhampton TAFE Consolidation - Stage 2</t>
  </si>
  <si>
    <t>Civil Construction and Earthworks Tender Pricing</t>
  </si>
  <si>
    <t>Date</t>
  </si>
  <si>
    <t>Thursday 30 April, 2026</t>
  </si>
  <si>
    <t>Quote #</t>
  </si>
  <si>
    <t>TBC</t>
  </si>
  <si>
    <t>Prepared For</t>
  </si>
  <si>
    <t>Estimator</t>
  </si>
  <si>
    <t>Project</t>
  </si>
  <si>
    <t>Tender Basis</t>
  </si>
  <si>
    <t>Lump Sum construct-only civil pricing - subject to clarifications herein</t>
  </si>
  <si>
    <t>Validity</t>
  </si>
  <si>
    <t>30 days from proposal date</t>
  </si>
  <si>
    <t>Work Area / Section</t>
  </si>
  <si>
    <t>Amount ex GST</t>
  </si>
  <si>
    <t>Reference</t>
  </si>
  <si>
    <t>ROK092 Groundworks</t>
  </si>
  <si>
    <t>T04.2 to T04.12</t>
  </si>
  <si>
    <t>ROK092 Exterior Elements</t>
  </si>
  <si>
    <t>T37.1 to T37.14</t>
  </si>
  <si>
    <t>ROK021A Groundworks</t>
  </si>
  <si>
    <t>T04.2 to T04.7</t>
  </si>
  <si>
    <t>ROK021A Exterior Elements</t>
  </si>
  <si>
    <t>ROK033 Groundworks</t>
  </si>
  <si>
    <t>T04.2 to T04.9</t>
  </si>
  <si>
    <t>ROK033 Exterior Elements</t>
  </si>
  <si>
    <t>T37.2 to T37.3</t>
  </si>
  <si>
    <t>ROK036 Groundworks</t>
  </si>
  <si>
    <t>T04.3 to T04.8</t>
  </si>
  <si>
    <t>ROK036 Exterior Elements</t>
  </si>
  <si>
    <t>T37.2 to T37.12</t>
  </si>
  <si>
    <t>ROK076 Groundworks</t>
  </si>
  <si>
    <t>ROK076 Exterior Elements</t>
  </si>
  <si>
    <t>Subtotal</t>
  </si>
  <si>
    <t>Allowance</t>
  </si>
  <si>
    <t>Lump Sum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</si>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</sst>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0##"/>
  </numFmts>
  <fonts count="7">
    <font>
      <sz val="10"/>
      <name val="Arial"/>
    </font>
    <font>
      <b/>
      <sz val="9"/>
      <name val="Arial"/>
    </font>
    <font>
      <sz val="9"/>
      <name val="Arial"/>
    </font>
    <font>
      <i/>
      <sz val="9"/>
      <name val="Arial"/>
    </font>
    <font>
      <b/>
      <i/>
      <sz val="9"/>
      <name val="Arial"/>
    </font>
    <font>
      <b/>
      <sz val="12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indexed="64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2"/>
  </cellStyleXfs>
  <cellXfs count="64"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3" fontId="2" fillId="0" borderId="1" xfId="0" applyNumberFormat="1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3" fontId="2" fillId="0" borderId="1" xfId="0" applyNumberFormat="1" applyFont="1" applyBorder="1" applyAlignment="1" applyProtection="1">
      <alignment horizontal="left" vertical="top"/>
      <protection locked="0"/>
    </xf>
    <xf numFmtId="3" fontId="2" fillId="0" borderId="1" xfId="0" applyNumberFormat="1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164" fontId="1" fillId="3" borderId="4" xfId="0" applyNumberFormat="1" applyFont="1" applyFill="1" applyBorder="1" applyAlignment="1" applyProtection="1">
      <alignment vertical="center"/>
      <protection locked="0"/>
    </xf>
    <xf numFmtId="0" fontId="1" fillId="4" borderId="1" xfId="0" applyFont="1" applyFill="1" applyBorder="1" applyAlignment="1" applyProtection="1">
      <alignment horizontal="left" vertical="top" wrapText="1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center" vertical="top"/>
      <protection locked="0"/>
    </xf>
    <xf numFmtId="0" fontId="4" fillId="4" borderId="8" xfId="0" applyFont="1" applyFill="1" applyBorder="1" applyAlignment="1" applyProtection="1">
      <alignment horizontal="left" vertical="top" wrapText="1"/>
      <protection locked="0"/>
    </xf>
    <xf numFmtId="3" fontId="1" fillId="4" borderId="1" xfId="0" applyNumberFormat="1" applyFont="1" applyFill="1" applyBorder="1" applyAlignment="1" applyProtection="1">
      <alignment horizontal="left" vertical="top" wrapText="1"/>
      <protection locked="0"/>
    </xf>
    <xf numFmtId="3" fontId="1" fillId="4" borderId="1" xfId="0" applyNumberFormat="1" applyFont="1" applyFill="1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3" xfId="0" applyFont="1" applyBorder="1" applyAlignment="1" applyProtection="1">
      <alignment vertical="top"/>
      <protection locked="0"/>
    </xf>
    <xf numFmtId="164" fontId="1" fillId="2" borderId="3" xfId="0" applyNumberFormat="1" applyFont="1" applyFill="1" applyBorder="1" applyAlignment="1" applyProtection="1">
      <alignment horizontal="center" vertical="center"/>
      <protection locked="0"/>
    </xf>
    <xf numFmtId="164" fontId="1" fillId="4" borderId="7" xfId="0" applyNumberFormat="1" applyFont="1" applyFill="1" applyBorder="1" applyAlignment="1" applyProtection="1">
      <alignment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1" fillId="2" borderId="3" xfId="0" applyNumberFormat="1" applyFont="1" applyFill="1" applyBorder="1" applyAlignment="1" applyProtection="1">
      <alignment vertical="top"/>
      <protection locked="0"/>
    </xf>
    <xf numFmtId="164" fontId="2" fillId="0" borderId="3" xfId="0" applyNumberFormat="1" applyFont="1" applyBorder="1" applyAlignment="1" applyProtection="1">
      <alignment vertical="top"/>
      <protection locked="0"/>
    </xf>
    <xf numFmtId="164" fontId="1" fillId="0" borderId="3" xfId="0" applyNumberFormat="1" applyFont="1" applyBorder="1" applyAlignment="1" applyProtection="1">
      <alignment vertical="top"/>
      <protection locked="0"/>
    </xf>
    <xf numFmtId="165" fontId="1" fillId="2" borderId="3" xfId="0" applyNumberFormat="1" applyFont="1" applyFill="1" applyBorder="1" applyAlignment="1" applyProtection="1">
      <alignment horizontal="center" vertical="center"/>
      <protection locked="0"/>
    </xf>
    <xf numFmtId="165" fontId="1" fillId="4" borderId="1" xfId="0" applyNumberFormat="1" applyFont="1" applyFill="1" applyBorder="1" applyAlignment="1" applyProtection="1">
      <alignment horizontal="center" vertical="top"/>
      <protection locked="0"/>
    </xf>
    <xf numFmtId="165" fontId="2" fillId="0" borderId="1" xfId="0" applyNumberFormat="1" applyFont="1" applyBorder="1" applyAlignment="1" applyProtection="1">
      <alignment horizontal="center" vertical="top"/>
      <protection locked="0"/>
    </xf>
    <xf numFmtId="165" fontId="1" fillId="2" borderId="3" xfId="0" applyNumberFormat="1" applyFont="1" applyFill="1" applyBorder="1" applyAlignment="1" applyProtection="1">
      <alignment vertical="top"/>
      <protection locked="0"/>
    </xf>
    <xf numFmtId="165" fontId="2" fillId="0" borderId="3" xfId="0" applyNumberFormat="1" applyFont="1" applyBorder="1" applyAlignment="1" applyProtection="1">
      <alignment vertical="top"/>
      <protection locked="0"/>
    </xf>
    <xf numFmtId="165" fontId="1" fillId="0" borderId="3" xfId="0" applyNumberFormat="1" applyFont="1" applyBorder="1" applyAlignment="1" applyProtection="1">
      <alignment vertical="top"/>
      <protection locked="0"/>
    </xf>
    <xf numFmtId="3" fontId="1" fillId="2" borderId="3" xfId="0" applyNumberFormat="1" applyFont="1" applyFill="1" applyBorder="1" applyAlignment="1" applyProtection="1">
      <alignment horizontal="center" vertical="center"/>
      <protection locked="0"/>
    </xf>
    <xf numFmtId="3" fontId="1" fillId="4" borderId="1" xfId="0" applyNumberFormat="1" applyFont="1" applyFill="1" applyBorder="1" applyAlignment="1" applyProtection="1">
      <alignment horizontal="center" vertical="top"/>
      <protection locked="0"/>
    </xf>
    <xf numFmtId="3" fontId="1" fillId="2" borderId="3" xfId="0" applyNumberFormat="1" applyFont="1" applyFill="1" applyBorder="1" applyAlignment="1" applyProtection="1">
      <alignment vertical="top"/>
      <protection locked="0"/>
    </xf>
    <xf numFmtId="3" fontId="2" fillId="0" borderId="3" xfId="0" applyNumberFormat="1" applyFont="1" applyBorder="1" applyAlignment="1" applyProtection="1">
      <alignment vertical="top"/>
      <protection locked="0"/>
    </xf>
    <xf numFmtId="3" fontId="1" fillId="0" borderId="3" xfId="0" applyNumberFormat="1" applyFont="1" applyBorder="1" applyAlignment="1" applyProtection="1">
      <alignment vertical="top"/>
      <protection locked="0"/>
    </xf>
    <xf numFmtId="0" fontId="6" fillId="2" borderId="3" xfId="0" applyFont="1" applyFill="1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" fillId="0" borderId="9" xfId="0" applyFont="1" applyBorder="1" applyAlignment="1" applyProtection="1">
      <alignment vertical="top" wrapText="1"/>
      <protection locked="0"/>
    </xf>
    <xf numFmtId="164" fontId="2" fillId="0" borderId="9" xfId="0" applyNumberFormat="1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164" fontId="1" fillId="0" borderId="9" xfId="0" applyNumberFormat="1" applyFont="1" applyBorder="1" applyAlignment="1" applyProtection="1">
      <alignment vertical="top" wrapText="1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left" vertical="center"/>
      <protection locked="0"/>
    </xf>
    <xf numFmtId="0" fontId="1" fillId="3" borderId="6" xfId="0" applyFont="1" applyFill="1" applyBorder="1" applyAlignment="1" applyProtection="1">
      <alignment vertical="center" wrapText="1"/>
      <protection locked="0"/>
    </xf>
    <xf numFmtId="3" fontId="1" fillId="3" borderId="6" xfId="0" applyNumberFormat="1" applyFont="1" applyFill="1" applyBorder="1" applyAlignment="1" applyProtection="1">
      <alignment vertical="center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165" fontId="1" fillId="3" borderId="6" xfId="0" applyNumberFormat="1" applyFont="1" applyFill="1" applyBorder="1" applyAlignment="1" applyProtection="1">
      <alignment vertical="center"/>
      <protection locked="0"/>
    </xf>
    <xf numFmtId="0" fontId="0" fillId="0" borderId="6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164" fontId="2" fillId="0" borderId="2" xfId="0" applyNumberFormat="1" applyFont="1" applyBorder="1" applyAlignment="1" applyProtection="1">
      <alignment vertical="top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 applyProtection="1">
      <alignment vertical="top"/>
      <protection locked="0"/>
    </xf>
    <xf numFmtId="3" fontId="2" fillId="0" borderId="2" xfId="0" applyNumberFormat="1" applyFont="1" applyBorder="1" applyAlignment="1" applyProtection="1">
      <alignment vertical="top"/>
      <protection locked="0"/>
    </xf>
    <xf numFmtId="165" fontId="2" fillId="0" borderId="2" xfId="0" applyNumberFormat="1" applyFont="1" applyBorder="1" applyAlignment="1" applyProtection="1">
      <alignment vertical="top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workbookViewId="0">
      <pane ySplit="3" topLeftCell="A4" activePane="bottomLeft" state="frozen"/>
      <selection pane="bottomLeft" activeCell="I15" sqref="I15"/>
    </sheetView>
  </sheetViews>
  <sheetFormatPr defaultColWidth="9.140625" defaultRowHeight="13.15"/>
  <cols>
    <col min="1" max="1" width="12" style="2" customWidth="1"/>
    <col min="2" max="2" width="70" style="3" customWidth="1"/>
    <col min="3" max="3" width="12" customWidth="1"/>
    <col min="4" max="4" width="10" customWidth="1"/>
    <col min="5" max="5" width="14" customWidth="1"/>
    <col min="6" max="6" width="16" customWidth="1"/>
    <col min="7" max="7" width="9.140625" style="1" customWidth="1"/>
    <col min="8" max="16384" width="9.140625" style="1"/>
  </cols>
  <sheetData>
    <row r="1" spans="1:6" customFormat="1" ht="27.75" customHeight="1">
      <c r="A1" s="50" t="s">
        <v>0</v>
      </c>
      <c r="B1" s="51"/>
      <c r="C1" s="52"/>
      <c r="D1" s="53"/>
      <c r="E1" s="54"/>
      <c r="F1" s="15"/>
    </row>
    <row r="2" spans="1:6" customFormat="1" ht="15.75" customHeight="1">
      <c r="A2" s="49" t="s">
        <v>1</v>
      </c>
      <c r="B2" s="55"/>
      <c r="C2" s="55"/>
      <c r="D2" s="55"/>
      <c r="E2" s="55"/>
      <c r="F2" s="56"/>
    </row>
    <row r="3" spans="1:6">
      <c r="A3" s="13" t="s">
        <v>2</v>
      </c>
      <c r="B3" s="14" t="s">
        <v>3</v>
      </c>
      <c r="C3" s="38" t="s">
        <v>4</v>
      </c>
      <c r="D3" s="13" t="s">
        <v>5</v>
      </c>
      <c r="E3" s="32" t="s">
        <v>6</v>
      </c>
      <c r="F3" s="25" t="s">
        <v>7</v>
      </c>
    </row>
    <row r="4" spans="1:6">
      <c r="A4" s="17"/>
      <c r="B4" s="16" t="s">
        <v>8</v>
      </c>
      <c r="C4" s="39"/>
      <c r="D4" s="18"/>
      <c r="E4" s="33"/>
      <c r="F4" s="26"/>
    </row>
    <row r="5" spans="1:6">
      <c r="A5" s="4" t="s">
        <v>9</v>
      </c>
      <c r="B5" s="6" t="s">
        <v>10</v>
      </c>
      <c r="C5" s="7"/>
      <c r="D5" s="5" t="s">
        <v>11</v>
      </c>
      <c r="E5" s="34"/>
      <c r="F5" s="57"/>
    </row>
    <row r="6" spans="1:6">
      <c r="A6" s="17"/>
      <c r="B6" s="16" t="s">
        <v>12</v>
      </c>
      <c r="C6" s="39"/>
      <c r="D6" s="18"/>
      <c r="E6" s="33"/>
      <c r="F6" s="26"/>
    </row>
    <row r="7" spans="1:6">
      <c r="A7" s="4" t="s">
        <v>13</v>
      </c>
      <c r="B7" s="6" t="s">
        <v>14</v>
      </c>
      <c r="C7" s="7">
        <v>1</v>
      </c>
      <c r="D7" s="7" t="s">
        <v>15</v>
      </c>
      <c r="E7" s="34">
        <v>51750</v>
      </c>
      <c r="F7" s="27">
        <f>C7*E7</f>
        <v>51750</v>
      </c>
    </row>
    <row r="8" spans="1:6">
      <c r="A8" s="4" t="s">
        <v>16</v>
      </c>
      <c r="B8" s="6" t="s">
        <v>17</v>
      </c>
      <c r="C8" s="7">
        <v>1</v>
      </c>
      <c r="D8" s="7" t="s">
        <v>15</v>
      </c>
      <c r="E8" s="34">
        <v>9200</v>
      </c>
      <c r="F8" s="27">
        <f>C8*E8</f>
        <v>9200</v>
      </c>
    </row>
    <row r="9" spans="1:6">
      <c r="A9" s="4" t="s">
        <v>18</v>
      </c>
      <c r="B9" s="6" t="s">
        <v>19</v>
      </c>
      <c r="C9" s="7">
        <v>1</v>
      </c>
      <c r="D9" s="7" t="s">
        <v>15</v>
      </c>
      <c r="E9" s="34">
        <v>8050</v>
      </c>
      <c r="F9" s="27">
        <f>C9*E9</f>
        <v>8050</v>
      </c>
    </row>
    <row r="10" spans="1:6">
      <c r="A10" s="17"/>
      <c r="B10" s="16" t="s">
        <v>20</v>
      </c>
      <c r="C10" s="39"/>
      <c r="D10" s="18"/>
      <c r="E10" s="33"/>
      <c r="F10" s="26"/>
    </row>
    <row r="11" spans="1:6">
      <c r="A11" s="4" t="s">
        <v>21</v>
      </c>
      <c r="B11" s="6" t="s">
        <v>22</v>
      </c>
      <c r="C11" s="7">
        <v>1</v>
      </c>
      <c r="D11" s="7" t="s">
        <v>15</v>
      </c>
      <c r="E11" s="34">
        <v>13800</v>
      </c>
      <c r="F11" s="27">
        <f>C11*E11</f>
        <v>13800</v>
      </c>
    </row>
    <row r="12" spans="1:6">
      <c r="A12" s="17"/>
      <c r="B12" s="16" t="s">
        <v>23</v>
      </c>
      <c r="C12" s="39"/>
      <c r="D12" s="18"/>
      <c r="E12" s="33"/>
      <c r="F12" s="26"/>
    </row>
    <row r="13" spans="1:6">
      <c r="A13" s="17"/>
      <c r="B13" s="16" t="s">
        <v>24</v>
      </c>
      <c r="C13" s="39"/>
      <c r="D13" s="18"/>
      <c r="E13" s="33"/>
      <c r="F13" s="26"/>
    </row>
    <row r="14" spans="1:6" customFormat="1" ht="25.5" customHeight="1">
      <c r="A14" s="4" t="s">
        <v>25</v>
      </c>
      <c r="B14" s="6" t="s">
        <v>26</v>
      </c>
      <c r="C14" s="7">
        <v>8009</v>
      </c>
      <c r="D14" s="7" t="s">
        <v>27</v>
      </c>
      <c r="E14" s="34">
        <v>5.4625000000000004</v>
      </c>
      <c r="F14" s="27">
        <f>C14*E14</f>
        <v>43749.162500000006</v>
      </c>
    </row>
    <row r="15" spans="1:6">
      <c r="A15" s="4" t="s">
        <v>28</v>
      </c>
      <c r="B15" s="6" t="s">
        <v>29</v>
      </c>
      <c r="C15" s="7">
        <v>8009</v>
      </c>
      <c r="D15" s="7" t="s">
        <v>27</v>
      </c>
      <c r="E15" s="34">
        <v>22.425000000000001</v>
      </c>
      <c r="F15" s="27">
        <f>C15*E15</f>
        <v>179601.82500000001</v>
      </c>
    </row>
    <row r="16" spans="1:6">
      <c r="A16" s="17"/>
      <c r="B16" s="16" t="s">
        <v>30</v>
      </c>
      <c r="C16" s="39"/>
      <c r="D16" s="18"/>
      <c r="E16" s="33"/>
      <c r="F16" s="26"/>
    </row>
    <row r="17" spans="1:6">
      <c r="A17" s="17"/>
      <c r="B17" s="19" t="s">
        <v>31</v>
      </c>
      <c r="C17" s="39"/>
      <c r="D17" s="18"/>
      <c r="E17" s="33"/>
      <c r="F17" s="26"/>
    </row>
    <row r="18" spans="1:6">
      <c r="A18" s="4" t="s">
        <v>32</v>
      </c>
      <c r="B18" s="58" t="s">
        <v>33</v>
      </c>
      <c r="C18" s="7">
        <v>518</v>
      </c>
      <c r="D18" s="7" t="s">
        <v>34</v>
      </c>
      <c r="E18" s="34">
        <v>43.7</v>
      </c>
      <c r="F18" s="27">
        <f>C18*E18</f>
        <v>22636.600000000002</v>
      </c>
    </row>
    <row r="19" spans="1:6">
      <c r="A19" s="4" t="s">
        <v>35</v>
      </c>
      <c r="B19" s="58" t="s">
        <v>36</v>
      </c>
      <c r="C19" s="7">
        <v>2735</v>
      </c>
      <c r="D19" s="7" t="s">
        <v>34</v>
      </c>
      <c r="E19" s="34">
        <v>105.8</v>
      </c>
      <c r="F19" s="27">
        <f>C19*E19</f>
        <v>289363</v>
      </c>
    </row>
    <row r="20" spans="1:6">
      <c r="A20" s="4" t="s">
        <v>37</v>
      </c>
      <c r="B20" s="6" t="s">
        <v>38</v>
      </c>
      <c r="C20" s="7">
        <v>8009</v>
      </c>
      <c r="D20" s="7" t="s">
        <v>27</v>
      </c>
      <c r="E20" s="34">
        <v>4.0250000000000004</v>
      </c>
      <c r="F20" s="27">
        <f>C20*E20</f>
        <v>32236.225000000002</v>
      </c>
    </row>
    <row r="21" spans="1:6">
      <c r="A21" s="4" t="s">
        <v>39</v>
      </c>
      <c r="B21" s="6" t="s">
        <v>40</v>
      </c>
      <c r="C21" s="7">
        <v>8009</v>
      </c>
      <c r="D21" s="7" t="s">
        <v>27</v>
      </c>
      <c r="E21" s="34">
        <v>4.8875000000000002</v>
      </c>
      <c r="F21" s="27">
        <f>C21*E21</f>
        <v>39143.987500000003</v>
      </c>
    </row>
    <row r="22" spans="1:6">
      <c r="A22" s="17"/>
      <c r="B22" s="16" t="s">
        <v>41</v>
      </c>
      <c r="C22" s="39"/>
      <c r="D22" s="18"/>
      <c r="E22" s="33"/>
      <c r="F22" s="26"/>
    </row>
    <row r="23" spans="1:6">
      <c r="A23" s="4" t="s">
        <v>42</v>
      </c>
      <c r="B23" s="6" t="s">
        <v>43</v>
      </c>
      <c r="C23" s="7">
        <v>430</v>
      </c>
      <c r="D23" s="7" t="s">
        <v>34</v>
      </c>
      <c r="E23" s="34">
        <v>135.69999999999999</v>
      </c>
      <c r="F23" s="27">
        <f>C23*E23</f>
        <v>58350.999999999993</v>
      </c>
    </row>
    <row r="24" spans="1:6">
      <c r="A24" s="59"/>
      <c r="B24" s="8" t="s">
        <v>7</v>
      </c>
      <c r="C24" s="60"/>
      <c r="D24" s="59"/>
      <c r="E24" s="61"/>
      <c r="F24" s="28">
        <f>SUM(F7:F23)</f>
        <v>747881.8</v>
      </c>
    </row>
    <row r="25" spans="1:6">
      <c r="A25" s="59"/>
      <c r="B25" s="59"/>
      <c r="C25" s="60"/>
      <c r="D25" s="59"/>
      <c r="E25" s="61"/>
      <c r="F25" s="57"/>
    </row>
    <row r="26" spans="1:6" customFormat="1" ht="15.75" customHeight="1">
      <c r="A26" s="49" t="s">
        <v>44</v>
      </c>
      <c r="B26" s="55"/>
      <c r="C26" s="55"/>
      <c r="D26" s="55"/>
      <c r="E26" s="55"/>
      <c r="F26" s="56"/>
    </row>
    <row r="27" spans="1:6">
      <c r="A27" s="13" t="s">
        <v>2</v>
      </c>
      <c r="B27" s="14" t="s">
        <v>3</v>
      </c>
      <c r="C27" s="38" t="s">
        <v>4</v>
      </c>
      <c r="D27" s="13" t="s">
        <v>5</v>
      </c>
      <c r="E27" s="32" t="s">
        <v>6</v>
      </c>
      <c r="F27" s="25" t="s">
        <v>7</v>
      </c>
    </row>
    <row r="28" spans="1:6">
      <c r="A28" s="17"/>
      <c r="B28" s="16" t="s">
        <v>45</v>
      </c>
      <c r="C28" s="39"/>
      <c r="D28" s="18"/>
      <c r="E28" s="33"/>
      <c r="F28" s="26"/>
    </row>
    <row r="29" spans="1:6">
      <c r="A29" s="17"/>
      <c r="B29" s="16" t="s">
        <v>46</v>
      </c>
      <c r="C29" s="39"/>
      <c r="D29" s="18"/>
      <c r="E29" s="33"/>
      <c r="F29" s="26"/>
    </row>
    <row r="30" spans="1:6" customFormat="1" ht="38.25" customHeight="1">
      <c r="A30" s="4" t="s">
        <v>47</v>
      </c>
      <c r="B30" s="6" t="s">
        <v>48</v>
      </c>
      <c r="C30" s="7">
        <v>324</v>
      </c>
      <c r="D30" s="7" t="s">
        <v>27</v>
      </c>
      <c r="E30" s="34">
        <v>189.75</v>
      </c>
      <c r="F30" s="27">
        <f t="shared" ref="F30:F36" si="0">C30*E30</f>
        <v>61479</v>
      </c>
    </row>
    <row r="31" spans="1:6" customFormat="1" ht="25.5" customHeight="1">
      <c r="A31" s="4" t="s">
        <v>49</v>
      </c>
      <c r="B31" s="6" t="s">
        <v>50</v>
      </c>
      <c r="C31" s="7">
        <v>118</v>
      </c>
      <c r="D31" s="7" t="s">
        <v>27</v>
      </c>
      <c r="E31" s="34">
        <v>155.25</v>
      </c>
      <c r="F31" s="27">
        <f t="shared" si="0"/>
        <v>18319.5</v>
      </c>
    </row>
    <row r="32" spans="1:6" customFormat="1" ht="25.5" customHeight="1">
      <c r="A32" s="4" t="s">
        <v>51</v>
      </c>
      <c r="B32" s="6" t="s">
        <v>52</v>
      </c>
      <c r="C32" s="7">
        <v>56</v>
      </c>
      <c r="D32" s="7" t="s">
        <v>27</v>
      </c>
      <c r="E32" s="34">
        <v>155.25</v>
      </c>
      <c r="F32" s="27">
        <f t="shared" si="0"/>
        <v>8694</v>
      </c>
    </row>
    <row r="33" spans="1:6" customFormat="1" ht="25.5" customHeight="1">
      <c r="A33" s="4" t="s">
        <v>53</v>
      </c>
      <c r="B33" s="6" t="s">
        <v>54</v>
      </c>
      <c r="C33" s="7">
        <v>564</v>
      </c>
      <c r="D33" s="7" t="s">
        <v>27</v>
      </c>
      <c r="E33" s="34">
        <v>155.25</v>
      </c>
      <c r="F33" s="27">
        <f t="shared" si="0"/>
        <v>87561</v>
      </c>
    </row>
    <row r="34" spans="1:6">
      <c r="A34" s="4" t="s">
        <v>55</v>
      </c>
      <c r="B34" s="6" t="s">
        <v>56</v>
      </c>
      <c r="C34" s="7">
        <v>20</v>
      </c>
      <c r="D34" s="7" t="s">
        <v>57</v>
      </c>
      <c r="E34" s="34">
        <v>109.25</v>
      </c>
      <c r="F34" s="27">
        <f t="shared" si="0"/>
        <v>2185</v>
      </c>
    </row>
    <row r="35" spans="1:6">
      <c r="A35" s="4" t="s">
        <v>58</v>
      </c>
      <c r="B35" s="6" t="s">
        <v>59</v>
      </c>
      <c r="C35" s="7">
        <v>1060</v>
      </c>
      <c r="D35" s="7" t="s">
        <v>27</v>
      </c>
      <c r="E35" s="34">
        <v>9.7750000000000004</v>
      </c>
      <c r="F35" s="27">
        <f t="shared" si="0"/>
        <v>10361.5</v>
      </c>
    </row>
    <row r="36" spans="1:6" customFormat="1" ht="25.5" customHeight="1">
      <c r="A36" s="4"/>
      <c r="B36" s="58" t="s">
        <v>60</v>
      </c>
      <c r="C36" s="7">
        <v>89</v>
      </c>
      <c r="D36" s="7" t="s">
        <v>27</v>
      </c>
      <c r="E36" s="34">
        <v>155.25</v>
      </c>
      <c r="F36" s="27">
        <f t="shared" si="0"/>
        <v>13817.25</v>
      </c>
    </row>
    <row r="37" spans="1:6">
      <c r="A37" s="17"/>
      <c r="B37" s="16" t="s">
        <v>61</v>
      </c>
      <c r="C37" s="39"/>
      <c r="D37" s="18"/>
      <c r="E37" s="33"/>
      <c r="F37" s="26"/>
    </row>
    <row r="38" spans="1:6">
      <c r="A38" s="4" t="s">
        <v>62</v>
      </c>
      <c r="B38" s="58" t="s">
        <v>63</v>
      </c>
      <c r="C38" s="7">
        <v>487</v>
      </c>
      <c r="D38" s="7" t="s">
        <v>27</v>
      </c>
      <c r="E38" s="34">
        <v>212.75</v>
      </c>
      <c r="F38" s="27">
        <f>C38*E38</f>
        <v>103609.25</v>
      </c>
    </row>
    <row r="39" spans="1:6" customFormat="1" ht="38.25" customHeight="1">
      <c r="A39" s="4" t="s">
        <v>64</v>
      </c>
      <c r="B39" s="58" t="s">
        <v>65</v>
      </c>
      <c r="C39" s="7">
        <v>665</v>
      </c>
      <c r="D39" s="7" t="s">
        <v>27</v>
      </c>
      <c r="E39" s="34">
        <v>212.75</v>
      </c>
      <c r="F39" s="27">
        <f>C39*E39</f>
        <v>141478.75</v>
      </c>
    </row>
    <row r="40" spans="1:6" customFormat="1" ht="38.25" customHeight="1">
      <c r="A40" s="4" t="s">
        <v>66</v>
      </c>
      <c r="B40" s="6" t="s">
        <v>67</v>
      </c>
      <c r="C40" s="7">
        <v>254</v>
      </c>
      <c r="D40" s="7" t="s">
        <v>27</v>
      </c>
      <c r="E40" s="34">
        <v>218.5</v>
      </c>
      <c r="F40" s="27">
        <f>C40*E40</f>
        <v>55499</v>
      </c>
    </row>
    <row r="41" spans="1:6" customFormat="1" ht="25.5" customHeight="1">
      <c r="A41" s="4" t="s">
        <v>68</v>
      </c>
      <c r="B41" s="6" t="s">
        <v>69</v>
      </c>
      <c r="C41" s="7">
        <v>16</v>
      </c>
      <c r="D41" s="7" t="s">
        <v>57</v>
      </c>
      <c r="E41" s="34">
        <v>138</v>
      </c>
      <c r="F41" s="27">
        <f>C41*E41</f>
        <v>2208</v>
      </c>
    </row>
    <row r="42" spans="1:6">
      <c r="A42" s="4" t="s">
        <v>70</v>
      </c>
      <c r="B42" s="6" t="s">
        <v>71</v>
      </c>
      <c r="C42" s="7">
        <v>977</v>
      </c>
      <c r="D42" s="7" t="s">
        <v>27</v>
      </c>
      <c r="E42" s="34">
        <v>9.7750000000000004</v>
      </c>
      <c r="F42" s="27">
        <f>C42*E42</f>
        <v>9550.1750000000011</v>
      </c>
    </row>
    <row r="43" spans="1:6">
      <c r="A43" s="17"/>
      <c r="B43" s="16" t="s">
        <v>72</v>
      </c>
      <c r="C43" s="39"/>
      <c r="D43" s="18"/>
      <c r="E43" s="33"/>
      <c r="F43" s="26"/>
    </row>
    <row r="44" spans="1:6">
      <c r="A44" s="4" t="s">
        <v>73</v>
      </c>
      <c r="B44" s="6" t="s">
        <v>74</v>
      </c>
      <c r="C44" s="7">
        <v>1</v>
      </c>
      <c r="D44" s="7" t="s">
        <v>15</v>
      </c>
      <c r="E44" s="34">
        <v>8625</v>
      </c>
      <c r="F44" s="27">
        <f>C44*E44</f>
        <v>8625</v>
      </c>
    </row>
    <row r="45" spans="1:6">
      <c r="A45" s="17"/>
      <c r="B45" s="16" t="s">
        <v>75</v>
      </c>
      <c r="C45" s="39"/>
      <c r="D45" s="18"/>
      <c r="E45" s="33"/>
      <c r="F45" s="26"/>
    </row>
    <row r="46" spans="1:6">
      <c r="A46" s="4" t="s">
        <v>76</v>
      </c>
      <c r="B46" s="6" t="s">
        <v>77</v>
      </c>
      <c r="C46" s="7">
        <v>1</v>
      </c>
      <c r="D46" s="7" t="s">
        <v>78</v>
      </c>
      <c r="E46" s="34">
        <v>4025</v>
      </c>
      <c r="F46" s="27">
        <f>C46*E46</f>
        <v>4025</v>
      </c>
    </row>
    <row r="47" spans="1:6">
      <c r="A47" s="17"/>
      <c r="B47" s="16" t="s">
        <v>79</v>
      </c>
      <c r="C47" s="39"/>
      <c r="D47" s="18"/>
      <c r="E47" s="33"/>
      <c r="F47" s="26"/>
    </row>
    <row r="48" spans="1:6">
      <c r="A48" s="4" t="s">
        <v>80</v>
      </c>
      <c r="B48" s="58" t="s">
        <v>81</v>
      </c>
      <c r="C48" s="7">
        <v>214</v>
      </c>
      <c r="D48" s="7" t="s">
        <v>57</v>
      </c>
      <c r="E48" s="34">
        <v>258.75</v>
      </c>
      <c r="F48" s="27">
        <f>C48*E48</f>
        <v>55372.5</v>
      </c>
    </row>
    <row r="49" spans="1:6">
      <c r="A49" s="4"/>
      <c r="B49" s="58" t="s">
        <v>82</v>
      </c>
      <c r="C49" s="7">
        <v>73</v>
      </c>
      <c r="D49" s="7" t="s">
        <v>57</v>
      </c>
      <c r="E49" s="34">
        <v>373.75</v>
      </c>
      <c r="F49" s="27">
        <f>C49*E49</f>
        <v>27283.75</v>
      </c>
    </row>
    <row r="50" spans="1:6">
      <c r="A50" s="59"/>
      <c r="B50" s="59"/>
      <c r="C50" s="60"/>
      <c r="D50" s="59"/>
      <c r="E50" s="61"/>
      <c r="F50" s="57"/>
    </row>
    <row r="51" spans="1:6" customFormat="1" ht="27.75" customHeight="1">
      <c r="A51" s="50" t="s">
        <v>83</v>
      </c>
      <c r="B51" s="53"/>
      <c r="C51" s="52"/>
      <c r="D51" s="53"/>
      <c r="E51" s="54"/>
      <c r="F51" s="15"/>
    </row>
    <row r="52" spans="1:6" customFormat="1" ht="15.75" customHeight="1">
      <c r="A52" s="49" t="s">
        <v>1</v>
      </c>
      <c r="B52" s="55"/>
      <c r="C52" s="55"/>
      <c r="D52" s="55"/>
      <c r="E52" s="55"/>
      <c r="F52" s="56"/>
    </row>
    <row r="53" spans="1:6">
      <c r="A53" s="13" t="s">
        <v>2</v>
      </c>
      <c r="B53" s="14" t="s">
        <v>3</v>
      </c>
      <c r="C53" s="38" t="s">
        <v>4</v>
      </c>
      <c r="D53" s="13" t="s">
        <v>5</v>
      </c>
      <c r="E53" s="32" t="s">
        <v>6</v>
      </c>
      <c r="F53" s="25" t="s">
        <v>7</v>
      </c>
    </row>
    <row r="54" spans="1:6">
      <c r="A54" s="17"/>
      <c r="B54" s="16" t="s">
        <v>84</v>
      </c>
      <c r="C54" s="39"/>
      <c r="D54" s="18"/>
      <c r="E54" s="33"/>
      <c r="F54" s="26"/>
    </row>
    <row r="55" spans="1:6">
      <c r="A55" s="4" t="s">
        <v>9</v>
      </c>
      <c r="B55" s="6" t="s">
        <v>85</v>
      </c>
      <c r="C55" s="7"/>
      <c r="D55" s="5" t="s">
        <v>11</v>
      </c>
      <c r="E55" s="34"/>
      <c r="F55" s="57"/>
    </row>
    <row r="56" spans="1:6">
      <c r="A56" s="17"/>
      <c r="B56" s="16" t="s">
        <v>12</v>
      </c>
      <c r="C56" s="39"/>
      <c r="D56" s="18"/>
      <c r="E56" s="33"/>
      <c r="F56" s="26"/>
    </row>
    <row r="57" spans="1:6">
      <c r="A57" s="4" t="s">
        <v>13</v>
      </c>
      <c r="B57" s="6" t="s">
        <v>14</v>
      </c>
      <c r="C57" s="7">
        <v>1</v>
      </c>
      <c r="D57" s="7" t="s">
        <v>15</v>
      </c>
      <c r="E57" s="34">
        <v>3450</v>
      </c>
      <c r="F57" s="27">
        <f>C57*E57</f>
        <v>3450</v>
      </c>
    </row>
    <row r="58" spans="1:6">
      <c r="A58" s="9" t="s">
        <v>16</v>
      </c>
      <c r="B58" s="10" t="s">
        <v>17</v>
      </c>
      <c r="C58" s="7">
        <v>1</v>
      </c>
      <c r="D58" s="7" t="s">
        <v>15</v>
      </c>
      <c r="E58" s="34">
        <v>1150</v>
      </c>
      <c r="F58" s="27">
        <f>C58*E58</f>
        <v>1150</v>
      </c>
    </row>
    <row r="59" spans="1:6">
      <c r="A59" s="9" t="s">
        <v>18</v>
      </c>
      <c r="B59" s="10" t="s">
        <v>19</v>
      </c>
      <c r="C59" s="7">
        <v>1</v>
      </c>
      <c r="D59" s="7" t="s">
        <v>15</v>
      </c>
      <c r="E59" s="34">
        <v>1150</v>
      </c>
      <c r="F59" s="27">
        <f>C59*E59</f>
        <v>1150</v>
      </c>
    </row>
    <row r="60" spans="1:6">
      <c r="A60" s="21"/>
      <c r="B60" s="20" t="s">
        <v>20</v>
      </c>
      <c r="C60" s="39"/>
      <c r="D60" s="18"/>
      <c r="E60" s="33"/>
      <c r="F60" s="26"/>
    </row>
    <row r="61" spans="1:6">
      <c r="A61" s="4" t="s">
        <v>21</v>
      </c>
      <c r="B61" s="6" t="s">
        <v>22</v>
      </c>
      <c r="C61" s="7">
        <v>1</v>
      </c>
      <c r="D61" s="7" t="s">
        <v>15</v>
      </c>
      <c r="E61" s="34">
        <v>1725</v>
      </c>
      <c r="F61" s="27">
        <f>C61*E61</f>
        <v>1725</v>
      </c>
    </row>
    <row r="62" spans="1:6">
      <c r="A62" s="21"/>
      <c r="B62" s="20" t="s">
        <v>23</v>
      </c>
      <c r="C62" s="39"/>
      <c r="D62" s="18"/>
      <c r="E62" s="33"/>
      <c r="F62" s="26"/>
    </row>
    <row r="63" spans="1:6">
      <c r="A63" s="17"/>
      <c r="B63" s="16" t="s">
        <v>24</v>
      </c>
      <c r="C63" s="39"/>
      <c r="D63" s="18"/>
      <c r="E63" s="33"/>
      <c r="F63" s="26"/>
    </row>
    <row r="64" spans="1:6" customFormat="1" ht="25.5" customHeight="1">
      <c r="A64" s="4" t="s">
        <v>25</v>
      </c>
      <c r="B64" s="6" t="s">
        <v>86</v>
      </c>
      <c r="C64" s="7">
        <v>93</v>
      </c>
      <c r="D64" s="7" t="s">
        <v>27</v>
      </c>
      <c r="E64" s="34">
        <v>5.4625000000000004</v>
      </c>
      <c r="F64" s="27">
        <f>C64*E64</f>
        <v>508.01250000000005</v>
      </c>
    </row>
    <row r="65" spans="1:6">
      <c r="A65" s="9" t="s">
        <v>28</v>
      </c>
      <c r="B65" s="10" t="s">
        <v>87</v>
      </c>
      <c r="C65" s="7">
        <v>93</v>
      </c>
      <c r="D65" s="7" t="s">
        <v>27</v>
      </c>
      <c r="E65" s="34">
        <v>22.425000000000001</v>
      </c>
      <c r="F65" s="27">
        <f>C65*E65</f>
        <v>2085.5250000000001</v>
      </c>
    </row>
    <row r="66" spans="1:6">
      <c r="A66" s="59"/>
      <c r="B66" s="8" t="s">
        <v>7</v>
      </c>
      <c r="C66" s="60"/>
      <c r="D66" s="59"/>
      <c r="E66" s="61"/>
      <c r="F66" s="28">
        <f>SUM(F57:F65)</f>
        <v>10068.5375</v>
      </c>
    </row>
    <row r="67" spans="1:6">
      <c r="A67" s="59"/>
      <c r="B67" s="59"/>
      <c r="C67" s="60"/>
      <c r="D67" s="59"/>
      <c r="E67" s="61"/>
      <c r="F67" s="57"/>
    </row>
    <row r="68" spans="1:6" customFormat="1" ht="15.75" customHeight="1">
      <c r="A68" s="49" t="s">
        <v>44</v>
      </c>
      <c r="B68" s="55"/>
      <c r="C68" s="55"/>
      <c r="D68" s="55"/>
      <c r="E68" s="55"/>
      <c r="F68" s="56"/>
    </row>
    <row r="69" spans="1:6">
      <c r="A69" s="13" t="s">
        <v>2</v>
      </c>
      <c r="B69" s="14" t="s">
        <v>3</v>
      </c>
      <c r="C69" s="38" t="s">
        <v>4</v>
      </c>
      <c r="D69" s="13" t="s">
        <v>5</v>
      </c>
      <c r="E69" s="32" t="s">
        <v>6</v>
      </c>
      <c r="F69" s="25" t="s">
        <v>7</v>
      </c>
    </row>
    <row r="70" spans="1:6">
      <c r="A70" s="17"/>
      <c r="B70" s="16" t="s">
        <v>84</v>
      </c>
      <c r="C70" s="39"/>
      <c r="D70" s="18"/>
      <c r="E70" s="33"/>
      <c r="F70" s="26"/>
    </row>
    <row r="71" spans="1:6">
      <c r="A71" s="4" t="s">
        <v>47</v>
      </c>
      <c r="B71" s="6" t="s">
        <v>85</v>
      </c>
      <c r="C71" s="7"/>
      <c r="D71" s="5" t="s">
        <v>11</v>
      </c>
      <c r="E71" s="34"/>
      <c r="F71" s="57"/>
    </row>
    <row r="72" spans="1:6">
      <c r="A72" s="17"/>
      <c r="B72" s="16" t="s">
        <v>45</v>
      </c>
      <c r="C72" s="39"/>
      <c r="D72" s="18"/>
      <c r="E72" s="33"/>
      <c r="F72" s="26"/>
    </row>
    <row r="73" spans="1:6">
      <c r="A73" s="17"/>
      <c r="B73" s="16" t="s">
        <v>88</v>
      </c>
      <c r="C73" s="39"/>
      <c r="D73" s="18"/>
      <c r="E73" s="33"/>
      <c r="F73" s="26"/>
    </row>
    <row r="74" spans="1:6">
      <c r="A74" s="4" t="s">
        <v>49</v>
      </c>
      <c r="B74" s="6" t="s">
        <v>89</v>
      </c>
      <c r="C74" s="7">
        <v>78</v>
      </c>
      <c r="D74" s="7" t="s">
        <v>27</v>
      </c>
      <c r="E74" s="34">
        <v>143.75</v>
      </c>
      <c r="F74" s="27">
        <f>C74*E74</f>
        <v>11212.5</v>
      </c>
    </row>
    <row r="75" spans="1:6">
      <c r="A75" s="59"/>
      <c r="B75" s="59"/>
      <c r="C75" s="60"/>
      <c r="D75" s="59"/>
      <c r="E75" s="61"/>
      <c r="F75" s="57"/>
    </row>
    <row r="76" spans="1:6" customFormat="1" ht="27.75" customHeight="1">
      <c r="A76" s="50" t="s">
        <v>90</v>
      </c>
      <c r="B76" s="53"/>
      <c r="C76" s="52"/>
      <c r="D76" s="53"/>
      <c r="E76" s="54"/>
      <c r="F76" s="15"/>
    </row>
    <row r="77" spans="1:6">
      <c r="A77" s="59"/>
      <c r="B77" s="59"/>
      <c r="C77" s="60"/>
      <c r="D77" s="59"/>
      <c r="E77" s="61"/>
      <c r="F77" s="57"/>
    </row>
    <row r="78" spans="1:6" customFormat="1" ht="15.75" customHeight="1">
      <c r="A78" s="49" t="s">
        <v>1</v>
      </c>
      <c r="B78" s="55"/>
      <c r="C78" s="55"/>
      <c r="D78" s="55"/>
      <c r="E78" s="55"/>
      <c r="F78" s="56"/>
    </row>
    <row r="79" spans="1:6">
      <c r="A79" s="13" t="s">
        <v>2</v>
      </c>
      <c r="B79" s="14" t="s">
        <v>3</v>
      </c>
      <c r="C79" s="38" t="s">
        <v>4</v>
      </c>
      <c r="D79" s="13" t="s">
        <v>5</v>
      </c>
      <c r="E79" s="32" t="s">
        <v>6</v>
      </c>
      <c r="F79" s="25" t="s">
        <v>7</v>
      </c>
    </row>
    <row r="80" spans="1:6">
      <c r="A80" s="17"/>
      <c r="B80" s="16" t="s">
        <v>84</v>
      </c>
      <c r="C80" s="39"/>
      <c r="D80" s="18"/>
      <c r="E80" s="33"/>
      <c r="F80" s="26"/>
    </row>
    <row r="81" spans="1:6">
      <c r="A81" s="4"/>
      <c r="B81" s="11" t="s">
        <v>91</v>
      </c>
      <c r="C81" s="7"/>
      <c r="D81" s="12" t="s">
        <v>11</v>
      </c>
      <c r="E81" s="34"/>
      <c r="F81" s="57"/>
    </row>
    <row r="82" spans="1:6">
      <c r="A82" s="17"/>
      <c r="B82" s="16" t="s">
        <v>8</v>
      </c>
      <c r="C82" s="39"/>
      <c r="D82" s="18"/>
      <c r="E82" s="33"/>
      <c r="F82" s="26"/>
    </row>
    <row r="83" spans="1:6">
      <c r="A83" s="4" t="s">
        <v>9</v>
      </c>
      <c r="B83" s="6" t="s">
        <v>10</v>
      </c>
      <c r="C83" s="7"/>
      <c r="D83" s="5" t="s">
        <v>11</v>
      </c>
      <c r="E83" s="34"/>
      <c r="F83" s="57"/>
    </row>
    <row r="84" spans="1:6">
      <c r="A84" s="17"/>
      <c r="B84" s="16" t="s">
        <v>12</v>
      </c>
      <c r="C84" s="39"/>
      <c r="D84" s="18"/>
      <c r="E84" s="33"/>
      <c r="F84" s="26"/>
    </row>
    <row r="85" spans="1:6">
      <c r="A85" s="4" t="s">
        <v>13</v>
      </c>
      <c r="B85" s="6" t="s">
        <v>14</v>
      </c>
      <c r="C85" s="7">
        <v>1</v>
      </c>
      <c r="D85" s="7" t="s">
        <v>15</v>
      </c>
      <c r="E85" s="34">
        <v>4600</v>
      </c>
      <c r="F85" s="27">
        <f>C85*E85</f>
        <v>4600</v>
      </c>
    </row>
    <row r="86" spans="1:6">
      <c r="A86" s="9" t="s">
        <v>16</v>
      </c>
      <c r="B86" s="10" t="s">
        <v>17</v>
      </c>
      <c r="C86" s="7">
        <v>1</v>
      </c>
      <c r="D86" s="7" t="s">
        <v>15</v>
      </c>
      <c r="E86" s="34">
        <v>1725</v>
      </c>
      <c r="F86" s="27">
        <f>C86*E86</f>
        <v>1725</v>
      </c>
    </row>
    <row r="87" spans="1:6">
      <c r="A87" s="9" t="s">
        <v>18</v>
      </c>
      <c r="B87" s="10" t="s">
        <v>19</v>
      </c>
      <c r="C87" s="7">
        <v>1</v>
      </c>
      <c r="D87" s="7" t="s">
        <v>15</v>
      </c>
      <c r="E87" s="34">
        <v>1725</v>
      </c>
      <c r="F87" s="27">
        <f>C87*E87</f>
        <v>1725</v>
      </c>
    </row>
    <row r="88" spans="1:6">
      <c r="A88" s="21"/>
      <c r="B88" s="20" t="s">
        <v>20</v>
      </c>
      <c r="C88" s="39"/>
      <c r="D88" s="18"/>
      <c r="E88" s="33"/>
      <c r="F88" s="26"/>
    </row>
    <row r="89" spans="1:6">
      <c r="A89" s="4" t="s">
        <v>21</v>
      </c>
      <c r="B89" s="6" t="s">
        <v>22</v>
      </c>
      <c r="C89" s="7">
        <v>1</v>
      </c>
      <c r="D89" s="7" t="s">
        <v>15</v>
      </c>
      <c r="E89" s="34">
        <v>1725</v>
      </c>
      <c r="F89" s="27">
        <f>C89*E89</f>
        <v>1725</v>
      </c>
    </row>
    <row r="90" spans="1:6">
      <c r="A90" s="21"/>
      <c r="B90" s="20" t="s">
        <v>23</v>
      </c>
      <c r="C90" s="39"/>
      <c r="D90" s="18"/>
      <c r="E90" s="33"/>
      <c r="F90" s="26"/>
    </row>
    <row r="91" spans="1:6">
      <c r="A91" s="17"/>
      <c r="B91" s="16" t="s">
        <v>24</v>
      </c>
      <c r="C91" s="39"/>
      <c r="D91" s="18"/>
      <c r="E91" s="33"/>
      <c r="F91" s="26"/>
    </row>
    <row r="92" spans="1:6" customFormat="1" ht="25.5" customHeight="1">
      <c r="A92" s="4" t="s">
        <v>25</v>
      </c>
      <c r="B92" s="6" t="s">
        <v>86</v>
      </c>
      <c r="C92" s="7">
        <v>69</v>
      </c>
      <c r="D92" s="7" t="s">
        <v>27</v>
      </c>
      <c r="E92" s="34">
        <v>5.4625000000000004</v>
      </c>
      <c r="F92" s="27">
        <f>C92*E92</f>
        <v>376.91250000000002</v>
      </c>
    </row>
    <row r="93" spans="1:6">
      <c r="A93" s="9" t="s">
        <v>28</v>
      </c>
      <c r="B93" s="10" t="s">
        <v>92</v>
      </c>
      <c r="C93" s="7">
        <v>69</v>
      </c>
      <c r="D93" s="7" t="s">
        <v>27</v>
      </c>
      <c r="E93" s="34">
        <v>22.425000000000001</v>
      </c>
      <c r="F93" s="27">
        <f>C93*E93</f>
        <v>1547.325</v>
      </c>
    </row>
    <row r="94" spans="1:6" customFormat="1" ht="25.5" customHeight="1">
      <c r="A94" s="9" t="s">
        <v>32</v>
      </c>
      <c r="B94" s="10" t="s">
        <v>93</v>
      </c>
      <c r="C94" s="7">
        <v>1</v>
      </c>
      <c r="D94" s="7" t="s">
        <v>15</v>
      </c>
      <c r="E94" s="34">
        <v>20700</v>
      </c>
      <c r="F94" s="27">
        <f>C94*E94</f>
        <v>20700</v>
      </c>
    </row>
    <row r="95" spans="1:6" customFormat="1" ht="38.25" customHeight="1">
      <c r="A95" s="9" t="s">
        <v>35</v>
      </c>
      <c r="B95" s="10" t="s">
        <v>94</v>
      </c>
      <c r="C95" s="7">
        <v>1</v>
      </c>
      <c r="D95" s="7" t="s">
        <v>15</v>
      </c>
      <c r="E95" s="34">
        <v>40250</v>
      </c>
      <c r="F95" s="27">
        <f>C95*E95</f>
        <v>40250</v>
      </c>
    </row>
    <row r="96" spans="1:6">
      <c r="A96" s="59"/>
      <c r="B96" s="59"/>
      <c r="C96" s="60"/>
      <c r="D96" s="59"/>
      <c r="E96" s="61"/>
      <c r="F96" s="57"/>
    </row>
    <row r="97" spans="1:6" customFormat="1" ht="15.75" customHeight="1">
      <c r="A97" s="49" t="s">
        <v>44</v>
      </c>
      <c r="B97" s="55"/>
      <c r="C97" s="55"/>
      <c r="D97" s="55"/>
      <c r="E97" s="55"/>
      <c r="F97" s="56"/>
    </row>
    <row r="98" spans="1:6">
      <c r="A98" s="13" t="s">
        <v>2</v>
      </c>
      <c r="B98" s="14" t="s">
        <v>3</v>
      </c>
      <c r="C98" s="38" t="s">
        <v>4</v>
      </c>
      <c r="D98" s="13" t="s">
        <v>5</v>
      </c>
      <c r="E98" s="32" t="s">
        <v>6</v>
      </c>
      <c r="F98" s="25" t="s">
        <v>7</v>
      </c>
    </row>
    <row r="99" spans="1:6">
      <c r="A99" s="17"/>
      <c r="B99" s="16" t="s">
        <v>84</v>
      </c>
      <c r="C99" s="39"/>
      <c r="D99" s="18"/>
      <c r="E99" s="33"/>
      <c r="F99" s="26"/>
    </row>
    <row r="100" spans="1:6">
      <c r="A100" s="4" t="s">
        <v>47</v>
      </c>
      <c r="B100" s="6" t="s">
        <v>95</v>
      </c>
      <c r="C100" s="7"/>
      <c r="D100" s="5" t="s">
        <v>11</v>
      </c>
      <c r="E100" s="34"/>
      <c r="F100" s="57"/>
    </row>
    <row r="101" spans="1:6">
      <c r="A101" s="17"/>
      <c r="B101" s="16" t="s">
        <v>45</v>
      </c>
      <c r="C101" s="39"/>
      <c r="D101" s="18"/>
      <c r="E101" s="33"/>
      <c r="F101" s="26"/>
    </row>
    <row r="102" spans="1:6">
      <c r="A102" s="17"/>
      <c r="B102" s="16" t="s">
        <v>88</v>
      </c>
      <c r="C102" s="39"/>
      <c r="D102" s="18"/>
      <c r="E102" s="33"/>
      <c r="F102" s="26"/>
    </row>
    <row r="103" spans="1:6">
      <c r="A103" s="4" t="s">
        <v>49</v>
      </c>
      <c r="B103" s="6" t="s">
        <v>96</v>
      </c>
      <c r="C103" s="7">
        <v>1</v>
      </c>
      <c r="D103" s="7" t="s">
        <v>15</v>
      </c>
      <c r="E103" s="34">
        <v>1035</v>
      </c>
      <c r="F103" s="27">
        <f>C103*E103</f>
        <v>1035</v>
      </c>
    </row>
    <row r="104" spans="1:6">
      <c r="A104" s="21"/>
      <c r="B104" s="20" t="s">
        <v>97</v>
      </c>
      <c r="C104" s="39"/>
      <c r="D104" s="18"/>
      <c r="E104" s="33"/>
      <c r="F104" s="26"/>
    </row>
    <row r="105" spans="1:6">
      <c r="A105" s="4" t="s">
        <v>51</v>
      </c>
      <c r="B105" s="6" t="s">
        <v>98</v>
      </c>
      <c r="C105" s="7">
        <v>1</v>
      </c>
      <c r="D105" s="7" t="s">
        <v>15</v>
      </c>
      <c r="E105" s="34">
        <v>9200</v>
      </c>
      <c r="F105" s="27">
        <f>C105*E105</f>
        <v>9200</v>
      </c>
    </row>
    <row r="106" spans="1:6">
      <c r="A106" s="59"/>
      <c r="B106" s="59"/>
      <c r="C106" s="60"/>
      <c r="D106" s="59"/>
      <c r="E106" s="61"/>
      <c r="F106" s="57"/>
    </row>
    <row r="107" spans="1:6">
      <c r="A107" s="59"/>
      <c r="B107" s="59"/>
      <c r="C107" s="60"/>
      <c r="D107" s="59"/>
      <c r="E107" s="61"/>
      <c r="F107" s="57"/>
    </row>
    <row r="108" spans="1:6" customFormat="1" ht="27.75" customHeight="1">
      <c r="A108" s="50" t="s">
        <v>99</v>
      </c>
      <c r="B108" s="53"/>
      <c r="C108" s="52"/>
      <c r="D108" s="53"/>
      <c r="E108" s="54"/>
      <c r="F108" s="15"/>
    </row>
    <row r="109" spans="1:6" customFormat="1" ht="15.75" customHeight="1">
      <c r="A109" s="49" t="s">
        <v>1</v>
      </c>
      <c r="B109" s="55"/>
      <c r="C109" s="55"/>
      <c r="D109" s="55"/>
      <c r="E109" s="55"/>
      <c r="F109" s="56"/>
    </row>
    <row r="110" spans="1:6">
      <c r="A110" s="13" t="s">
        <v>2</v>
      </c>
      <c r="B110" s="14" t="s">
        <v>3</v>
      </c>
      <c r="C110" s="38" t="s">
        <v>4</v>
      </c>
      <c r="D110" s="13" t="s">
        <v>5</v>
      </c>
      <c r="E110" s="32" t="s">
        <v>6</v>
      </c>
      <c r="F110" s="25" t="s">
        <v>7</v>
      </c>
    </row>
    <row r="111" spans="1:6">
      <c r="A111" s="17"/>
      <c r="B111" s="16" t="s">
        <v>84</v>
      </c>
      <c r="C111" s="39"/>
      <c r="D111" s="18"/>
      <c r="E111" s="33"/>
      <c r="F111" s="26"/>
    </row>
    <row r="112" spans="1:6" customFormat="1" ht="25.5" customHeight="1">
      <c r="A112" s="4" t="s">
        <v>9</v>
      </c>
      <c r="B112" s="6" t="s">
        <v>100</v>
      </c>
      <c r="C112" s="7"/>
      <c r="D112" s="5" t="s">
        <v>11</v>
      </c>
      <c r="E112" s="34"/>
      <c r="F112" s="57"/>
    </row>
    <row r="113" spans="1:6">
      <c r="A113" s="17"/>
      <c r="B113" s="16" t="s">
        <v>8</v>
      </c>
      <c r="C113" s="39"/>
      <c r="D113" s="18"/>
      <c r="E113" s="33"/>
      <c r="F113" s="26"/>
    </row>
    <row r="114" spans="1:6">
      <c r="A114" s="4" t="s">
        <v>13</v>
      </c>
      <c r="B114" s="6" t="s">
        <v>10</v>
      </c>
      <c r="C114" s="7"/>
      <c r="D114" s="5" t="s">
        <v>11</v>
      </c>
      <c r="E114" s="34"/>
      <c r="F114" s="57"/>
    </row>
    <row r="115" spans="1:6">
      <c r="A115" s="17"/>
      <c r="B115" s="16" t="s">
        <v>12</v>
      </c>
      <c r="C115" s="39"/>
      <c r="D115" s="18"/>
      <c r="E115" s="33"/>
      <c r="F115" s="26"/>
    </row>
    <row r="116" spans="1:6">
      <c r="A116" s="4" t="s">
        <v>16</v>
      </c>
      <c r="B116" s="6" t="s">
        <v>14</v>
      </c>
      <c r="C116" s="7">
        <v>1</v>
      </c>
      <c r="D116" s="7" t="s">
        <v>15</v>
      </c>
      <c r="E116" s="34">
        <v>18400</v>
      </c>
      <c r="F116" s="27">
        <f>C116*E116</f>
        <v>18400</v>
      </c>
    </row>
    <row r="117" spans="1:6">
      <c r="A117" s="9" t="s">
        <v>18</v>
      </c>
      <c r="B117" s="10" t="s">
        <v>17</v>
      </c>
      <c r="C117" s="7">
        <v>1</v>
      </c>
      <c r="D117" s="7" t="s">
        <v>15</v>
      </c>
      <c r="E117" s="34">
        <v>4025</v>
      </c>
      <c r="F117" s="27">
        <f>C117*E117</f>
        <v>4025</v>
      </c>
    </row>
    <row r="118" spans="1:6">
      <c r="A118" s="9" t="s">
        <v>21</v>
      </c>
      <c r="B118" s="10" t="s">
        <v>19</v>
      </c>
      <c r="C118" s="7">
        <v>1</v>
      </c>
      <c r="D118" s="7" t="s">
        <v>15</v>
      </c>
      <c r="E118" s="34">
        <v>4025</v>
      </c>
      <c r="F118" s="27">
        <f>C118*E118</f>
        <v>4025</v>
      </c>
    </row>
    <row r="119" spans="1:6">
      <c r="A119" s="21"/>
      <c r="B119" s="20" t="s">
        <v>20</v>
      </c>
      <c r="C119" s="39"/>
      <c r="D119" s="18"/>
      <c r="E119" s="33"/>
      <c r="F119" s="26"/>
    </row>
    <row r="120" spans="1:6">
      <c r="A120" s="4" t="s">
        <v>25</v>
      </c>
      <c r="B120" s="6" t="s">
        <v>22</v>
      </c>
      <c r="C120" s="7">
        <v>1</v>
      </c>
      <c r="D120" s="7" t="s">
        <v>15</v>
      </c>
      <c r="E120" s="34">
        <v>5750</v>
      </c>
      <c r="F120" s="27">
        <f>C120*E120</f>
        <v>5750</v>
      </c>
    </row>
    <row r="121" spans="1:6">
      <c r="A121" s="21"/>
      <c r="B121" s="20" t="s">
        <v>23</v>
      </c>
      <c r="C121" s="39"/>
      <c r="D121" s="18"/>
      <c r="E121" s="33"/>
      <c r="F121" s="26"/>
    </row>
    <row r="122" spans="1:6">
      <c r="A122" s="17"/>
      <c r="B122" s="16" t="s">
        <v>24</v>
      </c>
      <c r="C122" s="39"/>
      <c r="D122" s="18"/>
      <c r="E122" s="33"/>
      <c r="F122" s="26"/>
    </row>
    <row r="123" spans="1:6" customFormat="1" ht="25.5" customHeight="1">
      <c r="A123" s="4" t="s">
        <v>28</v>
      </c>
      <c r="B123" s="6" t="s">
        <v>101</v>
      </c>
      <c r="C123" s="7">
        <v>611</v>
      </c>
      <c r="D123" s="7" t="s">
        <v>27</v>
      </c>
      <c r="E123" s="34">
        <v>5.4625000000000004</v>
      </c>
      <c r="F123" s="27">
        <f>C123*E123</f>
        <v>3337.5875000000001</v>
      </c>
    </row>
    <row r="124" spans="1:6" customFormat="1" ht="25.5" customHeight="1">
      <c r="A124" s="9" t="s">
        <v>32</v>
      </c>
      <c r="B124" s="10" t="s">
        <v>102</v>
      </c>
      <c r="C124" s="7">
        <v>611</v>
      </c>
      <c r="D124" s="7" t="s">
        <v>27</v>
      </c>
      <c r="E124" s="34">
        <v>22.425000000000001</v>
      </c>
      <c r="F124" s="27">
        <f>C124*E124</f>
        <v>13701.675000000001</v>
      </c>
    </row>
    <row r="125" spans="1:6" customFormat="1" ht="15.75" customHeight="1">
      <c r="A125" s="49" t="s">
        <v>44</v>
      </c>
      <c r="B125" s="55"/>
      <c r="C125" s="55"/>
      <c r="D125" s="55"/>
      <c r="E125" s="55"/>
      <c r="F125" s="56"/>
    </row>
    <row r="126" spans="1:6">
      <c r="A126" s="13" t="s">
        <v>2</v>
      </c>
      <c r="B126" s="14" t="s">
        <v>3</v>
      </c>
      <c r="C126" s="38" t="s">
        <v>4</v>
      </c>
      <c r="D126" s="13" t="s">
        <v>5</v>
      </c>
      <c r="E126" s="32" t="s">
        <v>6</v>
      </c>
      <c r="F126" s="25" t="s">
        <v>7</v>
      </c>
    </row>
    <row r="127" spans="1:6">
      <c r="A127" s="17"/>
      <c r="B127" s="16" t="s">
        <v>84</v>
      </c>
      <c r="C127" s="39"/>
      <c r="D127" s="18"/>
      <c r="E127" s="33"/>
      <c r="F127" s="26"/>
    </row>
    <row r="128" spans="1:6" customFormat="1" ht="25.5" customHeight="1">
      <c r="A128" s="4" t="s">
        <v>47</v>
      </c>
      <c r="B128" s="6" t="s">
        <v>103</v>
      </c>
      <c r="C128" s="7"/>
      <c r="D128" s="5" t="s">
        <v>11</v>
      </c>
      <c r="E128" s="34"/>
      <c r="F128" s="57"/>
    </row>
    <row r="129" spans="1:6">
      <c r="A129" s="17"/>
      <c r="B129" s="16" t="s">
        <v>45</v>
      </c>
      <c r="C129" s="39"/>
      <c r="D129" s="18"/>
      <c r="E129" s="33"/>
      <c r="F129" s="26"/>
    </row>
    <row r="130" spans="1:6">
      <c r="A130" s="17"/>
      <c r="B130" s="16" t="s">
        <v>46</v>
      </c>
      <c r="C130" s="39"/>
      <c r="D130" s="18"/>
      <c r="E130" s="33"/>
      <c r="F130" s="26"/>
    </row>
    <row r="131" spans="1:6" customFormat="1" ht="63.75" customHeight="1">
      <c r="A131" s="4" t="s">
        <v>49</v>
      </c>
      <c r="B131" s="6" t="s">
        <v>104</v>
      </c>
      <c r="C131" s="7">
        <v>364</v>
      </c>
      <c r="D131" s="7" t="s">
        <v>27</v>
      </c>
      <c r="E131" s="34">
        <v>224.25</v>
      </c>
      <c r="F131" s="27">
        <f>C131*E131</f>
        <v>81627</v>
      </c>
    </row>
    <row r="132" spans="1:6" customFormat="1" ht="38.25" customHeight="1">
      <c r="A132" s="9" t="s">
        <v>51</v>
      </c>
      <c r="B132" s="10" t="s">
        <v>67</v>
      </c>
      <c r="C132" s="7">
        <v>249</v>
      </c>
      <c r="D132" s="7" t="s">
        <v>27</v>
      </c>
      <c r="E132" s="34">
        <v>218.5</v>
      </c>
      <c r="F132" s="27">
        <f>C132*E132</f>
        <v>54406.5</v>
      </c>
    </row>
    <row r="133" spans="1:6" customFormat="1" ht="38.25" customHeight="1">
      <c r="A133" s="9" t="s">
        <v>53</v>
      </c>
      <c r="B133" s="10" t="s">
        <v>105</v>
      </c>
      <c r="C133" s="7">
        <v>302</v>
      </c>
      <c r="D133" s="7" t="s">
        <v>27</v>
      </c>
      <c r="E133" s="34">
        <v>201.25</v>
      </c>
      <c r="F133" s="27">
        <f>C133*E133</f>
        <v>60777.5</v>
      </c>
    </row>
    <row r="134" spans="1:6">
      <c r="A134" s="9" t="s">
        <v>55</v>
      </c>
      <c r="B134" s="10" t="s">
        <v>59</v>
      </c>
      <c r="C134" s="7">
        <v>915</v>
      </c>
      <c r="D134" s="7" t="s">
        <v>27</v>
      </c>
      <c r="E134" s="34">
        <v>9.7750000000000004</v>
      </c>
      <c r="F134" s="27">
        <f>C134*E134</f>
        <v>8944.125</v>
      </c>
    </row>
    <row r="135" spans="1:6">
      <c r="A135" s="9" t="s">
        <v>58</v>
      </c>
      <c r="B135" s="10" t="s">
        <v>106</v>
      </c>
      <c r="C135" s="7">
        <v>24</v>
      </c>
      <c r="D135" s="7" t="s">
        <v>57</v>
      </c>
      <c r="E135" s="34">
        <v>109.25</v>
      </c>
      <c r="F135" s="27">
        <f>C135*E135</f>
        <v>2622</v>
      </c>
    </row>
    <row r="136" spans="1:6">
      <c r="A136" s="21"/>
      <c r="B136" s="20" t="s">
        <v>107</v>
      </c>
      <c r="C136" s="39"/>
      <c r="D136" s="18"/>
      <c r="E136" s="33"/>
      <c r="F136" s="26"/>
    </row>
    <row r="137" spans="1:6">
      <c r="A137" s="4" t="s">
        <v>62</v>
      </c>
      <c r="B137" s="6" t="s">
        <v>108</v>
      </c>
      <c r="C137" s="7">
        <v>1</v>
      </c>
      <c r="D137" s="7" t="s">
        <v>15</v>
      </c>
      <c r="E137" s="34">
        <v>2875</v>
      </c>
      <c r="F137" s="27">
        <f>C137*E137</f>
        <v>2875</v>
      </c>
    </row>
    <row r="138" spans="1:6">
      <c r="A138" s="9" t="s">
        <v>64</v>
      </c>
      <c r="B138" s="10" t="s">
        <v>109</v>
      </c>
      <c r="C138" s="7">
        <v>43</v>
      </c>
      <c r="D138" s="7" t="s">
        <v>57</v>
      </c>
      <c r="E138" s="34">
        <v>20.7</v>
      </c>
      <c r="F138" s="27">
        <f>C138*E138</f>
        <v>890.1</v>
      </c>
    </row>
    <row r="139" spans="1:6">
      <c r="A139" s="9" t="s">
        <v>66</v>
      </c>
      <c r="B139" s="10" t="s">
        <v>110</v>
      </c>
      <c r="C139" s="7">
        <v>1</v>
      </c>
      <c r="D139" s="7" t="s">
        <v>78</v>
      </c>
      <c r="E139" s="34">
        <v>632.5</v>
      </c>
      <c r="F139" s="27">
        <f>C139*E139</f>
        <v>632.5</v>
      </c>
    </row>
    <row r="140" spans="1:6">
      <c r="A140" s="9" t="s">
        <v>68</v>
      </c>
      <c r="B140" s="10" t="s">
        <v>111</v>
      </c>
      <c r="C140" s="7">
        <v>13</v>
      </c>
      <c r="D140" s="7" t="s">
        <v>27</v>
      </c>
      <c r="E140" s="34">
        <v>86.25</v>
      </c>
      <c r="F140" s="27">
        <f>C140*E140</f>
        <v>1121.25</v>
      </c>
    </row>
    <row r="141" spans="1:6">
      <c r="A141" s="21"/>
      <c r="B141" s="20" t="s">
        <v>79</v>
      </c>
      <c r="C141" s="39"/>
      <c r="D141" s="18"/>
      <c r="E141" s="33"/>
      <c r="F141" s="26"/>
    </row>
    <row r="142" spans="1:6">
      <c r="A142" s="4" t="s">
        <v>70</v>
      </c>
      <c r="B142" s="6" t="s">
        <v>112</v>
      </c>
      <c r="C142" s="7">
        <v>22</v>
      </c>
      <c r="D142" s="7" t="s">
        <v>57</v>
      </c>
      <c r="E142" s="34">
        <v>373.75</v>
      </c>
      <c r="F142" s="27">
        <f>C142*E142</f>
        <v>8222.5</v>
      </c>
    </row>
    <row r="143" spans="1:6">
      <c r="A143" s="21"/>
      <c r="B143" s="20" t="s">
        <v>113</v>
      </c>
      <c r="C143" s="39"/>
      <c r="D143" s="18"/>
      <c r="E143" s="33"/>
      <c r="F143" s="26"/>
    </row>
    <row r="144" spans="1:6">
      <c r="A144" s="4" t="s">
        <v>73</v>
      </c>
      <c r="B144" s="6" t="s">
        <v>114</v>
      </c>
      <c r="C144" s="7">
        <v>5</v>
      </c>
      <c r="D144" s="7" t="s">
        <v>78</v>
      </c>
      <c r="E144" s="34">
        <v>299</v>
      </c>
      <c r="F144" s="27">
        <f>C144*E144</f>
        <v>1495</v>
      </c>
    </row>
    <row r="145" spans="1:6">
      <c r="A145" s="59"/>
      <c r="B145" s="59"/>
      <c r="C145" s="60"/>
      <c r="D145" s="59"/>
      <c r="E145" s="61"/>
      <c r="F145" s="57"/>
    </row>
    <row r="146" spans="1:6">
      <c r="A146" s="59"/>
      <c r="B146" s="59"/>
      <c r="C146" s="60"/>
      <c r="D146" s="59"/>
      <c r="E146" s="61"/>
      <c r="F146" s="57"/>
    </row>
    <row r="147" spans="1:6" customFormat="1" ht="27.75" customHeight="1">
      <c r="A147" s="50" t="s">
        <v>115</v>
      </c>
      <c r="B147" s="53"/>
      <c r="C147" s="52"/>
      <c r="D147" s="53"/>
      <c r="E147" s="54"/>
      <c r="F147" s="15"/>
    </row>
    <row r="148" spans="1:6" customFormat="1" ht="15.75" customHeight="1">
      <c r="A148" s="49" t="s">
        <v>1</v>
      </c>
      <c r="B148" s="55"/>
      <c r="C148" s="55"/>
      <c r="D148" s="55"/>
      <c r="E148" s="55"/>
      <c r="F148" s="56"/>
    </row>
    <row r="149" spans="1:6">
      <c r="A149" s="13" t="s">
        <v>2</v>
      </c>
      <c r="B149" s="14" t="s">
        <v>3</v>
      </c>
      <c r="C149" s="38" t="s">
        <v>4</v>
      </c>
      <c r="D149" s="13" t="s">
        <v>5</v>
      </c>
      <c r="E149" s="32" t="s">
        <v>6</v>
      </c>
      <c r="F149" s="25" t="s">
        <v>7</v>
      </c>
    </row>
    <row r="150" spans="1:6">
      <c r="A150" s="17"/>
      <c r="B150" s="16" t="s">
        <v>84</v>
      </c>
      <c r="C150" s="39"/>
      <c r="D150" s="18"/>
      <c r="E150" s="33"/>
      <c r="F150" s="26"/>
    </row>
    <row r="151" spans="1:6">
      <c r="A151" s="4" t="s">
        <v>9</v>
      </c>
      <c r="B151" s="6" t="s">
        <v>116</v>
      </c>
      <c r="C151" s="7"/>
      <c r="D151" s="5" t="s">
        <v>11</v>
      </c>
      <c r="E151" s="34"/>
      <c r="F151" s="57"/>
    </row>
    <row r="152" spans="1:6">
      <c r="A152" s="17"/>
      <c r="B152" s="16" t="s">
        <v>12</v>
      </c>
      <c r="C152" s="39"/>
      <c r="D152" s="18"/>
      <c r="E152" s="33"/>
      <c r="F152" s="26"/>
    </row>
    <row r="153" spans="1:6">
      <c r="A153" s="4" t="s">
        <v>13</v>
      </c>
      <c r="B153" s="6" t="s">
        <v>14</v>
      </c>
      <c r="C153" s="7">
        <v>1</v>
      </c>
      <c r="D153" s="7" t="s">
        <v>15</v>
      </c>
      <c r="E153" s="34">
        <v>4600</v>
      </c>
      <c r="F153" s="27">
        <f>C153*E153</f>
        <v>4600</v>
      </c>
    </row>
    <row r="154" spans="1:6">
      <c r="A154" s="9" t="s">
        <v>16</v>
      </c>
      <c r="B154" s="10" t="s">
        <v>17</v>
      </c>
      <c r="C154" s="7">
        <v>1</v>
      </c>
      <c r="D154" s="7" t="s">
        <v>15</v>
      </c>
      <c r="E154" s="34">
        <v>1725</v>
      </c>
      <c r="F154" s="27">
        <f>C154*E154</f>
        <v>1725</v>
      </c>
    </row>
    <row r="155" spans="1:6">
      <c r="A155" s="9" t="s">
        <v>18</v>
      </c>
      <c r="B155" s="10" t="s">
        <v>19</v>
      </c>
      <c r="C155" s="7">
        <v>1</v>
      </c>
      <c r="D155" s="7" t="s">
        <v>15</v>
      </c>
      <c r="E155" s="34">
        <v>1725</v>
      </c>
      <c r="F155" s="27">
        <f>C155*E155</f>
        <v>1725</v>
      </c>
    </row>
    <row r="156" spans="1:6">
      <c r="A156" s="21"/>
      <c r="B156" s="20" t="s">
        <v>20</v>
      </c>
      <c r="C156" s="39"/>
      <c r="D156" s="18"/>
      <c r="E156" s="33"/>
      <c r="F156" s="26"/>
    </row>
    <row r="157" spans="1:6">
      <c r="A157" s="4" t="s">
        <v>21</v>
      </c>
      <c r="B157" s="6" t="s">
        <v>22</v>
      </c>
      <c r="C157" s="7">
        <v>1</v>
      </c>
      <c r="D157" s="7" t="s">
        <v>15</v>
      </c>
      <c r="E157" s="34">
        <v>2300</v>
      </c>
      <c r="F157" s="27">
        <f>C157*E157</f>
        <v>2300</v>
      </c>
    </row>
    <row r="158" spans="1:6">
      <c r="A158" s="21"/>
      <c r="B158" s="20" t="s">
        <v>23</v>
      </c>
      <c r="C158" s="39"/>
      <c r="D158" s="18"/>
      <c r="E158" s="33"/>
      <c r="F158" s="26"/>
    </row>
    <row r="159" spans="1:6">
      <c r="A159" s="17"/>
      <c r="B159" s="16" t="s">
        <v>24</v>
      </c>
      <c r="C159" s="39"/>
      <c r="D159" s="18"/>
      <c r="E159" s="33"/>
      <c r="F159" s="26"/>
    </row>
    <row r="160" spans="1:6" customFormat="1" ht="25.5" customHeight="1">
      <c r="A160" s="4" t="s">
        <v>25</v>
      </c>
      <c r="B160" s="6" t="s">
        <v>86</v>
      </c>
      <c r="C160" s="7">
        <v>441</v>
      </c>
      <c r="D160" s="7" t="s">
        <v>27</v>
      </c>
      <c r="E160" s="34">
        <v>5.4625000000000004</v>
      </c>
      <c r="F160" s="27">
        <f>C160*E160</f>
        <v>2408.9625000000001</v>
      </c>
    </row>
    <row r="161" spans="1:6">
      <c r="A161" s="9" t="s">
        <v>28</v>
      </c>
      <c r="B161" s="10" t="s">
        <v>87</v>
      </c>
      <c r="C161" s="7">
        <v>441</v>
      </c>
      <c r="D161" s="7" t="s">
        <v>27</v>
      </c>
      <c r="E161" s="34">
        <v>22.425000000000001</v>
      </c>
      <c r="F161" s="27">
        <f>C161*E161</f>
        <v>9889.4250000000011</v>
      </c>
    </row>
    <row r="162" spans="1:6">
      <c r="A162" s="59"/>
      <c r="B162" s="59"/>
      <c r="C162" s="60"/>
      <c r="D162" s="59"/>
      <c r="E162" s="61"/>
      <c r="F162" s="57"/>
    </row>
    <row r="163" spans="1:6" customFormat="1" ht="15.75" customHeight="1">
      <c r="A163" s="49" t="s">
        <v>44</v>
      </c>
      <c r="B163" s="55"/>
      <c r="C163" s="55"/>
      <c r="D163" s="55"/>
      <c r="E163" s="55"/>
      <c r="F163" s="56"/>
    </row>
    <row r="164" spans="1:6">
      <c r="A164" s="13" t="s">
        <v>2</v>
      </c>
      <c r="B164" s="14" t="s">
        <v>3</v>
      </c>
      <c r="C164" s="38" t="s">
        <v>4</v>
      </c>
      <c r="D164" s="13" t="s">
        <v>5</v>
      </c>
      <c r="E164" s="32" t="s">
        <v>6</v>
      </c>
      <c r="F164" s="25" t="s">
        <v>7</v>
      </c>
    </row>
    <row r="165" spans="1:6">
      <c r="A165" s="17"/>
      <c r="B165" s="16" t="s">
        <v>84</v>
      </c>
      <c r="C165" s="39"/>
      <c r="D165" s="18"/>
      <c r="E165" s="33"/>
      <c r="F165" s="26"/>
    </row>
    <row r="166" spans="1:6">
      <c r="A166" s="4" t="s">
        <v>47</v>
      </c>
      <c r="B166" s="6" t="s">
        <v>117</v>
      </c>
      <c r="C166" s="7"/>
      <c r="D166" s="5" t="s">
        <v>11</v>
      </c>
      <c r="E166" s="34"/>
      <c r="F166" s="57"/>
    </row>
    <row r="167" spans="1:6">
      <c r="A167" s="17"/>
      <c r="B167" s="16" t="s">
        <v>45</v>
      </c>
      <c r="C167" s="39"/>
      <c r="D167" s="18"/>
      <c r="E167" s="33"/>
      <c r="F167" s="26"/>
    </row>
    <row r="168" spans="1:6">
      <c r="A168" s="17"/>
      <c r="B168" s="16" t="s">
        <v>46</v>
      </c>
      <c r="C168" s="39"/>
      <c r="D168" s="18"/>
      <c r="E168" s="33"/>
      <c r="F168" s="26"/>
    </row>
    <row r="169" spans="1:6">
      <c r="A169" s="4" t="s">
        <v>49</v>
      </c>
      <c r="B169" s="6" t="s">
        <v>118</v>
      </c>
      <c r="C169" s="7">
        <v>75</v>
      </c>
      <c r="D169" s="7" t="s">
        <v>27</v>
      </c>
      <c r="E169" s="34">
        <v>143.75</v>
      </c>
      <c r="F169" s="27">
        <f>C169*E169</f>
        <v>10781.25</v>
      </c>
    </row>
    <row r="170" spans="1:6">
      <c r="A170" s="21"/>
      <c r="B170" s="20" t="s">
        <v>119</v>
      </c>
      <c r="C170" s="39"/>
      <c r="D170" s="18"/>
      <c r="E170" s="33"/>
      <c r="F170" s="26"/>
    </row>
    <row r="171" spans="1:6">
      <c r="A171" s="4" t="s">
        <v>51</v>
      </c>
      <c r="B171" s="6" t="s">
        <v>120</v>
      </c>
      <c r="C171" s="7">
        <v>114</v>
      </c>
      <c r="D171" s="7" t="s">
        <v>27</v>
      </c>
      <c r="E171" s="34">
        <v>132.25</v>
      </c>
      <c r="F171" s="27">
        <f>C171*E171</f>
        <v>15076.5</v>
      </c>
    </row>
    <row r="172" spans="1:6">
      <c r="A172" s="59"/>
      <c r="B172" s="59"/>
      <c r="C172" s="60"/>
      <c r="D172" s="59"/>
      <c r="E172" s="61"/>
      <c r="F172" s="57"/>
    </row>
    <row r="173" spans="1:6">
      <c r="A173" s="59"/>
      <c r="B173" s="23" t="s">
        <v>121</v>
      </c>
      <c r="C173" s="40"/>
      <c r="D173" s="23"/>
      <c r="E173" s="35"/>
      <c r="F173" s="29">
        <f>SUM(F7:F23,F30:F49,F57:F65,F74,F85:F95,F103:F105,F116:F124,F131:F144,F153:F161,F169:F171)</f>
        <v>1783474.625</v>
      </c>
    </row>
    <row r="174" spans="1:6">
      <c r="A174" s="59"/>
      <c r="B174" s="22" t="s">
        <v>122</v>
      </c>
      <c r="C174" s="41"/>
      <c r="D174" s="22"/>
      <c r="E174" s="36"/>
      <c r="F174" s="30">
        <f>F173*0.075</f>
        <v>133760.59687499999</v>
      </c>
    </row>
    <row r="175" spans="1:6">
      <c r="A175" s="59"/>
      <c r="B175" s="24" t="s">
        <v>123</v>
      </c>
      <c r="C175" s="42"/>
      <c r="D175" s="24"/>
      <c r="E175" s="37"/>
      <c r="F175" s="31">
        <f>F173+F174</f>
        <v>1917235.221875</v>
      </c>
    </row>
    <row r="176" spans="1:6">
      <c r="A176" s="59"/>
      <c r="B176" s="24" t="s">
        <v>124</v>
      </c>
      <c r="C176" s="42"/>
      <c r="D176" s="24"/>
      <c r="E176" s="37"/>
      <c r="F176" s="31">
        <f>F175*0.1</f>
        <v>191723.52218750003</v>
      </c>
    </row>
    <row r="177" spans="1:6">
      <c r="A177" s="59"/>
      <c r="B177" s="24" t="s">
        <v>125</v>
      </c>
      <c r="C177" s="42"/>
      <c r="D177" s="24"/>
      <c r="E177" s="37"/>
      <c r="F177" s="31">
        <f>F175+F176</f>
        <v>2108958.7440625001</v>
      </c>
    </row>
  </sheetData>
  <mergeCells count="10">
    <mergeCell ref="A2:F2"/>
    <mergeCell ref="A52:F52"/>
    <mergeCell ref="A68:F68"/>
    <mergeCell ref="A26:F26"/>
    <mergeCell ref="A97:F97"/>
    <mergeCell ref="A163:F163"/>
    <mergeCell ref="A78:F78"/>
    <mergeCell ref="A109:F109"/>
    <mergeCell ref="A148:F148"/>
    <mergeCell ref="A125:F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G17" sqref="G17"/>
    </sheetView>
  </sheetViews>
  <sheetFormatPr defaultRowHeight="13.15"/>
  <cols>
    <col min="1" max="1" width="42" customWidth="1"/>
    <col min="2" max="2" width="55" customWidth="1"/>
    <col min="3" max="3" width="28" customWidth="1"/>
  </cols>
  <sheetData>
    <row r="1" spans="1:3" ht="15.6">
      <c r="A1" s="62" t="s">
        <v>126</v>
      </c>
      <c r="B1" s="62"/>
      <c r="C1" s="62"/>
    </row>
    <row r="2" spans="1:3" ht="15.6">
      <c r="A2" s="62" t="s">
        <v>127</v>
      </c>
      <c r="B2" s="62"/>
      <c r="C2" s="62"/>
    </row>
    <row r="3" spans="1:3">
      <c r="A3" s="63"/>
      <c r="B3" s="63"/>
      <c r="C3" s="63"/>
    </row>
    <row r="4" spans="1:3">
      <c r="A4" s="43" t="s">
        <v>128</v>
      </c>
      <c r="B4" s="44" t="s">
        <v>129</v>
      </c>
      <c r="C4" s="63"/>
    </row>
    <row r="5" spans="1:3">
      <c r="A5" s="43" t="s">
        <v>130</v>
      </c>
      <c r="B5" s="44" t="s">
        <v>131</v>
      </c>
      <c r="C5" s="63"/>
    </row>
    <row r="6" spans="1:3">
      <c r="A6" s="43" t="s">
        <v>132</v>
      </c>
      <c r="B6" s="44" t="s">
        <v>133</v>
      </c>
      <c r="C6" s="63"/>
    </row>
    <row r="7" spans="1:3">
      <c r="A7" s="43" t="s">
        <v>134</v>
      </c>
      <c r="B7" s="44" t="s">
        <v>126</v>
      </c>
      <c r="C7" s="63"/>
    </row>
    <row r="8" spans="1:3" ht="26.45">
      <c r="A8" s="43" t="s">
        <v>135</v>
      </c>
      <c r="B8" s="44" t="s">
        <v>136</v>
      </c>
      <c r="C8" s="63"/>
    </row>
    <row r="9" spans="1:3">
      <c r="A9" s="43" t="s">
        <v>137</v>
      </c>
      <c r="B9" s="44" t="s">
        <v>138</v>
      </c>
      <c r="C9" s="63"/>
    </row>
    <row r="10" spans="1:3">
      <c r="A10" s="63"/>
      <c r="B10" s="63"/>
      <c r="C10" s="63"/>
    </row>
    <row r="11" spans="1:3">
      <c r="A11" s="43" t="s">
        <v>139</v>
      </c>
      <c r="B11" s="43" t="s">
        <v>140</v>
      </c>
      <c r="C11" s="43" t="s">
        <v>141</v>
      </c>
    </row>
    <row r="12" spans="1:3">
      <c r="A12" s="45" t="s">
        <v>142</v>
      </c>
      <c r="B12" s="46">
        <f>'T04-GROUNDWORKS'!F24</f>
        <v>747881.8</v>
      </c>
      <c r="C12" s="45" t="s">
        <v>143</v>
      </c>
    </row>
    <row r="13" spans="1:3">
      <c r="A13" s="45" t="s">
        <v>144</v>
      </c>
      <c r="B13" s="46">
        <f>SUM('T04-GROUNDWORKS'!F30:F49)</f>
        <v>610068.67500000005</v>
      </c>
      <c r="C13" s="45" t="s">
        <v>145</v>
      </c>
    </row>
    <row r="14" spans="1:3">
      <c r="A14" s="45" t="s">
        <v>146</v>
      </c>
      <c r="B14" s="46">
        <f>'T04-GROUNDWORKS'!F66</f>
        <v>10068.5375</v>
      </c>
      <c r="C14" s="45" t="s">
        <v>147</v>
      </c>
    </row>
    <row r="15" spans="1:3">
      <c r="A15" s="45" t="s">
        <v>148</v>
      </c>
      <c r="B15" s="46">
        <f>'T04-GROUNDWORKS'!F74</f>
        <v>11212.5</v>
      </c>
      <c r="C15" s="45" t="s">
        <v>49</v>
      </c>
    </row>
    <row r="16" spans="1:3">
      <c r="A16" s="45" t="s">
        <v>149</v>
      </c>
      <c r="B16" s="46">
        <f>SUM('T04-GROUNDWORKS'!F85:F95)</f>
        <v>72649.237500000003</v>
      </c>
      <c r="C16" s="45" t="s">
        <v>150</v>
      </c>
    </row>
    <row r="17" spans="1:3">
      <c r="A17" s="45" t="s">
        <v>151</v>
      </c>
      <c r="B17" s="46">
        <f>SUM('T04-GROUNDWORKS'!F103:F105)</f>
        <v>10235</v>
      </c>
      <c r="C17" s="45" t="s">
        <v>152</v>
      </c>
    </row>
    <row r="18" spans="1:3">
      <c r="A18" s="45" t="s">
        <v>153</v>
      </c>
      <c r="B18" s="46">
        <f>SUM('T04-GROUNDWORKS'!F116:F124)</f>
        <v>49239.262500000004</v>
      </c>
      <c r="C18" s="45" t="s">
        <v>154</v>
      </c>
    </row>
    <row r="19" spans="1:3">
      <c r="A19" s="45" t="s">
        <v>155</v>
      </c>
      <c r="B19" s="46">
        <f>SUM('T04-GROUNDWORKS'!F131:F144)</f>
        <v>223613.47500000001</v>
      </c>
      <c r="C19" s="45" t="s">
        <v>156</v>
      </c>
    </row>
    <row r="20" spans="1:3">
      <c r="A20" s="45" t="s">
        <v>157</v>
      </c>
      <c r="B20" s="46">
        <f>SUM('T04-GROUNDWORKS'!F153:F161)</f>
        <v>22648.387500000001</v>
      </c>
      <c r="C20" s="45" t="s">
        <v>147</v>
      </c>
    </row>
    <row r="21" spans="1:3">
      <c r="A21" s="45" t="s">
        <v>158</v>
      </c>
      <c r="B21" s="46">
        <f>SUM('T04-GROUNDWORKS'!F169:F171)</f>
        <v>25857.75</v>
      </c>
      <c r="C21" s="45" t="s">
        <v>152</v>
      </c>
    </row>
    <row r="22" spans="1:3">
      <c r="A22" s="47" t="s">
        <v>121</v>
      </c>
      <c r="B22" s="48">
        <f>'T04-GROUNDWORKS'!F173</f>
        <v>1783474.625</v>
      </c>
      <c r="C22" s="47" t="s">
        <v>159</v>
      </c>
    </row>
    <row r="23" spans="1:3">
      <c r="A23" s="47" t="s">
        <v>122</v>
      </c>
      <c r="B23" s="48">
        <f>'T04-GROUNDWORKS'!F174</f>
        <v>133760.59687499999</v>
      </c>
      <c r="C23" s="47" t="s">
        <v>160</v>
      </c>
    </row>
    <row r="24" spans="1:3">
      <c r="A24" s="47" t="s">
        <v>123</v>
      </c>
      <c r="B24" s="48">
        <f>'T04-GROUNDWORKS'!F175</f>
        <v>1917235.221875</v>
      </c>
      <c r="C24" s="47" t="s">
        <v>161</v>
      </c>
    </row>
    <row r="25" spans="1:3">
      <c r="A25" s="47" t="s">
        <v>124</v>
      </c>
      <c r="B25" s="48">
        <f>'T04-GROUNDWORKS'!F176</f>
        <v>191723.52218750003</v>
      </c>
      <c r="C25" s="47" t="s">
        <v>162</v>
      </c>
    </row>
    <row r="26" spans="1:3">
      <c r="A26" s="47" t="s">
        <v>125</v>
      </c>
      <c r="B26" s="48">
        <f>'T04-GROUNDWORKS'!F177</f>
        <v>2108958.7440625001</v>
      </c>
      <c r="C26" s="47" t="s">
        <v>161</v>
      </c>
    </row>
  </sheetData>
  <mergeCells count="2">
    <mergeCell ref="A1:C1"/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72E70C-00B3-46B2-8281-BB895E03F25E}"/>
</file>

<file path=customXml/itemProps2.xml><?xml version="1.0" encoding="utf-8"?>
<ds:datastoreItem xmlns:ds="http://schemas.openxmlformats.org/officeDocument/2006/customXml" ds:itemID="{50DA93C6-5013-433E-B8F4-2AEFE4E75F71}"/>
</file>

<file path=customXml/itemProps3.xml><?xml version="1.0" encoding="utf-8"?>
<ds:datastoreItem xmlns:ds="http://schemas.openxmlformats.org/officeDocument/2006/customXml" ds:itemID="{6DA00EA4-00BA-4643-BA69-4DFDA0D96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Denis Zhong - TCS</cp:lastModifiedBy>
  <cp:revision/>
  <dcterms:created xsi:type="dcterms:W3CDTF">2026-05-14T07:30:06Z</dcterms:created>
  <dcterms:modified xsi:type="dcterms:W3CDTF">2026-05-14T07:30:06Z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MediaServiceImageTags">
    <vt:lpwstr/>
  </property>
</Properties>
</file>